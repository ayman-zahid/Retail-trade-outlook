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imelines/timeline2.xml" ContentType="application/vnd.ms-excel.timelin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uham\Downloads\retail-outlook\"/>
    </mc:Choice>
  </mc:AlternateContent>
  <xr:revisionPtr revIDLastSave="0" documentId="13_ncr:1_{07F76C53-A593-4E83-B0A9-1ED03BE1DC54}" xr6:coauthVersionLast="47" xr6:coauthVersionMax="47" xr10:uidLastSave="{00000000-0000-0000-0000-000000000000}"/>
  <bookViews>
    <workbookView xWindow="-108" yWindow="-108" windowWidth="23256" windowHeight="12456" xr2:uid="{8F8BCAD4-DD51-4E37-9F3C-F956BCDE32F5}"/>
  </bookViews>
  <sheets>
    <sheet name="Dashboard" sheetId="9" r:id="rId1"/>
    <sheet name="state_summary" sheetId="13" r:id="rId2"/>
    <sheet name="industry_rank" sheetId="3" r:id="rId3"/>
    <sheet name="yoy_growth" sheetId="4" r:id="rId4"/>
    <sheet name="monthly_trend" sheetId="5" r:id="rId5"/>
    <sheet name="Pivot Industry" sheetId="8" r:id="rId6"/>
    <sheet name="SparklineData" sheetId="10" r:id="rId7"/>
  </sheets>
  <definedNames>
    <definedName name="ExternalData_1" localSheetId="2" hidden="1">industry_rank!$A$1:$C$16</definedName>
    <definedName name="ExternalData_2" localSheetId="4" hidden="1">monthly_trend!$A$1:$E$79</definedName>
    <definedName name="ExternalData_2" localSheetId="3" hidden="1">yoy_growth!$A$1:$H$8581</definedName>
    <definedName name="NativeTimeline_reporting_date">#N/A</definedName>
  </definedNames>
  <calcPr calcId="191029"/>
  <pivotCaches>
    <pivotCache cacheId="0" r:id="rId8"/>
    <pivotCache cacheId="1" r:id="rId9"/>
    <pivotCache cacheId="2" r:id="rId1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9" l="1"/>
  <c r="G7" i="9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N7" i="9"/>
  <c r="C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E2DE1-BEA0-403C-A581-435344C74F8A}" keepAlive="1" name="Query - industry_rank" description="Connection to the 'industry_rank' query in the workbook." type="5" refreshedVersion="8" background="1" saveData="1">
    <dbPr connection="Provider=Microsoft.Mashup.OleDb.1;Data Source=$Workbook$;Location=industry_rank;Extended Properties=&quot;&quot;" command="SELECT * FROM [industry_rank]"/>
  </connection>
  <connection id="2" xr16:uid="{E1EA5D8E-D1BC-4FD9-A2B7-A4C0AB66D5BA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  <connection id="3" xr16:uid="{B60FA147-6070-4592-9F5F-3D3A06E96C58}" keepAlive="1" name="Query - state_summary" description="Connection to the 'state_summary' query in the workbook." type="5" refreshedVersion="8" background="1" saveData="1">
    <dbPr connection="Provider=Microsoft.Mashup.OleDb.1;Data Source=$Workbook$;Location=state_summary;Extended Properties=&quot;&quot;" command="SELECT * FROM [state_summary]"/>
  </connection>
  <connection id="4" xr16:uid="{9ADF6145-930B-4630-AA80-0933B47CD4CB}" keepAlive="1" name="Query - yoy_growth" description="Connection to the 'yoy_growth' query in the workbook." type="5" refreshedVersion="8" background="1" saveData="1">
    <dbPr connection="Provider=Microsoft.Mashup.OleDb.1;Data Source=$Workbook$;Location=yoy_growth;Extended Properties=&quot;&quot;" command="SELECT * FROM [yoy_growth]"/>
  </connection>
</connections>
</file>

<file path=xl/sharedStrings.xml><?xml version="1.0" encoding="utf-8"?>
<sst xmlns="http://schemas.openxmlformats.org/spreadsheetml/2006/main" count="51644" uniqueCount="158">
  <si>
    <t>total_turnover_m</t>
  </si>
  <si>
    <t>avg_monthly_turnover_m</t>
  </si>
  <si>
    <t>New South Wales</t>
  </si>
  <si>
    <t>Victoria</t>
  </si>
  <si>
    <t>Queensland</t>
  </si>
  <si>
    <t>Western Australia</t>
  </si>
  <si>
    <t>South Australia</t>
  </si>
  <si>
    <t>Tasmania</t>
  </si>
  <si>
    <t>Australian Capital Territory</t>
  </si>
  <si>
    <t>Northern Territory</t>
  </si>
  <si>
    <t>industry_rank</t>
  </si>
  <si>
    <t>Supermarket and grocery stores</t>
  </si>
  <si>
    <t>Cafes, restaurants and catering services</t>
  </si>
  <si>
    <t>Electrical and electronic goods retailing</t>
  </si>
  <si>
    <t>Other retailing n.e.c.</t>
  </si>
  <si>
    <t>Hardware, building and garden supplies retailing</t>
  </si>
  <si>
    <t>Department stores</t>
  </si>
  <si>
    <t>Pharmaceutical, cosmetic and toiletry goods retailing</t>
  </si>
  <si>
    <t>Takeaway food services</t>
  </si>
  <si>
    <t>Clothing retailing</t>
  </si>
  <si>
    <t>Furniture, floor coverings, houseware and textile goods retailing</t>
  </si>
  <si>
    <t>Liquor retailing</t>
  </si>
  <si>
    <t>Footwear and other personal accessory retailing</t>
  </si>
  <si>
    <t>Other specialised food retailing</t>
  </si>
  <si>
    <t>Other recreational goods retailing</t>
  </si>
  <si>
    <t>Newspaper and book retailing</t>
  </si>
  <si>
    <t>reporting_date</t>
  </si>
  <si>
    <t>year</t>
  </si>
  <si>
    <t>month</t>
  </si>
  <si>
    <t>month_no</t>
  </si>
  <si>
    <t>turnover_millions</t>
  </si>
  <si>
    <t>yoy_growth_pct</t>
  </si>
  <si>
    <t xml:space="preserve">January  </t>
  </si>
  <si>
    <t xml:space="preserve">February </t>
  </si>
  <si>
    <t xml:space="preserve">March    </t>
  </si>
  <si>
    <t xml:space="preserve">April    </t>
  </si>
  <si>
    <t xml:space="preserve">May      </t>
  </si>
  <si>
    <t xml:space="preserve">June     </t>
  </si>
  <si>
    <t xml:space="preserve">July     </t>
  </si>
  <si>
    <t xml:space="preserve">August   </t>
  </si>
  <si>
    <t>September</t>
  </si>
  <si>
    <t xml:space="preserve">October  </t>
  </si>
  <si>
    <t xml:space="preserve">November </t>
  </si>
  <si>
    <t xml:space="preserve">December </t>
  </si>
  <si>
    <t>national_turnover_m</t>
  </si>
  <si>
    <t>State</t>
  </si>
  <si>
    <t>Year</t>
  </si>
  <si>
    <t>Retail Outlook − Australian Retail Trade Analysis</t>
  </si>
  <si>
    <t>Source: Australian Bureau of Statistics, Retail Trade Cat. 8501.0 | Ayman Zahid | April 6, 2025</t>
  </si>
  <si>
    <t>National Turnover 2024</t>
  </si>
  <si>
    <t>Avg Year-on-Year Growth 2024</t>
  </si>
  <si>
    <t>Top State (5 years)</t>
  </si>
  <si>
    <t>Top Industry</t>
  </si>
  <si>
    <t>Industries</t>
  </si>
  <si>
    <t>Grand Total</t>
  </si>
  <si>
    <t>Total turnover ($ Millions)</t>
  </si>
  <si>
    <t>Average of Turnover ($ Millions)</t>
  </si>
  <si>
    <t>state</t>
  </si>
  <si>
    <t>industry</t>
  </si>
  <si>
    <t>2019-01-01</t>
  </si>
  <si>
    <t>2019</t>
  </si>
  <si>
    <t>1</t>
  </si>
  <si>
    <t>2019-02-01</t>
  </si>
  <si>
    <t>2</t>
  </si>
  <si>
    <t>2019-03-01</t>
  </si>
  <si>
    <t>3</t>
  </si>
  <si>
    <t>2019-04-01</t>
  </si>
  <si>
    <t>4</t>
  </si>
  <si>
    <t>2019-05-01</t>
  </si>
  <si>
    <t>5</t>
  </si>
  <si>
    <t>2019-06-01</t>
  </si>
  <si>
    <t>6</t>
  </si>
  <si>
    <t>2019-07-01</t>
  </si>
  <si>
    <t>7</t>
  </si>
  <si>
    <t>2019-08-01</t>
  </si>
  <si>
    <t>8</t>
  </si>
  <si>
    <t>2019-09-01</t>
  </si>
  <si>
    <t>9</t>
  </si>
  <si>
    <t>2019-10-01</t>
  </si>
  <si>
    <t>10</t>
  </si>
  <si>
    <t>2019-11-01</t>
  </si>
  <si>
    <t>11</t>
  </si>
  <si>
    <t>2019-12-01</t>
  </si>
  <si>
    <t>12</t>
  </si>
  <si>
    <t>2020-01-01</t>
  </si>
  <si>
    <t>2020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</si>
  <si>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</si>
  <si>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</si>
  <si>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</si>
  <si>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</si>
  <si>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</si>
  <si>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</si>
  <si>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</si>
  <si>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</si>
  <si>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</si>
  <si>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</si>
  <si>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</si>
  <si>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</si>
  <si>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</si>
  <si>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</si>
  <si>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</si>
  <si>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</si>
  <si>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</si>
  <si>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</si>
  <si>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</si>
  <si>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</si>
  <si>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</si>
  <si>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</si>
  <si>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</si>
  <si>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</si>
  <si>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</si>
  <si>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</si>
  <si>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</si>
  <si>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</si>
  <si>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</si>
  <si>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</si>
  <si>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</si>
  <si>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</si>
  <si>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</si>
  <si>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</si>
  <si>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</si>
  <si>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</si>
  <si>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</si>
  <si>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</si>
  <si>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</si>
  <si>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</si>
  <si>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</si>
  <si>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</si>
  <si>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</si>
  <si>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</si>
  <si>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</si>
  <si>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</si>
  <si>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</si>
  <si>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</si>
  <si>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</si>
  <si>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</si>
  <si>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</si>
  <si>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</si>
  <si>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</si>
  <si>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</si>
  <si>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</si>
  <si>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</si>
  <si>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</si>
  <si>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</si>
  <si>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</si>
  <si>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</si>
  <si>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</si>
  <si>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</si>
  <si>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</si>
  <si>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</si>
  <si>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</t>
  </si>
  <si>
    <t>2025-02-01</t>
  </si>
  <si>
    <t>2025-03-01</t>
  </si>
  <si>
    <t>2025-04-01</t>
  </si>
  <si>
    <t>2025-05-01</t>
  </si>
  <si>
    <t>2025-06-01</t>
  </si>
  <si>
    <t>National Retail Turnover ($ Millions)</t>
  </si>
  <si>
    <t>Other industrial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</si>
</sst>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_-[$$-C09]* #,##0.00_-;\-[$$-C09]* #,##0.00_-;_-[$$-C09]* &quot;-&quot;??_-;_-@_-"/>
    <numFmt numFmtId="166" formatCode="_-* #,##0.0_-;\-* #,##0.0_-;_-* &quot;-&quot;??_-;_-@_-"/>
    <numFmt numFmtId="167" formatCode="#,##0.0_ ;\-#,##0.0\ 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26"/>
      <color rgb="FF006666"/>
      <name val="Arial"/>
      <family val="2"/>
    </font>
    <font>
      <b/>
      <sz val="18"/>
      <color rgb="FF006666"/>
      <name val="Arial"/>
      <family val="2"/>
    </font>
    <font>
      <sz val="11"/>
      <color theme="1"/>
      <name val="Arial"/>
      <family val="2"/>
    </font>
    <font>
      <sz val="16"/>
      <color theme="0" tint="-0.499984740745262"/>
      <name val="Arial"/>
      <family val="2"/>
    </font>
    <font>
      <b/>
      <sz val="16"/>
      <color theme="0" tint="-0.499984740745262"/>
      <name val="Arial"/>
      <family val="2"/>
    </font>
    <font>
      <b/>
      <sz val="12"/>
      <color theme="0" tint="-0.499984740745262"/>
      <name val="Arial"/>
      <family val="2"/>
    </font>
    <font>
      <sz val="26"/>
      <color rgb="FF00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D3A6"/>
        <bgColor indexed="64"/>
      </patternFill>
    </fill>
    <fill>
      <patternFill patternType="solid">
        <fgColor rgb="FFFBE6A3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FFDEBD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double">
        <color theme="0" tint="-0.249977111117893"/>
      </left>
      <right/>
      <top style="double">
        <color theme="0" tint="-0.249977111117893"/>
      </top>
      <bottom/>
      <diagonal/>
    </border>
    <border>
      <left/>
      <right/>
      <top style="double">
        <color theme="0" tint="-0.249977111117893"/>
      </top>
      <bottom/>
      <diagonal/>
    </border>
    <border>
      <left style="double">
        <color theme="0" tint="-0.249977111117893"/>
      </left>
      <right/>
      <top/>
      <bottom/>
      <diagonal/>
    </border>
    <border>
      <left style="double">
        <color theme="0" tint="-0.249977111117893"/>
      </left>
      <right/>
      <top/>
      <bottom style="double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double">
        <color theme="2" tint="-0.249977111117893"/>
      </top>
      <bottom/>
      <diagonal/>
    </border>
    <border>
      <left/>
      <right/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 style="double">
        <color theme="2" tint="-0.249977111117893"/>
      </right>
      <top/>
      <bottom style="double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3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0" fontId="2" fillId="0" borderId="0" xfId="0" applyFont="1"/>
    <xf numFmtId="2" fontId="0" fillId="0" borderId="0" xfId="0" applyNumberFormat="1"/>
    <xf numFmtId="164" fontId="0" fillId="0" borderId="11" xfId="0" applyNumberFormat="1" applyBorder="1"/>
    <xf numFmtId="164" fontId="0" fillId="0" borderId="12" xfId="0" applyNumberFormat="1" applyBorder="1"/>
    <xf numFmtId="164" fontId="0" fillId="0" borderId="14" xfId="0" applyNumberFormat="1" applyBorder="1"/>
    <xf numFmtId="164" fontId="0" fillId="0" borderId="13" xfId="0" applyNumberFormat="1" applyBorder="1"/>
    <xf numFmtId="0" fontId="0" fillId="0" borderId="11" xfId="0" applyBorder="1"/>
    <xf numFmtId="0" fontId="0" fillId="0" borderId="12" xfId="0" applyBorder="1"/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6" borderId="0" xfId="0" applyFont="1" applyFill="1"/>
    <xf numFmtId="0" fontId="1" fillId="5" borderId="0" xfId="0" applyFont="1" applyFill="1"/>
    <xf numFmtId="0" fontId="1" fillId="4" borderId="0" xfId="0" applyFont="1" applyFill="1"/>
    <xf numFmtId="0" fontId="1" fillId="3" borderId="0" xfId="0" applyFont="1" applyFill="1"/>
    <xf numFmtId="166" fontId="1" fillId="6" borderId="0" xfId="1" applyNumberFormat="1" applyFont="1" applyFill="1"/>
    <xf numFmtId="166" fontId="0" fillId="0" borderId="0" xfId="1" applyNumberFormat="1" applyFont="1"/>
    <xf numFmtId="0" fontId="0" fillId="0" borderId="3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164" fontId="0" fillId="0" borderId="15" xfId="0" applyNumberFormat="1" applyBorder="1"/>
    <xf numFmtId="164" fontId="0" fillId="0" borderId="16" xfId="0" applyNumberFormat="1" applyBorder="1"/>
    <xf numFmtId="0" fontId="0" fillId="0" borderId="22" xfId="0" applyBorder="1"/>
    <xf numFmtId="0" fontId="0" fillId="0" borderId="21" xfId="0" applyBorder="1"/>
    <xf numFmtId="0" fontId="0" fillId="0" borderId="23" xfId="0" pivotButton="1" applyBorder="1"/>
    <xf numFmtId="166" fontId="0" fillId="0" borderId="0" xfId="0" applyNumberFormat="1"/>
    <xf numFmtId="164" fontId="0" fillId="0" borderId="24" xfId="0" applyNumberFormat="1" applyBorder="1"/>
    <xf numFmtId="164" fontId="0" fillId="0" borderId="17" xfId="0" applyNumberFormat="1" applyBorder="1"/>
    <xf numFmtId="164" fontId="0" fillId="0" borderId="18" xfId="0" applyNumberFormat="1" applyBorder="1"/>
    <xf numFmtId="0" fontId="0" fillId="0" borderId="32" xfId="0" applyBorder="1"/>
    <xf numFmtId="0" fontId="0" fillId="0" borderId="25" xfId="0" applyBorder="1" applyAlignment="1">
      <alignment horizontal="left"/>
    </xf>
    <xf numFmtId="1" fontId="0" fillId="0" borderId="32" xfId="0" applyNumberFormat="1" applyBorder="1"/>
    <xf numFmtId="1" fontId="0" fillId="0" borderId="22" xfId="0" applyNumberFormat="1" applyBorder="1"/>
    <xf numFmtId="1" fontId="0" fillId="0" borderId="21" xfId="0" applyNumberFormat="1" applyBorder="1"/>
    <xf numFmtId="167" fontId="0" fillId="0" borderId="1" xfId="0" applyNumberFormat="1" applyBorder="1"/>
    <xf numFmtId="167" fontId="0" fillId="0" borderId="2" xfId="0" applyNumberFormat="1" applyBorder="1"/>
    <xf numFmtId="0" fontId="0" fillId="7" borderId="0" xfId="0" applyFill="1"/>
    <xf numFmtId="0" fontId="0" fillId="7" borderId="2" xfId="0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7" fillId="0" borderId="27" xfId="0" applyFont="1" applyBorder="1"/>
    <xf numFmtId="0" fontId="7" fillId="0" borderId="29" xfId="0" applyFont="1" applyBorder="1"/>
    <xf numFmtId="0" fontId="7" fillId="0" borderId="8" xfId="0" applyFont="1" applyBorder="1"/>
    <xf numFmtId="0" fontId="9" fillId="0" borderId="4" xfId="0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0" borderId="30" xfId="0" applyFont="1" applyBorder="1"/>
    <xf numFmtId="165" fontId="11" fillId="0" borderId="5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28" xfId="0" applyFont="1" applyBorder="1"/>
    <xf numFmtId="0" fontId="7" fillId="0" borderId="31" xfId="0" applyFont="1" applyBorder="1"/>
  </cellXfs>
  <cellStyles count="2">
    <cellStyle name="Comma" xfId="1" builtinId="3"/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EBD"/>
        </patternFill>
      </fill>
    </dxf>
    <dxf>
      <fill>
        <patternFill>
          <bgColor rgb="FFFFDEBD"/>
        </patternFill>
      </fill>
    </dxf>
    <dxf>
      <numFmt numFmtId="167" formatCode="#,##0.0_ ;\-#,##0.0\ "/>
    </dxf>
    <dxf>
      <numFmt numFmtId="166" formatCode="_-* #,##0.0_-;\-* #,##0.0_-;_-* &quot;-&quot;??_-;_-@_-"/>
    </dxf>
    <dxf>
      <fill>
        <patternFill patternType="solid">
          <bgColor theme="0" tint="-0.14999847407452621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35" formatCode="_-* #,##0.00_-;\-* #,##0.00_-;_-* &quot;-&quot;??_-;_-@_-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166" formatCode="_-* #,##0.0_-;\-* #,##0.0_-;_-* &quot;-&quot;??_-;_-@_-"/>
    </dxf>
    <dxf>
      <numFmt numFmtId="0" formatCode="General"/>
    </dxf>
    <dxf>
      <numFmt numFmtId="19" formatCode="d/mm/yyyy"/>
    </dxf>
    <dxf>
      <font>
        <b/>
      </font>
      <fill>
        <patternFill patternType="solid">
          <fgColor indexed="64"/>
          <bgColor rgb="FFE1CCF0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rgb="FFFBE6A3"/>
        </patternFill>
      </fill>
    </dxf>
    <dxf>
      <numFmt numFmtId="164" formatCode="#,##0.0"/>
    </dxf>
    <dxf>
      <numFmt numFmtId="0" formatCode="General"/>
    </dxf>
    <dxf>
      <font>
        <b/>
      </font>
      <fill>
        <patternFill patternType="solid">
          <fgColor indexed="64"/>
          <bgColor rgb="FFFCD3A6"/>
        </patternFill>
      </fill>
    </dxf>
    <dxf>
      <numFmt numFmtId="0" formatCode="General"/>
    </dxf>
    <dxf>
      <font>
        <b/>
      </font>
      <fill>
        <patternFill patternType="solid">
          <fgColor indexed="64"/>
          <bgColor theme="9" tint="0.79998168889431442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9BD2"/>
      <color rgb="FFF8AC24"/>
      <color rgb="FFEB9A07"/>
      <color rgb="FFDA107A"/>
      <color rgb="FFC40E6D"/>
      <color rgb="FF6E3B02"/>
      <color rgb="FFA162D0"/>
      <color rgb="FFDE107C"/>
      <color rgb="FFFD6FA8"/>
      <color rgb="FFF789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[retail_outlook_analysis.xlsx]monthly_trend!PivotTable5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National Retail Turnover − Annual Trend 2019 to 2025</a:t>
            </a:r>
          </a:p>
        </c:rich>
      </c:tx>
      <c:layout>
        <c:manualLayout>
          <c:xMode val="edge"/>
          <c:yMode val="edge"/>
          <c:x val="0.17207360745780581"/>
          <c:y val="8.7272298519687052E-3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168159302420334E-4"/>
              <c:y val="-6.71585863037000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345F2A1-6EC1-4BB7-8DBF-CB2FB794B2A8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>
                    <a:solidFill>
                      <a:schemeClr val="bg2">
                        <a:lumMod val="75000"/>
                      </a:schemeClr>
                    </a:solidFill>
                  </a:rPr>
                  <a:t>*</a:t>
                </a:r>
              </a:p>
            </c:rich>
          </c:tx>
          <c:numFmt formatCode="#,##0.0&quot;B&quot;" sourceLinked="0"/>
          <c:spPr>
            <a:noFill/>
            <a:ln>
              <a:noFill/>
            </a:ln>
            <a:effectLst/>
          </c:sp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168159302420334E-4"/>
              <c:y val="-6.71585863037000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345F2A1-6EC1-4BB7-8DBF-CB2FB794B2A8}" type="VALUE">
                  <a:rPr lang="en-US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>
                    <a:solidFill>
                      <a:schemeClr val="bg2">
                        <a:lumMod val="75000"/>
                      </a:schemeClr>
                    </a:solidFill>
                  </a:rPr>
                  <a:t>*</a:t>
                </a:r>
              </a:p>
            </c:rich>
          </c:tx>
          <c:numFmt formatCode="#,##0.0&quot;B&quot;" sourceLinked="0"/>
          <c:spPr>
            <a:noFill/>
            <a:ln>
              <a:noFill/>
            </a:ln>
            <a:effectLst/>
          </c:sp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9257704622475605E-4"/>
              <c:y val="-6.713367849749121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fld id="{9345F2A1-6EC1-4BB7-8DBF-CB2FB794B2A8}" type="VALUE">
                  <a:rPr 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pPr>
                    <a:defRPr sz="1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t>[VALUE]</a:t>
                </a:fld>
                <a:r>
                  <a:rPr lang="en-US" sz="1800">
                    <a:solidFill>
                      <a:schemeClr val="bg2">
                        <a:lumMod val="75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*</a:t>
                </a:r>
              </a:p>
            </c:rich>
          </c:tx>
          <c:numFmt formatCode="#,##0.0&quot;B&quot;" sourceLinked="0"/>
          <c:spPr>
            <a:noFill/>
            <a:ln>
              <a:noFill/>
            </a:ln>
            <a:effectLst/>
          </c:sp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5.7876340193416281E-2"/>
          <c:y val="0.13993010925659091"/>
          <c:w val="0.91552622823887309"/>
          <c:h val="0.78480616838679196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monthly_trend!$H$11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1.9257704622475605E-4"/>
                  <c:y val="-6.7133678497491217E-2"/>
                </c:manualLayout>
              </c:layout>
              <c:tx>
                <c:rich>
                  <a:bodyPr/>
                  <a:lstStyle/>
                  <a:p>
                    <a:fld id="{9345F2A1-6EC1-4BB7-8DBF-CB2FB794B2A8}" type="VALUE">
                      <a:rPr lang="en-US" sz="1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r>
                      <a:rPr lang="en-US" sz="1800">
                        <a:solidFill>
                          <a:schemeClr val="bg2">
                            <a:lumMod val="75000"/>
                          </a:schemeClr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*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921D-4FE3-9718-BA5925CB2EB9}"/>
                </c:ext>
              </c:extLst>
            </c:dLbl>
            <c:numFmt formatCode="#,##0.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monthly_trend!$G$12:$G$19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monthly_trend!$H$12:$H$19</c:f>
              <c:numCache>
                <c:formatCode>_-* #,##0.0_-;\-* #,##0.0_-;_-* "-"??_-;_-@_-</c:formatCode>
                <c:ptCount val="7"/>
                <c:pt idx="0">
                  <c:v>321976.00000000006</c:v>
                </c:pt>
                <c:pt idx="1">
                  <c:v>342466.4</c:v>
                </c:pt>
                <c:pt idx="2">
                  <c:v>361363.69999999995</c:v>
                </c:pt>
                <c:pt idx="3">
                  <c:v>403206.19999999995</c:v>
                </c:pt>
                <c:pt idx="4">
                  <c:v>416168.3</c:v>
                </c:pt>
                <c:pt idx="5">
                  <c:v>428506.90000000008</c:v>
                </c:pt>
                <c:pt idx="6">
                  <c:v>209408.80000000002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1D-4FE3-9718-BA5925CB2E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1221520"/>
        <c:axId val="1401222000"/>
      </c:lineChart>
      <c:catAx>
        <c:axId val="140122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1222000"/>
        <c:crosses val="autoZero"/>
        <c:auto val="1"/>
        <c:lblAlgn val="ctr"/>
        <c:lblOffset val="100"/>
        <c:noMultiLvlLbl val="0"/>
      </c:catAx>
      <c:valAx>
        <c:axId val="1401222000"/>
        <c:scaling>
          <c:orientation val="minMax"/>
        </c:scaling>
        <c:delete val="0"/>
        <c:axPos val="l"/>
        <c:numFmt formatCode="#,##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1221520"/>
        <c:crosses val="autoZero"/>
        <c:crossBetween val="between"/>
        <c:dispUnits>
          <c:builtInUnit val="thousands"/>
        </c:dispUnits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[retail_outlook_analysis.xlsx]Pivot Industry!PivotTable3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5365190365190365"/>
              <c:y val="-0.1551779123432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5472027972028"/>
                  <c:h val="0.22312645501621875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584693084693085"/>
              <c:y val="-6.74547131240044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6805555555555555"/>
              <c:y val="6.4815179352580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72222222222225"/>
                  <c:h val="0.16645851560221639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1356915306915306"/>
              <c:y val="-9.491316656670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4586247086247"/>
                  <c:h val="0.21731477361398621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9444434731934732"/>
              <c:y val="-3.5275074645153387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45822397200351"/>
                  <c:h val="0.21731481481481482"/>
                </c:manualLayout>
              </c15:layout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4681332556332604E-2"/>
              <c:y val="-0.196048159827687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584984459984456"/>
                  <c:h val="0.16645836960797591"/>
                </c:manualLayout>
              </c15:layout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584693084693085"/>
              <c:y val="-6.74547131240044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6805555555555555"/>
              <c:y val="6.4815179352580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72222222222225"/>
                  <c:h val="0.16645851560221639"/>
                </c:manualLayout>
              </c15:layout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9444434731934732"/>
              <c:y val="-3.5275074645153387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45822397200351"/>
                  <c:h val="0.21731481481481482"/>
                </c:manualLayout>
              </c15:layout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1356915306915306"/>
              <c:y val="-9.491316656670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4586247086247"/>
                  <c:h val="0.21731477361398621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4681332556332604E-2"/>
              <c:y val="-0.196048159827687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584984459984456"/>
                  <c:h val="0.16645836960797591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5365190365190365"/>
              <c:y val="-0.1551779123432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5472027972028"/>
                  <c:h val="0.22312645501621875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5584693084693085"/>
              <c:y val="-6.74547131240044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6805555555555555"/>
              <c:y val="6.4815179352580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72222222222225"/>
                  <c:h val="0.16645851560221639"/>
                </c:manualLayout>
              </c15:layout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9444434731934732"/>
              <c:y val="-3.5275074645153387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45822397200351"/>
                  <c:h val="0.21731481481481482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21356915306915306"/>
              <c:y val="-9.491316656670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4586247086247"/>
                  <c:h val="0.21731477361398621"/>
                </c:manualLayout>
              </c15:layout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4681332556332604E-2"/>
              <c:y val="-0.196048159827687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584984459984456"/>
                  <c:h val="0.16645836960797591"/>
                </c:manualLayout>
              </c15:layout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5365190365190365"/>
              <c:y val="-0.1551779123432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5472027972028"/>
                  <c:h val="0.22312645501621875"/>
                </c:manualLayout>
              </c15:layout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8AC2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6760528812883213E-2"/>
                  <c:h val="0.12294160951606029"/>
                </c:manualLayout>
              </c15:layout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123608961109187E-2"/>
                  <c:h val="0.17304357521225391"/>
                </c:manualLayout>
              </c15:layout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5363172705809074E-2"/>
                  <c:h val="8.5420364298762791E-2"/>
                </c:manualLayout>
              </c15:layout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2453227474867872E-2"/>
                  <c:h val="0.1664583071401291"/>
                </c:manualLayout>
              </c15:layout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4472725997773875E-2"/>
                  <c:h val="0.14278755789192349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Industry'!$B$1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C56-4E96-81B0-C23F7C6E05CD}"/>
              </c:ext>
            </c:extLst>
          </c:dPt>
          <c:dPt>
            <c:idx val="1"/>
            <c:bubble3D val="0"/>
            <c:spPr>
              <a:solidFill>
                <a:srgbClr val="F8AC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C56-4E96-81B0-C23F7C6E05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C56-4E96-81B0-C23F7C6E05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C56-4E96-81B0-C23F7C6E05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C56-4E96-81B0-C23F7C6E05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5C56-4E96-81B0-C23F7C6E05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effectLst>
                        <a:outerShdw blurRad="50800" dist="38100" dir="5400000" algn="t" rotWithShape="0">
                          <a:prstClr val="black">
                            <a:alpha val="40000"/>
                          </a:prstClr>
                        </a:outerShdw>
                      </a:effectLst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C56-4E96-81B0-C23F7C6E05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effectLst>
                        <a:outerShdw blurRad="50800" dist="38100" dir="5400000" algn="t" rotWithShape="0">
                          <a:prstClr val="black">
                            <a:alpha val="40000"/>
                          </a:prstClr>
                        </a:outerShdw>
                      </a:effectLst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760528812883213E-2"/>
                      <c:h val="0.122941609516060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5C56-4E96-81B0-C23F7C6E05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effectLst>
                        <a:outerShdw blurRad="50800" dist="38100" dir="5400000" algn="t" rotWithShape="0">
                          <a:prstClr val="black">
                            <a:alpha val="40000"/>
                          </a:prstClr>
                        </a:outerShdw>
                      </a:effectLst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123608961109187E-2"/>
                      <c:h val="0.173043575212253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5C56-4E96-81B0-C23F7C6E05C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effectLst>
                        <a:outerShdw blurRad="50800" dist="38100" dir="5400000" algn="t" rotWithShape="0">
                          <a:prstClr val="black">
                            <a:alpha val="40000"/>
                          </a:prstClr>
                        </a:outerShdw>
                      </a:effectLst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5363172705809074E-2"/>
                      <c:h val="8.54203642987627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5C56-4E96-81B0-C23F7C6E05C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effectLst>
                        <a:outerShdw blurRad="50800" dist="38100" dir="5400000" algn="t" rotWithShape="0">
                          <a:prstClr val="black">
                            <a:alpha val="40000"/>
                          </a:prstClr>
                        </a:outerShdw>
                      </a:effectLst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2453227474867872E-2"/>
                      <c:h val="0.16645830714012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5C56-4E96-81B0-C23F7C6E05C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effectLst>
                        <a:outerShdw blurRad="50800" dist="38100" dir="5400000" algn="t" rotWithShape="0">
                          <a:prstClr val="black">
                            <a:alpha val="40000"/>
                          </a:prstClr>
                        </a:outerShdw>
                      </a:effectLst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472725997773875E-2"/>
                      <c:h val="0.142787557891923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5C56-4E96-81B0-C23F7C6E05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Industry'!$A$2:$A$7</c:f>
              <c:strCache>
                <c:ptCount val="6"/>
                <c:pt idx="0">
                  <c:v>Other industrial categories</c:v>
                </c:pt>
                <c:pt idx="1">
                  <c:v>Supermarket and grocery stores</c:v>
                </c:pt>
                <c:pt idx="2">
                  <c:v>Cafes, restaurants and catering services</c:v>
                </c:pt>
                <c:pt idx="3">
                  <c:v>Electrical and electronic goods retailing</c:v>
                </c:pt>
                <c:pt idx="4">
                  <c:v>Other retailing n.e.c.</c:v>
                </c:pt>
                <c:pt idx="5">
                  <c:v>Hardware, building and garden supplies retailing</c:v>
                </c:pt>
              </c:strCache>
            </c:strRef>
          </c:cat>
          <c:val>
            <c:numRef>
              <c:f>'Pivot Industry'!$B$2:$B$7</c:f>
              <c:numCache>
                <c:formatCode>#,##0.0_ ;\-#,##0.0\ </c:formatCode>
                <c:ptCount val="6"/>
                <c:pt idx="0">
                  <c:v>1895220.2000000002</c:v>
                </c:pt>
                <c:pt idx="1">
                  <c:v>1701697.5</c:v>
                </c:pt>
                <c:pt idx="2">
                  <c:v>413523.3</c:v>
                </c:pt>
                <c:pt idx="3">
                  <c:v>334806.3</c:v>
                </c:pt>
                <c:pt idx="4">
                  <c:v>313843.8</c:v>
                </c:pt>
                <c:pt idx="5">
                  <c:v>301449.2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C56-4E96-81B0-C23F7C6E05C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2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25499616684669"/>
          <c:y val="1.0041614987431006E-3"/>
          <c:w val="0.3398132741324103"/>
          <c:h val="0.98579727508480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[retail_outlook_analysis.xlsx]state_summary!PivotTable3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AU" sz="2000">
                <a:latin typeface="Arial" panose="020B0604020202020204" pitchFamily="34" charset="0"/>
                <a:cs typeface="Arial" panose="020B0604020202020204" pitchFamily="34" charset="0"/>
              </a:rPr>
              <a:t>State-wise Contribution to National Reatil Turnover 2019-2025</a:t>
            </a:r>
          </a:p>
        </c:rich>
      </c:tx>
      <c:layout>
        <c:manualLayout>
          <c:xMode val="edge"/>
          <c:yMode val="edge"/>
          <c:x val="0.17808720632385114"/>
          <c:y val="2.119815434588303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E107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54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723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DE107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54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5723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DE107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954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5723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9B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7892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DA10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A16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E3B0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009B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7892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DA107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A162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E3B0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state_summary!$G$1:$G$2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9BD2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state_summary!$G$3:$G$10</c:f>
              <c:numCache>
                <c:formatCode>#,##0.0</c:formatCode>
                <c:ptCount val="8"/>
                <c:pt idx="0">
                  <c:v>34.126111111111108</c:v>
                </c:pt>
                <c:pt idx="1">
                  <c:v>582.48888888888905</c:v>
                </c:pt>
                <c:pt idx="2">
                  <c:v>20.256818181818186</c:v>
                </c:pt>
                <c:pt idx="3">
                  <c:v>392.9410256410257</c:v>
                </c:pt>
                <c:pt idx="4">
                  <c:v>129.87179487179489</c:v>
                </c:pt>
                <c:pt idx="5">
                  <c:v>38.977999999999994</c:v>
                </c:pt>
                <c:pt idx="6">
                  <c:v>479.06166666666661</c:v>
                </c:pt>
                <c:pt idx="7">
                  <c:v>192.63777777777784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C-411E-8785-6C7E387BFFF3}"/>
            </c:ext>
          </c:extLst>
        </c:ser>
        <c:ser>
          <c:idx val="1"/>
          <c:order val="1"/>
          <c:tx>
            <c:strRef>
              <c:f>state_summary!$H$1:$H$2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state_summary!$H$3:$H$10</c:f>
              <c:numCache>
                <c:formatCode>#,##0.0</c:formatCode>
                <c:ptCount val="8"/>
                <c:pt idx="0">
                  <c:v>37.222222222222236</c:v>
                </c:pt>
                <c:pt idx="1">
                  <c:v>619.1505555555558</c:v>
                </c:pt>
                <c:pt idx="2">
                  <c:v>22.189147286821715</c:v>
                </c:pt>
                <c:pt idx="3">
                  <c:v>432.79423076923104</c:v>
                </c:pt>
                <c:pt idx="4">
                  <c:v>138.62756410256412</c:v>
                </c:pt>
                <c:pt idx="5">
                  <c:v>41.96013071895424</c:v>
                </c:pt>
                <c:pt idx="6">
                  <c:v>483.42666666666685</c:v>
                </c:pt>
                <c:pt idx="7">
                  <c:v>215.99111111111117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C-411E-8785-6C7E387BFFF3}"/>
            </c:ext>
          </c:extLst>
        </c:ser>
        <c:ser>
          <c:idx val="2"/>
          <c:order val="2"/>
          <c:tx>
            <c:strRef>
              <c:f>state_summary!$I$1:$I$2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state_summary!$I$3:$I$10</c:f>
              <c:numCache>
                <c:formatCode>#,##0.0</c:formatCode>
                <c:ptCount val="8"/>
                <c:pt idx="0">
                  <c:v>37.732777777777784</c:v>
                </c:pt>
                <c:pt idx="1">
                  <c:v>637.923888888889</c:v>
                </c:pt>
                <c:pt idx="2">
                  <c:v>23.50833333333334</c:v>
                </c:pt>
                <c:pt idx="3">
                  <c:v>458.21217948717953</c:v>
                </c:pt>
                <c:pt idx="4">
                  <c:v>143.27243589743588</c:v>
                </c:pt>
                <c:pt idx="5">
                  <c:v>44.83846153846153</c:v>
                </c:pt>
                <c:pt idx="6">
                  <c:v>521.91555555555544</c:v>
                </c:pt>
                <c:pt idx="7">
                  <c:v>232.61777777777789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C-411E-8785-6C7E387BFFF3}"/>
            </c:ext>
          </c:extLst>
        </c:ser>
        <c:ser>
          <c:idx val="3"/>
          <c:order val="3"/>
          <c:tx>
            <c:strRef>
              <c:f>state_summary!$J$1:$J$2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F78925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state_summary!$J$3:$J$10</c:f>
              <c:numCache>
                <c:formatCode>#,##0.0</c:formatCode>
                <c:ptCount val="8"/>
                <c:pt idx="0">
                  <c:v>42.027222222222235</c:v>
                </c:pt>
                <c:pt idx="1">
                  <c:v>720.72888888888906</c:v>
                </c:pt>
                <c:pt idx="2">
                  <c:v>25.036363636363639</c:v>
                </c:pt>
                <c:pt idx="3">
                  <c:v>506.59615384615364</c:v>
                </c:pt>
                <c:pt idx="4">
                  <c:v>157.1057692307692</c:v>
                </c:pt>
                <c:pt idx="5">
                  <c:v>49.19294871794871</c:v>
                </c:pt>
                <c:pt idx="6">
                  <c:v>588.30333333333283</c:v>
                </c:pt>
                <c:pt idx="7">
                  <c:v>252.77277777777778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EC-411E-8785-6C7E387BFFF3}"/>
            </c:ext>
          </c:extLst>
        </c:ser>
        <c:ser>
          <c:idx val="4"/>
          <c:order val="4"/>
          <c:tx>
            <c:strRef>
              <c:f>state_summary!$K$1:$K$2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DA107A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state_summary!$K$3:$K$10</c:f>
              <c:numCache>
                <c:formatCode>#,##0.0</c:formatCode>
                <c:ptCount val="8"/>
                <c:pt idx="0">
                  <c:v>44.543333333333337</c:v>
                </c:pt>
                <c:pt idx="1">
                  <c:v>740.83055555555541</c:v>
                </c:pt>
                <c:pt idx="2">
                  <c:v>25.781818181818178</c:v>
                </c:pt>
                <c:pt idx="3">
                  <c:v>516.80769230769226</c:v>
                </c:pt>
                <c:pt idx="4">
                  <c:v>165.51089743589739</c:v>
                </c:pt>
                <c:pt idx="5">
                  <c:v>50.570512820512818</c:v>
                </c:pt>
                <c:pt idx="6">
                  <c:v>608.20999999999981</c:v>
                </c:pt>
                <c:pt idx="7">
                  <c:v>264.38499999999988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EC-411E-8785-6C7E387BFFF3}"/>
            </c:ext>
          </c:extLst>
        </c:ser>
        <c:ser>
          <c:idx val="5"/>
          <c:order val="5"/>
          <c:tx>
            <c:strRef>
              <c:f>state_summary!$L$1:$L$2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A162D0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state_summary!$L$3:$L$10</c:f>
              <c:numCache>
                <c:formatCode>#,##0.0</c:formatCode>
                <c:ptCount val="8"/>
                <c:pt idx="0">
                  <c:v>45.277222222222242</c:v>
                </c:pt>
                <c:pt idx="1">
                  <c:v>753.54944444444436</c:v>
                </c:pt>
                <c:pt idx="2">
                  <c:v>26.931818181818187</c:v>
                </c:pt>
                <c:pt idx="3">
                  <c:v>536.75448717948723</c:v>
                </c:pt>
                <c:pt idx="4">
                  <c:v>161.82619047619045</c:v>
                </c:pt>
                <c:pt idx="5">
                  <c:v>52.181410256410231</c:v>
                </c:pt>
                <c:pt idx="6">
                  <c:v>625.61555555555583</c:v>
                </c:pt>
                <c:pt idx="7">
                  <c:v>274.95277777777767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EC-411E-8785-6C7E387BFFF3}"/>
            </c:ext>
          </c:extLst>
        </c:ser>
        <c:ser>
          <c:idx val="6"/>
          <c:order val="6"/>
          <c:tx>
            <c:strRef>
              <c:f>state_summary!$M$1:$M$2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6E3B02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state_summary!$M$3:$M$10</c:f>
              <c:numCache>
                <c:formatCode>#,##0.0</c:formatCode>
                <c:ptCount val="8"/>
                <c:pt idx="0">
                  <c:v>43.975555555555559</c:v>
                </c:pt>
                <c:pt idx="1">
                  <c:v>731.30555555555554</c:v>
                </c:pt>
                <c:pt idx="2">
                  <c:v>25.959090909090907</c:v>
                </c:pt>
                <c:pt idx="3">
                  <c:v>522.25384615384587</c:v>
                </c:pt>
                <c:pt idx="4">
                  <c:v>166.44871794871796</c:v>
                </c:pt>
                <c:pt idx="5">
                  <c:v>51.488461538461536</c:v>
                </c:pt>
                <c:pt idx="6">
                  <c:v>618.65222222222224</c:v>
                </c:pt>
                <c:pt idx="7">
                  <c:v>272.29555555555555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EC-411E-8785-6C7E387B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6597680"/>
        <c:axId val="2016603920"/>
      </c:barChart>
      <c:catAx>
        <c:axId val="2016597680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603920"/>
        <c:crosses val="autoZero"/>
        <c:auto val="1"/>
        <c:lblAlgn val="ctr"/>
        <c:lblOffset val="100"/>
        <c:noMultiLvlLbl val="0"/>
      </c:catAx>
      <c:valAx>
        <c:axId val="201660392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65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[retail_outlook_analysis.xlsx]state_summary!PivotTable3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100" b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State-wise Contribution Towards the National Turnover 2019-2025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66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DE107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54EC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7230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state_summary!$G$1:$G$2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state_summary!$G$3:$G$10</c:f>
              <c:numCache>
                <c:formatCode>#,##0.0</c:formatCode>
                <c:ptCount val="8"/>
                <c:pt idx="0">
                  <c:v>34.126111111111108</c:v>
                </c:pt>
                <c:pt idx="1">
                  <c:v>582.48888888888905</c:v>
                </c:pt>
                <c:pt idx="2">
                  <c:v>20.256818181818186</c:v>
                </c:pt>
                <c:pt idx="3">
                  <c:v>392.9410256410257</c:v>
                </c:pt>
                <c:pt idx="4">
                  <c:v>129.87179487179489</c:v>
                </c:pt>
                <c:pt idx="5">
                  <c:v>38.977999999999994</c:v>
                </c:pt>
                <c:pt idx="6">
                  <c:v>479.06166666666661</c:v>
                </c:pt>
                <c:pt idx="7">
                  <c:v>192.63777777777784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E-4EBD-BC60-2F0016C999B3}"/>
            </c:ext>
          </c:extLst>
        </c:ser>
        <c:ser>
          <c:idx val="1"/>
          <c:order val="1"/>
          <c:tx>
            <c:strRef>
              <c:f>state_summary!$H$1:$H$2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state_summary!$H$3:$H$10</c:f>
              <c:numCache>
                <c:formatCode>#,##0.0</c:formatCode>
                <c:ptCount val="8"/>
                <c:pt idx="0">
                  <c:v>37.222222222222236</c:v>
                </c:pt>
                <c:pt idx="1">
                  <c:v>619.1505555555558</c:v>
                </c:pt>
                <c:pt idx="2">
                  <c:v>22.189147286821715</c:v>
                </c:pt>
                <c:pt idx="3">
                  <c:v>432.79423076923104</c:v>
                </c:pt>
                <c:pt idx="4">
                  <c:v>138.62756410256412</c:v>
                </c:pt>
                <c:pt idx="5">
                  <c:v>41.96013071895424</c:v>
                </c:pt>
                <c:pt idx="6">
                  <c:v>483.42666666666685</c:v>
                </c:pt>
                <c:pt idx="7">
                  <c:v>215.99111111111117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E-4EBD-BC60-2F0016C999B3}"/>
            </c:ext>
          </c:extLst>
        </c:ser>
        <c:ser>
          <c:idx val="2"/>
          <c:order val="2"/>
          <c:tx>
            <c:strRef>
              <c:f>state_summary!$I$1:$I$2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state_summary!$I$3:$I$10</c:f>
              <c:numCache>
                <c:formatCode>#,##0.0</c:formatCode>
                <c:ptCount val="8"/>
                <c:pt idx="0">
                  <c:v>37.732777777777784</c:v>
                </c:pt>
                <c:pt idx="1">
                  <c:v>637.923888888889</c:v>
                </c:pt>
                <c:pt idx="2">
                  <c:v>23.50833333333334</c:v>
                </c:pt>
                <c:pt idx="3">
                  <c:v>458.21217948717953</c:v>
                </c:pt>
                <c:pt idx="4">
                  <c:v>143.27243589743588</c:v>
                </c:pt>
                <c:pt idx="5">
                  <c:v>44.83846153846153</c:v>
                </c:pt>
                <c:pt idx="6">
                  <c:v>521.91555555555544</c:v>
                </c:pt>
                <c:pt idx="7">
                  <c:v>232.61777777777789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1E-4EBD-BC60-2F0016C999B3}"/>
            </c:ext>
          </c:extLst>
        </c:ser>
        <c:ser>
          <c:idx val="3"/>
          <c:order val="3"/>
          <c:tx>
            <c:strRef>
              <c:f>state_summary!$J$1:$J$2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state_summary!$J$3:$J$10</c:f>
              <c:numCache>
                <c:formatCode>#,##0.0</c:formatCode>
                <c:ptCount val="8"/>
                <c:pt idx="0">
                  <c:v>42.027222222222235</c:v>
                </c:pt>
                <c:pt idx="1">
                  <c:v>720.72888888888906</c:v>
                </c:pt>
                <c:pt idx="2">
                  <c:v>25.036363636363639</c:v>
                </c:pt>
                <c:pt idx="3">
                  <c:v>506.59615384615364</c:v>
                </c:pt>
                <c:pt idx="4">
                  <c:v>157.1057692307692</c:v>
                </c:pt>
                <c:pt idx="5">
                  <c:v>49.19294871794871</c:v>
                </c:pt>
                <c:pt idx="6">
                  <c:v>588.30333333333283</c:v>
                </c:pt>
                <c:pt idx="7">
                  <c:v>252.77277777777778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1E-4EBD-BC60-2F0016C999B3}"/>
            </c:ext>
          </c:extLst>
        </c:ser>
        <c:ser>
          <c:idx val="4"/>
          <c:order val="4"/>
          <c:tx>
            <c:strRef>
              <c:f>state_summary!$K$1:$K$2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state_summary!$K$3:$K$10</c:f>
              <c:numCache>
                <c:formatCode>#,##0.0</c:formatCode>
                <c:ptCount val="8"/>
                <c:pt idx="0">
                  <c:v>44.543333333333337</c:v>
                </c:pt>
                <c:pt idx="1">
                  <c:v>740.83055555555541</c:v>
                </c:pt>
                <c:pt idx="2">
                  <c:v>25.781818181818178</c:v>
                </c:pt>
                <c:pt idx="3">
                  <c:v>516.80769230769226</c:v>
                </c:pt>
                <c:pt idx="4">
                  <c:v>165.51089743589739</c:v>
                </c:pt>
                <c:pt idx="5">
                  <c:v>50.570512820512818</c:v>
                </c:pt>
                <c:pt idx="6">
                  <c:v>608.20999999999981</c:v>
                </c:pt>
                <c:pt idx="7">
                  <c:v>264.38499999999988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1E-4EBD-BC60-2F0016C999B3}"/>
            </c:ext>
          </c:extLst>
        </c:ser>
        <c:ser>
          <c:idx val="5"/>
          <c:order val="5"/>
          <c:tx>
            <c:strRef>
              <c:f>state_summary!$L$1:$L$2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state_summary!$L$3:$L$10</c:f>
              <c:numCache>
                <c:formatCode>#,##0.0</c:formatCode>
                <c:ptCount val="8"/>
                <c:pt idx="0">
                  <c:v>45.277222222222242</c:v>
                </c:pt>
                <c:pt idx="1">
                  <c:v>753.54944444444436</c:v>
                </c:pt>
                <c:pt idx="2">
                  <c:v>26.931818181818187</c:v>
                </c:pt>
                <c:pt idx="3">
                  <c:v>536.75448717948723</c:v>
                </c:pt>
                <c:pt idx="4">
                  <c:v>161.82619047619045</c:v>
                </c:pt>
                <c:pt idx="5">
                  <c:v>52.181410256410231</c:v>
                </c:pt>
                <c:pt idx="6">
                  <c:v>625.61555555555583</c:v>
                </c:pt>
                <c:pt idx="7">
                  <c:v>274.95277777777767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1E-4EBD-BC60-2F0016C999B3}"/>
            </c:ext>
          </c:extLst>
        </c:ser>
        <c:ser>
          <c:idx val="6"/>
          <c:order val="6"/>
          <c:tx>
            <c:strRef>
              <c:f>state_summary!$M$1:$M$2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state_summary!$F$3:$F$10</c:f>
              <c:strCache>
                <c:ptCount val="8"/>
                <c:pt idx="0">
                  <c:v>Australian Capital Territory</c:v>
                </c:pt>
                <c:pt idx="1">
                  <c:v>New South Wales</c:v>
                </c:pt>
                <c:pt idx="2">
                  <c:v>Northern Territory</c:v>
                </c:pt>
                <c:pt idx="3">
                  <c:v>Queensland</c:v>
                </c:pt>
                <c:pt idx="4">
                  <c:v>South Australia</c:v>
                </c:pt>
                <c:pt idx="5">
                  <c:v>Tasmania</c:v>
                </c:pt>
                <c:pt idx="6">
                  <c:v>Victoria</c:v>
                </c:pt>
                <c:pt idx="7">
                  <c:v>Western Australia</c:v>
                </c:pt>
              </c:strCache>
            </c:strRef>
          </c:cat>
          <c:val>
            <c:numRef>
              <c:f>state_summary!$M$3:$M$10</c:f>
              <c:numCache>
                <c:formatCode>#,##0.0</c:formatCode>
                <c:ptCount val="8"/>
                <c:pt idx="0">
                  <c:v>43.975555555555559</c:v>
                </c:pt>
                <c:pt idx="1">
                  <c:v>731.30555555555554</c:v>
                </c:pt>
                <c:pt idx="2">
                  <c:v>25.959090909090907</c:v>
                </c:pt>
                <c:pt idx="3">
                  <c:v>522.25384615384587</c:v>
                </c:pt>
                <c:pt idx="4">
                  <c:v>166.44871794871796</c:v>
                </c:pt>
                <c:pt idx="5">
                  <c:v>51.488461538461536</c:v>
                </c:pt>
                <c:pt idx="6">
                  <c:v>618.65222222222224</c:v>
                </c:pt>
                <c:pt idx="7">
                  <c:v>272.29555555555555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1E-4EBD-BC60-2F0016C99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6597680"/>
        <c:axId val="2016603920"/>
      </c:barChart>
      <c:catAx>
        <c:axId val="2016597680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603920"/>
        <c:crosses val="autoZero"/>
        <c:auto val="1"/>
        <c:lblAlgn val="ctr"/>
        <c:lblOffset val="100"/>
        <c:noMultiLvlLbl val="0"/>
      </c:catAx>
      <c:valAx>
        <c:axId val="201660392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5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[retail_outlook_analysis.xlsx]monthly_trend!PivotTable5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National Retail Turnover − Annual</a:t>
            </a:r>
            <a:r>
              <a:rPr lang="en-US" sz="1200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Trend 2019 to 2025</a:t>
            </a:r>
            <a:endParaRPr lang="en-US" sz="12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2552603904309939"/>
          <c:y val="6.254043825917108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.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8977587654043575E-3"/>
              <c:y val="-6.0113147523931265E-2"/>
            </c:manualLayout>
          </c:layout>
          <c:numFmt formatCode="#,##0.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8977587654043575E-3"/>
              <c:y val="-6.0113147523931265E-2"/>
            </c:manualLayout>
          </c:layout>
          <c:numFmt formatCode="#,##0.0&quot;B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monthly_trend!$H$11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4E-42B6-BADE-E766078060F0}"/>
              </c:ext>
            </c:extLst>
          </c:dPt>
          <c:dLbls>
            <c:dLbl>
              <c:idx val="6"/>
              <c:layout>
                <c:manualLayout>
                  <c:x val="-9.8977587654043575E-3"/>
                  <c:y val="-6.0113147523931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4E-42B6-BADE-E766078060F0}"/>
                </c:ext>
              </c:extLst>
            </c:dLbl>
            <c:numFmt formatCode="#,##0.0&quot;B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monthly_trend!$G$12:$G$19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monthly_trend!$H$12:$H$19</c:f>
              <c:numCache>
                <c:formatCode>_-* #,##0.0_-;\-* #,##0.0_-;_-* "-"??_-;_-@_-</c:formatCode>
                <c:ptCount val="7"/>
                <c:pt idx="0">
                  <c:v>321976.00000000006</c:v>
                </c:pt>
                <c:pt idx="1">
                  <c:v>342466.4</c:v>
                </c:pt>
                <c:pt idx="2">
                  <c:v>361363.69999999995</c:v>
                </c:pt>
                <c:pt idx="3">
                  <c:v>403206.19999999995</c:v>
                </c:pt>
                <c:pt idx="4">
                  <c:v>416168.3</c:v>
                </c:pt>
                <c:pt idx="5">
                  <c:v>428506.90000000008</c:v>
                </c:pt>
                <c:pt idx="6">
                  <c:v>209408.80000000002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E-42B6-BADE-E766078060F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1221520"/>
        <c:axId val="1401222000"/>
      </c:lineChart>
      <c:catAx>
        <c:axId val="140122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22000"/>
        <c:crosses val="autoZero"/>
        <c:auto val="1"/>
        <c:lblAlgn val="ctr"/>
        <c:lblOffset val="100"/>
        <c:noMultiLvlLbl val="0"/>
      </c:catAx>
      <c:valAx>
        <c:axId val="1401222000"/>
        <c:scaling>
          <c:orientation val="minMax"/>
        </c:scaling>
        <c:delete val="0"/>
        <c:axPos val="l"/>
        <c:numFmt formatCode="#,##0&quot;B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2215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[retail_outlook_analysis.xlsx]Pivot Industry!PivotTable3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5365190365190365"/>
              <c:y val="-0.155177912343266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95472027972028"/>
                  <c:h val="0.22312645501621875"/>
                </c:manualLayout>
              </c15:layout>
            </c:ext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584693084693085"/>
              <c:y val="-6.74547131240044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6805555555555555"/>
              <c:y val="6.4815179352580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272222222222225"/>
                  <c:h val="0.16645851560221639"/>
                </c:manualLayout>
              </c15:layout>
            </c:ext>
          </c:extLst>
        </c:dLbl>
      </c:pivotFmt>
      <c:pivotFmt>
        <c:idx val="4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356915306915306"/>
              <c:y val="-9.49131665667098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84586247086247"/>
                  <c:h val="0.21731477361398621"/>
                </c:manualLayout>
              </c15:layout>
            </c:ext>
          </c:extLst>
        </c:dLbl>
      </c:pivotFmt>
      <c:pivotFmt>
        <c:idx val="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9444434731934732"/>
              <c:y val="-3.5275074645153387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545822397200351"/>
                  <c:h val="0.21731481481481482"/>
                </c:manualLayout>
              </c15:layout>
            </c:ext>
          </c:extLst>
        </c:dLbl>
      </c:pivotFmt>
      <c:pivotFmt>
        <c:idx val="6"/>
        <c:spPr>
          <a:solidFill>
            <a:srgbClr val="DE107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681332556332604E-2"/>
              <c:y val="-0.196048159827687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584984459984456"/>
                  <c:h val="0.16645836960797591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Industry'!$B$1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E3-4380-9A62-8709468DB5EC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3E3-4380-9A62-8709468DB5EC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3E3-4380-9A62-8709468DB5E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E3-4380-9A62-8709468DB5EC}"/>
              </c:ext>
            </c:extLst>
          </c:dPt>
          <c:dPt>
            <c:idx val="4"/>
            <c:bubble3D val="0"/>
            <c:spPr>
              <a:solidFill>
                <a:srgbClr val="DE107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E3-4380-9A62-8709468DB5EC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3E3-4380-9A62-8709468DB5EC}"/>
              </c:ext>
            </c:extLst>
          </c:dPt>
          <c:dLbls>
            <c:dLbl>
              <c:idx val="0"/>
              <c:layout>
                <c:manualLayout>
                  <c:x val="0.15584693084693085"/>
                  <c:y val="-6.745471312400446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E3-4380-9A62-8709468DB5EC}"/>
                </c:ext>
              </c:extLst>
            </c:dLbl>
            <c:dLbl>
              <c:idx val="1"/>
              <c:layout>
                <c:manualLayout>
                  <c:x val="-0.26805555555555555"/>
                  <c:y val="6.48151793525809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272222222222225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3E3-4380-9A62-8709468DB5EC}"/>
                </c:ext>
              </c:extLst>
            </c:dLbl>
            <c:dLbl>
              <c:idx val="2"/>
              <c:layout>
                <c:manualLayout>
                  <c:x val="-0.19444434731934732"/>
                  <c:y val="-3.5275074645153387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545822397200351"/>
                      <c:h val="0.217314814814814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3E3-4380-9A62-8709468DB5EC}"/>
                </c:ext>
              </c:extLst>
            </c:dLbl>
            <c:dLbl>
              <c:idx val="3"/>
              <c:layout>
                <c:manualLayout>
                  <c:x val="-0.21356915306915306"/>
                  <c:y val="-9.49131665667098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84586247086247"/>
                      <c:h val="0.217314773613986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3E3-4380-9A62-8709468DB5EC}"/>
                </c:ext>
              </c:extLst>
            </c:dLbl>
            <c:dLbl>
              <c:idx val="4"/>
              <c:layout>
                <c:manualLayout>
                  <c:x val="-5.4681332556332604E-2"/>
                  <c:y val="-0.1960481598276873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584984459984456"/>
                      <c:h val="0.166458369607975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63E3-4380-9A62-8709468DB5EC}"/>
                </c:ext>
              </c:extLst>
            </c:dLbl>
            <c:dLbl>
              <c:idx val="5"/>
              <c:layout>
                <c:manualLayout>
                  <c:x val="0.25365190365190365"/>
                  <c:y val="-0.1551779123432666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472027972028"/>
                      <c:h val="0.223126455016218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3E3-4380-9A62-8709468DB5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Industry'!$A$2:$A$7</c:f>
              <c:strCache>
                <c:ptCount val="6"/>
                <c:pt idx="0">
                  <c:v>Other industrial categories</c:v>
                </c:pt>
                <c:pt idx="1">
                  <c:v>Supermarket and grocery stores</c:v>
                </c:pt>
                <c:pt idx="2">
                  <c:v>Cafes, restaurants and catering services</c:v>
                </c:pt>
                <c:pt idx="3">
                  <c:v>Electrical and electronic goods retailing</c:v>
                </c:pt>
                <c:pt idx="4">
                  <c:v>Other retailing n.e.c.</c:v>
                </c:pt>
                <c:pt idx="5">
                  <c:v>Hardware, building and garden supplies retailing</c:v>
                </c:pt>
              </c:strCache>
            </c:strRef>
          </c:cat>
          <c:val>
            <c:numRef>
              <c:f>'Pivot Industry'!$B$2:$B$7</c:f>
              <c:numCache>
                <c:formatCode>#,##0.0_ ;\-#,##0.0\ </c:formatCode>
                <c:ptCount val="6"/>
                <c:pt idx="0">
                  <c:v>1895220.2000000002</c:v>
                </c:pt>
                <c:pt idx="1">
                  <c:v>1701697.5</c:v>
                </c:pt>
                <c:pt idx="2">
                  <c:v>413523.3</c:v>
                </c:pt>
                <c:pt idx="3">
                  <c:v>334806.3</c:v>
                </c:pt>
                <c:pt idx="4">
                  <c:v>313843.8</c:v>
                </c:pt>
                <c:pt idx="5">
                  <c:v>301449.2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3-4380-9A62-8709468DB5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272716</xdr:colOff>
      <xdr:row>4</xdr:row>
      <xdr:rowOff>88231</xdr:rowOff>
    </xdr:from>
    <xdr:to>
      <xdr:col>9</xdr:col>
      <xdr:colOff>128337</xdr:colOff>
      <xdr:row>7</xdr:row>
      <xdr:rowOff>112295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8010751-A20A-42E4-7150-36CD4F9F2FCA}"/>
            </a:ext>
          </a:extLst>
        </xdr:cNvPr>
        <xdr:cNvSpPr/>
      </xdr:nvSpPr>
      <xdr:spPr>
        <a:xfrm>
          <a:off x="3104148" y="946484"/>
          <a:ext cx="2261936" cy="842211"/>
        </a:xfrm>
        <a:prstGeom prst="rect">
          <a:avLst/>
        </a:prstGeom>
        <a:noFill/>
        <a:ln w="952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109644</xdr:colOff>
      <xdr:row>9</xdr:row>
      <xdr:rowOff>160421</xdr:rowOff>
    </xdr:from>
    <xdr:to>
      <xdr:col>10</xdr:col>
      <xdr:colOff>1227666</xdr:colOff>
      <xdr:row>41</xdr:row>
      <xdr:rowOff>84667</xdr:rowOff>
    </xdr:to>
    <xdr:graphicFrame macro="">
      <xdr:nvGraphicFramePr>
        <xdr:cNvPr id="2" name="National Turnover Trend">
          <a:extLst>
            <a:ext uri="{FF2B5EF4-FFF2-40B4-BE49-F238E27FC236}">
              <a16:creationId xmlns:a16="http://schemas.microsoft.com/office/drawing/2014/main" id="{9B386167-283B-4A38-9CF2-B60C3E8C9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5262</xdr:colOff>
      <xdr:row>45</xdr:row>
      <xdr:rowOff>48573</xdr:rowOff>
    </xdr:from>
    <xdr:to>
      <xdr:col>21</xdr:col>
      <xdr:colOff>502687</xdr:colOff>
      <xdr:row>70</xdr:row>
      <xdr:rowOff>74664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92F7024-D3C8-0D10-7D02-9DAD3C904960}"/>
            </a:ext>
          </a:extLst>
        </xdr:cNvPr>
        <xdr:cNvGrpSpPr/>
      </xdr:nvGrpSpPr>
      <xdr:grpSpPr>
        <a:xfrm>
          <a:off x="610954" y="9094881"/>
          <a:ext cx="16714348" cy="4422245"/>
          <a:chOff x="615650" y="6959132"/>
          <a:chExt cx="13457825" cy="4456324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0A7F591F-588A-40BA-AACC-6A3BE653169D}"/>
              </a:ext>
            </a:extLst>
          </xdr:cNvPr>
          <xdr:cNvGraphicFramePr>
            <a:graphicFrameLocks/>
          </xdr:cNvGraphicFramePr>
        </xdr:nvGraphicFramePr>
        <xdr:xfrm>
          <a:off x="677639" y="7714919"/>
          <a:ext cx="13282961" cy="37005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F5914B49-F9FD-F60F-E8A3-4AB378C69BA4}"/>
              </a:ext>
            </a:extLst>
          </xdr:cNvPr>
          <xdr:cNvGrpSpPr/>
        </xdr:nvGrpSpPr>
        <xdr:grpSpPr>
          <a:xfrm>
            <a:off x="615650" y="6959132"/>
            <a:ext cx="13457825" cy="557904"/>
            <a:chOff x="620924" y="7050690"/>
            <a:chExt cx="13512675" cy="570562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C97750BD-7B5A-606D-FDDA-F89F3E22FA4B}"/>
                </a:ext>
              </a:extLst>
            </xdr:cNvPr>
            <xdr:cNvSpPr/>
          </xdr:nvSpPr>
          <xdr:spPr>
            <a:xfrm>
              <a:off x="620924" y="7050690"/>
              <a:ext cx="13512675" cy="570562"/>
            </a:xfrm>
            <a:prstGeom prst="rect">
              <a:avLst/>
            </a:prstGeom>
            <a:solidFill>
              <a:srgbClr val="006666"/>
            </a:solidFill>
            <a:ln>
              <a:noFill/>
            </a:ln>
            <a:scene3d>
              <a:camera prst="orthographicFront"/>
              <a:lightRig rig="threePt" dir="t"/>
            </a:scene3d>
            <a:sp3d>
              <a:bevelT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9AE4BEA-B4FE-A725-1EE8-280A0E833626}"/>
                </a:ext>
              </a:extLst>
            </xdr:cNvPr>
            <xdr:cNvSpPr txBox="1"/>
          </xdr:nvSpPr>
          <xdr:spPr>
            <a:xfrm>
              <a:off x="3236269" y="7166429"/>
              <a:ext cx="7908799" cy="3628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AU" sz="1800" b="1">
                  <a:solidFill>
                    <a:schemeClr val="bg1"/>
                  </a:solidFill>
                </a:rPr>
                <a:t>Top 5 Contributing</a:t>
              </a:r>
              <a:r>
                <a:rPr lang="en-AU" sz="1800" b="1" baseline="0">
                  <a:solidFill>
                    <a:schemeClr val="bg1"/>
                  </a:solidFill>
                </a:rPr>
                <a:t> Industries</a:t>
              </a:r>
              <a:endParaRPr lang="en-AU" sz="18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 editAs="oneCell">
    <xdr:from>
      <xdr:col>22</xdr:col>
      <xdr:colOff>595746</xdr:colOff>
      <xdr:row>0</xdr:row>
      <xdr:rowOff>338543</xdr:rowOff>
    </xdr:from>
    <xdr:to>
      <xdr:col>37</xdr:col>
      <xdr:colOff>190500</xdr:colOff>
      <xdr:row>5</xdr:row>
      <xdr:rowOff>77755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" name="reporting_date 1">
              <a:extLst>
                <a:ext uri="{FF2B5EF4-FFF2-40B4-BE49-F238E27FC236}">
                  <a16:creationId xmlns:a16="http://schemas.microsoft.com/office/drawing/2014/main" id="{F7F5487F-4FE3-434A-B4FD-C64AD02227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reporting_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24054" y="338543"/>
              <a:ext cx="8680138" cy="13804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11</xdr:col>
      <xdr:colOff>1140328</xdr:colOff>
      <xdr:row>12</xdr:row>
      <xdr:rowOff>113778</xdr:rowOff>
    </xdr:from>
    <xdr:to>
      <xdr:col>20</xdr:col>
      <xdr:colOff>190500</xdr:colOff>
      <xdr:row>42</xdr:row>
      <xdr:rowOff>113489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2A64D83-1D04-64F0-7CCC-DEA6BEC3395E}"/>
            </a:ext>
          </a:extLst>
        </xdr:cNvPr>
        <xdr:cNvSpPr txBox="1"/>
      </xdr:nvSpPr>
      <xdr:spPr>
        <a:xfrm>
          <a:off x="11030115" y="3356331"/>
          <a:ext cx="5470428" cy="5349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2000" b="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Australian national retail turnover demonstrated consistent year-on-year growth from $322B in 2019 to a peak of $416B in 2023, reflecting strong post-pandemic consumer spending recovery. Despite the disruption of COVID-19 in 2020, which triggered one of the sharpest single-quarter contractions in Australian retail history, the market rebounded within 12 months and sustained uninterrupted growth through 2023 and 2024. The apparent decline in 2025 reflects a partial-year dataset (January to June 2025 only) and should not be interpreted as a contraction in market performance.</a:t>
          </a:r>
        </a:p>
        <a:p>
          <a:endParaRPr lang="en-AU" sz="2000" b="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AU" sz="1800" b="0" i="1">
              <a:solidFill>
                <a:schemeClr val="bg2">
                  <a:lumMod val="75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* 2025 figure represents January–June only. Full-year comparison not applicable.</a:t>
          </a:r>
        </a:p>
      </xdr:txBody>
    </xdr:sp>
    <xdr:clientData/>
  </xdr:twoCellAnchor>
  <xdr:twoCellAnchor>
    <xdr:from>
      <xdr:col>21</xdr:col>
      <xdr:colOff>337156</xdr:colOff>
      <xdr:row>6</xdr:row>
      <xdr:rowOff>115651</xdr:rowOff>
    </xdr:from>
    <xdr:to>
      <xdr:col>37</xdr:col>
      <xdr:colOff>286454</xdr:colOff>
      <xdr:row>82</xdr:row>
      <xdr:rowOff>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52EE6FC-9234-1CD8-B509-787805E2E603}"/>
            </a:ext>
          </a:extLst>
        </xdr:cNvPr>
        <xdr:cNvGrpSpPr/>
      </xdr:nvGrpSpPr>
      <xdr:grpSpPr>
        <a:xfrm>
          <a:off x="17159771" y="2030420"/>
          <a:ext cx="9640375" cy="13522195"/>
          <a:chOff x="13987457" y="2281181"/>
          <a:chExt cx="9647371" cy="12985648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6163625-E667-D8CF-D66A-2DAD64D25C32}"/>
              </a:ext>
            </a:extLst>
          </xdr:cNvPr>
          <xdr:cNvSpPr txBox="1"/>
        </xdr:nvSpPr>
        <xdr:spPr>
          <a:xfrm>
            <a:off x="16057734" y="8965240"/>
            <a:ext cx="7577094" cy="63015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New South Wales 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and </a:t>
            </a:r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Victoria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 collectively dominate Australian retail activity, accounting for the largest share of national turnover across every year in the dataset, a structural pattern reflecting both population concentration and economic density along the eastern seaboard. </a:t>
            </a:r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Queensland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 ranks third consistently, with </a:t>
            </a:r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Western Australia 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demonstrating notable growth momentum particularly from 2022 onwards, likely driven by the resources-led economic expansion in that state. </a:t>
            </a:r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South Australia 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maintains a stable mid-tier contribution, while </a:t>
            </a:r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Tasmania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, the </a:t>
            </a:r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Australian Capital Territory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, and the </a:t>
            </a:r>
            <a:r>
              <a:rPr lang="en-AU" sz="2000" b="1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Northern Territory</a:t>
            </a:r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 represent significantly smaller retail markets, consistent with their lower population bases and the ABS confidentiality suppressions noted in the data. </a:t>
            </a:r>
          </a:p>
          <a:p>
            <a:endParaRPr lang="en-AU" sz="20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  <a:p>
            <a:r>
              <a:rPr lang="en-AU" sz="200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Across all states, a clear upward trajectory is visible from 2021 to 2024, reflecting the broad post-COVID consumer spending recovery that characterised the Australian retail landscape following the lifting of pandemic-era restrictions.</a:t>
            </a:r>
          </a:p>
          <a:p>
            <a:endParaRPr lang="en-AU" sz="18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  <a:p>
            <a:r>
              <a:rPr lang="en-AU" sz="1800" i="1">
                <a:solidFill>
                  <a:schemeClr val="bg2">
                    <a:lumMod val="75000"/>
                  </a:schemeClr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* 2025 represents January–June only. State-level values are aggregated annual totals in $M.</a:t>
            </a:r>
          </a:p>
        </xdr:txBody>
      </xdr:sp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819534F6-4DE5-2454-6E51-4A2D2B31DF2E}"/>
              </a:ext>
            </a:extLst>
          </xdr:cNvPr>
          <xdr:cNvGraphicFramePr>
            <a:graphicFrameLocks/>
          </xdr:cNvGraphicFramePr>
        </xdr:nvGraphicFramePr>
        <xdr:xfrm>
          <a:off x="13987457" y="2281181"/>
          <a:ext cx="9611919" cy="63020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207491</xdr:colOff>
      <xdr:row>10</xdr:row>
      <xdr:rowOff>172679</xdr:rowOff>
    </xdr:from>
    <xdr:to>
      <xdr:col>4</xdr:col>
      <xdr:colOff>498045</xdr:colOff>
      <xdr:row>27</xdr:row>
      <xdr:rowOff>16137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2D49B-F8DB-C281-DD86-80197DAA8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7620</xdr:rowOff>
    </xdr:from>
    <xdr:to>
      <xdr:col>7</xdr:col>
      <xdr:colOff>2116933</xdr:colOff>
      <xdr:row>8</xdr:row>
      <xdr:rowOff>167640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reporting_date">
              <a:extLst>
                <a:ext uri="{FF2B5EF4-FFF2-40B4-BE49-F238E27FC236}">
                  <a16:creationId xmlns:a16="http://schemas.microsoft.com/office/drawing/2014/main" id="{36C33AD5-BF36-3D3A-F216-4302B4C496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reporting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8455" y="192347"/>
              <a:ext cx="2860683" cy="14531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8</xdr:col>
      <xdr:colOff>243392</xdr:colOff>
      <xdr:row>0</xdr:row>
      <xdr:rowOff>175708</xdr:rowOff>
    </xdr:from>
    <xdr:to>
      <xdr:col>15</xdr:col>
      <xdr:colOff>104887</xdr:colOff>
      <xdr:row>18</xdr:row>
      <xdr:rowOff>164054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E2E14-0318-4365-989E-DEC066B0B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0</xdr:rowOff>
    </xdr:from>
    <xdr:to>
      <xdr:col>10</xdr:col>
      <xdr:colOff>16042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D8799-8D4B-5BAD-ABFF-3ED5BC4B2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Momin" refreshedDate="46122.933575810188" createdVersion="8" refreshedVersion="8" minRefreshableVersion="3" recordCount="78" xr:uid="{F6E6B38C-2705-40AC-AE96-06D2817E3D6F}">
  <cacheSource type="worksheet">
    <worksheetSource name="monthly_trend"/>
  </cacheSource>
  <cacheFields count="5">
    <cacheField name="reporting_date" numFmtId="14">
      <sharedItems containsSemiMixedTypes="0" containsNonDate="0" containsDate="1" containsString="0" minDate="2019-01-01T00:00:00" maxDate="2025-06-02T00:00:00" count="78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</sharedItems>
    </cacheField>
    <cacheField name="year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month" numFmtId="0">
      <sharedItems/>
    </cacheField>
    <cacheField name="month_no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national_turnover_m" numFmtId="166">
      <sharedItems containsSemiMixedTypes="0" containsString="0" containsNumber="1" minValue="22947.200000000001" maxValue="44837"/>
    </cacheField>
  </cacheFields>
  <extLst>
    <ext xmlns:x14="http://schemas.microsoft.com/office/spreadsheetml/2009/9/main" uri="{725AE2AE-9491-48be-B2B4-4EB974FC3084}">
      <x14:pivotCacheDefinition pivotCacheId="133973548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Momin" refreshedDate="46122.933576736112" createdVersion="8" refreshedVersion="8" minRefreshableVersion="3" recordCount="8580" xr:uid="{1B641580-6914-479A-92BE-877C28287A83}">
  <cacheSource type="worksheet">
    <worksheetSource name="yoy_growth"/>
  </cacheSource>
  <cacheFields count="8">
    <cacheField name="state" numFmtId="0">
      <sharedItems count="8">
        <s v="Australian Capital Territory"/>
        <s v="New South Wales"/>
        <s v="Northern Territory"/>
        <s v="Queensland"/>
        <s v="South Australia"/>
        <s v="Tasmania"/>
        <s v="Victoria"/>
        <s v="Western Australia"/>
      </sharedItems>
    </cacheField>
    <cacheField name="industry" numFmtId="0">
      <sharedItems/>
    </cacheField>
    <cacheField name="reporting_date" numFmtId="0">
      <sharedItems/>
    </cacheField>
    <cacheField name="year" numFmtId="2">
      <sharedItems containsMixedTypes="1" containsNumber="1" containsInteger="1" minValue="2019" maxValue="2025" count="14">
        <s v="2019"/>
        <s v="2020"/>
        <s v="2021"/>
        <s v="2022"/>
        <s v="2023"/>
        <s v="2024"/>
        <s v="2025"/>
        <n v="2019" u="1"/>
        <n v="2020" u="1"/>
        <n v="2021" u="1"/>
        <n v="2022" u="1"/>
        <n v="2023" u="1"/>
        <n v="2024" u="1"/>
        <n v="2025" u="1"/>
      </sharedItems>
    </cacheField>
    <cacheField name="month" numFmtId="0">
      <sharedItems/>
    </cacheField>
    <cacheField name="month_no" numFmtId="0">
      <sharedItems/>
    </cacheField>
    <cacheField name="turnover_millions" numFmtId="0">
      <sharedItems containsSemiMixedTypes="0" containsString="0" containsNumber="1" minValue="0.6" maxValue="4053.8"/>
    </cacheField>
    <cacheField name="yoy_growth_pct" numFmtId="0">
      <sharedItems containsString="0" containsBlank="1" containsNumber="1" minValue="-97.87" maxValue="563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Momin" refreshedDate="46122.933577199074" createdVersion="8" refreshedVersion="8" minRefreshableVersion="3" recordCount="15" xr:uid="{F63DD6AB-8F7B-4CBA-9A23-885FC94DEDD4}">
  <cacheSource type="worksheet">
    <worksheetSource name="industry_rank"/>
  </cacheSource>
  <cacheFields count="4">
    <cacheField name="industry" numFmtId="0">
      <sharedItems count="20">
        <s v="Supermarket and grocery stores"/>
        <s v="Cafes, restaurants and catering services"/>
        <s v="Electrical and electronic goods retailing"/>
        <s v="Other retailing n.e.c."/>
        <s v="Hardware, building and garden supplies retailing"/>
        <s v="Department stores"/>
        <s v="Pharmaceutical, cosmetic and toiletry goods retailing"/>
        <s v="Takeaway food services"/>
        <s v="Clothing retailing"/>
        <s v="Furniture, floor coverings, houseware and textile goods retailing"/>
        <s v="Liquor retailing"/>
        <s v="Footwear and other personal accessory retailing"/>
        <s v="Other specialised food retailing"/>
        <s v="Other recreational goods retailing"/>
        <s v="Newspaper and book retailing"/>
        <s v="Food retailing" u="1"/>
        <s v="Household goods retailing" u="1"/>
        <s v="Other retailing" u="1"/>
        <s v="Cafes, restaurants and takeaway food services" u="1"/>
        <s v="Clothing, footwear and personal accessory retailing" u="1"/>
      </sharedItems>
      <fieldGroup par="3"/>
    </cacheField>
    <cacheField name="total_turnover_m" numFmtId="164">
      <sharedItems containsSemiMixedTypes="0" containsString="0" containsNumber="1" minValue="47878.9" maxValue="1701697.5"/>
    </cacheField>
    <cacheField name="industry_rank" numFmtId="0">
      <sharedItems containsSemiMixedTypes="0" containsString="0" containsNumber="1" containsInteger="1" minValue="1" maxValue="15"/>
    </cacheField>
    <cacheField name="industry2" numFmtId="0" databaseField="0">
      <fieldGroup base="0">
        <discretePr count="20">
          <x v="0"/>
          <x v="1"/>
          <x v="2"/>
          <x v="3"/>
          <x v="4"/>
          <x v="10"/>
          <x v="10"/>
          <x v="10"/>
          <x v="10"/>
          <x v="10"/>
          <x v="10"/>
          <x v="10"/>
          <x v="10"/>
          <x v="10"/>
          <x v="10"/>
          <x v="5"/>
          <x v="6"/>
          <x v="7"/>
          <x v="8"/>
          <x v="9"/>
        </discretePr>
        <groupItems count="11">
          <s v="Supermarket and grocery stores"/>
          <s v="Cafes, restaurants and catering services"/>
          <s v="Electrical and electronic goods retailing"/>
          <s v="Other retailing n.e.c."/>
          <s v="Hardware, building and garden supplies retailing"/>
          <s v="Food retailing"/>
          <s v="Household goods retailing"/>
          <s v="Other retailing"/>
          <s v="Cafes, restaurants and takeaway food services"/>
          <s v="Clothing, footwear and personal accessory retailing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x v="0"/>
    <s v="January  "/>
    <x v="0"/>
    <n v="26124.5"/>
  </r>
  <r>
    <x v="1"/>
    <x v="0"/>
    <s v="February "/>
    <x v="1"/>
    <n v="23492.3"/>
  </r>
  <r>
    <x v="2"/>
    <x v="0"/>
    <s v="March    "/>
    <x v="2"/>
    <n v="26031.8"/>
  </r>
  <r>
    <x v="3"/>
    <x v="0"/>
    <s v="April    "/>
    <x v="3"/>
    <n v="25326.3"/>
  </r>
  <r>
    <x v="4"/>
    <x v="0"/>
    <s v="May      "/>
    <x v="4"/>
    <n v="26119.200000000001"/>
  </r>
  <r>
    <x v="5"/>
    <x v="0"/>
    <s v="June     "/>
    <x v="5"/>
    <n v="25749.4"/>
  </r>
  <r>
    <x v="6"/>
    <x v="0"/>
    <s v="July     "/>
    <x v="6"/>
    <n v="26001"/>
  </r>
  <r>
    <x v="7"/>
    <x v="0"/>
    <s v="August   "/>
    <x v="7"/>
    <n v="26484.400000000001"/>
  </r>
  <r>
    <x v="8"/>
    <x v="0"/>
    <s v="September"/>
    <x v="8"/>
    <n v="25981.200000000001"/>
  </r>
  <r>
    <x v="9"/>
    <x v="0"/>
    <s v="October  "/>
    <x v="9"/>
    <n v="27504.6"/>
  </r>
  <r>
    <x v="10"/>
    <x v="0"/>
    <s v="November "/>
    <x v="10"/>
    <n v="28857.9"/>
  </r>
  <r>
    <x v="11"/>
    <x v="0"/>
    <s v="December "/>
    <x v="11"/>
    <n v="34303.4"/>
  </r>
  <r>
    <x v="12"/>
    <x v="1"/>
    <s v="January  "/>
    <x v="0"/>
    <n v="26642.2"/>
  </r>
  <r>
    <x v="13"/>
    <x v="1"/>
    <s v="February "/>
    <x v="1"/>
    <n v="24807.5"/>
  </r>
  <r>
    <x v="14"/>
    <x v="1"/>
    <s v="March    "/>
    <x v="2"/>
    <n v="28308.9"/>
  </r>
  <r>
    <x v="15"/>
    <x v="1"/>
    <s v="April    "/>
    <x v="3"/>
    <n v="22947.200000000001"/>
  </r>
  <r>
    <x v="16"/>
    <x v="1"/>
    <s v="May      "/>
    <x v="4"/>
    <n v="27419"/>
  </r>
  <r>
    <x v="17"/>
    <x v="1"/>
    <s v="June     "/>
    <x v="5"/>
    <n v="27849.9"/>
  </r>
  <r>
    <x v="18"/>
    <x v="1"/>
    <s v="July     "/>
    <x v="6"/>
    <n v="29260.5"/>
  </r>
  <r>
    <x v="19"/>
    <x v="1"/>
    <s v="August   "/>
    <x v="7"/>
    <n v="27830.9"/>
  </r>
  <r>
    <x v="20"/>
    <x v="1"/>
    <s v="September"/>
    <x v="8"/>
    <n v="27616.7"/>
  </r>
  <r>
    <x v="21"/>
    <x v="1"/>
    <s v="October  "/>
    <x v="9"/>
    <n v="29576.1"/>
  </r>
  <r>
    <x v="22"/>
    <x v="1"/>
    <s v="November "/>
    <x v="10"/>
    <n v="32353.4"/>
  </r>
  <r>
    <x v="23"/>
    <x v="1"/>
    <s v="December "/>
    <x v="11"/>
    <n v="37854.1"/>
  </r>
  <r>
    <x v="24"/>
    <x v="2"/>
    <s v="January  "/>
    <x v="0"/>
    <n v="29374.1"/>
  </r>
  <r>
    <x v="25"/>
    <x v="2"/>
    <s v="February "/>
    <x v="1"/>
    <n v="26142.9"/>
  </r>
  <r>
    <x v="26"/>
    <x v="2"/>
    <s v="March    "/>
    <x v="2"/>
    <n v="29617.4"/>
  </r>
  <r>
    <x v="27"/>
    <x v="2"/>
    <s v="April    "/>
    <x v="3"/>
    <n v="28540.5"/>
  </r>
  <r>
    <x v="28"/>
    <x v="2"/>
    <s v="May      "/>
    <x v="4"/>
    <n v="29505.8"/>
  </r>
  <r>
    <x v="29"/>
    <x v="2"/>
    <s v="June     "/>
    <x v="5"/>
    <n v="28741.8"/>
  </r>
  <r>
    <x v="30"/>
    <x v="2"/>
    <s v="July     "/>
    <x v="6"/>
    <n v="28412.400000000001"/>
  </r>
  <r>
    <x v="31"/>
    <x v="2"/>
    <s v="August   "/>
    <x v="7"/>
    <n v="27640.2"/>
  </r>
  <r>
    <x v="32"/>
    <x v="2"/>
    <s v="September"/>
    <x v="8"/>
    <n v="28161.200000000001"/>
  </r>
  <r>
    <x v="33"/>
    <x v="2"/>
    <s v="October  "/>
    <x v="9"/>
    <n v="30979.3"/>
  </r>
  <r>
    <x v="34"/>
    <x v="2"/>
    <s v="November "/>
    <x v="10"/>
    <n v="34458"/>
  </r>
  <r>
    <x v="35"/>
    <x v="2"/>
    <s v="December "/>
    <x v="11"/>
    <n v="39790.1"/>
  </r>
  <r>
    <x v="36"/>
    <x v="3"/>
    <s v="January  "/>
    <x v="0"/>
    <n v="31150.7"/>
  </r>
  <r>
    <x v="37"/>
    <x v="3"/>
    <s v="February "/>
    <x v="1"/>
    <n v="28587.5"/>
  </r>
  <r>
    <x v="38"/>
    <x v="3"/>
    <s v="March    "/>
    <x v="2"/>
    <n v="32126.1"/>
  </r>
  <r>
    <x v="39"/>
    <x v="3"/>
    <s v="April    "/>
    <x v="3"/>
    <n v="31797.9"/>
  </r>
  <r>
    <x v="40"/>
    <x v="3"/>
    <s v="May      "/>
    <x v="4"/>
    <n v="32607.9"/>
  </r>
  <r>
    <x v="41"/>
    <x v="3"/>
    <s v="June     "/>
    <x v="5"/>
    <n v="32361.8"/>
  </r>
  <r>
    <x v="42"/>
    <x v="3"/>
    <s v="July     "/>
    <x v="6"/>
    <n v="33079.599999999999"/>
  </r>
  <r>
    <x v="43"/>
    <x v="3"/>
    <s v="August   "/>
    <x v="7"/>
    <n v="33152.5"/>
  </r>
  <r>
    <x v="44"/>
    <x v="3"/>
    <s v="September"/>
    <x v="8"/>
    <n v="33528.800000000003"/>
  </r>
  <r>
    <x v="45"/>
    <x v="3"/>
    <s v="October  "/>
    <x v="9"/>
    <n v="34762.6"/>
  </r>
  <r>
    <x v="46"/>
    <x v="3"/>
    <s v="November "/>
    <x v="10"/>
    <n v="37097.699999999997"/>
  </r>
  <r>
    <x v="47"/>
    <x v="3"/>
    <s v="December "/>
    <x v="11"/>
    <n v="42953.1"/>
  </r>
  <r>
    <x v="48"/>
    <x v="4"/>
    <s v="January  "/>
    <x v="0"/>
    <n v="33640.199999999997"/>
  </r>
  <r>
    <x v="49"/>
    <x v="4"/>
    <s v="February "/>
    <x v="1"/>
    <n v="30470.2"/>
  </r>
  <r>
    <x v="50"/>
    <x v="4"/>
    <s v="March    "/>
    <x v="2"/>
    <n v="33952.400000000001"/>
  </r>
  <r>
    <x v="51"/>
    <x v="4"/>
    <s v="April    "/>
    <x v="3"/>
    <n v="32881"/>
  </r>
  <r>
    <x v="52"/>
    <x v="4"/>
    <s v="May      "/>
    <x v="4"/>
    <n v="34041.199999999997"/>
  </r>
  <r>
    <x v="53"/>
    <x v="4"/>
    <s v="June     "/>
    <x v="5"/>
    <n v="33354"/>
  </r>
  <r>
    <x v="54"/>
    <x v="4"/>
    <s v="July     "/>
    <x v="6"/>
    <n v="33554.1"/>
  </r>
  <r>
    <x v="55"/>
    <x v="4"/>
    <s v="August   "/>
    <x v="7"/>
    <n v="33824.300000000003"/>
  </r>
  <r>
    <x v="56"/>
    <x v="4"/>
    <s v="September"/>
    <x v="8"/>
    <n v="34238.6"/>
  </r>
  <r>
    <x v="57"/>
    <x v="4"/>
    <s v="October  "/>
    <x v="9"/>
    <n v="35226.800000000003"/>
  </r>
  <r>
    <x v="58"/>
    <x v="4"/>
    <s v="November "/>
    <x v="10"/>
    <n v="37894.1"/>
  </r>
  <r>
    <x v="59"/>
    <x v="4"/>
    <s v="December "/>
    <x v="11"/>
    <n v="43091.4"/>
  </r>
  <r>
    <x v="60"/>
    <x v="5"/>
    <s v="January  "/>
    <x v="0"/>
    <n v="34181.1"/>
  </r>
  <r>
    <x v="61"/>
    <x v="5"/>
    <s v="February "/>
    <x v="1"/>
    <n v="32214.2"/>
  </r>
  <r>
    <x v="62"/>
    <x v="5"/>
    <s v="March    "/>
    <x v="2"/>
    <n v="34533"/>
  </r>
  <r>
    <x v="63"/>
    <x v="5"/>
    <s v="April    "/>
    <x v="3"/>
    <n v="33464"/>
  </r>
  <r>
    <x v="64"/>
    <x v="5"/>
    <s v="May      "/>
    <x v="4"/>
    <n v="34874.699999999997"/>
  </r>
  <r>
    <x v="65"/>
    <x v="5"/>
    <s v="June     "/>
    <x v="5"/>
    <n v="34200.1"/>
  </r>
  <r>
    <x v="66"/>
    <x v="5"/>
    <s v="July     "/>
    <x v="6"/>
    <n v="34462.400000000001"/>
  </r>
  <r>
    <x v="67"/>
    <x v="5"/>
    <s v="August   "/>
    <x v="7"/>
    <n v="35173.4"/>
  </r>
  <r>
    <x v="68"/>
    <x v="5"/>
    <s v="September"/>
    <x v="8"/>
    <n v="34594.9"/>
  </r>
  <r>
    <x v="69"/>
    <x v="5"/>
    <s v="October  "/>
    <x v="9"/>
    <n v="36553.9"/>
  </r>
  <r>
    <x v="70"/>
    <x v="5"/>
    <s v="November "/>
    <x v="10"/>
    <n v="39418.199999999997"/>
  </r>
  <r>
    <x v="71"/>
    <x v="5"/>
    <s v="December "/>
    <x v="11"/>
    <n v="44837"/>
  </r>
  <r>
    <x v="72"/>
    <x v="6"/>
    <s v="January  "/>
    <x v="0"/>
    <n v="35439.4"/>
  </r>
  <r>
    <x v="73"/>
    <x v="6"/>
    <s v="February "/>
    <x v="1"/>
    <n v="32074.7"/>
  </r>
  <r>
    <x v="74"/>
    <x v="6"/>
    <s v="March    "/>
    <x v="2"/>
    <n v="35526.300000000003"/>
  </r>
  <r>
    <x v="75"/>
    <x v="6"/>
    <s v="April    "/>
    <x v="3"/>
    <n v="34610.300000000003"/>
  </r>
  <r>
    <x v="76"/>
    <x v="6"/>
    <s v="May      "/>
    <x v="4"/>
    <n v="36130"/>
  </r>
  <r>
    <x v="77"/>
    <x v="6"/>
    <s v="June     "/>
    <x v="5"/>
    <n v="35628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0">
  <r>
    <x v="0"/>
    <s v="Cafes, restaurants and catering services"/>
    <s v="2019-01-01"/>
    <x v="0"/>
    <s v="January  "/>
    <s v="1"/>
    <n v="36.700000000000003"/>
    <m/>
  </r>
  <r>
    <x v="0"/>
    <s v="Cafes, restaurants and catering services"/>
    <s v="2019-02-01"/>
    <x v="0"/>
    <s v="February "/>
    <s v="2"/>
    <n v="40"/>
    <m/>
  </r>
  <r>
    <x v="0"/>
    <s v="Cafes, restaurants and catering services"/>
    <s v="2019-03-01"/>
    <x v="0"/>
    <s v="March    "/>
    <s v="3"/>
    <n v="45.5"/>
    <m/>
  </r>
  <r>
    <x v="0"/>
    <s v="Cafes, restaurants and catering services"/>
    <s v="2019-04-01"/>
    <x v="0"/>
    <s v="April    "/>
    <s v="4"/>
    <n v="44.4"/>
    <m/>
  </r>
  <r>
    <x v="0"/>
    <s v="Cafes, restaurants and catering services"/>
    <s v="2019-05-01"/>
    <x v="0"/>
    <s v="May      "/>
    <s v="5"/>
    <n v="44.5"/>
    <m/>
  </r>
  <r>
    <x v="0"/>
    <s v="Cafes, restaurants and catering services"/>
    <s v="2019-06-01"/>
    <x v="0"/>
    <s v="June     "/>
    <s v="6"/>
    <n v="38.799999999999997"/>
    <m/>
  </r>
  <r>
    <x v="0"/>
    <s v="Cafes, restaurants and catering services"/>
    <s v="2019-07-01"/>
    <x v="0"/>
    <s v="July     "/>
    <s v="7"/>
    <n v="41.6"/>
    <m/>
  </r>
  <r>
    <x v="0"/>
    <s v="Cafes, restaurants and catering services"/>
    <s v="2019-08-01"/>
    <x v="0"/>
    <s v="August   "/>
    <s v="8"/>
    <n v="44.2"/>
    <m/>
  </r>
  <r>
    <x v="0"/>
    <s v="Cafes, restaurants and catering services"/>
    <s v="2019-09-01"/>
    <x v="0"/>
    <s v="September"/>
    <s v="9"/>
    <n v="43.8"/>
    <m/>
  </r>
  <r>
    <x v="0"/>
    <s v="Cafes, restaurants and catering services"/>
    <s v="2019-10-01"/>
    <x v="0"/>
    <s v="October  "/>
    <s v="10"/>
    <n v="45"/>
    <m/>
  </r>
  <r>
    <x v="0"/>
    <s v="Cafes, restaurants and catering services"/>
    <s v="2019-11-01"/>
    <x v="0"/>
    <s v="November "/>
    <s v="11"/>
    <n v="44.3"/>
    <m/>
  </r>
  <r>
    <x v="0"/>
    <s v="Cafes, restaurants and catering services"/>
    <s v="2019-12-01"/>
    <x v="0"/>
    <s v="December "/>
    <s v="12"/>
    <n v="41.4"/>
    <m/>
  </r>
  <r>
    <x v="0"/>
    <s v="Cafes, restaurants and catering services"/>
    <s v="2020-01-01"/>
    <x v="1"/>
    <s v="January  "/>
    <s v="1"/>
    <n v="32.6"/>
    <n v="-11.17"/>
  </r>
  <r>
    <x v="0"/>
    <s v="Cafes, restaurants and catering services"/>
    <s v="2020-02-01"/>
    <x v="1"/>
    <s v="February "/>
    <s v="2"/>
    <n v="37.6"/>
    <n v="-6"/>
  </r>
  <r>
    <x v="0"/>
    <s v="Cafes, restaurants and catering services"/>
    <s v="2020-03-01"/>
    <x v="1"/>
    <s v="March    "/>
    <s v="3"/>
    <n v="29.8"/>
    <n v="-34.51"/>
  </r>
  <r>
    <x v="0"/>
    <s v="Cafes, restaurants and catering services"/>
    <s v="2020-04-01"/>
    <x v="1"/>
    <s v="April    "/>
    <s v="4"/>
    <n v="12.6"/>
    <n v="-71.62"/>
  </r>
  <r>
    <x v="0"/>
    <s v="Cafes, restaurants and catering services"/>
    <s v="2020-05-01"/>
    <x v="1"/>
    <s v="May      "/>
    <s v="5"/>
    <n v="14.9"/>
    <n v="-66.52"/>
  </r>
  <r>
    <x v="0"/>
    <s v="Cafes, restaurants and catering services"/>
    <s v="2020-06-01"/>
    <x v="1"/>
    <s v="June     "/>
    <s v="6"/>
    <n v="25.9"/>
    <n v="-33.25"/>
  </r>
  <r>
    <x v="0"/>
    <s v="Cafes, restaurants and catering services"/>
    <s v="2020-07-01"/>
    <x v="1"/>
    <s v="July     "/>
    <s v="7"/>
    <n v="31.7"/>
    <n v="-23.8"/>
  </r>
  <r>
    <x v="0"/>
    <s v="Cafes, restaurants and catering services"/>
    <s v="2020-08-01"/>
    <x v="1"/>
    <s v="August   "/>
    <s v="8"/>
    <n v="32.4"/>
    <n v="-26.7"/>
  </r>
  <r>
    <x v="0"/>
    <s v="Cafes, restaurants and catering services"/>
    <s v="2020-09-01"/>
    <x v="1"/>
    <s v="September"/>
    <s v="9"/>
    <n v="32"/>
    <n v="-26.94"/>
  </r>
  <r>
    <x v="0"/>
    <s v="Cafes, restaurants and catering services"/>
    <s v="2020-10-01"/>
    <x v="1"/>
    <s v="October  "/>
    <s v="10"/>
    <n v="33.700000000000003"/>
    <n v="-25.11"/>
  </r>
  <r>
    <x v="0"/>
    <s v="Cafes, restaurants and catering services"/>
    <s v="2020-11-01"/>
    <x v="1"/>
    <s v="November "/>
    <s v="11"/>
    <n v="36.299999999999997"/>
    <n v="-18.059999999999999"/>
  </r>
  <r>
    <x v="0"/>
    <s v="Cafes, restaurants and catering services"/>
    <s v="2020-12-01"/>
    <x v="1"/>
    <s v="December "/>
    <s v="12"/>
    <n v="37.200000000000003"/>
    <n v="-10.14"/>
  </r>
  <r>
    <x v="0"/>
    <s v="Cafes, restaurants and catering services"/>
    <s v="2021-01-01"/>
    <x v="2"/>
    <s v="January  "/>
    <s v="1"/>
    <n v="32.9"/>
    <n v="0.92"/>
  </r>
  <r>
    <x v="0"/>
    <s v="Cafes, restaurants and catering services"/>
    <s v="2021-02-01"/>
    <x v="2"/>
    <s v="February "/>
    <s v="2"/>
    <n v="38"/>
    <n v="1.06"/>
  </r>
  <r>
    <x v="0"/>
    <s v="Cafes, restaurants and catering services"/>
    <s v="2021-03-01"/>
    <x v="2"/>
    <s v="March    "/>
    <s v="3"/>
    <n v="42.1"/>
    <n v="41.28"/>
  </r>
  <r>
    <x v="0"/>
    <s v="Cafes, restaurants and catering services"/>
    <s v="2021-04-01"/>
    <x v="2"/>
    <s v="April    "/>
    <s v="4"/>
    <n v="40.6"/>
    <n v="222.22"/>
  </r>
  <r>
    <x v="0"/>
    <s v="Cafes, restaurants and catering services"/>
    <s v="2021-05-01"/>
    <x v="2"/>
    <s v="May      "/>
    <s v="5"/>
    <n v="43.5"/>
    <n v="191.95"/>
  </r>
  <r>
    <x v="0"/>
    <s v="Cafes, restaurants and catering services"/>
    <s v="2021-06-01"/>
    <x v="2"/>
    <s v="June     "/>
    <s v="6"/>
    <n v="41.3"/>
    <n v="59.46"/>
  </r>
  <r>
    <x v="0"/>
    <s v="Cafes, restaurants and catering services"/>
    <s v="2021-07-01"/>
    <x v="2"/>
    <s v="July     "/>
    <s v="7"/>
    <n v="42.6"/>
    <n v="34.380000000000003"/>
  </r>
  <r>
    <x v="0"/>
    <s v="Cafes, restaurants and catering services"/>
    <s v="2021-08-01"/>
    <x v="2"/>
    <s v="August   "/>
    <s v="8"/>
    <n v="25"/>
    <n v="-22.84"/>
  </r>
  <r>
    <x v="0"/>
    <s v="Cafes, restaurants and catering services"/>
    <s v="2021-09-01"/>
    <x v="2"/>
    <s v="September"/>
    <s v="9"/>
    <n v="15"/>
    <n v="-53.13"/>
  </r>
  <r>
    <x v="0"/>
    <s v="Cafes, restaurants and catering services"/>
    <s v="2021-10-01"/>
    <x v="2"/>
    <s v="October  "/>
    <s v="10"/>
    <n v="26.9"/>
    <n v="-20.18"/>
  </r>
  <r>
    <x v="0"/>
    <s v="Cafes, restaurants and catering services"/>
    <s v="2021-11-01"/>
    <x v="2"/>
    <s v="November "/>
    <s v="11"/>
    <n v="45.5"/>
    <n v="25.34"/>
  </r>
  <r>
    <x v="0"/>
    <s v="Cafes, restaurants and catering services"/>
    <s v="2021-12-01"/>
    <x v="2"/>
    <s v="December "/>
    <s v="12"/>
    <n v="45.8"/>
    <n v="23.12"/>
  </r>
  <r>
    <x v="0"/>
    <s v="Cafes, restaurants and catering services"/>
    <s v="2022-01-01"/>
    <x v="3"/>
    <s v="January  "/>
    <s v="1"/>
    <n v="37.5"/>
    <n v="13.98"/>
  </r>
  <r>
    <x v="0"/>
    <s v="Cafes, restaurants and catering services"/>
    <s v="2022-02-01"/>
    <x v="3"/>
    <s v="February "/>
    <s v="2"/>
    <n v="45.6"/>
    <n v="20"/>
  </r>
  <r>
    <x v="0"/>
    <s v="Cafes, restaurants and catering services"/>
    <s v="2022-03-01"/>
    <x v="3"/>
    <s v="March    "/>
    <s v="3"/>
    <n v="53.1"/>
    <n v="26.13"/>
  </r>
  <r>
    <x v="0"/>
    <s v="Cafes, restaurants and catering services"/>
    <s v="2022-04-01"/>
    <x v="3"/>
    <s v="April    "/>
    <s v="4"/>
    <n v="49.6"/>
    <n v="22.17"/>
  </r>
  <r>
    <x v="0"/>
    <s v="Cafes, restaurants and catering services"/>
    <s v="2022-05-01"/>
    <x v="3"/>
    <s v="May      "/>
    <s v="5"/>
    <n v="53.4"/>
    <n v="22.76"/>
  </r>
  <r>
    <x v="0"/>
    <s v="Cafes, restaurants and catering services"/>
    <s v="2022-06-01"/>
    <x v="3"/>
    <s v="June     "/>
    <s v="6"/>
    <n v="49.8"/>
    <n v="20.58"/>
  </r>
  <r>
    <x v="0"/>
    <s v="Cafes, restaurants and catering services"/>
    <s v="2022-07-01"/>
    <x v="3"/>
    <s v="July     "/>
    <s v="7"/>
    <n v="55.1"/>
    <n v="29.34"/>
  </r>
  <r>
    <x v="0"/>
    <s v="Cafes, restaurants and catering services"/>
    <s v="2022-08-01"/>
    <x v="3"/>
    <s v="August   "/>
    <s v="8"/>
    <n v="58.9"/>
    <n v="135.6"/>
  </r>
  <r>
    <x v="0"/>
    <s v="Cafes, restaurants and catering services"/>
    <s v="2022-09-01"/>
    <x v="3"/>
    <s v="September"/>
    <s v="9"/>
    <n v="59.9"/>
    <n v="299.33"/>
  </r>
  <r>
    <x v="0"/>
    <s v="Cafes, restaurants and catering services"/>
    <s v="2022-10-01"/>
    <x v="3"/>
    <s v="October  "/>
    <s v="10"/>
    <n v="57.1"/>
    <n v="112.27"/>
  </r>
  <r>
    <x v="0"/>
    <s v="Cafes, restaurants and catering services"/>
    <s v="2022-11-01"/>
    <x v="3"/>
    <s v="November "/>
    <s v="11"/>
    <n v="63.8"/>
    <n v="40.22"/>
  </r>
  <r>
    <x v="0"/>
    <s v="Cafes, restaurants and catering services"/>
    <s v="2022-12-01"/>
    <x v="3"/>
    <s v="December "/>
    <s v="12"/>
    <n v="67.8"/>
    <n v="48.03"/>
  </r>
  <r>
    <x v="0"/>
    <s v="Cafes, restaurants and catering services"/>
    <s v="2023-01-01"/>
    <x v="4"/>
    <s v="January  "/>
    <s v="1"/>
    <n v="58.1"/>
    <n v="54.93"/>
  </r>
  <r>
    <x v="0"/>
    <s v="Cafes, restaurants and catering services"/>
    <s v="2023-02-01"/>
    <x v="4"/>
    <s v="February "/>
    <s v="2"/>
    <n v="60.9"/>
    <n v="33.549999999999997"/>
  </r>
  <r>
    <x v="0"/>
    <s v="Cafes, restaurants and catering services"/>
    <s v="2023-03-01"/>
    <x v="4"/>
    <s v="March    "/>
    <s v="3"/>
    <n v="66.400000000000006"/>
    <n v="25.05"/>
  </r>
  <r>
    <x v="0"/>
    <s v="Cafes, restaurants and catering services"/>
    <s v="2023-04-01"/>
    <x v="4"/>
    <s v="April    "/>
    <s v="4"/>
    <n v="60.7"/>
    <n v="22.38"/>
  </r>
  <r>
    <x v="0"/>
    <s v="Cafes, restaurants and catering services"/>
    <s v="2023-05-01"/>
    <x v="4"/>
    <s v="May      "/>
    <s v="5"/>
    <n v="67.8"/>
    <n v="26.97"/>
  </r>
  <r>
    <x v="0"/>
    <s v="Cafes, restaurants and catering services"/>
    <s v="2023-06-01"/>
    <x v="4"/>
    <s v="June     "/>
    <s v="6"/>
    <n v="66.8"/>
    <n v="34.14"/>
  </r>
  <r>
    <x v="0"/>
    <s v="Cafes, restaurants and catering services"/>
    <s v="2023-07-01"/>
    <x v="4"/>
    <s v="July     "/>
    <s v="7"/>
    <n v="68.8"/>
    <n v="24.86"/>
  </r>
  <r>
    <x v="0"/>
    <s v="Cafes, restaurants and catering services"/>
    <s v="2023-08-01"/>
    <x v="4"/>
    <s v="August   "/>
    <s v="8"/>
    <n v="72.400000000000006"/>
    <n v="22.92"/>
  </r>
  <r>
    <x v="0"/>
    <s v="Cafes, restaurants and catering services"/>
    <s v="2023-09-01"/>
    <x v="4"/>
    <s v="September"/>
    <s v="9"/>
    <n v="67.7"/>
    <n v="13.02"/>
  </r>
  <r>
    <x v="0"/>
    <s v="Cafes, restaurants and catering services"/>
    <s v="2023-10-01"/>
    <x v="4"/>
    <s v="October  "/>
    <s v="10"/>
    <n v="62"/>
    <n v="8.58"/>
  </r>
  <r>
    <x v="0"/>
    <s v="Cafes, restaurants and catering services"/>
    <s v="2023-11-01"/>
    <x v="4"/>
    <s v="November "/>
    <s v="11"/>
    <n v="66.099999999999994"/>
    <n v="3.61"/>
  </r>
  <r>
    <x v="0"/>
    <s v="Cafes, restaurants and catering services"/>
    <s v="2023-12-01"/>
    <x v="4"/>
    <s v="December "/>
    <s v="12"/>
    <n v="71.099999999999994"/>
    <n v="4.87"/>
  </r>
  <r>
    <x v="0"/>
    <s v="Cafes, restaurants and catering services"/>
    <s v="2024-01-01"/>
    <x v="5"/>
    <s v="January  "/>
    <s v="1"/>
    <n v="60.1"/>
    <n v="3.44"/>
  </r>
  <r>
    <x v="0"/>
    <s v="Cafes, restaurants and catering services"/>
    <s v="2024-02-01"/>
    <x v="5"/>
    <s v="February "/>
    <s v="2"/>
    <n v="63.4"/>
    <n v="4.1100000000000003"/>
  </r>
  <r>
    <x v="0"/>
    <s v="Cafes, restaurants and catering services"/>
    <s v="2024-03-01"/>
    <x v="5"/>
    <s v="March    "/>
    <s v="3"/>
    <n v="70.7"/>
    <n v="6.48"/>
  </r>
  <r>
    <x v="0"/>
    <s v="Cafes, restaurants and catering services"/>
    <s v="2024-04-01"/>
    <x v="5"/>
    <s v="April    "/>
    <s v="4"/>
    <n v="68.400000000000006"/>
    <n v="12.69"/>
  </r>
  <r>
    <x v="0"/>
    <s v="Cafes, restaurants and catering services"/>
    <s v="2024-05-01"/>
    <x v="5"/>
    <s v="May      "/>
    <s v="5"/>
    <n v="69.900000000000006"/>
    <n v="3.1"/>
  </r>
  <r>
    <x v="0"/>
    <s v="Cafes, restaurants and catering services"/>
    <s v="2024-06-01"/>
    <x v="5"/>
    <s v="June     "/>
    <s v="6"/>
    <n v="66.900000000000006"/>
    <n v="0.15"/>
  </r>
  <r>
    <x v="0"/>
    <s v="Cafes, restaurants and catering services"/>
    <s v="2024-07-01"/>
    <x v="5"/>
    <s v="July     "/>
    <s v="7"/>
    <n v="73.8"/>
    <n v="7.27"/>
  </r>
  <r>
    <x v="0"/>
    <s v="Cafes, restaurants and catering services"/>
    <s v="2024-08-01"/>
    <x v="5"/>
    <s v="August   "/>
    <s v="8"/>
    <n v="74"/>
    <n v="2.21"/>
  </r>
  <r>
    <x v="0"/>
    <s v="Cafes, restaurants and catering services"/>
    <s v="2024-09-01"/>
    <x v="5"/>
    <s v="September"/>
    <s v="9"/>
    <n v="71.400000000000006"/>
    <n v="5.47"/>
  </r>
  <r>
    <x v="0"/>
    <s v="Cafes, restaurants and catering services"/>
    <s v="2024-10-01"/>
    <x v="5"/>
    <s v="October  "/>
    <s v="10"/>
    <n v="72.599999999999994"/>
    <n v="17.100000000000001"/>
  </r>
  <r>
    <x v="0"/>
    <s v="Cafes, restaurants and catering services"/>
    <s v="2024-11-01"/>
    <x v="5"/>
    <s v="November "/>
    <s v="11"/>
    <n v="74.8"/>
    <n v="13.16"/>
  </r>
  <r>
    <x v="0"/>
    <s v="Cafes, restaurants and catering services"/>
    <s v="2024-12-01"/>
    <x v="5"/>
    <s v="December "/>
    <s v="12"/>
    <n v="74.8"/>
    <n v="5.2"/>
  </r>
  <r>
    <x v="0"/>
    <s v="Cafes, restaurants and catering services"/>
    <s v="2025-01-01"/>
    <x v="6"/>
    <s v="January  "/>
    <s v="1"/>
    <n v="66.099999999999994"/>
    <n v="9.98"/>
  </r>
  <r>
    <x v="0"/>
    <s v="Cafes, restaurants and catering services"/>
    <s v="2025-02-01"/>
    <x v="6"/>
    <s v="February "/>
    <s v="2"/>
    <n v="67.599999999999994"/>
    <n v="6.62"/>
  </r>
  <r>
    <x v="0"/>
    <s v="Cafes, restaurants and catering services"/>
    <s v="2025-03-01"/>
    <x v="6"/>
    <s v="March    "/>
    <s v="3"/>
    <n v="76.7"/>
    <n v="8.49"/>
  </r>
  <r>
    <x v="0"/>
    <s v="Cafes, restaurants and catering services"/>
    <s v="2025-04-01"/>
    <x v="6"/>
    <s v="April    "/>
    <s v="4"/>
    <n v="70.599999999999994"/>
    <n v="3.22"/>
  </r>
  <r>
    <x v="0"/>
    <s v="Cafes, restaurants and catering services"/>
    <s v="2025-05-01"/>
    <x v="6"/>
    <s v="May      "/>
    <s v="5"/>
    <n v="76.099999999999994"/>
    <n v="8.8699999999999992"/>
  </r>
  <r>
    <x v="0"/>
    <s v="Cafes, restaurants and catering services"/>
    <s v="2025-06-01"/>
    <x v="6"/>
    <s v="June     "/>
    <s v="6"/>
    <n v="73.099999999999994"/>
    <n v="9.27"/>
  </r>
  <r>
    <x v="0"/>
    <s v="Clothing retailing"/>
    <s v="2019-01-01"/>
    <x v="0"/>
    <s v="January  "/>
    <s v="1"/>
    <n v="23"/>
    <m/>
  </r>
  <r>
    <x v="0"/>
    <s v="Clothing retailing"/>
    <s v="2019-02-01"/>
    <x v="0"/>
    <s v="February "/>
    <s v="2"/>
    <n v="19.3"/>
    <m/>
  </r>
  <r>
    <x v="0"/>
    <s v="Clothing retailing"/>
    <s v="2019-03-01"/>
    <x v="0"/>
    <s v="March    "/>
    <s v="3"/>
    <n v="24.4"/>
    <m/>
  </r>
  <r>
    <x v="0"/>
    <s v="Clothing retailing"/>
    <s v="2019-04-01"/>
    <x v="0"/>
    <s v="April    "/>
    <s v="4"/>
    <n v="26"/>
    <m/>
  </r>
  <r>
    <x v="0"/>
    <s v="Clothing retailing"/>
    <s v="2019-05-01"/>
    <x v="0"/>
    <s v="May      "/>
    <s v="5"/>
    <n v="27.7"/>
    <m/>
  </r>
  <r>
    <x v="0"/>
    <s v="Clothing retailing"/>
    <s v="2019-06-01"/>
    <x v="0"/>
    <s v="June     "/>
    <s v="6"/>
    <n v="26.8"/>
    <m/>
  </r>
  <r>
    <x v="0"/>
    <s v="Clothing retailing"/>
    <s v="2019-07-01"/>
    <x v="0"/>
    <s v="July     "/>
    <s v="7"/>
    <n v="23.4"/>
    <m/>
  </r>
  <r>
    <x v="0"/>
    <s v="Clothing retailing"/>
    <s v="2019-08-01"/>
    <x v="0"/>
    <s v="August   "/>
    <s v="8"/>
    <n v="21.6"/>
    <m/>
  </r>
  <r>
    <x v="0"/>
    <s v="Clothing retailing"/>
    <s v="2019-09-01"/>
    <x v="0"/>
    <s v="September"/>
    <s v="9"/>
    <n v="20.7"/>
    <m/>
  </r>
  <r>
    <x v="0"/>
    <s v="Clothing retailing"/>
    <s v="2019-10-01"/>
    <x v="0"/>
    <s v="October  "/>
    <s v="10"/>
    <n v="24"/>
    <m/>
  </r>
  <r>
    <x v="0"/>
    <s v="Clothing retailing"/>
    <s v="2019-11-01"/>
    <x v="0"/>
    <s v="November "/>
    <s v="11"/>
    <n v="27"/>
    <m/>
  </r>
  <r>
    <x v="0"/>
    <s v="Clothing retailing"/>
    <s v="2019-12-01"/>
    <x v="0"/>
    <s v="December "/>
    <s v="12"/>
    <n v="37.5"/>
    <m/>
  </r>
  <r>
    <x v="0"/>
    <s v="Clothing retailing"/>
    <s v="2020-01-01"/>
    <x v="1"/>
    <s v="January  "/>
    <s v="1"/>
    <n v="21.7"/>
    <n v="-5.65"/>
  </r>
  <r>
    <x v="0"/>
    <s v="Clothing retailing"/>
    <s v="2020-02-01"/>
    <x v="1"/>
    <s v="February "/>
    <s v="2"/>
    <n v="20.100000000000001"/>
    <n v="4.1500000000000004"/>
  </r>
  <r>
    <x v="0"/>
    <s v="Clothing retailing"/>
    <s v="2020-03-01"/>
    <x v="1"/>
    <s v="March    "/>
    <s v="3"/>
    <n v="17.100000000000001"/>
    <n v="-29.92"/>
  </r>
  <r>
    <x v="0"/>
    <s v="Clothing retailing"/>
    <s v="2020-04-01"/>
    <x v="1"/>
    <s v="April    "/>
    <s v="4"/>
    <n v="9.1"/>
    <n v="-65"/>
  </r>
  <r>
    <x v="0"/>
    <s v="Clothing retailing"/>
    <s v="2020-05-01"/>
    <x v="1"/>
    <s v="May      "/>
    <s v="5"/>
    <n v="23.9"/>
    <n v="-13.72"/>
  </r>
  <r>
    <x v="0"/>
    <s v="Clothing retailing"/>
    <s v="2020-06-01"/>
    <x v="1"/>
    <s v="June     "/>
    <s v="6"/>
    <n v="28.3"/>
    <n v="5.6"/>
  </r>
  <r>
    <x v="0"/>
    <s v="Clothing retailing"/>
    <s v="2020-07-01"/>
    <x v="1"/>
    <s v="July     "/>
    <s v="7"/>
    <n v="29.1"/>
    <n v="24.36"/>
  </r>
  <r>
    <x v="0"/>
    <s v="Clothing retailing"/>
    <s v="2020-08-01"/>
    <x v="1"/>
    <s v="August   "/>
    <s v="8"/>
    <n v="26.1"/>
    <n v="20.83"/>
  </r>
  <r>
    <x v="0"/>
    <s v="Clothing retailing"/>
    <s v="2020-09-01"/>
    <x v="1"/>
    <s v="September"/>
    <s v="9"/>
    <n v="26.8"/>
    <n v="29.47"/>
  </r>
  <r>
    <x v="0"/>
    <s v="Clothing retailing"/>
    <s v="2020-10-01"/>
    <x v="1"/>
    <s v="October  "/>
    <s v="10"/>
    <n v="31.1"/>
    <n v="29.58"/>
  </r>
  <r>
    <x v="0"/>
    <s v="Clothing retailing"/>
    <s v="2020-11-01"/>
    <x v="1"/>
    <s v="November "/>
    <s v="11"/>
    <n v="35.1"/>
    <n v="30"/>
  </r>
  <r>
    <x v="0"/>
    <s v="Clothing retailing"/>
    <s v="2020-12-01"/>
    <x v="1"/>
    <s v="December "/>
    <s v="12"/>
    <n v="46.1"/>
    <n v="22.93"/>
  </r>
  <r>
    <x v="0"/>
    <s v="Clothing retailing"/>
    <s v="2021-01-01"/>
    <x v="2"/>
    <s v="January  "/>
    <s v="1"/>
    <n v="28"/>
    <n v="29.03"/>
  </r>
  <r>
    <x v="0"/>
    <s v="Clothing retailing"/>
    <s v="2021-02-01"/>
    <x v="2"/>
    <s v="February "/>
    <s v="2"/>
    <n v="24"/>
    <n v="19.399999999999999"/>
  </r>
  <r>
    <x v="0"/>
    <s v="Clothing retailing"/>
    <s v="2021-03-01"/>
    <x v="2"/>
    <s v="March    "/>
    <s v="3"/>
    <n v="29.7"/>
    <n v="73.680000000000007"/>
  </r>
  <r>
    <x v="0"/>
    <s v="Clothing retailing"/>
    <s v="2021-04-01"/>
    <x v="2"/>
    <s v="April    "/>
    <s v="4"/>
    <n v="32.6"/>
    <n v="258.24"/>
  </r>
  <r>
    <x v="0"/>
    <s v="Clothing retailing"/>
    <s v="2021-05-01"/>
    <x v="2"/>
    <s v="May      "/>
    <s v="5"/>
    <n v="33.5"/>
    <n v="40.17"/>
  </r>
  <r>
    <x v="0"/>
    <s v="Clothing retailing"/>
    <s v="2021-06-01"/>
    <x v="2"/>
    <s v="June     "/>
    <s v="6"/>
    <n v="31.3"/>
    <n v="10.6"/>
  </r>
  <r>
    <x v="0"/>
    <s v="Clothing retailing"/>
    <s v="2021-07-01"/>
    <x v="2"/>
    <s v="July     "/>
    <s v="7"/>
    <n v="29.8"/>
    <n v="2.41"/>
  </r>
  <r>
    <x v="0"/>
    <s v="Clothing retailing"/>
    <s v="2021-08-01"/>
    <x v="2"/>
    <s v="August   "/>
    <s v="8"/>
    <n v="12.6"/>
    <n v="-51.72"/>
  </r>
  <r>
    <x v="0"/>
    <s v="Clothing retailing"/>
    <s v="2021-09-01"/>
    <x v="2"/>
    <s v="September"/>
    <s v="9"/>
    <n v="4.5999999999999996"/>
    <n v="-82.84"/>
  </r>
  <r>
    <x v="0"/>
    <s v="Clothing retailing"/>
    <s v="2021-10-01"/>
    <x v="2"/>
    <s v="October  "/>
    <s v="10"/>
    <n v="10.8"/>
    <n v="-65.27"/>
  </r>
  <r>
    <x v="0"/>
    <s v="Clothing retailing"/>
    <s v="2021-11-01"/>
    <x v="2"/>
    <s v="November "/>
    <s v="11"/>
    <n v="32.1"/>
    <n v="-8.5500000000000007"/>
  </r>
  <r>
    <x v="0"/>
    <s v="Clothing retailing"/>
    <s v="2021-12-01"/>
    <x v="2"/>
    <s v="December "/>
    <s v="12"/>
    <n v="40.4"/>
    <n v="-12.36"/>
  </r>
  <r>
    <x v="0"/>
    <s v="Clothing retailing"/>
    <s v="2022-01-01"/>
    <x v="3"/>
    <s v="January  "/>
    <s v="1"/>
    <n v="22.6"/>
    <n v="-19.29"/>
  </r>
  <r>
    <x v="0"/>
    <s v="Clothing retailing"/>
    <s v="2022-02-01"/>
    <x v="3"/>
    <s v="February "/>
    <s v="2"/>
    <n v="21"/>
    <n v="-12.5"/>
  </r>
  <r>
    <x v="0"/>
    <s v="Clothing retailing"/>
    <s v="2022-03-01"/>
    <x v="3"/>
    <s v="March    "/>
    <s v="3"/>
    <n v="25.7"/>
    <n v="-13.47"/>
  </r>
  <r>
    <x v="0"/>
    <s v="Clothing retailing"/>
    <s v="2022-04-01"/>
    <x v="3"/>
    <s v="April    "/>
    <s v="4"/>
    <n v="30.5"/>
    <n v="-6.44"/>
  </r>
  <r>
    <x v="0"/>
    <s v="Clothing retailing"/>
    <s v="2022-05-01"/>
    <x v="3"/>
    <s v="May      "/>
    <s v="5"/>
    <n v="27.9"/>
    <n v="-16.72"/>
  </r>
  <r>
    <x v="0"/>
    <s v="Clothing retailing"/>
    <s v="2022-06-01"/>
    <x v="3"/>
    <s v="June     "/>
    <s v="6"/>
    <n v="26.1"/>
    <n v="-16.61"/>
  </r>
  <r>
    <x v="0"/>
    <s v="Clothing retailing"/>
    <s v="2022-07-01"/>
    <x v="3"/>
    <s v="July     "/>
    <s v="7"/>
    <n v="25"/>
    <n v="-16.11"/>
  </r>
  <r>
    <x v="0"/>
    <s v="Clothing retailing"/>
    <s v="2022-08-01"/>
    <x v="3"/>
    <s v="August   "/>
    <s v="8"/>
    <n v="21"/>
    <n v="66.67"/>
  </r>
  <r>
    <x v="0"/>
    <s v="Clothing retailing"/>
    <s v="2022-09-01"/>
    <x v="3"/>
    <s v="September"/>
    <s v="9"/>
    <n v="23.2"/>
    <n v="404.35"/>
  </r>
  <r>
    <x v="0"/>
    <s v="Clothing retailing"/>
    <s v="2022-10-01"/>
    <x v="3"/>
    <s v="October  "/>
    <s v="10"/>
    <n v="23.7"/>
    <n v="119.44"/>
  </r>
  <r>
    <x v="0"/>
    <s v="Clothing retailing"/>
    <s v="2022-11-01"/>
    <x v="3"/>
    <s v="November "/>
    <s v="11"/>
    <n v="29.2"/>
    <n v="-9.0299999999999994"/>
  </r>
  <r>
    <x v="0"/>
    <s v="Clothing retailing"/>
    <s v="2022-12-01"/>
    <x v="3"/>
    <s v="December "/>
    <s v="12"/>
    <n v="37.9"/>
    <n v="-6.19"/>
  </r>
  <r>
    <x v="0"/>
    <s v="Clothing retailing"/>
    <s v="2023-01-01"/>
    <x v="4"/>
    <s v="January  "/>
    <s v="1"/>
    <n v="23.4"/>
    <n v="3.54"/>
  </r>
  <r>
    <x v="0"/>
    <s v="Clothing retailing"/>
    <s v="2023-02-01"/>
    <x v="4"/>
    <s v="February "/>
    <s v="2"/>
    <n v="20.399999999999999"/>
    <n v="-2.86"/>
  </r>
  <r>
    <x v="0"/>
    <s v="Clothing retailing"/>
    <s v="2023-03-01"/>
    <x v="4"/>
    <s v="March    "/>
    <s v="3"/>
    <n v="24.8"/>
    <n v="-3.5"/>
  </r>
  <r>
    <x v="0"/>
    <s v="Clothing retailing"/>
    <s v="2023-04-01"/>
    <x v="4"/>
    <s v="April    "/>
    <s v="4"/>
    <n v="29.4"/>
    <n v="-3.61"/>
  </r>
  <r>
    <x v="0"/>
    <s v="Clothing retailing"/>
    <s v="2023-05-01"/>
    <x v="4"/>
    <s v="May      "/>
    <s v="5"/>
    <n v="29.3"/>
    <n v="5.0199999999999996"/>
  </r>
  <r>
    <x v="0"/>
    <s v="Clothing retailing"/>
    <s v="2023-06-01"/>
    <x v="4"/>
    <s v="June     "/>
    <s v="6"/>
    <n v="27.1"/>
    <n v="3.83"/>
  </r>
  <r>
    <x v="0"/>
    <s v="Clothing retailing"/>
    <s v="2023-07-01"/>
    <x v="4"/>
    <s v="July     "/>
    <s v="7"/>
    <n v="24.8"/>
    <n v="-0.8"/>
  </r>
  <r>
    <x v="0"/>
    <s v="Clothing retailing"/>
    <s v="2023-08-01"/>
    <x v="4"/>
    <s v="August   "/>
    <s v="8"/>
    <n v="23.3"/>
    <n v="10.95"/>
  </r>
  <r>
    <x v="0"/>
    <s v="Clothing retailing"/>
    <s v="2023-09-01"/>
    <x v="4"/>
    <s v="September"/>
    <s v="9"/>
    <n v="26.6"/>
    <n v="14.66"/>
  </r>
  <r>
    <x v="0"/>
    <s v="Clothing retailing"/>
    <s v="2023-10-01"/>
    <x v="4"/>
    <s v="October  "/>
    <s v="10"/>
    <n v="27.2"/>
    <n v="14.77"/>
  </r>
  <r>
    <x v="0"/>
    <s v="Clothing retailing"/>
    <s v="2023-11-01"/>
    <x v="4"/>
    <s v="November "/>
    <s v="11"/>
    <n v="33.9"/>
    <n v="16.100000000000001"/>
  </r>
  <r>
    <x v="0"/>
    <s v="Clothing retailing"/>
    <s v="2023-12-01"/>
    <x v="4"/>
    <s v="December "/>
    <s v="12"/>
    <n v="40.700000000000003"/>
    <n v="7.39"/>
  </r>
  <r>
    <x v="0"/>
    <s v="Clothing retailing"/>
    <s v="2024-01-01"/>
    <x v="5"/>
    <s v="January  "/>
    <s v="1"/>
    <n v="25.1"/>
    <n v="7.26"/>
  </r>
  <r>
    <x v="0"/>
    <s v="Clothing retailing"/>
    <s v="2024-02-01"/>
    <x v="5"/>
    <s v="February "/>
    <s v="2"/>
    <n v="21.9"/>
    <n v="7.35"/>
  </r>
  <r>
    <x v="0"/>
    <s v="Clothing retailing"/>
    <s v="2024-03-01"/>
    <x v="5"/>
    <s v="March    "/>
    <s v="3"/>
    <n v="25.5"/>
    <n v="2.82"/>
  </r>
  <r>
    <x v="0"/>
    <s v="Clothing retailing"/>
    <s v="2024-04-01"/>
    <x v="5"/>
    <s v="April    "/>
    <s v="4"/>
    <n v="28.9"/>
    <n v="-1.7"/>
  </r>
  <r>
    <x v="0"/>
    <s v="Clothing retailing"/>
    <s v="2024-05-01"/>
    <x v="5"/>
    <s v="May      "/>
    <s v="5"/>
    <n v="28.8"/>
    <n v="-1.71"/>
  </r>
  <r>
    <x v="0"/>
    <s v="Clothing retailing"/>
    <s v="2024-06-01"/>
    <x v="5"/>
    <s v="June     "/>
    <s v="6"/>
    <n v="27.3"/>
    <n v="0.74"/>
  </r>
  <r>
    <x v="0"/>
    <s v="Clothing retailing"/>
    <s v="2024-07-01"/>
    <x v="5"/>
    <s v="July     "/>
    <s v="7"/>
    <n v="25"/>
    <n v="0.81"/>
  </r>
  <r>
    <x v="0"/>
    <s v="Clothing retailing"/>
    <s v="2024-08-01"/>
    <x v="5"/>
    <s v="August   "/>
    <s v="8"/>
    <n v="23.9"/>
    <n v="2.58"/>
  </r>
  <r>
    <x v="0"/>
    <s v="Clothing retailing"/>
    <s v="2024-09-01"/>
    <x v="5"/>
    <s v="September"/>
    <s v="9"/>
    <n v="24.4"/>
    <n v="-8.27"/>
  </r>
  <r>
    <x v="0"/>
    <s v="Clothing retailing"/>
    <s v="2024-10-01"/>
    <x v="5"/>
    <s v="October  "/>
    <s v="10"/>
    <n v="26.4"/>
    <n v="-2.94"/>
  </r>
  <r>
    <x v="0"/>
    <s v="Clothing retailing"/>
    <s v="2024-11-01"/>
    <x v="5"/>
    <s v="November "/>
    <s v="11"/>
    <n v="32"/>
    <n v="-5.6"/>
  </r>
  <r>
    <x v="0"/>
    <s v="Clothing retailing"/>
    <s v="2024-12-01"/>
    <x v="5"/>
    <s v="December "/>
    <s v="12"/>
    <n v="41.7"/>
    <n v="2.46"/>
  </r>
  <r>
    <x v="0"/>
    <s v="Clothing retailing"/>
    <s v="2025-01-01"/>
    <x v="6"/>
    <s v="January  "/>
    <s v="1"/>
    <n v="24.6"/>
    <n v="-1.99"/>
  </r>
  <r>
    <x v="0"/>
    <s v="Clothing retailing"/>
    <s v="2025-02-01"/>
    <x v="6"/>
    <s v="February "/>
    <s v="2"/>
    <n v="20.8"/>
    <n v="-5.0199999999999996"/>
  </r>
  <r>
    <x v="0"/>
    <s v="Clothing retailing"/>
    <s v="2025-03-01"/>
    <x v="6"/>
    <s v="March    "/>
    <s v="3"/>
    <n v="24.3"/>
    <n v="-4.71"/>
  </r>
  <r>
    <x v="0"/>
    <s v="Clothing retailing"/>
    <s v="2025-04-01"/>
    <x v="6"/>
    <s v="April    "/>
    <s v="4"/>
    <n v="25.8"/>
    <n v="-10.73"/>
  </r>
  <r>
    <x v="0"/>
    <s v="Clothing retailing"/>
    <s v="2025-05-01"/>
    <x v="6"/>
    <s v="May      "/>
    <s v="5"/>
    <n v="28.5"/>
    <n v="-1.04"/>
  </r>
  <r>
    <x v="0"/>
    <s v="Clothing retailing"/>
    <s v="2025-06-01"/>
    <x v="6"/>
    <s v="June     "/>
    <s v="6"/>
    <n v="28"/>
    <n v="2.56"/>
  </r>
  <r>
    <x v="0"/>
    <s v="Department stores"/>
    <s v="2019-01-01"/>
    <x v="0"/>
    <s v="January  "/>
    <s v="1"/>
    <n v="27.9"/>
    <m/>
  </r>
  <r>
    <x v="0"/>
    <s v="Department stores"/>
    <s v="2019-02-01"/>
    <x v="0"/>
    <s v="February "/>
    <s v="2"/>
    <n v="21.9"/>
    <m/>
  </r>
  <r>
    <x v="0"/>
    <s v="Department stores"/>
    <s v="2019-03-01"/>
    <x v="0"/>
    <s v="March    "/>
    <s v="3"/>
    <n v="28.1"/>
    <m/>
  </r>
  <r>
    <x v="0"/>
    <s v="Department stores"/>
    <s v="2019-04-01"/>
    <x v="0"/>
    <s v="April    "/>
    <s v="4"/>
    <n v="31"/>
    <m/>
  </r>
  <r>
    <x v="0"/>
    <s v="Department stores"/>
    <s v="2019-05-01"/>
    <x v="0"/>
    <s v="May      "/>
    <s v="5"/>
    <n v="30.2"/>
    <m/>
  </r>
  <r>
    <x v="0"/>
    <s v="Department stores"/>
    <s v="2019-06-01"/>
    <x v="0"/>
    <s v="June     "/>
    <s v="6"/>
    <n v="30.7"/>
    <m/>
  </r>
  <r>
    <x v="0"/>
    <s v="Department stores"/>
    <s v="2019-07-01"/>
    <x v="0"/>
    <s v="July     "/>
    <s v="7"/>
    <n v="28"/>
    <m/>
  </r>
  <r>
    <x v="0"/>
    <s v="Department stores"/>
    <s v="2019-08-01"/>
    <x v="0"/>
    <s v="August   "/>
    <s v="8"/>
    <n v="26.8"/>
    <m/>
  </r>
  <r>
    <x v="0"/>
    <s v="Department stores"/>
    <s v="2019-09-01"/>
    <x v="0"/>
    <s v="September"/>
    <s v="9"/>
    <n v="27.1"/>
    <m/>
  </r>
  <r>
    <x v="0"/>
    <s v="Department stores"/>
    <s v="2019-10-01"/>
    <x v="0"/>
    <s v="October  "/>
    <s v="10"/>
    <n v="30.3"/>
    <m/>
  </r>
  <r>
    <x v="0"/>
    <s v="Department stores"/>
    <s v="2019-11-01"/>
    <x v="0"/>
    <s v="November "/>
    <s v="11"/>
    <n v="35.200000000000003"/>
    <m/>
  </r>
  <r>
    <x v="0"/>
    <s v="Department stores"/>
    <s v="2019-12-01"/>
    <x v="0"/>
    <s v="December "/>
    <s v="12"/>
    <n v="57"/>
    <m/>
  </r>
  <r>
    <x v="0"/>
    <s v="Department stores"/>
    <s v="2020-01-01"/>
    <x v="1"/>
    <s v="January  "/>
    <s v="1"/>
    <n v="27.5"/>
    <n v="-1.43"/>
  </r>
  <r>
    <x v="0"/>
    <s v="Department stores"/>
    <s v="2020-02-01"/>
    <x v="1"/>
    <s v="February "/>
    <s v="2"/>
    <n v="23.5"/>
    <n v="7.31"/>
  </r>
  <r>
    <x v="0"/>
    <s v="Department stores"/>
    <s v="2020-03-01"/>
    <x v="1"/>
    <s v="March    "/>
    <s v="3"/>
    <n v="25.6"/>
    <n v="-8.9"/>
  </r>
  <r>
    <x v="0"/>
    <s v="Department stores"/>
    <s v="2020-04-01"/>
    <x v="1"/>
    <s v="April    "/>
    <s v="4"/>
    <n v="22.8"/>
    <n v="-26.45"/>
  </r>
  <r>
    <x v="0"/>
    <s v="Department stores"/>
    <s v="2020-05-01"/>
    <x v="1"/>
    <s v="May      "/>
    <s v="5"/>
    <n v="32"/>
    <n v="5.96"/>
  </r>
  <r>
    <x v="0"/>
    <s v="Department stores"/>
    <s v="2020-06-01"/>
    <x v="1"/>
    <s v="June     "/>
    <s v="6"/>
    <n v="30.6"/>
    <n v="-0.33"/>
  </r>
  <r>
    <x v="0"/>
    <s v="Department stores"/>
    <s v="2020-07-01"/>
    <x v="1"/>
    <s v="July     "/>
    <s v="7"/>
    <n v="29.6"/>
    <n v="5.71"/>
  </r>
  <r>
    <x v="0"/>
    <s v="Department stores"/>
    <s v="2020-08-01"/>
    <x v="1"/>
    <s v="August   "/>
    <s v="8"/>
    <n v="26.9"/>
    <n v="0.37"/>
  </r>
  <r>
    <x v="0"/>
    <s v="Department stores"/>
    <s v="2020-09-01"/>
    <x v="1"/>
    <s v="September"/>
    <s v="9"/>
    <n v="28.2"/>
    <n v="4.0599999999999996"/>
  </r>
  <r>
    <x v="0"/>
    <s v="Department stores"/>
    <s v="2020-10-01"/>
    <x v="1"/>
    <s v="October  "/>
    <s v="10"/>
    <n v="32.1"/>
    <n v="5.94"/>
  </r>
  <r>
    <x v="0"/>
    <s v="Department stores"/>
    <s v="2020-11-01"/>
    <x v="1"/>
    <s v="November "/>
    <s v="11"/>
    <n v="37"/>
    <n v="5.1100000000000003"/>
  </r>
  <r>
    <x v="0"/>
    <s v="Department stores"/>
    <s v="2020-12-01"/>
    <x v="1"/>
    <s v="December "/>
    <s v="12"/>
    <n v="59.9"/>
    <n v="5.09"/>
  </r>
  <r>
    <x v="0"/>
    <s v="Department stores"/>
    <s v="2021-01-01"/>
    <x v="2"/>
    <s v="January  "/>
    <s v="1"/>
    <n v="31.2"/>
    <n v="13.45"/>
  </r>
  <r>
    <x v="0"/>
    <s v="Department stores"/>
    <s v="2021-02-01"/>
    <x v="2"/>
    <s v="February "/>
    <s v="2"/>
    <n v="25.7"/>
    <n v="9.36"/>
  </r>
  <r>
    <x v="0"/>
    <s v="Department stores"/>
    <s v="2021-03-01"/>
    <x v="2"/>
    <s v="March    "/>
    <s v="3"/>
    <n v="34.1"/>
    <n v="33.200000000000003"/>
  </r>
  <r>
    <x v="0"/>
    <s v="Department stores"/>
    <s v="2021-04-01"/>
    <x v="2"/>
    <s v="April    "/>
    <s v="4"/>
    <n v="33.6"/>
    <n v="47.37"/>
  </r>
  <r>
    <x v="0"/>
    <s v="Department stores"/>
    <s v="2021-05-01"/>
    <x v="2"/>
    <s v="May      "/>
    <s v="5"/>
    <n v="33.799999999999997"/>
    <n v="5.63"/>
  </r>
  <r>
    <x v="0"/>
    <s v="Department stores"/>
    <s v="2021-06-01"/>
    <x v="2"/>
    <s v="June     "/>
    <s v="6"/>
    <n v="32.700000000000003"/>
    <n v="6.86"/>
  </r>
  <r>
    <x v="0"/>
    <s v="Department stores"/>
    <s v="2021-07-01"/>
    <x v="2"/>
    <s v="July     "/>
    <s v="7"/>
    <n v="31"/>
    <n v="4.7300000000000004"/>
  </r>
  <r>
    <x v="0"/>
    <s v="Department stores"/>
    <s v="2021-08-01"/>
    <x v="2"/>
    <s v="August   "/>
    <s v="8"/>
    <n v="12.7"/>
    <n v="-52.79"/>
  </r>
  <r>
    <x v="0"/>
    <s v="Department stores"/>
    <s v="2021-09-01"/>
    <x v="2"/>
    <s v="September"/>
    <s v="9"/>
    <n v="0.6"/>
    <n v="-97.87"/>
  </r>
  <r>
    <x v="0"/>
    <s v="Department stores"/>
    <s v="2021-10-01"/>
    <x v="2"/>
    <s v="October  "/>
    <s v="10"/>
    <n v="17.100000000000001"/>
    <n v="-46.73"/>
  </r>
  <r>
    <x v="0"/>
    <s v="Department stores"/>
    <s v="2021-11-01"/>
    <x v="2"/>
    <s v="November "/>
    <s v="11"/>
    <n v="42.5"/>
    <n v="14.86"/>
  </r>
  <r>
    <x v="0"/>
    <s v="Department stores"/>
    <s v="2021-12-01"/>
    <x v="2"/>
    <s v="December "/>
    <s v="12"/>
    <n v="55.9"/>
    <n v="-6.68"/>
  </r>
  <r>
    <x v="0"/>
    <s v="Department stores"/>
    <s v="2022-01-01"/>
    <x v="3"/>
    <s v="January  "/>
    <s v="1"/>
    <n v="29"/>
    <n v="-7.05"/>
  </r>
  <r>
    <x v="0"/>
    <s v="Department stores"/>
    <s v="2022-02-01"/>
    <x v="3"/>
    <s v="February "/>
    <s v="2"/>
    <n v="24.4"/>
    <n v="-5.0599999999999996"/>
  </r>
  <r>
    <x v="0"/>
    <s v="Department stores"/>
    <s v="2022-03-01"/>
    <x v="3"/>
    <s v="March    "/>
    <s v="3"/>
    <n v="31.4"/>
    <n v="-7.92"/>
  </r>
  <r>
    <x v="0"/>
    <s v="Department stores"/>
    <s v="2022-04-01"/>
    <x v="3"/>
    <s v="April    "/>
    <s v="4"/>
    <n v="35.299999999999997"/>
    <n v="5.0599999999999996"/>
  </r>
  <r>
    <x v="0"/>
    <s v="Department stores"/>
    <s v="2022-05-01"/>
    <x v="3"/>
    <s v="May      "/>
    <s v="5"/>
    <n v="34.200000000000003"/>
    <n v="1.18"/>
  </r>
  <r>
    <x v="0"/>
    <s v="Department stores"/>
    <s v="2022-06-01"/>
    <x v="3"/>
    <s v="June     "/>
    <s v="6"/>
    <n v="34.9"/>
    <n v="6.73"/>
  </r>
  <r>
    <x v="0"/>
    <s v="Department stores"/>
    <s v="2022-07-01"/>
    <x v="3"/>
    <s v="July     "/>
    <s v="7"/>
    <n v="33.299999999999997"/>
    <n v="7.42"/>
  </r>
  <r>
    <x v="0"/>
    <s v="Department stores"/>
    <s v="2022-08-01"/>
    <x v="3"/>
    <s v="August   "/>
    <s v="8"/>
    <n v="30.5"/>
    <n v="140.16"/>
  </r>
  <r>
    <x v="0"/>
    <s v="Department stores"/>
    <s v="2022-09-01"/>
    <x v="3"/>
    <s v="September"/>
    <s v="9"/>
    <n v="34.4"/>
    <n v="5633.33"/>
  </r>
  <r>
    <x v="0"/>
    <s v="Department stores"/>
    <s v="2022-10-01"/>
    <x v="3"/>
    <s v="October  "/>
    <s v="10"/>
    <n v="36.4"/>
    <n v="112.87"/>
  </r>
  <r>
    <x v="0"/>
    <s v="Department stores"/>
    <s v="2022-11-01"/>
    <x v="3"/>
    <s v="November "/>
    <s v="11"/>
    <n v="43.7"/>
    <n v="2.82"/>
  </r>
  <r>
    <x v="0"/>
    <s v="Department stores"/>
    <s v="2022-12-01"/>
    <x v="3"/>
    <s v="December "/>
    <s v="12"/>
    <n v="61.6"/>
    <n v="10.199999999999999"/>
  </r>
  <r>
    <x v="0"/>
    <s v="Department stores"/>
    <s v="2023-01-01"/>
    <x v="4"/>
    <s v="January  "/>
    <s v="1"/>
    <n v="33.700000000000003"/>
    <n v="16.21"/>
  </r>
  <r>
    <x v="0"/>
    <s v="Department stores"/>
    <s v="2023-02-01"/>
    <x v="4"/>
    <s v="February "/>
    <s v="2"/>
    <n v="25.7"/>
    <n v="5.33"/>
  </r>
  <r>
    <x v="0"/>
    <s v="Department stores"/>
    <s v="2023-03-01"/>
    <x v="4"/>
    <s v="March    "/>
    <s v="3"/>
    <n v="33.200000000000003"/>
    <n v="5.73"/>
  </r>
  <r>
    <x v="0"/>
    <s v="Department stores"/>
    <s v="2023-04-01"/>
    <x v="4"/>
    <s v="April    "/>
    <s v="4"/>
    <n v="36.9"/>
    <n v="4.53"/>
  </r>
  <r>
    <x v="0"/>
    <s v="Department stores"/>
    <s v="2023-05-01"/>
    <x v="4"/>
    <s v="May      "/>
    <s v="5"/>
    <n v="35.5"/>
    <n v="3.8"/>
  </r>
  <r>
    <x v="0"/>
    <s v="Department stores"/>
    <s v="2023-06-01"/>
    <x v="4"/>
    <s v="June     "/>
    <s v="6"/>
    <n v="33.700000000000003"/>
    <n v="-3.44"/>
  </r>
  <r>
    <x v="0"/>
    <s v="Department stores"/>
    <s v="2023-07-01"/>
    <x v="4"/>
    <s v="July     "/>
    <s v="7"/>
    <n v="33.299999999999997"/>
    <n v="0"/>
  </r>
  <r>
    <x v="0"/>
    <s v="Department stores"/>
    <s v="2023-08-01"/>
    <x v="4"/>
    <s v="August   "/>
    <s v="8"/>
    <n v="30.7"/>
    <n v="0.66"/>
  </r>
  <r>
    <x v="0"/>
    <s v="Department stores"/>
    <s v="2023-09-01"/>
    <x v="4"/>
    <s v="September"/>
    <s v="9"/>
    <n v="34.200000000000003"/>
    <n v="-0.57999999999999996"/>
  </r>
  <r>
    <x v="0"/>
    <s v="Department stores"/>
    <s v="2023-10-01"/>
    <x v="4"/>
    <s v="October  "/>
    <s v="10"/>
    <n v="35.1"/>
    <n v="-3.57"/>
  </r>
  <r>
    <x v="0"/>
    <s v="Department stores"/>
    <s v="2023-11-01"/>
    <x v="4"/>
    <s v="November "/>
    <s v="11"/>
    <n v="45.2"/>
    <n v="3.43"/>
  </r>
  <r>
    <x v="0"/>
    <s v="Department stores"/>
    <s v="2023-12-01"/>
    <x v="4"/>
    <s v="December "/>
    <s v="12"/>
    <n v="62.7"/>
    <n v="1.79"/>
  </r>
  <r>
    <x v="0"/>
    <s v="Department stores"/>
    <s v="2024-01-01"/>
    <x v="5"/>
    <s v="January  "/>
    <s v="1"/>
    <n v="32"/>
    <n v="-5.04"/>
  </r>
  <r>
    <x v="0"/>
    <s v="Department stores"/>
    <s v="2024-02-01"/>
    <x v="5"/>
    <s v="February "/>
    <s v="2"/>
    <n v="26.8"/>
    <n v="4.28"/>
  </r>
  <r>
    <x v="0"/>
    <s v="Department stores"/>
    <s v="2024-03-01"/>
    <x v="5"/>
    <s v="March    "/>
    <s v="3"/>
    <n v="33.799999999999997"/>
    <n v="1.81"/>
  </r>
  <r>
    <x v="0"/>
    <s v="Department stores"/>
    <s v="2024-04-01"/>
    <x v="5"/>
    <s v="April    "/>
    <s v="4"/>
    <n v="34.6"/>
    <n v="-6.23"/>
  </r>
  <r>
    <x v="0"/>
    <s v="Department stores"/>
    <s v="2024-05-01"/>
    <x v="5"/>
    <s v="May      "/>
    <s v="5"/>
    <n v="34.700000000000003"/>
    <n v="-2.25"/>
  </r>
  <r>
    <x v="0"/>
    <s v="Department stores"/>
    <s v="2024-06-01"/>
    <x v="5"/>
    <s v="June     "/>
    <s v="6"/>
    <n v="34.799999999999997"/>
    <n v="3.26"/>
  </r>
  <r>
    <x v="0"/>
    <s v="Department stores"/>
    <s v="2024-07-01"/>
    <x v="5"/>
    <s v="July     "/>
    <s v="7"/>
    <n v="32.299999999999997"/>
    <n v="-3"/>
  </r>
  <r>
    <x v="0"/>
    <s v="Department stores"/>
    <s v="2024-08-01"/>
    <x v="5"/>
    <s v="August   "/>
    <s v="8"/>
    <n v="31.3"/>
    <n v="1.95"/>
  </r>
  <r>
    <x v="0"/>
    <s v="Department stores"/>
    <s v="2024-09-01"/>
    <x v="5"/>
    <s v="September"/>
    <s v="9"/>
    <n v="32.1"/>
    <n v="-6.14"/>
  </r>
  <r>
    <x v="0"/>
    <s v="Department stores"/>
    <s v="2024-10-01"/>
    <x v="5"/>
    <s v="October  "/>
    <s v="10"/>
    <n v="34.700000000000003"/>
    <n v="-1.1399999999999999"/>
  </r>
  <r>
    <x v="0"/>
    <s v="Department stores"/>
    <s v="2024-11-01"/>
    <x v="5"/>
    <s v="November "/>
    <s v="11"/>
    <n v="45.8"/>
    <n v="1.33"/>
  </r>
  <r>
    <x v="0"/>
    <s v="Department stores"/>
    <s v="2024-12-01"/>
    <x v="5"/>
    <s v="December "/>
    <s v="12"/>
    <n v="62"/>
    <n v="-1.1200000000000001"/>
  </r>
  <r>
    <x v="0"/>
    <s v="Department stores"/>
    <s v="2025-01-01"/>
    <x v="6"/>
    <s v="January  "/>
    <s v="1"/>
    <n v="32"/>
    <n v="0"/>
  </r>
  <r>
    <x v="0"/>
    <s v="Department stores"/>
    <s v="2025-02-01"/>
    <x v="6"/>
    <s v="February "/>
    <s v="2"/>
    <n v="27.2"/>
    <n v="1.49"/>
  </r>
  <r>
    <x v="0"/>
    <s v="Department stores"/>
    <s v="2025-03-01"/>
    <x v="6"/>
    <s v="March    "/>
    <s v="3"/>
    <n v="32.9"/>
    <n v="-2.66"/>
  </r>
  <r>
    <x v="0"/>
    <s v="Department stores"/>
    <s v="2025-04-01"/>
    <x v="6"/>
    <s v="April    "/>
    <s v="4"/>
    <n v="34.200000000000003"/>
    <n v="-1.1599999999999999"/>
  </r>
  <r>
    <x v="0"/>
    <s v="Department stores"/>
    <s v="2025-05-01"/>
    <x v="6"/>
    <s v="May      "/>
    <s v="5"/>
    <n v="35.1"/>
    <n v="1.1499999999999999"/>
  </r>
  <r>
    <x v="0"/>
    <s v="Department stores"/>
    <s v="2025-06-01"/>
    <x v="6"/>
    <s v="June     "/>
    <s v="6"/>
    <n v="37.1"/>
    <n v="6.61"/>
  </r>
  <r>
    <x v="0"/>
    <s v="Electrical and electronic goods retailing"/>
    <s v="2019-01-01"/>
    <x v="0"/>
    <s v="January  "/>
    <s v="1"/>
    <n v="38.799999999999997"/>
    <m/>
  </r>
  <r>
    <x v="0"/>
    <s v="Electrical and electronic goods retailing"/>
    <s v="2019-02-01"/>
    <x v="0"/>
    <s v="February "/>
    <s v="2"/>
    <n v="33.200000000000003"/>
    <m/>
  </r>
  <r>
    <x v="0"/>
    <s v="Electrical and electronic goods retailing"/>
    <s v="2019-03-01"/>
    <x v="0"/>
    <s v="March    "/>
    <s v="3"/>
    <n v="35.299999999999997"/>
    <m/>
  </r>
  <r>
    <x v="0"/>
    <s v="Electrical and electronic goods retailing"/>
    <s v="2019-04-01"/>
    <x v="0"/>
    <s v="April    "/>
    <s v="4"/>
    <n v="31.5"/>
    <m/>
  </r>
  <r>
    <x v="0"/>
    <s v="Electrical and electronic goods retailing"/>
    <s v="2019-05-01"/>
    <x v="0"/>
    <s v="May      "/>
    <s v="5"/>
    <n v="35.4"/>
    <m/>
  </r>
  <r>
    <x v="0"/>
    <s v="Electrical and electronic goods retailing"/>
    <s v="2019-06-01"/>
    <x v="0"/>
    <s v="June     "/>
    <s v="6"/>
    <n v="39.6"/>
    <m/>
  </r>
  <r>
    <x v="0"/>
    <s v="Electrical and electronic goods retailing"/>
    <s v="2019-07-01"/>
    <x v="0"/>
    <s v="July     "/>
    <s v="7"/>
    <n v="34.9"/>
    <m/>
  </r>
  <r>
    <x v="0"/>
    <s v="Electrical and electronic goods retailing"/>
    <s v="2019-08-01"/>
    <x v="0"/>
    <s v="August   "/>
    <s v="8"/>
    <n v="34.9"/>
    <m/>
  </r>
  <r>
    <x v="0"/>
    <s v="Electrical and electronic goods retailing"/>
    <s v="2019-09-01"/>
    <x v="0"/>
    <s v="September"/>
    <s v="9"/>
    <n v="33.799999999999997"/>
    <m/>
  </r>
  <r>
    <x v="0"/>
    <s v="Electrical and electronic goods retailing"/>
    <s v="2019-10-01"/>
    <x v="0"/>
    <s v="October  "/>
    <s v="10"/>
    <n v="34.799999999999997"/>
    <m/>
  </r>
  <r>
    <x v="0"/>
    <s v="Electrical and electronic goods retailing"/>
    <s v="2019-11-01"/>
    <x v="0"/>
    <s v="November "/>
    <s v="11"/>
    <n v="41.5"/>
    <m/>
  </r>
  <r>
    <x v="0"/>
    <s v="Electrical and electronic goods retailing"/>
    <s v="2019-12-01"/>
    <x v="0"/>
    <s v="December "/>
    <s v="12"/>
    <n v="58"/>
    <m/>
  </r>
  <r>
    <x v="0"/>
    <s v="Electrical and electronic goods retailing"/>
    <s v="2020-01-01"/>
    <x v="1"/>
    <s v="January  "/>
    <s v="1"/>
    <n v="36.799999999999997"/>
    <n v="-5.15"/>
  </r>
  <r>
    <x v="0"/>
    <s v="Electrical and electronic goods retailing"/>
    <s v="2020-02-01"/>
    <x v="1"/>
    <s v="February "/>
    <s v="2"/>
    <n v="34.299999999999997"/>
    <n v="3.31"/>
  </r>
  <r>
    <x v="0"/>
    <s v="Electrical and electronic goods retailing"/>
    <s v="2020-03-01"/>
    <x v="1"/>
    <s v="March    "/>
    <s v="3"/>
    <n v="41.5"/>
    <n v="17.559999999999999"/>
  </r>
  <r>
    <x v="0"/>
    <s v="Electrical and electronic goods retailing"/>
    <s v="2020-04-01"/>
    <x v="1"/>
    <s v="April    "/>
    <s v="4"/>
    <n v="34"/>
    <n v="7.94"/>
  </r>
  <r>
    <x v="0"/>
    <s v="Electrical and electronic goods retailing"/>
    <s v="2020-05-01"/>
    <x v="1"/>
    <s v="May      "/>
    <s v="5"/>
    <n v="42.1"/>
    <n v="18.93"/>
  </r>
  <r>
    <x v="0"/>
    <s v="Electrical and electronic goods retailing"/>
    <s v="2020-06-01"/>
    <x v="1"/>
    <s v="June     "/>
    <s v="6"/>
    <n v="44.9"/>
    <n v="13.38"/>
  </r>
  <r>
    <x v="0"/>
    <s v="Electrical and electronic goods retailing"/>
    <s v="2020-07-01"/>
    <x v="1"/>
    <s v="July     "/>
    <s v="7"/>
    <n v="44.2"/>
    <n v="26.65"/>
  </r>
  <r>
    <x v="0"/>
    <s v="Electrical and electronic goods retailing"/>
    <s v="2020-08-01"/>
    <x v="1"/>
    <s v="August   "/>
    <s v="8"/>
    <n v="45"/>
    <n v="28.94"/>
  </r>
  <r>
    <x v="0"/>
    <s v="Electrical and electronic goods retailing"/>
    <s v="2020-09-01"/>
    <x v="1"/>
    <s v="September"/>
    <s v="9"/>
    <n v="40.799999999999997"/>
    <n v="20.71"/>
  </r>
  <r>
    <x v="0"/>
    <s v="Electrical and electronic goods retailing"/>
    <s v="2020-10-01"/>
    <x v="1"/>
    <s v="October  "/>
    <s v="10"/>
    <n v="42.5"/>
    <n v="22.13"/>
  </r>
  <r>
    <x v="0"/>
    <s v="Electrical and electronic goods retailing"/>
    <s v="2020-11-01"/>
    <x v="1"/>
    <s v="November "/>
    <s v="11"/>
    <n v="53.5"/>
    <n v="28.92"/>
  </r>
  <r>
    <x v="0"/>
    <s v="Electrical and electronic goods retailing"/>
    <s v="2020-12-01"/>
    <x v="1"/>
    <s v="December "/>
    <s v="12"/>
    <n v="64.8"/>
    <n v="11.72"/>
  </r>
  <r>
    <x v="0"/>
    <s v="Electrical and electronic goods retailing"/>
    <s v="2021-01-01"/>
    <x v="2"/>
    <s v="January  "/>
    <s v="1"/>
    <n v="42.4"/>
    <n v="15.22"/>
  </r>
  <r>
    <x v="0"/>
    <s v="Electrical and electronic goods retailing"/>
    <s v="2021-02-01"/>
    <x v="2"/>
    <s v="February "/>
    <s v="2"/>
    <n v="40.299999999999997"/>
    <n v="17.489999999999998"/>
  </r>
  <r>
    <x v="0"/>
    <s v="Electrical and electronic goods retailing"/>
    <s v="2021-03-01"/>
    <x v="2"/>
    <s v="March    "/>
    <s v="3"/>
    <n v="39.799999999999997"/>
    <n v="-4.0999999999999996"/>
  </r>
  <r>
    <x v="0"/>
    <s v="Electrical and electronic goods retailing"/>
    <s v="2021-04-01"/>
    <x v="2"/>
    <s v="April    "/>
    <s v="4"/>
    <n v="36.6"/>
    <n v="7.65"/>
  </r>
  <r>
    <x v="0"/>
    <s v="Electrical and electronic goods retailing"/>
    <s v="2021-05-01"/>
    <x v="2"/>
    <s v="May      "/>
    <s v="5"/>
    <n v="41.6"/>
    <n v="-1.19"/>
  </r>
  <r>
    <x v="0"/>
    <s v="Electrical and electronic goods retailing"/>
    <s v="2021-06-01"/>
    <x v="2"/>
    <s v="June     "/>
    <s v="6"/>
    <n v="46.6"/>
    <n v="3.79"/>
  </r>
  <r>
    <x v="0"/>
    <s v="Electrical and electronic goods retailing"/>
    <s v="2021-07-01"/>
    <x v="2"/>
    <s v="July     "/>
    <s v="7"/>
    <n v="48.3"/>
    <n v="9.2799999999999994"/>
  </r>
  <r>
    <x v="0"/>
    <s v="Electrical and electronic goods retailing"/>
    <s v="2021-08-01"/>
    <x v="2"/>
    <s v="August   "/>
    <s v="8"/>
    <n v="29.2"/>
    <n v="-35.11"/>
  </r>
  <r>
    <x v="0"/>
    <s v="Electrical and electronic goods retailing"/>
    <s v="2021-09-01"/>
    <x v="2"/>
    <s v="September"/>
    <s v="9"/>
    <n v="26.9"/>
    <n v="-34.07"/>
  </r>
  <r>
    <x v="0"/>
    <s v="Electrical and electronic goods retailing"/>
    <s v="2021-10-01"/>
    <x v="2"/>
    <s v="October  "/>
    <s v="10"/>
    <n v="34.9"/>
    <n v="-17.88"/>
  </r>
  <r>
    <x v="0"/>
    <s v="Electrical and electronic goods retailing"/>
    <s v="2021-11-01"/>
    <x v="2"/>
    <s v="November "/>
    <s v="11"/>
    <n v="55.2"/>
    <n v="3.18"/>
  </r>
  <r>
    <x v="0"/>
    <s v="Electrical and electronic goods retailing"/>
    <s v="2021-12-01"/>
    <x v="2"/>
    <s v="December "/>
    <s v="12"/>
    <n v="63.5"/>
    <n v="-2.0099999999999998"/>
  </r>
  <r>
    <x v="0"/>
    <s v="Electrical and electronic goods retailing"/>
    <s v="2022-01-01"/>
    <x v="3"/>
    <s v="January  "/>
    <s v="1"/>
    <n v="43"/>
    <n v="1.42"/>
  </r>
  <r>
    <x v="0"/>
    <s v="Electrical and electronic goods retailing"/>
    <s v="2022-02-01"/>
    <x v="3"/>
    <s v="February "/>
    <s v="2"/>
    <n v="41.1"/>
    <n v="1.99"/>
  </r>
  <r>
    <x v="0"/>
    <s v="Electrical and electronic goods retailing"/>
    <s v="2022-03-01"/>
    <x v="3"/>
    <s v="March    "/>
    <s v="3"/>
    <n v="43.1"/>
    <n v="8.2899999999999991"/>
  </r>
  <r>
    <x v="0"/>
    <s v="Electrical and electronic goods retailing"/>
    <s v="2022-04-01"/>
    <x v="3"/>
    <s v="April    "/>
    <s v="4"/>
    <n v="40.799999999999997"/>
    <n v="11.48"/>
  </r>
  <r>
    <x v="0"/>
    <s v="Electrical and electronic goods retailing"/>
    <s v="2022-05-01"/>
    <x v="3"/>
    <s v="May      "/>
    <s v="5"/>
    <n v="40.799999999999997"/>
    <n v="-1.92"/>
  </r>
  <r>
    <x v="0"/>
    <s v="Electrical and electronic goods retailing"/>
    <s v="2022-06-01"/>
    <x v="3"/>
    <s v="June     "/>
    <s v="6"/>
    <n v="47.7"/>
    <n v="2.36"/>
  </r>
  <r>
    <x v="0"/>
    <s v="Electrical and electronic goods retailing"/>
    <s v="2022-07-01"/>
    <x v="3"/>
    <s v="July     "/>
    <s v="7"/>
    <n v="46.5"/>
    <n v="-3.73"/>
  </r>
  <r>
    <x v="0"/>
    <s v="Electrical and electronic goods retailing"/>
    <s v="2022-08-01"/>
    <x v="3"/>
    <s v="August   "/>
    <s v="8"/>
    <n v="45.3"/>
    <n v="55.14"/>
  </r>
  <r>
    <x v="0"/>
    <s v="Electrical and electronic goods retailing"/>
    <s v="2022-09-01"/>
    <x v="3"/>
    <s v="September"/>
    <s v="9"/>
    <n v="46"/>
    <n v="71"/>
  </r>
  <r>
    <x v="0"/>
    <s v="Electrical and electronic goods retailing"/>
    <s v="2022-10-01"/>
    <x v="3"/>
    <s v="October  "/>
    <s v="10"/>
    <n v="47.2"/>
    <n v="35.24"/>
  </r>
  <r>
    <x v="0"/>
    <s v="Electrical and electronic goods retailing"/>
    <s v="2022-11-01"/>
    <x v="3"/>
    <s v="November "/>
    <s v="11"/>
    <n v="53.1"/>
    <n v="-3.8"/>
  </r>
  <r>
    <x v="0"/>
    <s v="Electrical and electronic goods retailing"/>
    <s v="2022-12-01"/>
    <x v="3"/>
    <s v="December "/>
    <s v="12"/>
    <n v="61.2"/>
    <n v="-3.62"/>
  </r>
  <r>
    <x v="0"/>
    <s v="Electrical and electronic goods retailing"/>
    <s v="2023-01-01"/>
    <x v="4"/>
    <s v="January  "/>
    <s v="1"/>
    <n v="44.4"/>
    <n v="3.26"/>
  </r>
  <r>
    <x v="0"/>
    <s v="Electrical and electronic goods retailing"/>
    <s v="2023-02-01"/>
    <x v="4"/>
    <s v="February "/>
    <s v="2"/>
    <n v="41.6"/>
    <n v="1.22"/>
  </r>
  <r>
    <x v="0"/>
    <s v="Electrical and electronic goods retailing"/>
    <s v="2023-03-01"/>
    <x v="4"/>
    <s v="March    "/>
    <s v="3"/>
    <n v="42.5"/>
    <n v="-1.39"/>
  </r>
  <r>
    <x v="0"/>
    <s v="Electrical and electronic goods retailing"/>
    <s v="2023-04-01"/>
    <x v="4"/>
    <s v="April    "/>
    <s v="4"/>
    <n v="37.9"/>
    <n v="-7.11"/>
  </r>
  <r>
    <x v="0"/>
    <s v="Electrical and electronic goods retailing"/>
    <s v="2023-05-01"/>
    <x v="4"/>
    <s v="May      "/>
    <s v="5"/>
    <n v="42.7"/>
    <n v="4.66"/>
  </r>
  <r>
    <x v="0"/>
    <s v="Electrical and electronic goods retailing"/>
    <s v="2023-06-01"/>
    <x v="4"/>
    <s v="June     "/>
    <s v="6"/>
    <n v="49.3"/>
    <n v="3.35"/>
  </r>
  <r>
    <x v="0"/>
    <s v="Electrical and electronic goods retailing"/>
    <s v="2023-07-01"/>
    <x v="4"/>
    <s v="July     "/>
    <s v="7"/>
    <n v="42.5"/>
    <n v="-8.6"/>
  </r>
  <r>
    <x v="0"/>
    <s v="Electrical and electronic goods retailing"/>
    <s v="2023-08-01"/>
    <x v="4"/>
    <s v="August   "/>
    <s v="8"/>
    <n v="40.9"/>
    <n v="-9.7100000000000009"/>
  </r>
  <r>
    <x v="0"/>
    <s v="Electrical and electronic goods retailing"/>
    <s v="2023-09-01"/>
    <x v="4"/>
    <s v="September"/>
    <s v="9"/>
    <n v="43.8"/>
    <n v="-4.78"/>
  </r>
  <r>
    <x v="0"/>
    <s v="Electrical and electronic goods retailing"/>
    <s v="2023-10-01"/>
    <x v="4"/>
    <s v="October  "/>
    <s v="10"/>
    <n v="42.6"/>
    <n v="-9.75"/>
  </r>
  <r>
    <x v="0"/>
    <s v="Electrical and electronic goods retailing"/>
    <s v="2023-11-01"/>
    <x v="4"/>
    <s v="November "/>
    <s v="11"/>
    <n v="56.6"/>
    <n v="6.59"/>
  </r>
  <r>
    <x v="0"/>
    <s v="Electrical and electronic goods retailing"/>
    <s v="2023-12-01"/>
    <x v="4"/>
    <s v="December "/>
    <s v="12"/>
    <n v="61.2"/>
    <n v="0"/>
  </r>
  <r>
    <x v="0"/>
    <s v="Electrical and electronic goods retailing"/>
    <s v="2024-01-01"/>
    <x v="5"/>
    <s v="January  "/>
    <s v="1"/>
    <n v="41.6"/>
    <n v="-6.31"/>
  </r>
  <r>
    <x v="0"/>
    <s v="Electrical and electronic goods retailing"/>
    <s v="2024-02-01"/>
    <x v="5"/>
    <s v="February "/>
    <s v="2"/>
    <n v="38.700000000000003"/>
    <n v="-6.97"/>
  </r>
  <r>
    <x v="0"/>
    <s v="Electrical and electronic goods retailing"/>
    <s v="2024-03-01"/>
    <x v="5"/>
    <s v="March    "/>
    <s v="3"/>
    <n v="38.799999999999997"/>
    <n v="-8.7100000000000009"/>
  </r>
  <r>
    <x v="0"/>
    <s v="Electrical and electronic goods retailing"/>
    <s v="2024-04-01"/>
    <x v="5"/>
    <s v="April    "/>
    <s v="4"/>
    <n v="36.9"/>
    <n v="-2.64"/>
  </r>
  <r>
    <x v="0"/>
    <s v="Electrical and electronic goods retailing"/>
    <s v="2024-05-01"/>
    <x v="5"/>
    <s v="May      "/>
    <s v="5"/>
    <n v="41.1"/>
    <n v="-3.75"/>
  </r>
  <r>
    <x v="0"/>
    <s v="Electrical and electronic goods retailing"/>
    <s v="2024-06-01"/>
    <x v="5"/>
    <s v="June     "/>
    <s v="6"/>
    <n v="47"/>
    <n v="-4.67"/>
  </r>
  <r>
    <x v="0"/>
    <s v="Electrical and electronic goods retailing"/>
    <s v="2024-07-01"/>
    <x v="5"/>
    <s v="July     "/>
    <s v="7"/>
    <n v="40.5"/>
    <n v="-4.71"/>
  </r>
  <r>
    <x v="0"/>
    <s v="Electrical and electronic goods retailing"/>
    <s v="2024-08-01"/>
    <x v="5"/>
    <s v="August   "/>
    <s v="8"/>
    <n v="39.700000000000003"/>
    <n v="-2.93"/>
  </r>
  <r>
    <x v="0"/>
    <s v="Electrical and electronic goods retailing"/>
    <s v="2024-09-01"/>
    <x v="5"/>
    <s v="September"/>
    <s v="9"/>
    <n v="41.9"/>
    <n v="-4.34"/>
  </r>
  <r>
    <x v="0"/>
    <s v="Electrical and electronic goods retailing"/>
    <s v="2024-10-01"/>
    <x v="5"/>
    <s v="October  "/>
    <s v="10"/>
    <n v="43.9"/>
    <n v="3.05"/>
  </r>
  <r>
    <x v="0"/>
    <s v="Electrical and electronic goods retailing"/>
    <s v="2024-11-01"/>
    <x v="5"/>
    <s v="November "/>
    <s v="11"/>
    <n v="55.8"/>
    <n v="-1.41"/>
  </r>
  <r>
    <x v="0"/>
    <s v="Electrical and electronic goods retailing"/>
    <s v="2024-12-01"/>
    <x v="5"/>
    <s v="December "/>
    <s v="12"/>
    <n v="64"/>
    <n v="4.58"/>
  </r>
  <r>
    <x v="0"/>
    <s v="Electrical and electronic goods retailing"/>
    <s v="2025-01-01"/>
    <x v="6"/>
    <s v="January  "/>
    <s v="1"/>
    <n v="43.4"/>
    <n v="4.33"/>
  </r>
  <r>
    <x v="0"/>
    <s v="Electrical and electronic goods retailing"/>
    <s v="2025-02-01"/>
    <x v="6"/>
    <s v="February "/>
    <s v="2"/>
    <n v="38.799999999999997"/>
    <n v="0.26"/>
  </r>
  <r>
    <x v="0"/>
    <s v="Electrical and electronic goods retailing"/>
    <s v="2025-03-01"/>
    <x v="6"/>
    <s v="March    "/>
    <s v="3"/>
    <n v="41.4"/>
    <n v="6.7"/>
  </r>
  <r>
    <x v="0"/>
    <s v="Electrical and electronic goods retailing"/>
    <s v="2025-04-01"/>
    <x v="6"/>
    <s v="April    "/>
    <s v="4"/>
    <n v="37.6"/>
    <n v="1.9"/>
  </r>
  <r>
    <x v="0"/>
    <s v="Electrical and electronic goods retailing"/>
    <s v="2025-05-01"/>
    <x v="6"/>
    <s v="May      "/>
    <s v="5"/>
    <n v="40.700000000000003"/>
    <n v="-0.97"/>
  </r>
  <r>
    <x v="0"/>
    <s v="Electrical and electronic goods retailing"/>
    <s v="2025-06-01"/>
    <x v="6"/>
    <s v="June     "/>
    <s v="6"/>
    <n v="49.7"/>
    <n v="5.74"/>
  </r>
  <r>
    <x v="0"/>
    <s v="Footwear and other personal accessory retailing"/>
    <s v="2019-01-01"/>
    <x v="0"/>
    <s v="January  "/>
    <s v="1"/>
    <n v="13"/>
    <m/>
  </r>
  <r>
    <x v="0"/>
    <s v="Footwear and other personal accessory retailing"/>
    <s v="2019-02-01"/>
    <x v="0"/>
    <s v="February "/>
    <s v="2"/>
    <n v="11.1"/>
    <m/>
  </r>
  <r>
    <x v="0"/>
    <s v="Footwear and other personal accessory retailing"/>
    <s v="2019-03-01"/>
    <x v="0"/>
    <s v="March    "/>
    <s v="3"/>
    <n v="12.4"/>
    <m/>
  </r>
  <r>
    <x v="0"/>
    <s v="Footwear and other personal accessory retailing"/>
    <s v="2019-04-01"/>
    <x v="0"/>
    <s v="April    "/>
    <s v="4"/>
    <n v="12.4"/>
    <m/>
  </r>
  <r>
    <x v="0"/>
    <s v="Footwear and other personal accessory retailing"/>
    <s v="2019-05-01"/>
    <x v="0"/>
    <s v="May      "/>
    <s v="5"/>
    <n v="13.6"/>
    <m/>
  </r>
  <r>
    <x v="0"/>
    <s v="Footwear and other personal accessory retailing"/>
    <s v="2019-06-01"/>
    <x v="0"/>
    <s v="June     "/>
    <s v="6"/>
    <n v="12.8"/>
    <m/>
  </r>
  <r>
    <x v="0"/>
    <s v="Footwear and other personal accessory retailing"/>
    <s v="2019-07-01"/>
    <x v="0"/>
    <s v="July     "/>
    <s v="7"/>
    <n v="11.8"/>
    <m/>
  </r>
  <r>
    <x v="0"/>
    <s v="Footwear and other personal accessory retailing"/>
    <s v="2019-08-01"/>
    <x v="0"/>
    <s v="August   "/>
    <s v="8"/>
    <n v="12.3"/>
    <m/>
  </r>
  <r>
    <x v="0"/>
    <s v="Footwear and other personal accessory retailing"/>
    <s v="2019-09-01"/>
    <x v="0"/>
    <s v="September"/>
    <s v="9"/>
    <n v="12"/>
    <m/>
  </r>
  <r>
    <x v="0"/>
    <s v="Footwear and other personal accessory retailing"/>
    <s v="2019-10-01"/>
    <x v="0"/>
    <s v="October  "/>
    <s v="10"/>
    <n v="12.7"/>
    <m/>
  </r>
  <r>
    <x v="0"/>
    <s v="Footwear and other personal accessory retailing"/>
    <s v="2019-11-01"/>
    <x v="0"/>
    <s v="November "/>
    <s v="11"/>
    <n v="15.1"/>
    <m/>
  </r>
  <r>
    <x v="0"/>
    <s v="Footwear and other personal accessory retailing"/>
    <s v="2019-12-01"/>
    <x v="0"/>
    <s v="December "/>
    <s v="12"/>
    <n v="23.3"/>
    <m/>
  </r>
  <r>
    <x v="0"/>
    <s v="Footwear and other personal accessory retailing"/>
    <s v="2020-01-01"/>
    <x v="1"/>
    <s v="January  "/>
    <s v="1"/>
    <n v="12.6"/>
    <n v="-3.08"/>
  </r>
  <r>
    <x v="0"/>
    <s v="Footwear and other personal accessory retailing"/>
    <s v="2020-02-01"/>
    <x v="1"/>
    <s v="February "/>
    <s v="2"/>
    <n v="11.5"/>
    <n v="3.6"/>
  </r>
  <r>
    <x v="0"/>
    <s v="Footwear and other personal accessory retailing"/>
    <s v="2020-03-01"/>
    <x v="1"/>
    <s v="March    "/>
    <s v="3"/>
    <n v="10.1"/>
    <n v="-18.55"/>
  </r>
  <r>
    <x v="0"/>
    <s v="Footwear and other personal accessory retailing"/>
    <s v="2020-04-01"/>
    <x v="1"/>
    <s v="April    "/>
    <s v="4"/>
    <n v="4.9000000000000004"/>
    <n v="-60.48"/>
  </r>
  <r>
    <x v="0"/>
    <s v="Footwear and other personal accessory retailing"/>
    <s v="2020-05-01"/>
    <x v="1"/>
    <s v="May      "/>
    <s v="5"/>
    <n v="11.4"/>
    <n v="-16.18"/>
  </r>
  <r>
    <x v="0"/>
    <s v="Footwear and other personal accessory retailing"/>
    <s v="2020-06-01"/>
    <x v="1"/>
    <s v="June     "/>
    <s v="6"/>
    <n v="12.2"/>
    <n v="-4.6900000000000004"/>
  </r>
  <r>
    <x v="0"/>
    <s v="Footwear and other personal accessory retailing"/>
    <s v="2020-07-01"/>
    <x v="1"/>
    <s v="July     "/>
    <s v="7"/>
    <n v="13.6"/>
    <n v="15.25"/>
  </r>
  <r>
    <x v="0"/>
    <s v="Footwear and other personal accessory retailing"/>
    <s v="2020-08-01"/>
    <x v="1"/>
    <s v="August   "/>
    <s v="8"/>
    <n v="13.5"/>
    <n v="9.76"/>
  </r>
  <r>
    <x v="0"/>
    <s v="Footwear and other personal accessory retailing"/>
    <s v="2020-09-01"/>
    <x v="1"/>
    <s v="September"/>
    <s v="9"/>
    <n v="13.8"/>
    <n v="15"/>
  </r>
  <r>
    <x v="0"/>
    <s v="Footwear and other personal accessory retailing"/>
    <s v="2020-10-01"/>
    <x v="1"/>
    <s v="October  "/>
    <s v="10"/>
    <n v="15.1"/>
    <n v="18.899999999999999"/>
  </r>
  <r>
    <x v="0"/>
    <s v="Footwear and other personal accessory retailing"/>
    <s v="2020-11-01"/>
    <x v="1"/>
    <s v="November "/>
    <s v="11"/>
    <n v="16.7"/>
    <n v="10.6"/>
  </r>
  <r>
    <x v="0"/>
    <s v="Footwear and other personal accessory retailing"/>
    <s v="2020-12-01"/>
    <x v="1"/>
    <s v="December "/>
    <s v="12"/>
    <n v="27.1"/>
    <n v="16.309999999999999"/>
  </r>
  <r>
    <x v="0"/>
    <s v="Footwear and other personal accessory retailing"/>
    <s v="2021-01-01"/>
    <x v="2"/>
    <s v="January  "/>
    <s v="1"/>
    <n v="16.8"/>
    <n v="33.33"/>
  </r>
  <r>
    <x v="0"/>
    <s v="Footwear and other personal accessory retailing"/>
    <s v="2021-02-01"/>
    <x v="2"/>
    <s v="February "/>
    <s v="2"/>
    <n v="14.1"/>
    <n v="22.61"/>
  </r>
  <r>
    <x v="0"/>
    <s v="Footwear and other personal accessory retailing"/>
    <s v="2021-03-01"/>
    <x v="2"/>
    <s v="March    "/>
    <s v="3"/>
    <n v="14.8"/>
    <n v="46.53"/>
  </r>
  <r>
    <x v="0"/>
    <s v="Footwear and other personal accessory retailing"/>
    <s v="2021-04-01"/>
    <x v="2"/>
    <s v="April    "/>
    <s v="4"/>
    <n v="14.6"/>
    <n v="197.96"/>
  </r>
  <r>
    <x v="0"/>
    <s v="Footwear and other personal accessory retailing"/>
    <s v="2021-05-01"/>
    <x v="2"/>
    <s v="May      "/>
    <s v="5"/>
    <n v="15.8"/>
    <n v="38.6"/>
  </r>
  <r>
    <x v="0"/>
    <s v="Footwear and other personal accessory retailing"/>
    <s v="2021-06-01"/>
    <x v="2"/>
    <s v="June     "/>
    <s v="6"/>
    <n v="15.5"/>
    <n v="27.05"/>
  </r>
  <r>
    <x v="0"/>
    <s v="Footwear and other personal accessory retailing"/>
    <s v="2021-07-01"/>
    <x v="2"/>
    <s v="July     "/>
    <s v="7"/>
    <n v="16.399999999999999"/>
    <n v="20.59"/>
  </r>
  <r>
    <x v="0"/>
    <s v="Footwear and other personal accessory retailing"/>
    <s v="2021-08-01"/>
    <x v="2"/>
    <s v="August   "/>
    <s v="8"/>
    <n v="8.6"/>
    <n v="-36.299999999999997"/>
  </r>
  <r>
    <x v="0"/>
    <s v="Footwear and other personal accessory retailing"/>
    <s v="2021-09-01"/>
    <x v="2"/>
    <s v="September"/>
    <s v="9"/>
    <n v="4.3"/>
    <n v="-68.84"/>
  </r>
  <r>
    <x v="0"/>
    <s v="Footwear and other personal accessory retailing"/>
    <s v="2021-10-01"/>
    <x v="2"/>
    <s v="October  "/>
    <s v="10"/>
    <n v="9.1999999999999993"/>
    <n v="-39.07"/>
  </r>
  <r>
    <x v="0"/>
    <s v="Footwear and other personal accessory retailing"/>
    <s v="2021-11-01"/>
    <x v="2"/>
    <s v="November "/>
    <s v="11"/>
    <n v="20.9"/>
    <n v="25.15"/>
  </r>
  <r>
    <x v="0"/>
    <s v="Footwear and other personal accessory retailing"/>
    <s v="2021-12-01"/>
    <x v="2"/>
    <s v="December "/>
    <s v="12"/>
    <n v="27.1"/>
    <n v="0"/>
  </r>
  <r>
    <x v="0"/>
    <s v="Footwear and other personal accessory retailing"/>
    <s v="2022-01-01"/>
    <x v="3"/>
    <s v="January  "/>
    <s v="1"/>
    <n v="15.1"/>
    <n v="-10.119999999999999"/>
  </r>
  <r>
    <x v="0"/>
    <s v="Footwear and other personal accessory retailing"/>
    <s v="2022-02-01"/>
    <x v="3"/>
    <s v="February "/>
    <s v="2"/>
    <n v="13.8"/>
    <n v="-2.13"/>
  </r>
  <r>
    <x v="0"/>
    <s v="Footwear and other personal accessory retailing"/>
    <s v="2022-03-01"/>
    <x v="3"/>
    <s v="March    "/>
    <s v="3"/>
    <n v="14.2"/>
    <n v="-4.05"/>
  </r>
  <r>
    <x v="0"/>
    <s v="Footwear and other personal accessory retailing"/>
    <s v="2022-04-01"/>
    <x v="3"/>
    <s v="April    "/>
    <s v="4"/>
    <n v="15"/>
    <n v="2.74"/>
  </r>
  <r>
    <x v="0"/>
    <s v="Footwear and other personal accessory retailing"/>
    <s v="2022-05-01"/>
    <x v="3"/>
    <s v="May      "/>
    <s v="5"/>
    <n v="16.100000000000001"/>
    <n v="1.9"/>
  </r>
  <r>
    <x v="0"/>
    <s v="Footwear and other personal accessory retailing"/>
    <s v="2022-06-01"/>
    <x v="3"/>
    <s v="June     "/>
    <s v="6"/>
    <n v="15"/>
    <n v="-3.23"/>
  </r>
  <r>
    <x v="0"/>
    <s v="Footwear and other personal accessory retailing"/>
    <s v="2022-07-01"/>
    <x v="3"/>
    <s v="July     "/>
    <s v="7"/>
    <n v="15.3"/>
    <n v="-6.71"/>
  </r>
  <r>
    <x v="0"/>
    <s v="Footwear and other personal accessory retailing"/>
    <s v="2022-08-01"/>
    <x v="3"/>
    <s v="August   "/>
    <s v="8"/>
    <n v="15.4"/>
    <n v="79.069999999999993"/>
  </r>
  <r>
    <x v="0"/>
    <s v="Footwear and other personal accessory retailing"/>
    <s v="2022-09-01"/>
    <x v="3"/>
    <s v="September"/>
    <s v="9"/>
    <n v="16.100000000000001"/>
    <n v="274.42"/>
  </r>
  <r>
    <x v="0"/>
    <s v="Footwear and other personal accessory retailing"/>
    <s v="2022-10-01"/>
    <x v="3"/>
    <s v="October  "/>
    <s v="10"/>
    <n v="15.9"/>
    <n v="72.83"/>
  </r>
  <r>
    <x v="0"/>
    <s v="Footwear and other personal accessory retailing"/>
    <s v="2022-11-01"/>
    <x v="3"/>
    <s v="November "/>
    <s v="11"/>
    <n v="20"/>
    <n v="-4.3099999999999996"/>
  </r>
  <r>
    <x v="0"/>
    <s v="Footwear and other personal accessory retailing"/>
    <s v="2022-12-01"/>
    <x v="3"/>
    <s v="December "/>
    <s v="12"/>
    <n v="27.9"/>
    <n v="2.95"/>
  </r>
  <r>
    <x v="0"/>
    <s v="Footwear and other personal accessory retailing"/>
    <s v="2023-01-01"/>
    <x v="4"/>
    <s v="January  "/>
    <s v="1"/>
    <n v="17.7"/>
    <n v="17.22"/>
  </r>
  <r>
    <x v="0"/>
    <s v="Footwear and other personal accessory retailing"/>
    <s v="2023-02-01"/>
    <x v="4"/>
    <s v="February "/>
    <s v="2"/>
    <n v="13.8"/>
    <n v="0"/>
  </r>
  <r>
    <x v="0"/>
    <s v="Footwear and other personal accessory retailing"/>
    <s v="2023-03-01"/>
    <x v="4"/>
    <s v="March    "/>
    <s v="3"/>
    <n v="15.2"/>
    <n v="7.04"/>
  </r>
  <r>
    <x v="0"/>
    <s v="Footwear and other personal accessory retailing"/>
    <s v="2023-04-01"/>
    <x v="4"/>
    <s v="April    "/>
    <s v="4"/>
    <n v="15.1"/>
    <n v="0.67"/>
  </r>
  <r>
    <x v="0"/>
    <s v="Footwear and other personal accessory retailing"/>
    <s v="2023-05-01"/>
    <x v="4"/>
    <s v="May      "/>
    <s v="5"/>
    <n v="15.9"/>
    <n v="-1.24"/>
  </r>
  <r>
    <x v="0"/>
    <s v="Footwear and other personal accessory retailing"/>
    <s v="2023-06-01"/>
    <x v="4"/>
    <s v="June     "/>
    <s v="6"/>
    <n v="14.9"/>
    <n v="-0.67"/>
  </r>
  <r>
    <x v="0"/>
    <s v="Footwear and other personal accessory retailing"/>
    <s v="2023-07-01"/>
    <x v="4"/>
    <s v="July     "/>
    <s v="7"/>
    <n v="15.1"/>
    <n v="-1.31"/>
  </r>
  <r>
    <x v="0"/>
    <s v="Footwear and other personal accessory retailing"/>
    <s v="2023-08-01"/>
    <x v="4"/>
    <s v="August   "/>
    <s v="8"/>
    <n v="15.8"/>
    <n v="2.6"/>
  </r>
  <r>
    <x v="0"/>
    <s v="Footwear and other personal accessory retailing"/>
    <s v="2023-09-01"/>
    <x v="4"/>
    <s v="September"/>
    <s v="9"/>
    <n v="16.100000000000001"/>
    <n v="0"/>
  </r>
  <r>
    <x v="0"/>
    <s v="Footwear and other personal accessory retailing"/>
    <s v="2023-10-01"/>
    <x v="4"/>
    <s v="October  "/>
    <s v="10"/>
    <n v="16.3"/>
    <n v="2.52"/>
  </r>
  <r>
    <x v="0"/>
    <s v="Footwear and other personal accessory retailing"/>
    <s v="2023-11-01"/>
    <x v="4"/>
    <s v="November "/>
    <s v="11"/>
    <n v="20.7"/>
    <n v="3.5"/>
  </r>
  <r>
    <x v="0"/>
    <s v="Footwear and other personal accessory retailing"/>
    <s v="2023-12-01"/>
    <x v="4"/>
    <s v="December "/>
    <s v="12"/>
    <n v="28.1"/>
    <n v="0.72"/>
  </r>
  <r>
    <x v="0"/>
    <s v="Footwear and other personal accessory retailing"/>
    <s v="2024-01-01"/>
    <x v="5"/>
    <s v="January  "/>
    <s v="1"/>
    <n v="16.600000000000001"/>
    <n v="-6.21"/>
  </r>
  <r>
    <x v="0"/>
    <s v="Footwear and other personal accessory retailing"/>
    <s v="2024-02-01"/>
    <x v="5"/>
    <s v="February "/>
    <s v="2"/>
    <n v="14.7"/>
    <n v="6.52"/>
  </r>
  <r>
    <x v="0"/>
    <s v="Footwear and other personal accessory retailing"/>
    <s v="2024-03-01"/>
    <x v="5"/>
    <s v="March    "/>
    <s v="3"/>
    <n v="15.6"/>
    <n v="2.63"/>
  </r>
  <r>
    <x v="0"/>
    <s v="Footwear and other personal accessory retailing"/>
    <s v="2024-04-01"/>
    <x v="5"/>
    <s v="April    "/>
    <s v="4"/>
    <n v="15.6"/>
    <n v="3.31"/>
  </r>
  <r>
    <x v="0"/>
    <s v="Footwear and other personal accessory retailing"/>
    <s v="2024-05-01"/>
    <x v="5"/>
    <s v="May      "/>
    <s v="5"/>
    <n v="15.7"/>
    <n v="-1.26"/>
  </r>
  <r>
    <x v="0"/>
    <s v="Footwear and other personal accessory retailing"/>
    <s v="2024-06-01"/>
    <x v="5"/>
    <s v="June     "/>
    <s v="6"/>
    <n v="15.5"/>
    <n v="4.03"/>
  </r>
  <r>
    <x v="0"/>
    <s v="Footwear and other personal accessory retailing"/>
    <s v="2024-07-01"/>
    <x v="5"/>
    <s v="July     "/>
    <s v="7"/>
    <n v="15.2"/>
    <n v="0.66"/>
  </r>
  <r>
    <x v="0"/>
    <s v="Footwear and other personal accessory retailing"/>
    <s v="2024-08-01"/>
    <x v="5"/>
    <s v="August   "/>
    <s v="8"/>
    <n v="16.100000000000001"/>
    <n v="1.9"/>
  </r>
  <r>
    <x v="0"/>
    <s v="Footwear and other personal accessory retailing"/>
    <s v="2024-09-01"/>
    <x v="5"/>
    <s v="September"/>
    <s v="9"/>
    <n v="16"/>
    <n v="-0.62"/>
  </r>
  <r>
    <x v="0"/>
    <s v="Footwear and other personal accessory retailing"/>
    <s v="2024-10-01"/>
    <x v="5"/>
    <s v="October  "/>
    <s v="10"/>
    <n v="17.399999999999999"/>
    <n v="6.75"/>
  </r>
  <r>
    <x v="0"/>
    <s v="Footwear and other personal accessory retailing"/>
    <s v="2024-11-01"/>
    <x v="5"/>
    <s v="November "/>
    <s v="11"/>
    <n v="21.1"/>
    <n v="1.93"/>
  </r>
  <r>
    <x v="0"/>
    <s v="Footwear and other personal accessory retailing"/>
    <s v="2024-12-01"/>
    <x v="5"/>
    <s v="December "/>
    <s v="12"/>
    <n v="29.3"/>
    <n v="4.2699999999999996"/>
  </r>
  <r>
    <x v="0"/>
    <s v="Footwear and other personal accessory retailing"/>
    <s v="2025-01-01"/>
    <x v="6"/>
    <s v="January  "/>
    <s v="1"/>
    <n v="17.8"/>
    <n v="7.23"/>
  </r>
  <r>
    <x v="0"/>
    <s v="Footwear and other personal accessory retailing"/>
    <s v="2025-02-01"/>
    <x v="6"/>
    <s v="February "/>
    <s v="2"/>
    <n v="15.4"/>
    <n v="4.76"/>
  </r>
  <r>
    <x v="0"/>
    <s v="Footwear and other personal accessory retailing"/>
    <s v="2025-03-01"/>
    <x v="6"/>
    <s v="March    "/>
    <s v="3"/>
    <n v="16.399999999999999"/>
    <n v="5.13"/>
  </r>
  <r>
    <x v="0"/>
    <s v="Footwear and other personal accessory retailing"/>
    <s v="2025-04-01"/>
    <x v="6"/>
    <s v="April    "/>
    <s v="4"/>
    <n v="15.7"/>
    <n v="0.64"/>
  </r>
  <r>
    <x v="0"/>
    <s v="Footwear and other personal accessory retailing"/>
    <s v="2025-05-01"/>
    <x v="6"/>
    <s v="May      "/>
    <s v="5"/>
    <n v="17.2"/>
    <n v="9.5500000000000007"/>
  </r>
  <r>
    <x v="0"/>
    <s v="Footwear and other personal accessory retailing"/>
    <s v="2025-06-01"/>
    <x v="6"/>
    <s v="June     "/>
    <s v="6"/>
    <n v="15.8"/>
    <n v="1.94"/>
  </r>
  <r>
    <x v="0"/>
    <s v="Furniture, floor coverings, houseware and textile goods retailing"/>
    <s v="2019-01-01"/>
    <x v="0"/>
    <s v="January  "/>
    <s v="1"/>
    <n v="26.2"/>
    <m/>
  </r>
  <r>
    <x v="0"/>
    <s v="Furniture, floor coverings, houseware and textile goods retailing"/>
    <s v="2019-02-01"/>
    <x v="0"/>
    <s v="February "/>
    <s v="2"/>
    <n v="23.9"/>
    <m/>
  </r>
  <r>
    <x v="0"/>
    <s v="Furniture, floor coverings, houseware and textile goods retailing"/>
    <s v="2019-03-01"/>
    <x v="0"/>
    <s v="March    "/>
    <s v="3"/>
    <n v="24.6"/>
    <m/>
  </r>
  <r>
    <x v="0"/>
    <s v="Furniture, floor coverings, houseware and textile goods retailing"/>
    <s v="2019-04-01"/>
    <x v="0"/>
    <s v="April    "/>
    <s v="4"/>
    <n v="24.4"/>
    <m/>
  </r>
  <r>
    <x v="0"/>
    <s v="Furniture, floor coverings, houseware and textile goods retailing"/>
    <s v="2019-05-01"/>
    <x v="0"/>
    <s v="May      "/>
    <s v="5"/>
    <n v="24.8"/>
    <m/>
  </r>
  <r>
    <x v="0"/>
    <s v="Furniture, floor coverings, houseware and textile goods retailing"/>
    <s v="2019-06-01"/>
    <x v="0"/>
    <s v="June     "/>
    <s v="6"/>
    <n v="26.8"/>
    <m/>
  </r>
  <r>
    <x v="0"/>
    <s v="Furniture, floor coverings, houseware and textile goods retailing"/>
    <s v="2019-07-01"/>
    <x v="0"/>
    <s v="July     "/>
    <s v="7"/>
    <n v="26.5"/>
    <m/>
  </r>
  <r>
    <x v="0"/>
    <s v="Furniture, floor coverings, houseware and textile goods retailing"/>
    <s v="2019-08-01"/>
    <x v="0"/>
    <s v="August   "/>
    <s v="8"/>
    <n v="27.2"/>
    <m/>
  </r>
  <r>
    <x v="0"/>
    <s v="Furniture, floor coverings, houseware and textile goods retailing"/>
    <s v="2019-09-01"/>
    <x v="0"/>
    <s v="September"/>
    <s v="9"/>
    <n v="26.5"/>
    <m/>
  </r>
  <r>
    <x v="0"/>
    <s v="Furniture, floor coverings, houseware and textile goods retailing"/>
    <s v="2019-10-01"/>
    <x v="0"/>
    <s v="October  "/>
    <s v="10"/>
    <n v="30.9"/>
    <m/>
  </r>
  <r>
    <x v="0"/>
    <s v="Furniture, floor coverings, houseware and textile goods retailing"/>
    <s v="2019-11-01"/>
    <x v="0"/>
    <s v="November "/>
    <s v="11"/>
    <n v="31.9"/>
    <m/>
  </r>
  <r>
    <x v="0"/>
    <s v="Furniture, floor coverings, houseware and textile goods retailing"/>
    <s v="2019-12-01"/>
    <x v="0"/>
    <s v="December "/>
    <s v="12"/>
    <n v="35"/>
    <m/>
  </r>
  <r>
    <x v="0"/>
    <s v="Furniture, floor coverings, houseware and textile goods retailing"/>
    <s v="2020-01-01"/>
    <x v="1"/>
    <s v="January  "/>
    <s v="1"/>
    <n v="27.1"/>
    <n v="3.44"/>
  </r>
  <r>
    <x v="0"/>
    <s v="Furniture, floor coverings, houseware and textile goods retailing"/>
    <s v="2020-02-01"/>
    <x v="1"/>
    <s v="February "/>
    <s v="2"/>
    <n v="27.2"/>
    <n v="13.81"/>
  </r>
  <r>
    <x v="0"/>
    <s v="Furniture, floor coverings, houseware and textile goods retailing"/>
    <s v="2020-03-01"/>
    <x v="1"/>
    <s v="March    "/>
    <s v="3"/>
    <n v="27.4"/>
    <n v="11.38"/>
  </r>
  <r>
    <x v="0"/>
    <s v="Furniture, floor coverings, houseware and textile goods retailing"/>
    <s v="2020-04-01"/>
    <x v="1"/>
    <s v="April    "/>
    <s v="4"/>
    <n v="26.1"/>
    <n v="6.97"/>
  </r>
  <r>
    <x v="0"/>
    <s v="Furniture, floor coverings, houseware and textile goods retailing"/>
    <s v="2020-05-01"/>
    <x v="1"/>
    <s v="May      "/>
    <s v="5"/>
    <n v="33.9"/>
    <n v="36.69"/>
  </r>
  <r>
    <x v="0"/>
    <s v="Furniture, floor coverings, houseware and textile goods retailing"/>
    <s v="2020-06-01"/>
    <x v="1"/>
    <s v="June     "/>
    <s v="6"/>
    <n v="35.299999999999997"/>
    <n v="31.72"/>
  </r>
  <r>
    <x v="0"/>
    <s v="Furniture, floor coverings, houseware and textile goods retailing"/>
    <s v="2020-07-01"/>
    <x v="1"/>
    <s v="July     "/>
    <s v="7"/>
    <n v="38"/>
    <n v="43.4"/>
  </r>
  <r>
    <x v="0"/>
    <s v="Furniture, floor coverings, houseware and textile goods retailing"/>
    <s v="2020-08-01"/>
    <x v="1"/>
    <s v="August   "/>
    <s v="8"/>
    <n v="37.4"/>
    <n v="37.5"/>
  </r>
  <r>
    <x v="0"/>
    <s v="Furniture, floor coverings, houseware and textile goods retailing"/>
    <s v="2020-09-01"/>
    <x v="1"/>
    <s v="September"/>
    <s v="9"/>
    <n v="36.1"/>
    <n v="36.229999999999997"/>
  </r>
  <r>
    <x v="0"/>
    <s v="Furniture, floor coverings, houseware and textile goods retailing"/>
    <s v="2020-10-01"/>
    <x v="1"/>
    <s v="October  "/>
    <s v="10"/>
    <n v="39.9"/>
    <n v="29.13"/>
  </r>
  <r>
    <x v="0"/>
    <s v="Furniture, floor coverings, houseware and textile goods retailing"/>
    <s v="2020-11-01"/>
    <x v="1"/>
    <s v="November "/>
    <s v="11"/>
    <n v="39"/>
    <n v="22.26"/>
  </r>
  <r>
    <x v="0"/>
    <s v="Furniture, floor coverings, houseware and textile goods retailing"/>
    <s v="2020-12-01"/>
    <x v="1"/>
    <s v="December "/>
    <s v="12"/>
    <n v="41.8"/>
    <n v="19.43"/>
  </r>
  <r>
    <x v="0"/>
    <s v="Furniture, floor coverings, houseware and textile goods retailing"/>
    <s v="2021-01-01"/>
    <x v="2"/>
    <s v="January  "/>
    <s v="1"/>
    <n v="37.5"/>
    <n v="38.380000000000003"/>
  </r>
  <r>
    <x v="0"/>
    <s v="Furniture, floor coverings, houseware and textile goods retailing"/>
    <s v="2021-02-01"/>
    <x v="2"/>
    <s v="February "/>
    <s v="2"/>
    <n v="34.200000000000003"/>
    <n v="25.74"/>
  </r>
  <r>
    <x v="0"/>
    <s v="Furniture, floor coverings, houseware and textile goods retailing"/>
    <s v="2021-03-01"/>
    <x v="2"/>
    <s v="March    "/>
    <s v="3"/>
    <n v="33.9"/>
    <n v="23.72"/>
  </r>
  <r>
    <x v="0"/>
    <s v="Furniture, floor coverings, houseware and textile goods retailing"/>
    <s v="2021-04-01"/>
    <x v="2"/>
    <s v="April    "/>
    <s v="4"/>
    <n v="33.200000000000003"/>
    <n v="27.2"/>
  </r>
  <r>
    <x v="0"/>
    <s v="Furniture, floor coverings, houseware and textile goods retailing"/>
    <s v="2021-05-01"/>
    <x v="2"/>
    <s v="May      "/>
    <s v="5"/>
    <n v="32.700000000000003"/>
    <n v="-3.54"/>
  </r>
  <r>
    <x v="0"/>
    <s v="Furniture, floor coverings, houseware and textile goods retailing"/>
    <s v="2021-06-01"/>
    <x v="2"/>
    <s v="June     "/>
    <s v="6"/>
    <n v="36.6"/>
    <n v="3.68"/>
  </r>
  <r>
    <x v="0"/>
    <s v="Furniture, floor coverings, houseware and textile goods retailing"/>
    <s v="2021-07-01"/>
    <x v="2"/>
    <s v="July     "/>
    <s v="7"/>
    <n v="38.4"/>
    <n v="1.05"/>
  </r>
  <r>
    <x v="0"/>
    <s v="Furniture, floor coverings, houseware and textile goods retailing"/>
    <s v="2021-08-01"/>
    <x v="2"/>
    <s v="August   "/>
    <s v="8"/>
    <n v="21.6"/>
    <n v="-42.25"/>
  </r>
  <r>
    <x v="0"/>
    <s v="Furniture, floor coverings, houseware and textile goods retailing"/>
    <s v="2021-09-01"/>
    <x v="2"/>
    <s v="September"/>
    <s v="9"/>
    <n v="16.899999999999999"/>
    <n v="-53.19"/>
  </r>
  <r>
    <x v="0"/>
    <s v="Furniture, floor coverings, houseware and textile goods retailing"/>
    <s v="2021-10-01"/>
    <x v="2"/>
    <s v="October  "/>
    <s v="10"/>
    <n v="30.3"/>
    <n v="-24.06"/>
  </r>
  <r>
    <x v="0"/>
    <s v="Furniture, floor coverings, houseware and textile goods retailing"/>
    <s v="2021-11-01"/>
    <x v="2"/>
    <s v="November "/>
    <s v="11"/>
    <n v="44.4"/>
    <n v="13.85"/>
  </r>
  <r>
    <x v="0"/>
    <s v="Furniture, floor coverings, houseware and textile goods retailing"/>
    <s v="2021-12-01"/>
    <x v="2"/>
    <s v="December "/>
    <s v="12"/>
    <n v="42.1"/>
    <n v="0.72"/>
  </r>
  <r>
    <x v="0"/>
    <s v="Furniture, floor coverings, houseware and textile goods retailing"/>
    <s v="2022-01-01"/>
    <x v="3"/>
    <s v="January  "/>
    <s v="1"/>
    <n v="35.5"/>
    <n v="-5.33"/>
  </r>
  <r>
    <x v="0"/>
    <s v="Furniture, floor coverings, houseware and textile goods retailing"/>
    <s v="2022-02-01"/>
    <x v="3"/>
    <s v="February "/>
    <s v="2"/>
    <n v="32.299999999999997"/>
    <n v="-5.56"/>
  </r>
  <r>
    <x v="0"/>
    <s v="Furniture, floor coverings, houseware and textile goods retailing"/>
    <s v="2022-03-01"/>
    <x v="3"/>
    <s v="March    "/>
    <s v="3"/>
    <n v="36.299999999999997"/>
    <n v="7.08"/>
  </r>
  <r>
    <x v="0"/>
    <s v="Furniture, floor coverings, houseware and textile goods retailing"/>
    <s v="2022-04-01"/>
    <x v="3"/>
    <s v="April    "/>
    <s v="4"/>
    <n v="34.4"/>
    <n v="3.61"/>
  </r>
  <r>
    <x v="0"/>
    <s v="Furniture, floor coverings, houseware and textile goods retailing"/>
    <s v="2022-05-01"/>
    <x v="3"/>
    <s v="May      "/>
    <s v="5"/>
    <n v="36.799999999999997"/>
    <n v="12.54"/>
  </r>
  <r>
    <x v="0"/>
    <s v="Furniture, floor coverings, houseware and textile goods retailing"/>
    <s v="2022-06-01"/>
    <x v="3"/>
    <s v="June     "/>
    <s v="6"/>
    <n v="37.5"/>
    <n v="2.46"/>
  </r>
  <r>
    <x v="0"/>
    <s v="Furniture, floor coverings, houseware and textile goods retailing"/>
    <s v="2022-07-01"/>
    <x v="3"/>
    <s v="July     "/>
    <s v="7"/>
    <n v="38.9"/>
    <n v="1.3"/>
  </r>
  <r>
    <x v="0"/>
    <s v="Furniture, floor coverings, houseware and textile goods retailing"/>
    <s v="2022-08-01"/>
    <x v="3"/>
    <s v="August   "/>
    <s v="8"/>
    <n v="38.9"/>
    <n v="80.09"/>
  </r>
  <r>
    <x v="0"/>
    <s v="Furniture, floor coverings, houseware and textile goods retailing"/>
    <s v="2022-09-01"/>
    <x v="3"/>
    <s v="September"/>
    <s v="9"/>
    <n v="37.5"/>
    <n v="121.89"/>
  </r>
  <r>
    <x v="0"/>
    <s v="Furniture, floor coverings, houseware and textile goods retailing"/>
    <s v="2022-10-01"/>
    <x v="3"/>
    <s v="October  "/>
    <s v="10"/>
    <n v="38.299999999999997"/>
    <n v="26.4"/>
  </r>
  <r>
    <x v="0"/>
    <s v="Furniture, floor coverings, houseware and textile goods retailing"/>
    <s v="2022-11-01"/>
    <x v="3"/>
    <s v="November "/>
    <s v="11"/>
    <n v="41.9"/>
    <n v="-5.63"/>
  </r>
  <r>
    <x v="0"/>
    <s v="Furniture, floor coverings, houseware and textile goods retailing"/>
    <s v="2022-12-01"/>
    <x v="3"/>
    <s v="December "/>
    <s v="12"/>
    <n v="44"/>
    <n v="4.51"/>
  </r>
  <r>
    <x v="0"/>
    <s v="Furniture, floor coverings, houseware and textile goods retailing"/>
    <s v="2023-01-01"/>
    <x v="4"/>
    <s v="January  "/>
    <s v="1"/>
    <n v="37.5"/>
    <n v="5.63"/>
  </r>
  <r>
    <x v="0"/>
    <s v="Furniture, floor coverings, houseware and textile goods retailing"/>
    <s v="2023-02-01"/>
    <x v="4"/>
    <s v="February "/>
    <s v="2"/>
    <n v="36.200000000000003"/>
    <n v="12.07"/>
  </r>
  <r>
    <x v="0"/>
    <s v="Furniture, floor coverings, houseware and textile goods retailing"/>
    <s v="2023-03-01"/>
    <x v="4"/>
    <s v="March    "/>
    <s v="3"/>
    <n v="37.299999999999997"/>
    <n v="2.75"/>
  </r>
  <r>
    <x v="0"/>
    <s v="Furniture, floor coverings, houseware and textile goods retailing"/>
    <s v="2023-04-01"/>
    <x v="4"/>
    <s v="April    "/>
    <s v="4"/>
    <n v="35.1"/>
    <n v="2.0299999999999998"/>
  </r>
  <r>
    <x v="0"/>
    <s v="Furniture, floor coverings, houseware and textile goods retailing"/>
    <s v="2023-05-01"/>
    <x v="4"/>
    <s v="May      "/>
    <s v="5"/>
    <n v="36.1"/>
    <n v="-1.9"/>
  </r>
  <r>
    <x v="0"/>
    <s v="Furniture, floor coverings, houseware and textile goods retailing"/>
    <s v="2023-06-01"/>
    <x v="4"/>
    <s v="June     "/>
    <s v="6"/>
    <n v="34.1"/>
    <n v="-9.07"/>
  </r>
  <r>
    <x v="0"/>
    <s v="Furniture, floor coverings, houseware and textile goods retailing"/>
    <s v="2023-07-01"/>
    <x v="4"/>
    <s v="July     "/>
    <s v="7"/>
    <n v="35.299999999999997"/>
    <n v="-9.25"/>
  </r>
  <r>
    <x v="0"/>
    <s v="Furniture, floor coverings, houseware and textile goods retailing"/>
    <s v="2023-08-01"/>
    <x v="4"/>
    <s v="August   "/>
    <s v="8"/>
    <n v="33.4"/>
    <n v="-14.14"/>
  </r>
  <r>
    <x v="0"/>
    <s v="Furniture, floor coverings, houseware and textile goods retailing"/>
    <s v="2023-09-01"/>
    <x v="4"/>
    <s v="September"/>
    <s v="9"/>
    <n v="33.1"/>
    <n v="-11.73"/>
  </r>
  <r>
    <x v="0"/>
    <s v="Furniture, floor coverings, houseware and textile goods retailing"/>
    <s v="2023-10-01"/>
    <x v="4"/>
    <s v="October  "/>
    <s v="10"/>
    <n v="35.9"/>
    <n v="-6.27"/>
  </r>
  <r>
    <x v="0"/>
    <s v="Furniture, floor coverings, houseware and textile goods retailing"/>
    <s v="2023-11-01"/>
    <x v="4"/>
    <s v="November "/>
    <s v="11"/>
    <n v="39.6"/>
    <n v="-5.49"/>
  </r>
  <r>
    <x v="0"/>
    <s v="Furniture, floor coverings, houseware and textile goods retailing"/>
    <s v="2023-12-01"/>
    <x v="4"/>
    <s v="December "/>
    <s v="12"/>
    <n v="41.2"/>
    <n v="-6.36"/>
  </r>
  <r>
    <x v="0"/>
    <s v="Furniture, floor coverings, houseware and textile goods retailing"/>
    <s v="2024-01-01"/>
    <x v="5"/>
    <s v="January  "/>
    <s v="1"/>
    <n v="35.1"/>
    <n v="-6.4"/>
  </r>
  <r>
    <x v="0"/>
    <s v="Furniture, floor coverings, houseware and textile goods retailing"/>
    <s v="2024-02-01"/>
    <x v="5"/>
    <s v="February "/>
    <s v="2"/>
    <n v="33"/>
    <n v="-8.84"/>
  </r>
  <r>
    <x v="0"/>
    <s v="Furniture, floor coverings, houseware and textile goods retailing"/>
    <s v="2024-03-01"/>
    <x v="5"/>
    <s v="March    "/>
    <s v="3"/>
    <n v="33.299999999999997"/>
    <n v="-10.72"/>
  </r>
  <r>
    <x v="0"/>
    <s v="Furniture, floor coverings, houseware and textile goods retailing"/>
    <s v="2024-04-01"/>
    <x v="5"/>
    <s v="April    "/>
    <s v="4"/>
    <n v="31.3"/>
    <n v="-10.83"/>
  </r>
  <r>
    <x v="0"/>
    <s v="Furniture, floor coverings, houseware and textile goods retailing"/>
    <s v="2024-05-01"/>
    <x v="5"/>
    <s v="May      "/>
    <s v="5"/>
    <n v="32.6"/>
    <n v="-9.6999999999999993"/>
  </r>
  <r>
    <x v="0"/>
    <s v="Furniture, floor coverings, houseware and textile goods retailing"/>
    <s v="2024-06-01"/>
    <x v="5"/>
    <s v="June     "/>
    <s v="6"/>
    <n v="36.299999999999997"/>
    <n v="6.45"/>
  </r>
  <r>
    <x v="0"/>
    <s v="Furniture, floor coverings, houseware and textile goods retailing"/>
    <s v="2024-07-01"/>
    <x v="5"/>
    <s v="July     "/>
    <s v="7"/>
    <n v="33"/>
    <n v="-6.52"/>
  </r>
  <r>
    <x v="0"/>
    <s v="Furniture, floor coverings, houseware and textile goods retailing"/>
    <s v="2024-08-01"/>
    <x v="5"/>
    <s v="August   "/>
    <s v="8"/>
    <n v="32.299999999999997"/>
    <n v="-3.29"/>
  </r>
  <r>
    <x v="0"/>
    <s v="Furniture, floor coverings, houseware and textile goods retailing"/>
    <s v="2024-09-01"/>
    <x v="5"/>
    <s v="September"/>
    <s v="9"/>
    <n v="31.4"/>
    <n v="-5.14"/>
  </r>
  <r>
    <x v="0"/>
    <s v="Furniture, floor coverings, houseware and textile goods retailing"/>
    <s v="2024-10-01"/>
    <x v="5"/>
    <s v="October  "/>
    <s v="10"/>
    <n v="36.200000000000003"/>
    <n v="0.84"/>
  </r>
  <r>
    <x v="0"/>
    <s v="Furniture, floor coverings, houseware and textile goods retailing"/>
    <s v="2024-11-01"/>
    <x v="5"/>
    <s v="November "/>
    <s v="11"/>
    <n v="38.5"/>
    <n v="-2.78"/>
  </r>
  <r>
    <x v="0"/>
    <s v="Furniture, floor coverings, houseware and textile goods retailing"/>
    <s v="2024-12-01"/>
    <x v="5"/>
    <s v="December "/>
    <s v="12"/>
    <n v="43.3"/>
    <n v="5.0999999999999996"/>
  </r>
  <r>
    <x v="0"/>
    <s v="Furniture, floor coverings, houseware and textile goods retailing"/>
    <s v="2025-01-01"/>
    <x v="6"/>
    <s v="January  "/>
    <s v="1"/>
    <n v="37.4"/>
    <n v="6.55"/>
  </r>
  <r>
    <x v="0"/>
    <s v="Furniture, floor coverings, houseware and textile goods retailing"/>
    <s v="2025-02-01"/>
    <x v="6"/>
    <s v="February "/>
    <s v="2"/>
    <n v="31.6"/>
    <n v="-4.24"/>
  </r>
  <r>
    <x v="0"/>
    <s v="Furniture, floor coverings, houseware and textile goods retailing"/>
    <s v="2025-03-01"/>
    <x v="6"/>
    <s v="March    "/>
    <s v="3"/>
    <n v="34.299999999999997"/>
    <n v="3"/>
  </r>
  <r>
    <x v="0"/>
    <s v="Furniture, floor coverings, houseware and textile goods retailing"/>
    <s v="2025-04-01"/>
    <x v="6"/>
    <s v="April    "/>
    <s v="4"/>
    <n v="31.6"/>
    <n v="0.96"/>
  </r>
  <r>
    <x v="0"/>
    <s v="Furniture, floor coverings, houseware and textile goods retailing"/>
    <s v="2025-05-01"/>
    <x v="6"/>
    <s v="May      "/>
    <s v="5"/>
    <n v="33.5"/>
    <n v="2.76"/>
  </r>
  <r>
    <x v="0"/>
    <s v="Furniture, floor coverings, houseware and textile goods retailing"/>
    <s v="2025-06-01"/>
    <x v="6"/>
    <s v="June     "/>
    <s v="6"/>
    <n v="37.1"/>
    <n v="2.2000000000000002"/>
  </r>
  <r>
    <x v="0"/>
    <s v="Hardware, building and garden supplies retailing"/>
    <s v="2019-01-01"/>
    <x v="0"/>
    <s v="January  "/>
    <s v="1"/>
    <n v="29.1"/>
    <m/>
  </r>
  <r>
    <x v="0"/>
    <s v="Hardware, building and garden supplies retailing"/>
    <s v="2019-02-01"/>
    <x v="0"/>
    <s v="February "/>
    <s v="2"/>
    <n v="28.2"/>
    <m/>
  </r>
  <r>
    <x v="0"/>
    <s v="Hardware, building and garden supplies retailing"/>
    <s v="2019-03-01"/>
    <x v="0"/>
    <s v="March    "/>
    <s v="3"/>
    <n v="30.4"/>
    <m/>
  </r>
  <r>
    <x v="0"/>
    <s v="Hardware, building and garden supplies retailing"/>
    <s v="2019-04-01"/>
    <x v="0"/>
    <s v="April    "/>
    <s v="4"/>
    <n v="28.9"/>
    <m/>
  </r>
  <r>
    <x v="0"/>
    <s v="Hardware, building and garden supplies retailing"/>
    <s v="2019-05-01"/>
    <x v="0"/>
    <s v="May      "/>
    <s v="5"/>
    <n v="28.7"/>
    <m/>
  </r>
  <r>
    <x v="0"/>
    <s v="Hardware, building and garden supplies retailing"/>
    <s v="2019-06-01"/>
    <x v="0"/>
    <s v="June     "/>
    <s v="6"/>
    <n v="26.4"/>
    <m/>
  </r>
  <r>
    <x v="0"/>
    <s v="Hardware, building and garden supplies retailing"/>
    <s v="2019-07-01"/>
    <x v="0"/>
    <s v="July     "/>
    <s v="7"/>
    <n v="26.3"/>
    <m/>
  </r>
  <r>
    <x v="0"/>
    <s v="Hardware, building and garden supplies retailing"/>
    <s v="2019-08-01"/>
    <x v="0"/>
    <s v="August   "/>
    <s v="8"/>
    <n v="29.2"/>
    <m/>
  </r>
  <r>
    <x v="0"/>
    <s v="Hardware, building and garden supplies retailing"/>
    <s v="2019-09-01"/>
    <x v="0"/>
    <s v="September"/>
    <s v="9"/>
    <n v="32.799999999999997"/>
    <m/>
  </r>
  <r>
    <x v="0"/>
    <s v="Hardware, building and garden supplies retailing"/>
    <s v="2019-10-01"/>
    <x v="0"/>
    <s v="October  "/>
    <s v="10"/>
    <n v="37.700000000000003"/>
    <m/>
  </r>
  <r>
    <x v="0"/>
    <s v="Hardware, building and garden supplies retailing"/>
    <s v="2019-11-01"/>
    <x v="0"/>
    <s v="November "/>
    <s v="11"/>
    <n v="37.700000000000003"/>
    <m/>
  </r>
  <r>
    <x v="0"/>
    <s v="Hardware, building and garden supplies retailing"/>
    <s v="2019-12-01"/>
    <x v="0"/>
    <s v="December "/>
    <s v="12"/>
    <n v="36.4"/>
    <m/>
  </r>
  <r>
    <x v="0"/>
    <s v="Hardware, building and garden supplies retailing"/>
    <s v="2020-01-01"/>
    <x v="1"/>
    <s v="January  "/>
    <s v="1"/>
    <n v="32.6"/>
    <n v="12.03"/>
  </r>
  <r>
    <x v="0"/>
    <s v="Hardware, building and garden supplies retailing"/>
    <s v="2020-02-01"/>
    <x v="1"/>
    <s v="February "/>
    <s v="2"/>
    <n v="29.2"/>
    <n v="3.55"/>
  </r>
  <r>
    <x v="0"/>
    <s v="Hardware, building and garden supplies retailing"/>
    <s v="2020-03-01"/>
    <x v="1"/>
    <s v="March    "/>
    <s v="3"/>
    <n v="38"/>
    <n v="25"/>
  </r>
  <r>
    <x v="0"/>
    <s v="Hardware, building and garden supplies retailing"/>
    <s v="2020-04-01"/>
    <x v="1"/>
    <s v="April    "/>
    <s v="4"/>
    <n v="41.2"/>
    <n v="42.56"/>
  </r>
  <r>
    <x v="0"/>
    <s v="Hardware, building and garden supplies retailing"/>
    <s v="2020-05-01"/>
    <x v="1"/>
    <s v="May      "/>
    <s v="5"/>
    <n v="42"/>
    <n v="46.34"/>
  </r>
  <r>
    <x v="0"/>
    <s v="Hardware, building and garden supplies retailing"/>
    <s v="2020-06-01"/>
    <x v="1"/>
    <s v="June     "/>
    <s v="6"/>
    <n v="37.6"/>
    <n v="42.42"/>
  </r>
  <r>
    <x v="0"/>
    <s v="Hardware, building and garden supplies retailing"/>
    <s v="2020-07-01"/>
    <x v="1"/>
    <s v="July     "/>
    <s v="7"/>
    <n v="38"/>
    <n v="44.49"/>
  </r>
  <r>
    <x v="0"/>
    <s v="Hardware, building and garden supplies retailing"/>
    <s v="2020-08-01"/>
    <x v="1"/>
    <s v="August   "/>
    <s v="8"/>
    <n v="38.9"/>
    <n v="33.22"/>
  </r>
  <r>
    <x v="0"/>
    <s v="Hardware, building and garden supplies retailing"/>
    <s v="2020-09-01"/>
    <x v="1"/>
    <s v="September"/>
    <s v="9"/>
    <n v="45.9"/>
    <n v="39.94"/>
  </r>
  <r>
    <x v="0"/>
    <s v="Hardware, building and garden supplies retailing"/>
    <s v="2020-10-01"/>
    <x v="1"/>
    <s v="October  "/>
    <s v="10"/>
    <n v="49.2"/>
    <n v="30.5"/>
  </r>
  <r>
    <x v="0"/>
    <s v="Hardware, building and garden supplies retailing"/>
    <s v="2020-11-01"/>
    <x v="1"/>
    <s v="November "/>
    <s v="11"/>
    <n v="49.2"/>
    <n v="30.5"/>
  </r>
  <r>
    <x v="0"/>
    <s v="Hardware, building and garden supplies retailing"/>
    <s v="2020-12-01"/>
    <x v="1"/>
    <s v="December "/>
    <s v="12"/>
    <n v="48.7"/>
    <n v="33.79"/>
  </r>
  <r>
    <x v="0"/>
    <s v="Hardware, building and garden supplies retailing"/>
    <s v="2021-01-01"/>
    <x v="2"/>
    <s v="January  "/>
    <s v="1"/>
    <n v="43.2"/>
    <n v="32.520000000000003"/>
  </r>
  <r>
    <x v="0"/>
    <s v="Hardware, building and garden supplies retailing"/>
    <s v="2021-02-01"/>
    <x v="2"/>
    <s v="February "/>
    <s v="2"/>
    <n v="37"/>
    <n v="26.71"/>
  </r>
  <r>
    <x v="0"/>
    <s v="Hardware, building and garden supplies retailing"/>
    <s v="2021-03-01"/>
    <x v="2"/>
    <s v="March    "/>
    <s v="3"/>
    <n v="39.1"/>
    <n v="2.89"/>
  </r>
  <r>
    <x v="0"/>
    <s v="Hardware, building and garden supplies retailing"/>
    <s v="2021-04-01"/>
    <x v="2"/>
    <s v="April    "/>
    <s v="4"/>
    <n v="39.200000000000003"/>
    <n v="-4.8499999999999996"/>
  </r>
  <r>
    <x v="0"/>
    <s v="Hardware, building and garden supplies retailing"/>
    <s v="2021-05-01"/>
    <x v="2"/>
    <s v="May      "/>
    <s v="5"/>
    <n v="37"/>
    <n v="-11.9"/>
  </r>
  <r>
    <x v="0"/>
    <s v="Hardware, building and garden supplies retailing"/>
    <s v="2021-06-01"/>
    <x v="2"/>
    <s v="June     "/>
    <s v="6"/>
    <n v="35.5"/>
    <n v="-5.59"/>
  </r>
  <r>
    <x v="0"/>
    <s v="Hardware, building and garden supplies retailing"/>
    <s v="2021-07-01"/>
    <x v="2"/>
    <s v="July     "/>
    <s v="7"/>
    <n v="35.9"/>
    <n v="-5.53"/>
  </r>
  <r>
    <x v="0"/>
    <s v="Hardware, building and garden supplies retailing"/>
    <s v="2021-08-01"/>
    <x v="2"/>
    <s v="August   "/>
    <s v="8"/>
    <n v="30.5"/>
    <n v="-21.59"/>
  </r>
  <r>
    <x v="0"/>
    <s v="Hardware, building and garden supplies retailing"/>
    <s v="2021-09-01"/>
    <x v="2"/>
    <s v="September"/>
    <s v="9"/>
    <n v="31.2"/>
    <n v="-32.03"/>
  </r>
  <r>
    <x v="0"/>
    <s v="Hardware, building and garden supplies retailing"/>
    <s v="2021-10-01"/>
    <x v="2"/>
    <s v="October  "/>
    <s v="10"/>
    <n v="49.6"/>
    <n v="0.81"/>
  </r>
  <r>
    <x v="0"/>
    <s v="Hardware, building and garden supplies retailing"/>
    <s v="2021-11-01"/>
    <x v="2"/>
    <s v="November "/>
    <s v="11"/>
    <n v="52.5"/>
    <n v="6.71"/>
  </r>
  <r>
    <x v="0"/>
    <s v="Hardware, building and garden supplies retailing"/>
    <s v="2021-12-01"/>
    <x v="2"/>
    <s v="December "/>
    <s v="12"/>
    <n v="54.4"/>
    <n v="11.7"/>
  </r>
  <r>
    <x v="0"/>
    <s v="Hardware, building and garden supplies retailing"/>
    <s v="2022-01-01"/>
    <x v="3"/>
    <s v="January  "/>
    <s v="1"/>
    <n v="47.2"/>
    <n v="9.26"/>
  </r>
  <r>
    <x v="0"/>
    <s v="Hardware, building and garden supplies retailing"/>
    <s v="2022-02-01"/>
    <x v="3"/>
    <s v="February "/>
    <s v="2"/>
    <n v="42.3"/>
    <n v="14.32"/>
  </r>
  <r>
    <x v="0"/>
    <s v="Hardware, building and garden supplies retailing"/>
    <s v="2022-03-01"/>
    <x v="3"/>
    <s v="March    "/>
    <s v="3"/>
    <n v="44.3"/>
    <n v="13.3"/>
  </r>
  <r>
    <x v="0"/>
    <s v="Hardware, building and garden supplies retailing"/>
    <s v="2022-04-01"/>
    <x v="3"/>
    <s v="April    "/>
    <s v="4"/>
    <n v="42"/>
    <n v="7.14"/>
  </r>
  <r>
    <x v="0"/>
    <s v="Hardware, building and garden supplies retailing"/>
    <s v="2022-05-01"/>
    <x v="3"/>
    <s v="May      "/>
    <s v="5"/>
    <n v="39.200000000000003"/>
    <n v="5.95"/>
  </r>
  <r>
    <x v="0"/>
    <s v="Hardware, building and garden supplies retailing"/>
    <s v="2022-06-01"/>
    <x v="3"/>
    <s v="June     "/>
    <s v="6"/>
    <n v="38.5"/>
    <n v="8.4499999999999993"/>
  </r>
  <r>
    <x v="0"/>
    <s v="Hardware, building and garden supplies retailing"/>
    <s v="2022-07-01"/>
    <x v="3"/>
    <s v="July     "/>
    <s v="7"/>
    <n v="38"/>
    <n v="5.85"/>
  </r>
  <r>
    <x v="0"/>
    <s v="Hardware, building and garden supplies retailing"/>
    <s v="2022-08-01"/>
    <x v="3"/>
    <s v="August   "/>
    <s v="8"/>
    <n v="40.9"/>
    <n v="34.1"/>
  </r>
  <r>
    <x v="0"/>
    <s v="Hardware, building and garden supplies retailing"/>
    <s v="2022-09-01"/>
    <x v="3"/>
    <s v="September"/>
    <s v="9"/>
    <n v="45"/>
    <n v="44.23"/>
  </r>
  <r>
    <x v="0"/>
    <s v="Hardware, building and garden supplies retailing"/>
    <s v="2022-10-01"/>
    <x v="3"/>
    <s v="October  "/>
    <s v="10"/>
    <n v="49.5"/>
    <n v="-0.2"/>
  </r>
  <r>
    <x v="0"/>
    <s v="Hardware, building and garden supplies retailing"/>
    <s v="2022-11-01"/>
    <x v="3"/>
    <s v="November "/>
    <s v="11"/>
    <n v="50.1"/>
    <n v="-4.57"/>
  </r>
  <r>
    <x v="0"/>
    <s v="Hardware, building and garden supplies retailing"/>
    <s v="2022-12-01"/>
    <x v="3"/>
    <s v="December "/>
    <s v="12"/>
    <n v="53.9"/>
    <n v="-0.92"/>
  </r>
  <r>
    <x v="0"/>
    <s v="Hardware, building and garden supplies retailing"/>
    <s v="2023-01-01"/>
    <x v="4"/>
    <s v="January  "/>
    <s v="1"/>
    <n v="46"/>
    <n v="-2.54"/>
  </r>
  <r>
    <x v="0"/>
    <s v="Hardware, building and garden supplies retailing"/>
    <s v="2023-02-01"/>
    <x v="4"/>
    <s v="February "/>
    <s v="2"/>
    <n v="41.6"/>
    <n v="-1.65"/>
  </r>
  <r>
    <x v="0"/>
    <s v="Hardware, building and garden supplies retailing"/>
    <s v="2023-03-01"/>
    <x v="4"/>
    <s v="March    "/>
    <s v="3"/>
    <n v="44.7"/>
    <n v="0.9"/>
  </r>
  <r>
    <x v="0"/>
    <s v="Hardware, building and garden supplies retailing"/>
    <s v="2023-04-01"/>
    <x v="4"/>
    <s v="April    "/>
    <s v="4"/>
    <n v="41.5"/>
    <n v="-1.19"/>
  </r>
  <r>
    <x v="0"/>
    <s v="Hardware, building and garden supplies retailing"/>
    <s v="2023-05-01"/>
    <x v="4"/>
    <s v="May      "/>
    <s v="5"/>
    <n v="41.9"/>
    <n v="6.89"/>
  </r>
  <r>
    <x v="0"/>
    <s v="Hardware, building and garden supplies retailing"/>
    <s v="2023-06-01"/>
    <x v="4"/>
    <s v="June     "/>
    <s v="6"/>
    <n v="40.1"/>
    <n v="4.16"/>
  </r>
  <r>
    <x v="0"/>
    <s v="Hardware, building and garden supplies retailing"/>
    <s v="2023-07-01"/>
    <x v="4"/>
    <s v="July     "/>
    <s v="7"/>
    <n v="39.799999999999997"/>
    <n v="4.74"/>
  </r>
  <r>
    <x v="0"/>
    <s v="Hardware, building and garden supplies retailing"/>
    <s v="2023-08-01"/>
    <x v="4"/>
    <s v="August   "/>
    <s v="8"/>
    <n v="42.3"/>
    <n v="3.42"/>
  </r>
  <r>
    <x v="0"/>
    <s v="Hardware, building and garden supplies retailing"/>
    <s v="2023-09-01"/>
    <x v="4"/>
    <s v="September"/>
    <s v="9"/>
    <n v="49.7"/>
    <n v="10.44"/>
  </r>
  <r>
    <x v="0"/>
    <s v="Hardware, building and garden supplies retailing"/>
    <s v="2023-10-01"/>
    <x v="4"/>
    <s v="October  "/>
    <s v="10"/>
    <n v="51.4"/>
    <n v="3.84"/>
  </r>
  <r>
    <x v="0"/>
    <s v="Hardware, building and garden supplies retailing"/>
    <s v="2023-11-01"/>
    <x v="4"/>
    <s v="November "/>
    <s v="11"/>
    <n v="49.6"/>
    <n v="-1"/>
  </r>
  <r>
    <x v="0"/>
    <s v="Hardware, building and garden supplies retailing"/>
    <s v="2023-12-01"/>
    <x v="4"/>
    <s v="December "/>
    <s v="12"/>
    <n v="51.2"/>
    <n v="-5.01"/>
  </r>
  <r>
    <x v="0"/>
    <s v="Hardware, building and garden supplies retailing"/>
    <s v="2024-01-01"/>
    <x v="5"/>
    <s v="January  "/>
    <s v="1"/>
    <n v="45.3"/>
    <n v="-1.52"/>
  </r>
  <r>
    <x v="0"/>
    <s v="Hardware, building and garden supplies retailing"/>
    <s v="2024-02-01"/>
    <x v="5"/>
    <s v="February "/>
    <s v="2"/>
    <n v="42.5"/>
    <n v="2.16"/>
  </r>
  <r>
    <x v="0"/>
    <s v="Hardware, building and garden supplies retailing"/>
    <s v="2024-03-01"/>
    <x v="5"/>
    <s v="March    "/>
    <s v="3"/>
    <n v="44"/>
    <n v="-1.57"/>
  </r>
  <r>
    <x v="0"/>
    <s v="Hardware, building and garden supplies retailing"/>
    <s v="2024-04-01"/>
    <x v="5"/>
    <s v="April    "/>
    <s v="4"/>
    <n v="40.9"/>
    <n v="-1.45"/>
  </r>
  <r>
    <x v="0"/>
    <s v="Hardware, building and garden supplies retailing"/>
    <s v="2024-05-01"/>
    <x v="5"/>
    <s v="May      "/>
    <s v="5"/>
    <n v="41.2"/>
    <n v="-1.67"/>
  </r>
  <r>
    <x v="0"/>
    <s v="Hardware, building and garden supplies retailing"/>
    <s v="2024-06-01"/>
    <x v="5"/>
    <s v="June     "/>
    <s v="6"/>
    <n v="40.1"/>
    <n v="0"/>
  </r>
  <r>
    <x v="0"/>
    <s v="Hardware, building and garden supplies retailing"/>
    <s v="2024-07-01"/>
    <x v="5"/>
    <s v="July     "/>
    <s v="7"/>
    <n v="38.6"/>
    <n v="-3.02"/>
  </r>
  <r>
    <x v="0"/>
    <s v="Hardware, building and garden supplies retailing"/>
    <s v="2024-08-01"/>
    <x v="5"/>
    <s v="August   "/>
    <s v="8"/>
    <n v="41.5"/>
    <n v="-1.89"/>
  </r>
  <r>
    <x v="0"/>
    <s v="Hardware, building and garden supplies retailing"/>
    <s v="2024-09-01"/>
    <x v="5"/>
    <s v="September"/>
    <s v="9"/>
    <n v="46.6"/>
    <n v="-6.24"/>
  </r>
  <r>
    <x v="0"/>
    <s v="Hardware, building and garden supplies retailing"/>
    <s v="2024-10-01"/>
    <x v="5"/>
    <s v="October  "/>
    <s v="10"/>
    <n v="51.5"/>
    <n v="0.19"/>
  </r>
  <r>
    <x v="0"/>
    <s v="Hardware, building and garden supplies retailing"/>
    <s v="2024-11-01"/>
    <x v="5"/>
    <s v="November "/>
    <s v="11"/>
    <n v="52"/>
    <n v="4.84"/>
  </r>
  <r>
    <x v="0"/>
    <s v="Hardware, building and garden supplies retailing"/>
    <s v="2024-12-01"/>
    <x v="5"/>
    <s v="December "/>
    <s v="12"/>
    <n v="50.3"/>
    <n v="-1.76"/>
  </r>
  <r>
    <x v="0"/>
    <s v="Hardware, building and garden supplies retailing"/>
    <s v="2025-01-01"/>
    <x v="6"/>
    <s v="January  "/>
    <s v="1"/>
    <n v="44.9"/>
    <n v="-0.88"/>
  </r>
  <r>
    <x v="0"/>
    <s v="Hardware, building and garden supplies retailing"/>
    <s v="2025-02-01"/>
    <x v="6"/>
    <s v="February "/>
    <s v="2"/>
    <n v="40.799999999999997"/>
    <n v="-4"/>
  </r>
  <r>
    <x v="0"/>
    <s v="Hardware, building and garden supplies retailing"/>
    <s v="2025-03-01"/>
    <x v="6"/>
    <s v="March    "/>
    <s v="3"/>
    <n v="43.5"/>
    <n v="-1.1399999999999999"/>
  </r>
  <r>
    <x v="0"/>
    <s v="Hardware, building and garden supplies retailing"/>
    <s v="2025-04-01"/>
    <x v="6"/>
    <s v="April    "/>
    <s v="4"/>
    <n v="41.4"/>
    <n v="1.22"/>
  </r>
  <r>
    <x v="0"/>
    <s v="Hardware, building and garden supplies retailing"/>
    <s v="2025-05-01"/>
    <x v="6"/>
    <s v="May      "/>
    <s v="5"/>
    <n v="41"/>
    <n v="-0.49"/>
  </r>
  <r>
    <x v="0"/>
    <s v="Hardware, building and garden supplies retailing"/>
    <s v="2025-06-01"/>
    <x v="6"/>
    <s v="June     "/>
    <s v="6"/>
    <n v="38.1"/>
    <n v="-4.99"/>
  </r>
  <r>
    <x v="0"/>
    <s v="Liquor retailing"/>
    <s v="2019-01-01"/>
    <x v="0"/>
    <s v="January  "/>
    <s v="1"/>
    <n v="12.6"/>
    <m/>
  </r>
  <r>
    <x v="0"/>
    <s v="Liquor retailing"/>
    <s v="2019-02-01"/>
    <x v="0"/>
    <s v="February "/>
    <s v="2"/>
    <n v="11.9"/>
    <m/>
  </r>
  <r>
    <x v="0"/>
    <s v="Liquor retailing"/>
    <s v="2019-03-01"/>
    <x v="0"/>
    <s v="March    "/>
    <s v="3"/>
    <n v="13.2"/>
    <m/>
  </r>
  <r>
    <x v="0"/>
    <s v="Liquor retailing"/>
    <s v="2019-04-01"/>
    <x v="0"/>
    <s v="April    "/>
    <s v="4"/>
    <n v="12.7"/>
    <m/>
  </r>
  <r>
    <x v="0"/>
    <s v="Liquor retailing"/>
    <s v="2019-05-01"/>
    <x v="0"/>
    <s v="May      "/>
    <s v="5"/>
    <n v="12.1"/>
    <m/>
  </r>
  <r>
    <x v="0"/>
    <s v="Liquor retailing"/>
    <s v="2019-06-01"/>
    <x v="0"/>
    <s v="June     "/>
    <s v="6"/>
    <n v="11.7"/>
    <m/>
  </r>
  <r>
    <x v="0"/>
    <s v="Liquor retailing"/>
    <s v="2019-07-01"/>
    <x v="0"/>
    <s v="July     "/>
    <s v="7"/>
    <n v="12"/>
    <m/>
  </r>
  <r>
    <x v="0"/>
    <s v="Liquor retailing"/>
    <s v="2019-08-01"/>
    <x v="0"/>
    <s v="August   "/>
    <s v="8"/>
    <n v="12.6"/>
    <m/>
  </r>
  <r>
    <x v="0"/>
    <s v="Liquor retailing"/>
    <s v="2019-09-01"/>
    <x v="0"/>
    <s v="September"/>
    <s v="9"/>
    <n v="12.2"/>
    <m/>
  </r>
  <r>
    <x v="0"/>
    <s v="Liquor retailing"/>
    <s v="2019-10-01"/>
    <x v="0"/>
    <s v="October  "/>
    <s v="10"/>
    <n v="12.6"/>
    <m/>
  </r>
  <r>
    <x v="0"/>
    <s v="Liquor retailing"/>
    <s v="2019-11-01"/>
    <x v="0"/>
    <s v="November "/>
    <s v="11"/>
    <n v="13.8"/>
    <m/>
  </r>
  <r>
    <x v="0"/>
    <s v="Liquor retailing"/>
    <s v="2019-12-01"/>
    <x v="0"/>
    <s v="December "/>
    <s v="12"/>
    <n v="18.5"/>
    <m/>
  </r>
  <r>
    <x v="0"/>
    <s v="Liquor retailing"/>
    <s v="2020-01-01"/>
    <x v="1"/>
    <s v="January  "/>
    <s v="1"/>
    <n v="11.8"/>
    <n v="-6.35"/>
  </r>
  <r>
    <x v="0"/>
    <s v="Liquor retailing"/>
    <s v="2020-02-01"/>
    <x v="1"/>
    <s v="February "/>
    <s v="2"/>
    <n v="11.8"/>
    <n v="-0.84"/>
  </r>
  <r>
    <x v="0"/>
    <s v="Liquor retailing"/>
    <s v="2020-03-01"/>
    <x v="1"/>
    <s v="March    "/>
    <s v="3"/>
    <n v="16.399999999999999"/>
    <n v="24.24"/>
  </r>
  <r>
    <x v="0"/>
    <s v="Liquor retailing"/>
    <s v="2020-04-01"/>
    <x v="1"/>
    <s v="April    "/>
    <s v="4"/>
    <n v="14.8"/>
    <n v="16.54"/>
  </r>
  <r>
    <x v="0"/>
    <s v="Liquor retailing"/>
    <s v="2020-05-01"/>
    <x v="1"/>
    <s v="May      "/>
    <s v="5"/>
    <n v="19.2"/>
    <n v="58.68"/>
  </r>
  <r>
    <x v="0"/>
    <s v="Liquor retailing"/>
    <s v="2020-06-01"/>
    <x v="1"/>
    <s v="June     "/>
    <s v="6"/>
    <n v="17.3"/>
    <n v="47.86"/>
  </r>
  <r>
    <x v="0"/>
    <s v="Liquor retailing"/>
    <s v="2020-07-01"/>
    <x v="1"/>
    <s v="July     "/>
    <s v="7"/>
    <n v="18.2"/>
    <n v="51.67"/>
  </r>
  <r>
    <x v="0"/>
    <s v="Liquor retailing"/>
    <s v="2020-08-01"/>
    <x v="1"/>
    <s v="August   "/>
    <s v="8"/>
    <n v="18.100000000000001"/>
    <n v="43.65"/>
  </r>
  <r>
    <x v="0"/>
    <s v="Liquor retailing"/>
    <s v="2020-09-01"/>
    <x v="1"/>
    <s v="September"/>
    <s v="9"/>
    <n v="19.2"/>
    <n v="57.38"/>
  </r>
  <r>
    <x v="0"/>
    <s v="Liquor retailing"/>
    <s v="2020-10-01"/>
    <x v="1"/>
    <s v="October  "/>
    <s v="10"/>
    <n v="20.5"/>
    <n v="62.7"/>
  </r>
  <r>
    <x v="0"/>
    <s v="Liquor retailing"/>
    <s v="2020-11-01"/>
    <x v="1"/>
    <s v="November "/>
    <s v="11"/>
    <n v="20.399999999999999"/>
    <n v="47.83"/>
  </r>
  <r>
    <x v="0"/>
    <s v="Liquor retailing"/>
    <s v="2020-12-01"/>
    <x v="1"/>
    <s v="December "/>
    <s v="12"/>
    <n v="30.9"/>
    <n v="67.03"/>
  </r>
  <r>
    <x v="0"/>
    <s v="Liquor retailing"/>
    <s v="2021-01-01"/>
    <x v="2"/>
    <s v="January  "/>
    <s v="1"/>
    <n v="19.100000000000001"/>
    <n v="61.86"/>
  </r>
  <r>
    <x v="0"/>
    <s v="Liquor retailing"/>
    <s v="2021-02-01"/>
    <x v="2"/>
    <s v="February "/>
    <s v="2"/>
    <n v="17.5"/>
    <n v="48.31"/>
  </r>
  <r>
    <x v="0"/>
    <s v="Liquor retailing"/>
    <s v="2021-03-01"/>
    <x v="2"/>
    <s v="March    "/>
    <s v="3"/>
    <n v="19.3"/>
    <n v="17.68"/>
  </r>
  <r>
    <x v="0"/>
    <s v="Liquor retailing"/>
    <s v="2021-04-01"/>
    <x v="2"/>
    <s v="April    "/>
    <s v="4"/>
    <n v="19.2"/>
    <n v="29.73"/>
  </r>
  <r>
    <x v="0"/>
    <s v="Liquor retailing"/>
    <s v="2021-05-01"/>
    <x v="2"/>
    <s v="May      "/>
    <s v="5"/>
    <n v="19.100000000000001"/>
    <n v="-0.52"/>
  </r>
  <r>
    <x v="0"/>
    <s v="Liquor retailing"/>
    <s v="2021-06-01"/>
    <x v="2"/>
    <s v="June     "/>
    <s v="6"/>
    <n v="18.5"/>
    <n v="6.94"/>
  </r>
  <r>
    <x v="0"/>
    <s v="Liquor retailing"/>
    <s v="2021-07-01"/>
    <x v="2"/>
    <s v="July     "/>
    <s v="7"/>
    <n v="19.2"/>
    <n v="5.49"/>
  </r>
  <r>
    <x v="0"/>
    <s v="Liquor retailing"/>
    <s v="2021-08-01"/>
    <x v="2"/>
    <s v="August   "/>
    <s v="8"/>
    <n v="20.5"/>
    <n v="13.26"/>
  </r>
  <r>
    <x v="0"/>
    <s v="Liquor retailing"/>
    <s v="2021-09-01"/>
    <x v="2"/>
    <s v="September"/>
    <s v="9"/>
    <n v="20.3"/>
    <n v="5.73"/>
  </r>
  <r>
    <x v="0"/>
    <s v="Liquor retailing"/>
    <s v="2021-10-01"/>
    <x v="2"/>
    <s v="October  "/>
    <s v="10"/>
    <n v="23.2"/>
    <n v="13.17"/>
  </r>
  <r>
    <x v="0"/>
    <s v="Liquor retailing"/>
    <s v="2021-11-01"/>
    <x v="2"/>
    <s v="November "/>
    <s v="11"/>
    <n v="21.8"/>
    <n v="6.86"/>
  </r>
  <r>
    <x v="0"/>
    <s v="Liquor retailing"/>
    <s v="2021-12-01"/>
    <x v="2"/>
    <s v="December "/>
    <s v="12"/>
    <n v="34.9"/>
    <n v="12.94"/>
  </r>
  <r>
    <x v="0"/>
    <s v="Liquor retailing"/>
    <s v="2022-01-01"/>
    <x v="3"/>
    <s v="January  "/>
    <s v="1"/>
    <n v="19.8"/>
    <n v="3.66"/>
  </r>
  <r>
    <x v="0"/>
    <s v="Liquor retailing"/>
    <s v="2022-02-01"/>
    <x v="3"/>
    <s v="February "/>
    <s v="2"/>
    <n v="19.7"/>
    <n v="12.57"/>
  </r>
  <r>
    <x v="0"/>
    <s v="Liquor retailing"/>
    <s v="2022-03-01"/>
    <x v="3"/>
    <s v="March    "/>
    <s v="3"/>
    <n v="20.8"/>
    <n v="7.77"/>
  </r>
  <r>
    <x v="0"/>
    <s v="Liquor retailing"/>
    <s v="2022-04-01"/>
    <x v="3"/>
    <s v="April    "/>
    <s v="4"/>
    <n v="22.1"/>
    <n v="15.1"/>
  </r>
  <r>
    <x v="0"/>
    <s v="Liquor retailing"/>
    <s v="2022-05-01"/>
    <x v="3"/>
    <s v="May      "/>
    <s v="5"/>
    <n v="20.399999999999999"/>
    <n v="6.81"/>
  </r>
  <r>
    <x v="0"/>
    <s v="Liquor retailing"/>
    <s v="2022-06-01"/>
    <x v="3"/>
    <s v="June     "/>
    <s v="6"/>
    <n v="19.8"/>
    <n v="7.03"/>
  </r>
  <r>
    <x v="0"/>
    <s v="Liquor retailing"/>
    <s v="2022-07-01"/>
    <x v="3"/>
    <s v="July     "/>
    <s v="7"/>
    <n v="21.3"/>
    <n v="10.94"/>
  </r>
  <r>
    <x v="0"/>
    <s v="Liquor retailing"/>
    <s v="2022-08-01"/>
    <x v="3"/>
    <s v="August   "/>
    <s v="8"/>
    <n v="20.9"/>
    <n v="1.95"/>
  </r>
  <r>
    <x v="0"/>
    <s v="Liquor retailing"/>
    <s v="2022-09-01"/>
    <x v="3"/>
    <s v="September"/>
    <s v="9"/>
    <n v="22.6"/>
    <n v="11.33"/>
  </r>
  <r>
    <x v="0"/>
    <s v="Liquor retailing"/>
    <s v="2022-10-01"/>
    <x v="3"/>
    <s v="October  "/>
    <s v="10"/>
    <n v="22.2"/>
    <n v="-4.3099999999999996"/>
  </r>
  <r>
    <x v="0"/>
    <s v="Liquor retailing"/>
    <s v="2022-11-01"/>
    <x v="3"/>
    <s v="November "/>
    <s v="11"/>
    <n v="23.5"/>
    <n v="7.8"/>
  </r>
  <r>
    <x v="0"/>
    <s v="Liquor retailing"/>
    <s v="2022-12-01"/>
    <x v="3"/>
    <s v="December "/>
    <s v="12"/>
    <n v="35.5"/>
    <n v="1.72"/>
  </r>
  <r>
    <x v="0"/>
    <s v="Liquor retailing"/>
    <s v="2023-01-01"/>
    <x v="4"/>
    <s v="January  "/>
    <s v="1"/>
    <n v="20.9"/>
    <n v="5.56"/>
  </r>
  <r>
    <x v="0"/>
    <s v="Liquor retailing"/>
    <s v="2023-02-01"/>
    <x v="4"/>
    <s v="February "/>
    <s v="2"/>
    <n v="20.2"/>
    <n v="2.54"/>
  </r>
  <r>
    <x v="0"/>
    <s v="Liquor retailing"/>
    <s v="2023-03-01"/>
    <x v="4"/>
    <s v="March    "/>
    <s v="3"/>
    <n v="23.3"/>
    <n v="12.02"/>
  </r>
  <r>
    <x v="0"/>
    <s v="Liquor retailing"/>
    <s v="2023-04-01"/>
    <x v="4"/>
    <s v="April    "/>
    <s v="4"/>
    <n v="23.1"/>
    <n v="4.5199999999999996"/>
  </r>
  <r>
    <x v="0"/>
    <s v="Liquor retailing"/>
    <s v="2023-05-01"/>
    <x v="4"/>
    <s v="May      "/>
    <s v="5"/>
    <n v="21.4"/>
    <n v="4.9000000000000004"/>
  </r>
  <r>
    <x v="0"/>
    <s v="Liquor retailing"/>
    <s v="2023-06-01"/>
    <x v="4"/>
    <s v="June     "/>
    <s v="6"/>
    <n v="21.4"/>
    <n v="8.08"/>
  </r>
  <r>
    <x v="0"/>
    <s v="Liquor retailing"/>
    <s v="2023-07-01"/>
    <x v="4"/>
    <s v="July     "/>
    <s v="7"/>
    <n v="21.4"/>
    <n v="0.47"/>
  </r>
  <r>
    <x v="0"/>
    <s v="Liquor retailing"/>
    <s v="2023-08-01"/>
    <x v="4"/>
    <s v="August   "/>
    <s v="8"/>
    <n v="22.1"/>
    <n v="5.74"/>
  </r>
  <r>
    <x v="0"/>
    <s v="Liquor retailing"/>
    <s v="2023-09-01"/>
    <x v="4"/>
    <s v="September"/>
    <s v="9"/>
    <n v="23.9"/>
    <n v="5.75"/>
  </r>
  <r>
    <x v="0"/>
    <s v="Liquor retailing"/>
    <s v="2023-10-01"/>
    <x v="4"/>
    <s v="October  "/>
    <s v="10"/>
    <n v="23.2"/>
    <n v="4.5"/>
  </r>
  <r>
    <x v="0"/>
    <s v="Liquor retailing"/>
    <s v="2023-11-01"/>
    <x v="4"/>
    <s v="November "/>
    <s v="11"/>
    <n v="25"/>
    <n v="6.38"/>
  </r>
  <r>
    <x v="0"/>
    <s v="Liquor retailing"/>
    <s v="2023-12-01"/>
    <x v="4"/>
    <s v="December "/>
    <s v="12"/>
    <n v="35.799999999999997"/>
    <n v="0.85"/>
  </r>
  <r>
    <x v="0"/>
    <s v="Liquor retailing"/>
    <s v="2024-01-01"/>
    <x v="5"/>
    <s v="January  "/>
    <s v="1"/>
    <n v="21.4"/>
    <n v="2.39"/>
  </r>
  <r>
    <x v="0"/>
    <s v="Liquor retailing"/>
    <s v="2024-02-01"/>
    <x v="5"/>
    <s v="February "/>
    <s v="2"/>
    <n v="21.5"/>
    <n v="6.44"/>
  </r>
  <r>
    <x v="0"/>
    <s v="Liquor retailing"/>
    <s v="2024-03-01"/>
    <x v="5"/>
    <s v="March    "/>
    <s v="3"/>
    <n v="24.5"/>
    <n v="5.15"/>
  </r>
  <r>
    <x v="0"/>
    <s v="Liquor retailing"/>
    <s v="2024-04-01"/>
    <x v="5"/>
    <s v="April    "/>
    <s v="4"/>
    <n v="20.9"/>
    <n v="-9.52"/>
  </r>
  <r>
    <x v="0"/>
    <s v="Liquor retailing"/>
    <s v="2024-05-01"/>
    <x v="5"/>
    <s v="May      "/>
    <s v="5"/>
    <n v="21.7"/>
    <n v="1.4"/>
  </r>
  <r>
    <x v="0"/>
    <s v="Liquor retailing"/>
    <s v="2024-06-01"/>
    <x v="5"/>
    <s v="June     "/>
    <s v="6"/>
    <n v="21.2"/>
    <n v="-0.93"/>
  </r>
  <r>
    <x v="0"/>
    <s v="Liquor retailing"/>
    <s v="2024-07-01"/>
    <x v="5"/>
    <s v="July     "/>
    <s v="7"/>
    <n v="20.5"/>
    <n v="-4.21"/>
  </r>
  <r>
    <x v="0"/>
    <s v="Liquor retailing"/>
    <s v="2024-08-01"/>
    <x v="5"/>
    <s v="August   "/>
    <s v="8"/>
    <n v="22.9"/>
    <n v="3.62"/>
  </r>
  <r>
    <x v="0"/>
    <s v="Liquor retailing"/>
    <s v="2024-09-01"/>
    <x v="5"/>
    <s v="September"/>
    <s v="9"/>
    <n v="21.4"/>
    <n v="-10.46"/>
  </r>
  <r>
    <x v="0"/>
    <s v="Liquor retailing"/>
    <s v="2024-10-01"/>
    <x v="5"/>
    <s v="October  "/>
    <s v="10"/>
    <n v="21.8"/>
    <n v="-6.03"/>
  </r>
  <r>
    <x v="0"/>
    <s v="Liquor retailing"/>
    <s v="2024-11-01"/>
    <x v="5"/>
    <s v="November "/>
    <s v="11"/>
    <n v="23.8"/>
    <n v="-4.8"/>
  </r>
  <r>
    <x v="0"/>
    <s v="Liquor retailing"/>
    <s v="2024-12-01"/>
    <x v="5"/>
    <s v="December "/>
    <s v="12"/>
    <n v="33.4"/>
    <n v="-6.7"/>
  </r>
  <r>
    <x v="0"/>
    <s v="Liquor retailing"/>
    <s v="2025-01-01"/>
    <x v="6"/>
    <s v="January  "/>
    <s v="1"/>
    <n v="19.899999999999999"/>
    <n v="-7.01"/>
  </r>
  <r>
    <x v="0"/>
    <s v="Liquor retailing"/>
    <s v="2025-02-01"/>
    <x v="6"/>
    <s v="February "/>
    <s v="2"/>
    <n v="18.8"/>
    <n v="-12.56"/>
  </r>
  <r>
    <x v="0"/>
    <s v="Liquor retailing"/>
    <s v="2025-03-01"/>
    <x v="6"/>
    <s v="March    "/>
    <s v="3"/>
    <n v="21.3"/>
    <n v="-13.06"/>
  </r>
  <r>
    <x v="0"/>
    <s v="Liquor retailing"/>
    <s v="2025-04-01"/>
    <x v="6"/>
    <s v="April    "/>
    <s v="4"/>
    <n v="20.9"/>
    <n v="0"/>
  </r>
  <r>
    <x v="0"/>
    <s v="Liquor retailing"/>
    <s v="2025-05-01"/>
    <x v="6"/>
    <s v="May      "/>
    <s v="5"/>
    <n v="20.9"/>
    <n v="-3.69"/>
  </r>
  <r>
    <x v="0"/>
    <s v="Liquor retailing"/>
    <s v="2025-06-01"/>
    <x v="6"/>
    <s v="June     "/>
    <s v="6"/>
    <n v="19.100000000000001"/>
    <n v="-9.91"/>
  </r>
  <r>
    <x v="0"/>
    <s v="Newspaper and book retailing"/>
    <s v="2019-01-01"/>
    <x v="0"/>
    <s v="January  "/>
    <s v="1"/>
    <n v="4.0999999999999996"/>
    <m/>
  </r>
  <r>
    <x v="0"/>
    <s v="Newspaper and book retailing"/>
    <s v="2019-02-01"/>
    <x v="0"/>
    <s v="February "/>
    <s v="2"/>
    <n v="4"/>
    <m/>
  </r>
  <r>
    <x v="0"/>
    <s v="Newspaper and book retailing"/>
    <s v="2019-03-01"/>
    <x v="0"/>
    <s v="March    "/>
    <s v="3"/>
    <n v="3.7"/>
    <m/>
  </r>
  <r>
    <x v="0"/>
    <s v="Newspaper and book retailing"/>
    <s v="2019-04-01"/>
    <x v="0"/>
    <s v="April    "/>
    <s v="4"/>
    <n v="2.8"/>
    <m/>
  </r>
  <r>
    <x v="0"/>
    <s v="Newspaper and book retailing"/>
    <s v="2019-05-01"/>
    <x v="0"/>
    <s v="May      "/>
    <s v="5"/>
    <n v="2.9"/>
    <m/>
  </r>
  <r>
    <x v="0"/>
    <s v="Newspaper and book retailing"/>
    <s v="2019-06-01"/>
    <x v="0"/>
    <s v="June     "/>
    <s v="6"/>
    <n v="3"/>
    <m/>
  </r>
  <r>
    <x v="0"/>
    <s v="Newspaper and book retailing"/>
    <s v="2019-07-01"/>
    <x v="0"/>
    <s v="July     "/>
    <s v="7"/>
    <n v="4.4000000000000004"/>
    <m/>
  </r>
  <r>
    <x v="0"/>
    <s v="Newspaper and book retailing"/>
    <s v="2019-08-01"/>
    <x v="0"/>
    <s v="August   "/>
    <s v="8"/>
    <n v="3.6"/>
    <m/>
  </r>
  <r>
    <x v="0"/>
    <s v="Newspaper and book retailing"/>
    <s v="2019-09-01"/>
    <x v="0"/>
    <s v="September"/>
    <s v="9"/>
    <n v="3.8"/>
    <m/>
  </r>
  <r>
    <x v="0"/>
    <s v="Newspaper and book retailing"/>
    <s v="2019-10-01"/>
    <x v="0"/>
    <s v="October  "/>
    <s v="10"/>
    <n v="3.5"/>
    <m/>
  </r>
  <r>
    <x v="0"/>
    <s v="Newspaper and book retailing"/>
    <s v="2019-11-01"/>
    <x v="0"/>
    <s v="November "/>
    <s v="11"/>
    <n v="4"/>
    <m/>
  </r>
  <r>
    <x v="0"/>
    <s v="Newspaper and book retailing"/>
    <s v="2019-12-01"/>
    <x v="0"/>
    <s v="December "/>
    <s v="12"/>
    <n v="5.7"/>
    <m/>
  </r>
  <r>
    <x v="0"/>
    <s v="Newspaper and book retailing"/>
    <s v="2020-01-01"/>
    <x v="1"/>
    <s v="January  "/>
    <s v="1"/>
    <n v="2.9"/>
    <n v="-29.27"/>
  </r>
  <r>
    <x v="0"/>
    <s v="Newspaper and book retailing"/>
    <s v="2020-02-01"/>
    <x v="1"/>
    <s v="February "/>
    <s v="2"/>
    <n v="2.8"/>
    <n v="-30"/>
  </r>
  <r>
    <x v="0"/>
    <s v="Newspaper and book retailing"/>
    <s v="2020-03-01"/>
    <x v="1"/>
    <s v="March    "/>
    <s v="3"/>
    <n v="2.9"/>
    <n v="-21.62"/>
  </r>
  <r>
    <x v="0"/>
    <s v="Newspaper and book retailing"/>
    <s v="2020-04-01"/>
    <x v="1"/>
    <s v="April    "/>
    <s v="4"/>
    <n v="2.4"/>
    <n v="-14.29"/>
  </r>
  <r>
    <x v="0"/>
    <s v="Newspaper and book retailing"/>
    <s v="2020-05-01"/>
    <x v="1"/>
    <s v="May      "/>
    <s v="5"/>
    <n v="2.9"/>
    <n v="0"/>
  </r>
  <r>
    <x v="0"/>
    <s v="Newspaper and book retailing"/>
    <s v="2020-06-01"/>
    <x v="1"/>
    <s v="June     "/>
    <s v="6"/>
    <n v="2.9"/>
    <n v="-3.33"/>
  </r>
  <r>
    <x v="0"/>
    <s v="Newspaper and book retailing"/>
    <s v="2020-07-01"/>
    <x v="1"/>
    <s v="July     "/>
    <s v="7"/>
    <n v="3"/>
    <n v="-31.82"/>
  </r>
  <r>
    <x v="0"/>
    <s v="Newspaper and book retailing"/>
    <s v="2020-08-01"/>
    <x v="1"/>
    <s v="August   "/>
    <s v="8"/>
    <n v="2.9"/>
    <n v="-19.440000000000001"/>
  </r>
  <r>
    <x v="0"/>
    <s v="Newspaper and book retailing"/>
    <s v="2020-09-01"/>
    <x v="1"/>
    <s v="September"/>
    <s v="9"/>
    <n v="3.1"/>
    <n v="-18.420000000000002"/>
  </r>
  <r>
    <x v="0"/>
    <s v="Newspaper and book retailing"/>
    <s v="2020-10-01"/>
    <x v="1"/>
    <s v="October  "/>
    <s v="10"/>
    <n v="3"/>
    <n v="-14.29"/>
  </r>
  <r>
    <x v="0"/>
    <s v="Newspaper and book retailing"/>
    <s v="2020-11-01"/>
    <x v="1"/>
    <s v="November "/>
    <s v="11"/>
    <n v="3.7"/>
    <n v="-7.5"/>
  </r>
  <r>
    <x v="0"/>
    <s v="Newspaper and book retailing"/>
    <s v="2020-12-01"/>
    <x v="1"/>
    <s v="December "/>
    <s v="12"/>
    <n v="6.1"/>
    <n v="7.02"/>
  </r>
  <r>
    <x v="0"/>
    <s v="Newspaper and book retailing"/>
    <s v="2021-01-01"/>
    <x v="2"/>
    <s v="January  "/>
    <s v="1"/>
    <n v="3.4"/>
    <n v="17.239999999999998"/>
  </r>
  <r>
    <x v="0"/>
    <s v="Newspaper and book retailing"/>
    <s v="2021-02-01"/>
    <x v="2"/>
    <s v="February "/>
    <s v="2"/>
    <n v="2.8"/>
    <n v="0"/>
  </r>
  <r>
    <x v="0"/>
    <s v="Newspaper and book retailing"/>
    <s v="2021-03-01"/>
    <x v="2"/>
    <s v="March    "/>
    <s v="3"/>
    <n v="2.9"/>
    <n v="0"/>
  </r>
  <r>
    <x v="0"/>
    <s v="Newspaper and book retailing"/>
    <s v="2021-04-01"/>
    <x v="2"/>
    <s v="April    "/>
    <s v="4"/>
    <n v="2.9"/>
    <n v="20.83"/>
  </r>
  <r>
    <x v="0"/>
    <s v="Newspaper and book retailing"/>
    <s v="2021-05-01"/>
    <x v="2"/>
    <s v="May      "/>
    <s v="5"/>
    <n v="2.8"/>
    <n v="-3.45"/>
  </r>
  <r>
    <x v="0"/>
    <s v="Newspaper and book retailing"/>
    <s v="2021-06-01"/>
    <x v="2"/>
    <s v="June     "/>
    <s v="6"/>
    <n v="2.6"/>
    <n v="-10.34"/>
  </r>
  <r>
    <x v="0"/>
    <s v="Newspaper and book retailing"/>
    <s v="2021-07-01"/>
    <x v="2"/>
    <s v="July     "/>
    <s v="7"/>
    <n v="2.8"/>
    <n v="-6.67"/>
  </r>
  <r>
    <x v="0"/>
    <s v="Newspaper and book retailing"/>
    <s v="2021-08-01"/>
    <x v="2"/>
    <s v="August   "/>
    <s v="8"/>
    <n v="1.5"/>
    <n v="-48.28"/>
  </r>
  <r>
    <x v="0"/>
    <s v="Newspaper and book retailing"/>
    <s v="2021-09-01"/>
    <x v="2"/>
    <s v="September"/>
    <s v="9"/>
    <n v="1"/>
    <n v="-67.739999999999995"/>
  </r>
  <r>
    <x v="0"/>
    <s v="Newspaper and book retailing"/>
    <s v="2021-10-01"/>
    <x v="2"/>
    <s v="October  "/>
    <s v="10"/>
    <n v="1.2"/>
    <n v="-60"/>
  </r>
  <r>
    <x v="0"/>
    <s v="Newspaper and book retailing"/>
    <s v="2021-11-01"/>
    <x v="2"/>
    <s v="November "/>
    <s v="11"/>
    <n v="3"/>
    <n v="-18.920000000000002"/>
  </r>
  <r>
    <x v="0"/>
    <s v="Newspaper and book retailing"/>
    <s v="2021-12-01"/>
    <x v="2"/>
    <s v="December "/>
    <s v="12"/>
    <n v="4.3"/>
    <n v="-29.51"/>
  </r>
  <r>
    <x v="0"/>
    <s v="Newspaper and book retailing"/>
    <s v="2022-01-01"/>
    <x v="3"/>
    <s v="January  "/>
    <s v="1"/>
    <n v="2.5"/>
    <n v="-26.47"/>
  </r>
  <r>
    <x v="0"/>
    <s v="Newspaper and book retailing"/>
    <s v="2022-02-01"/>
    <x v="3"/>
    <s v="February "/>
    <s v="2"/>
    <n v="2.7"/>
    <n v="-3.57"/>
  </r>
  <r>
    <x v="0"/>
    <s v="Newspaper and book retailing"/>
    <s v="2022-03-01"/>
    <x v="3"/>
    <s v="March    "/>
    <s v="3"/>
    <n v="2.4"/>
    <n v="-17.239999999999998"/>
  </r>
  <r>
    <x v="0"/>
    <s v="Newspaper and book retailing"/>
    <s v="2022-04-01"/>
    <x v="3"/>
    <s v="April    "/>
    <s v="4"/>
    <n v="2.2999999999999998"/>
    <n v="-20.69"/>
  </r>
  <r>
    <x v="0"/>
    <s v="Newspaper and book retailing"/>
    <s v="2022-05-01"/>
    <x v="3"/>
    <s v="May      "/>
    <s v="5"/>
    <n v="2"/>
    <n v="-28.57"/>
  </r>
  <r>
    <x v="0"/>
    <s v="Newspaper and book retailing"/>
    <s v="2022-06-01"/>
    <x v="3"/>
    <s v="June     "/>
    <s v="6"/>
    <n v="1.6"/>
    <n v="-38.46"/>
  </r>
  <r>
    <x v="0"/>
    <s v="Newspaper and book retailing"/>
    <s v="2022-07-01"/>
    <x v="3"/>
    <s v="July     "/>
    <s v="7"/>
    <n v="1.6"/>
    <n v="-42.86"/>
  </r>
  <r>
    <x v="0"/>
    <s v="Newspaper and book retailing"/>
    <s v="2022-08-01"/>
    <x v="3"/>
    <s v="August   "/>
    <s v="8"/>
    <n v="1.6"/>
    <n v="6.67"/>
  </r>
  <r>
    <x v="0"/>
    <s v="Newspaper and book retailing"/>
    <s v="2022-09-01"/>
    <x v="3"/>
    <s v="September"/>
    <s v="9"/>
    <n v="1.7"/>
    <n v="70"/>
  </r>
  <r>
    <x v="0"/>
    <s v="Newspaper and book retailing"/>
    <s v="2022-10-01"/>
    <x v="3"/>
    <s v="October  "/>
    <s v="10"/>
    <n v="2"/>
    <n v="66.67"/>
  </r>
  <r>
    <x v="0"/>
    <s v="Newspaper and book retailing"/>
    <s v="2022-11-01"/>
    <x v="3"/>
    <s v="November "/>
    <s v="11"/>
    <n v="2"/>
    <n v="-33.33"/>
  </r>
  <r>
    <x v="0"/>
    <s v="Newspaper and book retailing"/>
    <s v="2022-12-01"/>
    <x v="3"/>
    <s v="December "/>
    <s v="12"/>
    <n v="3.9"/>
    <n v="-9.3000000000000007"/>
  </r>
  <r>
    <x v="0"/>
    <s v="Newspaper and book retailing"/>
    <s v="2023-01-01"/>
    <x v="4"/>
    <s v="January  "/>
    <s v="1"/>
    <n v="1.8"/>
    <n v="-28"/>
  </r>
  <r>
    <x v="0"/>
    <s v="Newspaper and book retailing"/>
    <s v="2023-02-01"/>
    <x v="4"/>
    <s v="February "/>
    <s v="2"/>
    <n v="1.8"/>
    <n v="-33.33"/>
  </r>
  <r>
    <x v="0"/>
    <s v="Newspaper and book retailing"/>
    <s v="2023-03-01"/>
    <x v="4"/>
    <s v="March    "/>
    <s v="3"/>
    <n v="1.9"/>
    <n v="-20.83"/>
  </r>
  <r>
    <x v="0"/>
    <s v="Newspaper and book retailing"/>
    <s v="2023-04-01"/>
    <x v="4"/>
    <s v="April    "/>
    <s v="4"/>
    <n v="1.8"/>
    <n v="-21.74"/>
  </r>
  <r>
    <x v="0"/>
    <s v="Newspaper and book retailing"/>
    <s v="2023-05-01"/>
    <x v="4"/>
    <s v="May      "/>
    <s v="5"/>
    <n v="1.8"/>
    <n v="-10"/>
  </r>
  <r>
    <x v="0"/>
    <s v="Newspaper and book retailing"/>
    <s v="2023-06-01"/>
    <x v="4"/>
    <s v="June     "/>
    <s v="6"/>
    <n v="1.6"/>
    <n v="0"/>
  </r>
  <r>
    <x v="0"/>
    <s v="Newspaper and book retailing"/>
    <s v="2023-07-01"/>
    <x v="4"/>
    <s v="July     "/>
    <s v="7"/>
    <n v="1.6"/>
    <n v="0"/>
  </r>
  <r>
    <x v="0"/>
    <s v="Newspaper and book retailing"/>
    <s v="2023-08-01"/>
    <x v="4"/>
    <s v="August   "/>
    <s v="8"/>
    <n v="1.6"/>
    <n v="0"/>
  </r>
  <r>
    <x v="0"/>
    <s v="Newspaper and book retailing"/>
    <s v="2023-09-01"/>
    <x v="4"/>
    <s v="September"/>
    <s v="9"/>
    <n v="1.5"/>
    <n v="-11.76"/>
  </r>
  <r>
    <x v="0"/>
    <s v="Newspaper and book retailing"/>
    <s v="2023-10-01"/>
    <x v="4"/>
    <s v="October  "/>
    <s v="10"/>
    <n v="1.6"/>
    <n v="-20"/>
  </r>
  <r>
    <x v="0"/>
    <s v="Newspaper and book retailing"/>
    <s v="2023-11-01"/>
    <x v="4"/>
    <s v="November "/>
    <s v="11"/>
    <n v="2.1"/>
    <n v="5"/>
  </r>
  <r>
    <x v="0"/>
    <s v="Newspaper and book retailing"/>
    <s v="2023-12-01"/>
    <x v="4"/>
    <s v="December "/>
    <s v="12"/>
    <n v="4.0999999999999996"/>
    <n v="5.13"/>
  </r>
  <r>
    <x v="0"/>
    <s v="Newspaper and book retailing"/>
    <s v="2024-01-01"/>
    <x v="5"/>
    <s v="January  "/>
    <s v="1"/>
    <n v="2.2999999999999998"/>
    <n v="27.78"/>
  </r>
  <r>
    <x v="0"/>
    <s v="Newspaper and book retailing"/>
    <s v="2024-02-01"/>
    <x v="5"/>
    <s v="February "/>
    <s v="2"/>
    <n v="2.2999999999999998"/>
    <n v="27.78"/>
  </r>
  <r>
    <x v="0"/>
    <s v="Newspaper and book retailing"/>
    <s v="2024-03-01"/>
    <x v="5"/>
    <s v="March    "/>
    <s v="3"/>
    <n v="2.5"/>
    <n v="31.58"/>
  </r>
  <r>
    <x v="0"/>
    <s v="Newspaper and book retailing"/>
    <s v="2024-04-01"/>
    <x v="5"/>
    <s v="April    "/>
    <s v="4"/>
    <n v="2.6"/>
    <n v="44.44"/>
  </r>
  <r>
    <x v="0"/>
    <s v="Newspaper and book retailing"/>
    <s v="2024-05-01"/>
    <x v="5"/>
    <s v="May      "/>
    <s v="5"/>
    <n v="2.8"/>
    <n v="55.56"/>
  </r>
  <r>
    <x v="0"/>
    <s v="Newspaper and book retailing"/>
    <s v="2024-06-01"/>
    <x v="5"/>
    <s v="June     "/>
    <s v="6"/>
    <n v="2.4"/>
    <n v="50"/>
  </r>
  <r>
    <x v="0"/>
    <s v="Newspaper and book retailing"/>
    <s v="2024-07-01"/>
    <x v="5"/>
    <s v="July     "/>
    <s v="7"/>
    <n v="2.9"/>
    <n v="81.25"/>
  </r>
  <r>
    <x v="0"/>
    <s v="Newspaper and book retailing"/>
    <s v="2024-08-01"/>
    <x v="5"/>
    <s v="August   "/>
    <s v="8"/>
    <n v="3.3"/>
    <n v="106.25"/>
  </r>
  <r>
    <x v="0"/>
    <s v="Newspaper and book retailing"/>
    <s v="2024-09-01"/>
    <x v="5"/>
    <s v="September"/>
    <s v="9"/>
    <n v="2.8"/>
    <n v="86.67"/>
  </r>
  <r>
    <x v="0"/>
    <s v="Newspaper and book retailing"/>
    <s v="2024-10-01"/>
    <x v="5"/>
    <s v="October  "/>
    <s v="10"/>
    <n v="2.8"/>
    <n v="75"/>
  </r>
  <r>
    <x v="0"/>
    <s v="Newspaper and book retailing"/>
    <s v="2024-11-01"/>
    <x v="5"/>
    <s v="November "/>
    <s v="11"/>
    <n v="3.8"/>
    <n v="80.95"/>
  </r>
  <r>
    <x v="0"/>
    <s v="Newspaper and book retailing"/>
    <s v="2024-12-01"/>
    <x v="5"/>
    <s v="December "/>
    <s v="12"/>
    <n v="6"/>
    <n v="46.34"/>
  </r>
  <r>
    <x v="0"/>
    <s v="Newspaper and book retailing"/>
    <s v="2025-01-01"/>
    <x v="6"/>
    <s v="January  "/>
    <s v="1"/>
    <n v="2.9"/>
    <n v="26.09"/>
  </r>
  <r>
    <x v="0"/>
    <s v="Newspaper and book retailing"/>
    <s v="2025-02-01"/>
    <x v="6"/>
    <s v="February "/>
    <s v="2"/>
    <n v="2.5"/>
    <n v="8.6999999999999993"/>
  </r>
  <r>
    <x v="0"/>
    <s v="Newspaper and book retailing"/>
    <s v="2025-03-01"/>
    <x v="6"/>
    <s v="March    "/>
    <s v="3"/>
    <n v="2.7"/>
    <n v="8"/>
  </r>
  <r>
    <x v="0"/>
    <s v="Newspaper and book retailing"/>
    <s v="2025-04-01"/>
    <x v="6"/>
    <s v="April    "/>
    <s v="4"/>
    <n v="2.8"/>
    <n v="7.69"/>
  </r>
  <r>
    <x v="0"/>
    <s v="Newspaper and book retailing"/>
    <s v="2025-05-01"/>
    <x v="6"/>
    <s v="May      "/>
    <s v="5"/>
    <n v="2.8"/>
    <n v="0"/>
  </r>
  <r>
    <x v="0"/>
    <s v="Newspaper and book retailing"/>
    <s v="2025-06-01"/>
    <x v="6"/>
    <s v="June     "/>
    <s v="6"/>
    <n v="2.5"/>
    <n v="4.17"/>
  </r>
  <r>
    <x v="0"/>
    <s v="Other recreational goods retailing"/>
    <s v="2019-01-01"/>
    <x v="0"/>
    <s v="January  "/>
    <s v="1"/>
    <n v="8"/>
    <m/>
  </r>
  <r>
    <x v="0"/>
    <s v="Other recreational goods retailing"/>
    <s v="2019-02-01"/>
    <x v="0"/>
    <s v="February "/>
    <s v="2"/>
    <n v="6.6"/>
    <m/>
  </r>
  <r>
    <x v="0"/>
    <s v="Other recreational goods retailing"/>
    <s v="2019-03-01"/>
    <x v="0"/>
    <s v="March    "/>
    <s v="3"/>
    <n v="7.3"/>
    <m/>
  </r>
  <r>
    <x v="0"/>
    <s v="Other recreational goods retailing"/>
    <s v="2019-04-01"/>
    <x v="0"/>
    <s v="April    "/>
    <s v="4"/>
    <n v="7.3"/>
    <m/>
  </r>
  <r>
    <x v="0"/>
    <s v="Other recreational goods retailing"/>
    <s v="2019-05-01"/>
    <x v="0"/>
    <s v="May      "/>
    <s v="5"/>
    <n v="6.5"/>
    <m/>
  </r>
  <r>
    <x v="0"/>
    <s v="Other recreational goods retailing"/>
    <s v="2019-06-01"/>
    <x v="0"/>
    <s v="June     "/>
    <s v="6"/>
    <n v="8"/>
    <m/>
  </r>
  <r>
    <x v="0"/>
    <s v="Other recreational goods retailing"/>
    <s v="2019-07-01"/>
    <x v="0"/>
    <s v="July     "/>
    <s v="7"/>
    <n v="8.6"/>
    <m/>
  </r>
  <r>
    <x v="0"/>
    <s v="Other recreational goods retailing"/>
    <s v="2019-08-01"/>
    <x v="0"/>
    <s v="August   "/>
    <s v="8"/>
    <n v="7.7"/>
    <m/>
  </r>
  <r>
    <x v="0"/>
    <s v="Other recreational goods retailing"/>
    <s v="2019-09-01"/>
    <x v="0"/>
    <s v="September"/>
    <s v="9"/>
    <n v="8.4"/>
    <m/>
  </r>
  <r>
    <x v="0"/>
    <s v="Other recreational goods retailing"/>
    <s v="2019-10-01"/>
    <x v="0"/>
    <s v="October  "/>
    <s v="10"/>
    <n v="7.7"/>
    <m/>
  </r>
  <r>
    <x v="0"/>
    <s v="Other recreational goods retailing"/>
    <s v="2019-11-01"/>
    <x v="0"/>
    <s v="November "/>
    <s v="11"/>
    <n v="9.9"/>
    <m/>
  </r>
  <r>
    <x v="0"/>
    <s v="Other recreational goods retailing"/>
    <s v="2019-12-01"/>
    <x v="0"/>
    <s v="December "/>
    <s v="12"/>
    <n v="15.2"/>
    <m/>
  </r>
  <r>
    <x v="0"/>
    <s v="Other recreational goods retailing"/>
    <s v="2020-01-01"/>
    <x v="1"/>
    <s v="January  "/>
    <s v="1"/>
    <n v="7.4"/>
    <n v="-7.5"/>
  </r>
  <r>
    <x v="0"/>
    <s v="Other recreational goods retailing"/>
    <s v="2020-02-01"/>
    <x v="1"/>
    <s v="February "/>
    <s v="2"/>
    <n v="6"/>
    <n v="-9.09"/>
  </r>
  <r>
    <x v="0"/>
    <s v="Other recreational goods retailing"/>
    <s v="2020-03-01"/>
    <x v="1"/>
    <s v="March    "/>
    <s v="3"/>
    <n v="8.4"/>
    <n v="15.07"/>
  </r>
  <r>
    <x v="0"/>
    <s v="Other recreational goods retailing"/>
    <s v="2020-04-01"/>
    <x v="1"/>
    <s v="April    "/>
    <s v="4"/>
    <n v="8.4"/>
    <n v="15.07"/>
  </r>
  <r>
    <x v="0"/>
    <s v="Other recreational goods retailing"/>
    <s v="2020-05-01"/>
    <x v="1"/>
    <s v="May      "/>
    <s v="5"/>
    <n v="9.5"/>
    <n v="46.15"/>
  </r>
  <r>
    <x v="0"/>
    <s v="Other recreational goods retailing"/>
    <s v="2020-06-01"/>
    <x v="1"/>
    <s v="June     "/>
    <s v="6"/>
    <n v="10.8"/>
    <n v="35"/>
  </r>
  <r>
    <x v="0"/>
    <s v="Other recreational goods retailing"/>
    <s v="2020-07-01"/>
    <x v="1"/>
    <s v="July     "/>
    <s v="7"/>
    <n v="10.8"/>
    <n v="25.58"/>
  </r>
  <r>
    <x v="0"/>
    <s v="Other recreational goods retailing"/>
    <s v="2020-08-01"/>
    <x v="1"/>
    <s v="August   "/>
    <s v="8"/>
    <n v="9.3000000000000007"/>
    <n v="20.78"/>
  </r>
  <r>
    <x v="0"/>
    <s v="Other recreational goods retailing"/>
    <s v="2020-09-01"/>
    <x v="1"/>
    <s v="September"/>
    <s v="9"/>
    <n v="8.9"/>
    <n v="5.95"/>
  </r>
  <r>
    <x v="0"/>
    <s v="Other recreational goods retailing"/>
    <s v="2020-10-01"/>
    <x v="1"/>
    <s v="October  "/>
    <s v="10"/>
    <n v="9.4"/>
    <n v="22.08"/>
  </r>
  <r>
    <x v="0"/>
    <s v="Other recreational goods retailing"/>
    <s v="2020-11-01"/>
    <x v="1"/>
    <s v="November "/>
    <s v="11"/>
    <n v="12.3"/>
    <n v="24.24"/>
  </r>
  <r>
    <x v="0"/>
    <s v="Other recreational goods retailing"/>
    <s v="2020-12-01"/>
    <x v="1"/>
    <s v="December "/>
    <s v="12"/>
    <n v="20.2"/>
    <n v="32.89"/>
  </r>
  <r>
    <x v="0"/>
    <s v="Other recreational goods retailing"/>
    <s v="2021-01-01"/>
    <x v="2"/>
    <s v="January  "/>
    <s v="1"/>
    <n v="10.5"/>
    <n v="41.89"/>
  </r>
  <r>
    <x v="0"/>
    <s v="Other recreational goods retailing"/>
    <s v="2021-02-01"/>
    <x v="2"/>
    <s v="February "/>
    <s v="2"/>
    <n v="7.6"/>
    <n v="26.67"/>
  </r>
  <r>
    <x v="0"/>
    <s v="Other recreational goods retailing"/>
    <s v="2021-03-01"/>
    <x v="2"/>
    <s v="March    "/>
    <s v="3"/>
    <n v="8.4"/>
    <n v="0"/>
  </r>
  <r>
    <x v="0"/>
    <s v="Other recreational goods retailing"/>
    <s v="2021-04-01"/>
    <x v="2"/>
    <s v="April    "/>
    <s v="4"/>
    <n v="8.4"/>
    <n v="0"/>
  </r>
  <r>
    <x v="0"/>
    <s v="Other recreational goods retailing"/>
    <s v="2021-05-01"/>
    <x v="2"/>
    <s v="May      "/>
    <s v="5"/>
    <n v="8.5"/>
    <n v="-10.53"/>
  </r>
  <r>
    <x v="0"/>
    <s v="Other recreational goods retailing"/>
    <s v="2021-06-01"/>
    <x v="2"/>
    <s v="June     "/>
    <s v="6"/>
    <n v="10.8"/>
    <n v="0"/>
  </r>
  <r>
    <x v="0"/>
    <s v="Other recreational goods retailing"/>
    <s v="2021-07-01"/>
    <x v="2"/>
    <s v="July     "/>
    <s v="7"/>
    <n v="8.3000000000000007"/>
    <n v="-23.15"/>
  </r>
  <r>
    <x v="0"/>
    <s v="Other recreational goods retailing"/>
    <s v="2021-08-01"/>
    <x v="2"/>
    <s v="August   "/>
    <s v="8"/>
    <n v="4.2"/>
    <n v="-54.84"/>
  </r>
  <r>
    <x v="0"/>
    <s v="Other recreational goods retailing"/>
    <s v="2021-09-01"/>
    <x v="2"/>
    <s v="September"/>
    <s v="9"/>
    <n v="1.5"/>
    <n v="-83.15"/>
  </r>
  <r>
    <x v="0"/>
    <s v="Other recreational goods retailing"/>
    <s v="2021-10-01"/>
    <x v="2"/>
    <s v="October  "/>
    <s v="10"/>
    <n v="5"/>
    <n v="-46.81"/>
  </r>
  <r>
    <x v="0"/>
    <s v="Other recreational goods retailing"/>
    <s v="2021-11-01"/>
    <x v="2"/>
    <s v="November "/>
    <s v="11"/>
    <n v="11.6"/>
    <n v="-5.69"/>
  </r>
  <r>
    <x v="0"/>
    <s v="Other recreational goods retailing"/>
    <s v="2021-12-01"/>
    <x v="2"/>
    <s v="December "/>
    <s v="12"/>
    <n v="14.5"/>
    <n v="-28.22"/>
  </r>
  <r>
    <x v="0"/>
    <s v="Other recreational goods retailing"/>
    <s v="2022-01-01"/>
    <x v="3"/>
    <s v="January  "/>
    <s v="1"/>
    <n v="10.8"/>
    <n v="2.86"/>
  </r>
  <r>
    <x v="0"/>
    <s v="Other recreational goods retailing"/>
    <s v="2022-02-01"/>
    <x v="3"/>
    <s v="February "/>
    <s v="2"/>
    <n v="6.2"/>
    <n v="-18.420000000000002"/>
  </r>
  <r>
    <x v="0"/>
    <s v="Other recreational goods retailing"/>
    <s v="2022-03-01"/>
    <x v="3"/>
    <s v="March    "/>
    <s v="3"/>
    <n v="7"/>
    <n v="-16.670000000000002"/>
  </r>
  <r>
    <x v="0"/>
    <s v="Other recreational goods retailing"/>
    <s v="2022-04-01"/>
    <x v="3"/>
    <s v="April    "/>
    <s v="4"/>
    <n v="8.5"/>
    <n v="1.19"/>
  </r>
  <r>
    <x v="0"/>
    <s v="Other recreational goods retailing"/>
    <s v="2022-05-01"/>
    <x v="3"/>
    <s v="May      "/>
    <s v="5"/>
    <n v="6.9"/>
    <n v="-18.82"/>
  </r>
  <r>
    <x v="0"/>
    <s v="Other recreational goods retailing"/>
    <s v="2022-06-01"/>
    <x v="3"/>
    <s v="June     "/>
    <s v="6"/>
    <n v="9.6999999999999993"/>
    <n v="-10.19"/>
  </r>
  <r>
    <x v="0"/>
    <s v="Other recreational goods retailing"/>
    <s v="2022-07-01"/>
    <x v="3"/>
    <s v="July     "/>
    <s v="7"/>
    <n v="7.8"/>
    <n v="-6.02"/>
  </r>
  <r>
    <x v="0"/>
    <s v="Other recreational goods retailing"/>
    <s v="2022-08-01"/>
    <x v="3"/>
    <s v="August   "/>
    <s v="8"/>
    <n v="7.3"/>
    <n v="73.81"/>
  </r>
  <r>
    <x v="0"/>
    <s v="Other recreational goods retailing"/>
    <s v="2022-09-01"/>
    <x v="3"/>
    <s v="September"/>
    <s v="9"/>
    <n v="8"/>
    <n v="433.33"/>
  </r>
  <r>
    <x v="0"/>
    <s v="Other recreational goods retailing"/>
    <s v="2022-10-01"/>
    <x v="3"/>
    <s v="October  "/>
    <s v="10"/>
    <n v="8"/>
    <n v="60"/>
  </r>
  <r>
    <x v="0"/>
    <s v="Other recreational goods retailing"/>
    <s v="2022-11-01"/>
    <x v="3"/>
    <s v="November "/>
    <s v="11"/>
    <n v="10.3"/>
    <n v="-11.21"/>
  </r>
  <r>
    <x v="0"/>
    <s v="Other recreational goods retailing"/>
    <s v="2022-12-01"/>
    <x v="3"/>
    <s v="December "/>
    <s v="12"/>
    <n v="15.3"/>
    <n v="5.52"/>
  </r>
  <r>
    <x v="0"/>
    <s v="Other recreational goods retailing"/>
    <s v="2023-01-01"/>
    <x v="4"/>
    <s v="January  "/>
    <s v="1"/>
    <n v="9"/>
    <n v="-16.670000000000002"/>
  </r>
  <r>
    <x v="0"/>
    <s v="Other recreational goods retailing"/>
    <s v="2023-02-01"/>
    <x v="4"/>
    <s v="February "/>
    <s v="2"/>
    <n v="7.2"/>
    <n v="16.13"/>
  </r>
  <r>
    <x v="0"/>
    <s v="Other recreational goods retailing"/>
    <s v="2023-03-01"/>
    <x v="4"/>
    <s v="March    "/>
    <s v="3"/>
    <n v="8"/>
    <n v="14.29"/>
  </r>
  <r>
    <x v="0"/>
    <s v="Other recreational goods retailing"/>
    <s v="2023-04-01"/>
    <x v="4"/>
    <s v="April    "/>
    <s v="4"/>
    <n v="8.5"/>
    <n v="0"/>
  </r>
  <r>
    <x v="0"/>
    <s v="Other recreational goods retailing"/>
    <s v="2023-05-01"/>
    <x v="4"/>
    <s v="May      "/>
    <s v="5"/>
    <n v="7.7"/>
    <n v="11.59"/>
  </r>
  <r>
    <x v="0"/>
    <s v="Other recreational goods retailing"/>
    <s v="2023-06-01"/>
    <x v="4"/>
    <s v="June     "/>
    <s v="6"/>
    <n v="7.8"/>
    <n v="-19.59"/>
  </r>
  <r>
    <x v="0"/>
    <s v="Other recreational goods retailing"/>
    <s v="2023-07-01"/>
    <x v="4"/>
    <s v="July     "/>
    <s v="7"/>
    <n v="7.5"/>
    <n v="-3.85"/>
  </r>
  <r>
    <x v="0"/>
    <s v="Other recreational goods retailing"/>
    <s v="2023-08-01"/>
    <x v="4"/>
    <s v="August   "/>
    <s v="8"/>
    <n v="6"/>
    <n v="-17.809999999999999"/>
  </r>
  <r>
    <x v="0"/>
    <s v="Other recreational goods retailing"/>
    <s v="2023-09-01"/>
    <x v="4"/>
    <s v="September"/>
    <s v="9"/>
    <n v="7.5"/>
    <n v="-6.25"/>
  </r>
  <r>
    <x v="0"/>
    <s v="Other recreational goods retailing"/>
    <s v="2023-10-01"/>
    <x v="4"/>
    <s v="October  "/>
    <s v="10"/>
    <n v="6.9"/>
    <n v="-13.75"/>
  </r>
  <r>
    <x v="0"/>
    <s v="Other recreational goods retailing"/>
    <s v="2023-11-01"/>
    <x v="4"/>
    <s v="November "/>
    <s v="11"/>
    <n v="10.1"/>
    <n v="-1.94"/>
  </r>
  <r>
    <x v="0"/>
    <s v="Other recreational goods retailing"/>
    <s v="2023-12-01"/>
    <x v="4"/>
    <s v="December "/>
    <s v="12"/>
    <n v="15.9"/>
    <n v="3.92"/>
  </r>
  <r>
    <x v="0"/>
    <s v="Other recreational goods retailing"/>
    <s v="2024-01-01"/>
    <x v="5"/>
    <s v="January  "/>
    <s v="1"/>
    <n v="8.8000000000000007"/>
    <n v="-2.2200000000000002"/>
  </r>
  <r>
    <x v="0"/>
    <s v="Other recreational goods retailing"/>
    <s v="2024-02-01"/>
    <x v="5"/>
    <s v="February "/>
    <s v="2"/>
    <n v="7.6"/>
    <n v="5.56"/>
  </r>
  <r>
    <x v="0"/>
    <s v="Other recreational goods retailing"/>
    <s v="2024-03-01"/>
    <x v="5"/>
    <s v="March    "/>
    <s v="3"/>
    <n v="7.5"/>
    <n v="-6.25"/>
  </r>
  <r>
    <x v="0"/>
    <s v="Other recreational goods retailing"/>
    <s v="2024-04-01"/>
    <x v="5"/>
    <s v="April    "/>
    <s v="4"/>
    <n v="7.8"/>
    <n v="-8.24"/>
  </r>
  <r>
    <x v="0"/>
    <s v="Other recreational goods retailing"/>
    <s v="2024-05-01"/>
    <x v="5"/>
    <s v="May      "/>
    <s v="5"/>
    <n v="6.3"/>
    <n v="-18.18"/>
  </r>
  <r>
    <x v="0"/>
    <s v="Other recreational goods retailing"/>
    <s v="2024-06-01"/>
    <x v="5"/>
    <s v="June     "/>
    <s v="6"/>
    <n v="6.9"/>
    <n v="-11.54"/>
  </r>
  <r>
    <x v="0"/>
    <s v="Other recreational goods retailing"/>
    <s v="2024-07-01"/>
    <x v="5"/>
    <s v="July     "/>
    <s v="7"/>
    <n v="7"/>
    <n v="-6.67"/>
  </r>
  <r>
    <x v="0"/>
    <s v="Other recreational goods retailing"/>
    <s v="2024-08-01"/>
    <x v="5"/>
    <s v="August   "/>
    <s v="8"/>
    <n v="6.6"/>
    <n v="10"/>
  </r>
  <r>
    <x v="0"/>
    <s v="Other recreational goods retailing"/>
    <s v="2024-09-01"/>
    <x v="5"/>
    <s v="September"/>
    <s v="9"/>
    <n v="7.3"/>
    <n v="-2.67"/>
  </r>
  <r>
    <x v="0"/>
    <s v="Other recreational goods retailing"/>
    <s v="2024-10-01"/>
    <x v="5"/>
    <s v="October  "/>
    <s v="10"/>
    <n v="7.3"/>
    <n v="5.8"/>
  </r>
  <r>
    <x v="0"/>
    <s v="Other recreational goods retailing"/>
    <s v="2024-11-01"/>
    <x v="5"/>
    <s v="November "/>
    <s v="11"/>
    <n v="9.5"/>
    <n v="-5.94"/>
  </r>
  <r>
    <x v="0"/>
    <s v="Other recreational goods retailing"/>
    <s v="2024-12-01"/>
    <x v="5"/>
    <s v="December "/>
    <s v="12"/>
    <n v="12.9"/>
    <n v="-18.87"/>
  </r>
  <r>
    <x v="0"/>
    <s v="Other recreational goods retailing"/>
    <s v="2025-01-01"/>
    <x v="6"/>
    <s v="January  "/>
    <s v="1"/>
    <n v="8.6999999999999993"/>
    <n v="-1.1399999999999999"/>
  </r>
  <r>
    <x v="0"/>
    <s v="Other recreational goods retailing"/>
    <s v="2025-02-01"/>
    <x v="6"/>
    <s v="February "/>
    <s v="2"/>
    <n v="6.2"/>
    <n v="-18.420000000000002"/>
  </r>
  <r>
    <x v="0"/>
    <s v="Other recreational goods retailing"/>
    <s v="2025-03-01"/>
    <x v="6"/>
    <s v="March    "/>
    <s v="3"/>
    <n v="7.4"/>
    <n v="-1.33"/>
  </r>
  <r>
    <x v="0"/>
    <s v="Other recreational goods retailing"/>
    <s v="2025-04-01"/>
    <x v="6"/>
    <s v="April    "/>
    <s v="4"/>
    <n v="7.9"/>
    <n v="1.28"/>
  </r>
  <r>
    <x v="0"/>
    <s v="Other recreational goods retailing"/>
    <s v="2025-05-01"/>
    <x v="6"/>
    <s v="May      "/>
    <s v="5"/>
    <n v="7.2"/>
    <n v="14.29"/>
  </r>
  <r>
    <x v="0"/>
    <s v="Other recreational goods retailing"/>
    <s v="2025-06-01"/>
    <x v="6"/>
    <s v="June     "/>
    <s v="6"/>
    <n v="8.8000000000000007"/>
    <n v="27.54"/>
  </r>
  <r>
    <x v="0"/>
    <s v="Other retailing n.e.c."/>
    <s v="2019-01-01"/>
    <x v="0"/>
    <s v="January  "/>
    <s v="1"/>
    <n v="21.4"/>
    <m/>
  </r>
  <r>
    <x v="0"/>
    <s v="Other retailing n.e.c."/>
    <s v="2019-02-01"/>
    <x v="0"/>
    <s v="February "/>
    <s v="2"/>
    <n v="21.4"/>
    <m/>
  </r>
  <r>
    <x v="0"/>
    <s v="Other retailing n.e.c."/>
    <s v="2019-03-01"/>
    <x v="0"/>
    <s v="March    "/>
    <s v="3"/>
    <n v="22.5"/>
    <m/>
  </r>
  <r>
    <x v="0"/>
    <s v="Other retailing n.e.c."/>
    <s v="2019-04-01"/>
    <x v="0"/>
    <s v="April    "/>
    <s v="4"/>
    <n v="20.8"/>
    <m/>
  </r>
  <r>
    <x v="0"/>
    <s v="Other retailing n.e.c."/>
    <s v="2019-05-01"/>
    <x v="0"/>
    <s v="May      "/>
    <s v="5"/>
    <n v="21.8"/>
    <m/>
  </r>
  <r>
    <x v="0"/>
    <s v="Other retailing n.e.c."/>
    <s v="2019-06-01"/>
    <x v="0"/>
    <s v="June     "/>
    <s v="6"/>
    <n v="22.5"/>
    <m/>
  </r>
  <r>
    <x v="0"/>
    <s v="Other retailing n.e.c."/>
    <s v="2019-07-01"/>
    <x v="0"/>
    <s v="July     "/>
    <s v="7"/>
    <n v="23.4"/>
    <m/>
  </r>
  <r>
    <x v="0"/>
    <s v="Other retailing n.e.c."/>
    <s v="2019-08-01"/>
    <x v="0"/>
    <s v="August   "/>
    <s v="8"/>
    <n v="23.4"/>
    <m/>
  </r>
  <r>
    <x v="0"/>
    <s v="Other retailing n.e.c."/>
    <s v="2019-09-01"/>
    <x v="0"/>
    <s v="September"/>
    <s v="9"/>
    <n v="22.5"/>
    <m/>
  </r>
  <r>
    <x v="0"/>
    <s v="Other retailing n.e.c."/>
    <s v="2019-10-01"/>
    <x v="0"/>
    <s v="October  "/>
    <s v="10"/>
    <n v="24.8"/>
    <m/>
  </r>
  <r>
    <x v="0"/>
    <s v="Other retailing n.e.c."/>
    <s v="2019-11-01"/>
    <x v="0"/>
    <s v="November "/>
    <s v="11"/>
    <n v="28.1"/>
    <m/>
  </r>
  <r>
    <x v="0"/>
    <s v="Other retailing n.e.c."/>
    <s v="2019-12-01"/>
    <x v="0"/>
    <s v="December "/>
    <s v="12"/>
    <n v="31.4"/>
    <m/>
  </r>
  <r>
    <x v="0"/>
    <s v="Other retailing n.e.c."/>
    <s v="2020-01-01"/>
    <x v="1"/>
    <s v="January  "/>
    <s v="1"/>
    <n v="24.7"/>
    <n v="15.42"/>
  </r>
  <r>
    <x v="0"/>
    <s v="Other retailing n.e.c."/>
    <s v="2020-02-01"/>
    <x v="1"/>
    <s v="February "/>
    <s v="2"/>
    <n v="27"/>
    <n v="26.17"/>
  </r>
  <r>
    <x v="0"/>
    <s v="Other retailing n.e.c."/>
    <s v="2020-03-01"/>
    <x v="1"/>
    <s v="March    "/>
    <s v="3"/>
    <n v="30.4"/>
    <n v="35.11"/>
  </r>
  <r>
    <x v="0"/>
    <s v="Other retailing n.e.c."/>
    <s v="2020-04-01"/>
    <x v="1"/>
    <s v="April    "/>
    <s v="4"/>
    <n v="29.8"/>
    <n v="43.27"/>
  </r>
  <r>
    <x v="0"/>
    <s v="Other retailing n.e.c."/>
    <s v="2020-05-01"/>
    <x v="1"/>
    <s v="May      "/>
    <s v="5"/>
    <n v="30.6"/>
    <n v="40.369999999999997"/>
  </r>
  <r>
    <x v="0"/>
    <s v="Other retailing n.e.c."/>
    <s v="2020-06-01"/>
    <x v="1"/>
    <s v="June     "/>
    <s v="6"/>
    <n v="30.7"/>
    <n v="36.44"/>
  </r>
  <r>
    <x v="0"/>
    <s v="Other retailing n.e.c."/>
    <s v="2020-07-01"/>
    <x v="1"/>
    <s v="July     "/>
    <s v="7"/>
    <n v="32"/>
    <n v="36.75"/>
  </r>
  <r>
    <x v="0"/>
    <s v="Other retailing n.e.c."/>
    <s v="2020-08-01"/>
    <x v="1"/>
    <s v="August   "/>
    <s v="8"/>
    <n v="34.1"/>
    <n v="45.73"/>
  </r>
  <r>
    <x v="0"/>
    <s v="Other retailing n.e.c."/>
    <s v="2020-09-01"/>
    <x v="1"/>
    <s v="September"/>
    <s v="9"/>
    <n v="31.7"/>
    <n v="40.89"/>
  </r>
  <r>
    <x v="0"/>
    <s v="Other retailing n.e.c."/>
    <s v="2020-10-01"/>
    <x v="1"/>
    <s v="October  "/>
    <s v="10"/>
    <n v="31.9"/>
    <n v="28.63"/>
  </r>
  <r>
    <x v="0"/>
    <s v="Other retailing n.e.c."/>
    <s v="2020-11-01"/>
    <x v="1"/>
    <s v="November "/>
    <s v="11"/>
    <n v="35.4"/>
    <n v="25.98"/>
  </r>
  <r>
    <x v="0"/>
    <s v="Other retailing n.e.c."/>
    <s v="2020-12-01"/>
    <x v="1"/>
    <s v="December "/>
    <s v="12"/>
    <n v="42.1"/>
    <n v="34.08"/>
  </r>
  <r>
    <x v="0"/>
    <s v="Other retailing n.e.c."/>
    <s v="2021-01-01"/>
    <x v="2"/>
    <s v="January  "/>
    <s v="1"/>
    <n v="32.1"/>
    <n v="29.96"/>
  </r>
  <r>
    <x v="0"/>
    <s v="Other retailing n.e.c."/>
    <s v="2021-02-01"/>
    <x v="2"/>
    <s v="February "/>
    <s v="2"/>
    <n v="31.6"/>
    <n v="17.04"/>
  </r>
  <r>
    <x v="0"/>
    <s v="Other retailing n.e.c."/>
    <s v="2021-03-01"/>
    <x v="2"/>
    <s v="March    "/>
    <s v="3"/>
    <n v="32.4"/>
    <n v="6.58"/>
  </r>
  <r>
    <x v="0"/>
    <s v="Other retailing n.e.c."/>
    <s v="2021-04-01"/>
    <x v="2"/>
    <s v="April    "/>
    <s v="4"/>
    <n v="30.2"/>
    <n v="1.34"/>
  </r>
  <r>
    <x v="0"/>
    <s v="Other retailing n.e.c."/>
    <s v="2021-05-01"/>
    <x v="2"/>
    <s v="May      "/>
    <s v="5"/>
    <n v="32.1"/>
    <n v="4.9000000000000004"/>
  </r>
  <r>
    <x v="0"/>
    <s v="Other retailing n.e.c."/>
    <s v="2021-06-01"/>
    <x v="2"/>
    <s v="June     "/>
    <s v="6"/>
    <n v="32.4"/>
    <n v="5.54"/>
  </r>
  <r>
    <x v="0"/>
    <s v="Other retailing n.e.c."/>
    <s v="2021-07-01"/>
    <x v="2"/>
    <s v="July     "/>
    <s v="7"/>
    <n v="35.200000000000003"/>
    <n v="10"/>
  </r>
  <r>
    <x v="0"/>
    <s v="Other retailing n.e.c."/>
    <s v="2021-08-01"/>
    <x v="2"/>
    <s v="August   "/>
    <s v="8"/>
    <n v="33.299999999999997"/>
    <n v="-2.35"/>
  </r>
  <r>
    <x v="0"/>
    <s v="Other retailing n.e.c."/>
    <s v="2021-09-01"/>
    <x v="2"/>
    <s v="September"/>
    <s v="9"/>
    <n v="29"/>
    <n v="-8.52"/>
  </r>
  <r>
    <x v="0"/>
    <s v="Other retailing n.e.c."/>
    <s v="2021-10-01"/>
    <x v="2"/>
    <s v="October  "/>
    <s v="10"/>
    <n v="33.6"/>
    <n v="5.33"/>
  </r>
  <r>
    <x v="0"/>
    <s v="Other retailing n.e.c."/>
    <s v="2021-11-01"/>
    <x v="2"/>
    <s v="November "/>
    <s v="11"/>
    <n v="42.1"/>
    <n v="18.93"/>
  </r>
  <r>
    <x v="0"/>
    <s v="Other retailing n.e.c."/>
    <s v="2021-12-01"/>
    <x v="2"/>
    <s v="December "/>
    <s v="12"/>
    <n v="47.3"/>
    <n v="12.35"/>
  </r>
  <r>
    <x v="0"/>
    <s v="Other retailing n.e.c."/>
    <s v="2022-01-01"/>
    <x v="3"/>
    <s v="January  "/>
    <s v="1"/>
    <n v="35.5"/>
    <n v="10.59"/>
  </r>
  <r>
    <x v="0"/>
    <s v="Other retailing n.e.c."/>
    <s v="2022-02-01"/>
    <x v="3"/>
    <s v="February "/>
    <s v="2"/>
    <n v="35.299999999999997"/>
    <n v="11.71"/>
  </r>
  <r>
    <x v="0"/>
    <s v="Other retailing n.e.c."/>
    <s v="2022-03-01"/>
    <x v="3"/>
    <s v="March    "/>
    <s v="3"/>
    <n v="39.4"/>
    <n v="21.6"/>
  </r>
  <r>
    <x v="0"/>
    <s v="Other retailing n.e.c."/>
    <s v="2022-04-01"/>
    <x v="3"/>
    <s v="April    "/>
    <s v="4"/>
    <n v="36.799999999999997"/>
    <n v="21.85"/>
  </r>
  <r>
    <x v="0"/>
    <s v="Other retailing n.e.c."/>
    <s v="2022-05-01"/>
    <x v="3"/>
    <s v="May      "/>
    <s v="5"/>
    <n v="36.9"/>
    <n v="14.95"/>
  </r>
  <r>
    <x v="0"/>
    <s v="Other retailing n.e.c."/>
    <s v="2022-06-01"/>
    <x v="3"/>
    <s v="June     "/>
    <s v="6"/>
    <n v="37.6"/>
    <n v="16.05"/>
  </r>
  <r>
    <x v="0"/>
    <s v="Other retailing n.e.c."/>
    <s v="2022-07-01"/>
    <x v="3"/>
    <s v="July     "/>
    <s v="7"/>
    <n v="40.700000000000003"/>
    <n v="15.63"/>
  </r>
  <r>
    <x v="0"/>
    <s v="Other retailing n.e.c."/>
    <s v="2022-08-01"/>
    <x v="3"/>
    <s v="August   "/>
    <s v="8"/>
    <n v="43.6"/>
    <n v="30.93"/>
  </r>
  <r>
    <x v="0"/>
    <s v="Other retailing n.e.c."/>
    <s v="2022-09-01"/>
    <x v="3"/>
    <s v="September"/>
    <s v="9"/>
    <n v="42.1"/>
    <n v="45.17"/>
  </r>
  <r>
    <x v="0"/>
    <s v="Other retailing n.e.c."/>
    <s v="2022-10-01"/>
    <x v="3"/>
    <s v="October  "/>
    <s v="10"/>
    <n v="46.2"/>
    <n v="37.5"/>
  </r>
  <r>
    <x v="0"/>
    <s v="Other retailing n.e.c."/>
    <s v="2022-11-01"/>
    <x v="3"/>
    <s v="November "/>
    <s v="11"/>
    <n v="52.9"/>
    <n v="25.65"/>
  </r>
  <r>
    <x v="0"/>
    <s v="Other retailing n.e.c."/>
    <s v="2022-12-01"/>
    <x v="3"/>
    <s v="December "/>
    <s v="12"/>
    <n v="56"/>
    <n v="18.39"/>
  </r>
  <r>
    <x v="0"/>
    <s v="Other retailing n.e.c."/>
    <s v="2023-01-01"/>
    <x v="4"/>
    <s v="January  "/>
    <s v="1"/>
    <n v="42.5"/>
    <n v="19.72"/>
  </r>
  <r>
    <x v="0"/>
    <s v="Other retailing n.e.c."/>
    <s v="2023-02-01"/>
    <x v="4"/>
    <s v="February "/>
    <s v="2"/>
    <n v="41.7"/>
    <n v="18.13"/>
  </r>
  <r>
    <x v="0"/>
    <s v="Other retailing n.e.c."/>
    <s v="2023-03-01"/>
    <x v="4"/>
    <s v="March    "/>
    <s v="3"/>
    <n v="43.7"/>
    <n v="10.91"/>
  </r>
  <r>
    <x v="0"/>
    <s v="Other retailing n.e.c."/>
    <s v="2023-04-01"/>
    <x v="4"/>
    <s v="April    "/>
    <s v="4"/>
    <n v="37.6"/>
    <n v="2.17"/>
  </r>
  <r>
    <x v="0"/>
    <s v="Other retailing n.e.c."/>
    <s v="2023-05-01"/>
    <x v="4"/>
    <s v="May      "/>
    <s v="5"/>
    <n v="43.5"/>
    <n v="17.89"/>
  </r>
  <r>
    <x v="0"/>
    <s v="Other retailing n.e.c."/>
    <s v="2023-06-01"/>
    <x v="4"/>
    <s v="June     "/>
    <s v="6"/>
    <n v="40"/>
    <n v="6.38"/>
  </r>
  <r>
    <x v="0"/>
    <s v="Other retailing n.e.c."/>
    <s v="2023-07-01"/>
    <x v="4"/>
    <s v="July     "/>
    <s v="7"/>
    <n v="40.9"/>
    <n v="0.49"/>
  </r>
  <r>
    <x v="0"/>
    <s v="Other retailing n.e.c."/>
    <s v="2023-08-01"/>
    <x v="4"/>
    <s v="August   "/>
    <s v="8"/>
    <n v="41.6"/>
    <n v="-4.59"/>
  </r>
  <r>
    <x v="0"/>
    <s v="Other retailing n.e.c."/>
    <s v="2023-09-01"/>
    <x v="4"/>
    <s v="September"/>
    <s v="9"/>
    <n v="41"/>
    <n v="-2.61"/>
  </r>
  <r>
    <x v="0"/>
    <s v="Other retailing n.e.c."/>
    <s v="2023-10-01"/>
    <x v="4"/>
    <s v="October  "/>
    <s v="10"/>
    <n v="45"/>
    <n v="-2.6"/>
  </r>
  <r>
    <x v="0"/>
    <s v="Other retailing n.e.c."/>
    <s v="2023-11-01"/>
    <x v="4"/>
    <s v="November "/>
    <s v="11"/>
    <n v="51.6"/>
    <n v="-2.46"/>
  </r>
  <r>
    <x v="0"/>
    <s v="Other retailing n.e.c."/>
    <s v="2023-12-01"/>
    <x v="4"/>
    <s v="December "/>
    <s v="12"/>
    <n v="50.8"/>
    <n v="-9.2899999999999991"/>
  </r>
  <r>
    <x v="0"/>
    <s v="Other retailing n.e.c."/>
    <s v="2024-01-01"/>
    <x v="5"/>
    <s v="January  "/>
    <s v="1"/>
    <n v="42.4"/>
    <n v="-0.24"/>
  </r>
  <r>
    <x v="0"/>
    <s v="Other retailing n.e.c."/>
    <s v="2024-02-01"/>
    <x v="5"/>
    <s v="February "/>
    <s v="2"/>
    <n v="42.4"/>
    <n v="1.68"/>
  </r>
  <r>
    <x v="0"/>
    <s v="Other retailing n.e.c."/>
    <s v="2024-03-01"/>
    <x v="5"/>
    <s v="March    "/>
    <s v="3"/>
    <n v="40.9"/>
    <n v="-6.41"/>
  </r>
  <r>
    <x v="0"/>
    <s v="Other retailing n.e.c."/>
    <s v="2024-04-01"/>
    <x v="5"/>
    <s v="April    "/>
    <s v="4"/>
    <n v="40.1"/>
    <n v="6.65"/>
  </r>
  <r>
    <x v="0"/>
    <s v="Other retailing n.e.c."/>
    <s v="2024-05-01"/>
    <x v="5"/>
    <s v="May      "/>
    <s v="5"/>
    <n v="42.6"/>
    <n v="-2.0699999999999998"/>
  </r>
  <r>
    <x v="0"/>
    <s v="Other retailing n.e.c."/>
    <s v="2024-06-01"/>
    <x v="5"/>
    <s v="June     "/>
    <s v="6"/>
    <n v="41.6"/>
    <n v="4"/>
  </r>
  <r>
    <x v="0"/>
    <s v="Other retailing n.e.c."/>
    <s v="2024-07-01"/>
    <x v="5"/>
    <s v="July     "/>
    <s v="7"/>
    <n v="39.5"/>
    <n v="-3.42"/>
  </r>
  <r>
    <x v="0"/>
    <s v="Other retailing n.e.c."/>
    <s v="2024-08-01"/>
    <x v="5"/>
    <s v="August   "/>
    <s v="8"/>
    <n v="40.200000000000003"/>
    <n v="-3.37"/>
  </r>
  <r>
    <x v="0"/>
    <s v="Other retailing n.e.c."/>
    <s v="2024-09-01"/>
    <x v="5"/>
    <s v="September"/>
    <s v="9"/>
    <n v="39.700000000000003"/>
    <n v="-3.17"/>
  </r>
  <r>
    <x v="0"/>
    <s v="Other retailing n.e.c."/>
    <s v="2024-10-01"/>
    <x v="5"/>
    <s v="October  "/>
    <s v="10"/>
    <n v="43.8"/>
    <n v="-2.67"/>
  </r>
  <r>
    <x v="0"/>
    <s v="Other retailing n.e.c."/>
    <s v="2024-11-01"/>
    <x v="5"/>
    <s v="November "/>
    <s v="11"/>
    <n v="48.9"/>
    <n v="-5.23"/>
  </r>
  <r>
    <x v="0"/>
    <s v="Other retailing n.e.c."/>
    <s v="2024-12-01"/>
    <x v="5"/>
    <s v="December "/>
    <s v="12"/>
    <n v="49.1"/>
    <n v="-3.35"/>
  </r>
  <r>
    <x v="0"/>
    <s v="Other retailing n.e.c."/>
    <s v="2025-01-01"/>
    <x v="6"/>
    <s v="January  "/>
    <s v="1"/>
    <n v="41.3"/>
    <n v="-2.59"/>
  </r>
  <r>
    <x v="0"/>
    <s v="Other retailing n.e.c."/>
    <s v="2025-02-01"/>
    <x v="6"/>
    <s v="February "/>
    <s v="2"/>
    <n v="38.9"/>
    <n v="-8.25"/>
  </r>
  <r>
    <x v="0"/>
    <s v="Other retailing n.e.c."/>
    <s v="2025-03-01"/>
    <x v="6"/>
    <s v="March    "/>
    <s v="3"/>
    <n v="40.4"/>
    <n v="-1.22"/>
  </r>
  <r>
    <x v="0"/>
    <s v="Other retailing n.e.c."/>
    <s v="2025-04-01"/>
    <x v="6"/>
    <s v="April    "/>
    <s v="4"/>
    <n v="36.9"/>
    <n v="-7.98"/>
  </r>
  <r>
    <x v="0"/>
    <s v="Other retailing n.e.c."/>
    <s v="2025-05-01"/>
    <x v="6"/>
    <s v="May      "/>
    <s v="5"/>
    <n v="38"/>
    <n v="-10.8"/>
  </r>
  <r>
    <x v="0"/>
    <s v="Other retailing n.e.c."/>
    <s v="2025-06-01"/>
    <x v="6"/>
    <s v="June     "/>
    <s v="6"/>
    <n v="40.700000000000003"/>
    <n v="-2.16"/>
  </r>
  <r>
    <x v="0"/>
    <s v="Other specialised food retailing"/>
    <s v="2019-01-01"/>
    <x v="0"/>
    <s v="January  "/>
    <s v="1"/>
    <n v="10.1"/>
    <m/>
  </r>
  <r>
    <x v="0"/>
    <s v="Other specialised food retailing"/>
    <s v="2019-02-01"/>
    <x v="0"/>
    <s v="February "/>
    <s v="2"/>
    <n v="10.6"/>
    <m/>
  </r>
  <r>
    <x v="0"/>
    <s v="Other specialised food retailing"/>
    <s v="2019-03-01"/>
    <x v="0"/>
    <s v="March    "/>
    <s v="3"/>
    <n v="11.5"/>
    <m/>
  </r>
  <r>
    <x v="0"/>
    <s v="Other specialised food retailing"/>
    <s v="2019-04-01"/>
    <x v="0"/>
    <s v="April    "/>
    <s v="4"/>
    <n v="11.3"/>
    <m/>
  </r>
  <r>
    <x v="0"/>
    <s v="Other specialised food retailing"/>
    <s v="2019-05-01"/>
    <x v="0"/>
    <s v="May      "/>
    <s v="5"/>
    <n v="11.1"/>
    <m/>
  </r>
  <r>
    <x v="0"/>
    <s v="Other specialised food retailing"/>
    <s v="2019-06-01"/>
    <x v="0"/>
    <s v="June     "/>
    <s v="6"/>
    <n v="10.1"/>
    <m/>
  </r>
  <r>
    <x v="0"/>
    <s v="Other specialised food retailing"/>
    <s v="2019-07-01"/>
    <x v="0"/>
    <s v="July     "/>
    <s v="7"/>
    <n v="8.5"/>
    <m/>
  </r>
  <r>
    <x v="0"/>
    <s v="Other specialised food retailing"/>
    <s v="2019-08-01"/>
    <x v="0"/>
    <s v="August   "/>
    <s v="8"/>
    <n v="9.6999999999999993"/>
    <m/>
  </r>
  <r>
    <x v="0"/>
    <s v="Other specialised food retailing"/>
    <s v="2019-09-01"/>
    <x v="0"/>
    <s v="September"/>
    <s v="9"/>
    <n v="9.4"/>
    <m/>
  </r>
  <r>
    <x v="0"/>
    <s v="Other specialised food retailing"/>
    <s v="2019-10-01"/>
    <x v="0"/>
    <s v="October  "/>
    <s v="10"/>
    <n v="9.6999999999999993"/>
    <m/>
  </r>
  <r>
    <x v="0"/>
    <s v="Other specialised food retailing"/>
    <s v="2019-11-01"/>
    <x v="0"/>
    <s v="November "/>
    <s v="11"/>
    <n v="10.8"/>
    <m/>
  </r>
  <r>
    <x v="0"/>
    <s v="Other specialised food retailing"/>
    <s v="2019-12-01"/>
    <x v="0"/>
    <s v="December "/>
    <s v="12"/>
    <n v="13.1"/>
    <m/>
  </r>
  <r>
    <x v="0"/>
    <s v="Other specialised food retailing"/>
    <s v="2020-01-01"/>
    <x v="1"/>
    <s v="January  "/>
    <s v="1"/>
    <n v="8.4"/>
    <n v="-16.829999999999998"/>
  </r>
  <r>
    <x v="0"/>
    <s v="Other specialised food retailing"/>
    <s v="2020-02-01"/>
    <x v="1"/>
    <s v="February "/>
    <s v="2"/>
    <n v="8.9"/>
    <n v="-16.04"/>
  </r>
  <r>
    <x v="0"/>
    <s v="Other specialised food retailing"/>
    <s v="2020-03-01"/>
    <x v="1"/>
    <s v="March    "/>
    <s v="3"/>
    <n v="11.4"/>
    <n v="-0.87"/>
  </r>
  <r>
    <x v="0"/>
    <s v="Other specialised food retailing"/>
    <s v="2020-04-01"/>
    <x v="1"/>
    <s v="April    "/>
    <s v="4"/>
    <n v="10.4"/>
    <n v="-7.96"/>
  </r>
  <r>
    <x v="0"/>
    <s v="Other specialised food retailing"/>
    <s v="2020-05-01"/>
    <x v="1"/>
    <s v="May      "/>
    <s v="5"/>
    <n v="11.1"/>
    <n v="0"/>
  </r>
  <r>
    <x v="0"/>
    <s v="Other specialised food retailing"/>
    <s v="2020-06-01"/>
    <x v="1"/>
    <s v="June     "/>
    <s v="6"/>
    <n v="10.1"/>
    <n v="0"/>
  </r>
  <r>
    <x v="0"/>
    <s v="Other specialised food retailing"/>
    <s v="2020-07-01"/>
    <x v="1"/>
    <s v="July     "/>
    <s v="7"/>
    <n v="11.3"/>
    <n v="32.94"/>
  </r>
  <r>
    <x v="0"/>
    <s v="Other specialised food retailing"/>
    <s v="2020-08-01"/>
    <x v="1"/>
    <s v="August   "/>
    <s v="8"/>
    <n v="11.4"/>
    <n v="17.53"/>
  </r>
  <r>
    <x v="0"/>
    <s v="Other specialised food retailing"/>
    <s v="2020-09-01"/>
    <x v="1"/>
    <s v="September"/>
    <s v="9"/>
    <n v="10.5"/>
    <n v="11.7"/>
  </r>
  <r>
    <x v="0"/>
    <s v="Other specialised food retailing"/>
    <s v="2020-10-01"/>
    <x v="1"/>
    <s v="October  "/>
    <s v="10"/>
    <n v="9.9"/>
    <n v="2.06"/>
  </r>
  <r>
    <x v="0"/>
    <s v="Other specialised food retailing"/>
    <s v="2020-11-01"/>
    <x v="1"/>
    <s v="November "/>
    <s v="11"/>
    <n v="9.6999999999999993"/>
    <n v="-10.19"/>
  </r>
  <r>
    <x v="0"/>
    <s v="Other specialised food retailing"/>
    <s v="2020-12-01"/>
    <x v="1"/>
    <s v="December "/>
    <s v="12"/>
    <n v="11"/>
    <n v="-16.03"/>
  </r>
  <r>
    <x v="0"/>
    <s v="Other specialised food retailing"/>
    <s v="2021-01-01"/>
    <x v="2"/>
    <s v="January  "/>
    <s v="1"/>
    <n v="8.5"/>
    <n v="1.19"/>
  </r>
  <r>
    <x v="0"/>
    <s v="Other specialised food retailing"/>
    <s v="2021-02-01"/>
    <x v="2"/>
    <s v="February "/>
    <s v="2"/>
    <n v="8.5"/>
    <n v="-4.49"/>
  </r>
  <r>
    <x v="0"/>
    <s v="Other specialised food retailing"/>
    <s v="2021-03-01"/>
    <x v="2"/>
    <s v="March    "/>
    <s v="3"/>
    <n v="9.1999999999999993"/>
    <n v="-19.3"/>
  </r>
  <r>
    <x v="0"/>
    <s v="Other specialised food retailing"/>
    <s v="2021-04-01"/>
    <x v="2"/>
    <s v="April    "/>
    <s v="4"/>
    <n v="8.6999999999999993"/>
    <n v="-16.350000000000001"/>
  </r>
  <r>
    <x v="0"/>
    <s v="Other specialised food retailing"/>
    <s v="2021-05-01"/>
    <x v="2"/>
    <s v="May      "/>
    <s v="5"/>
    <n v="8.6999999999999993"/>
    <n v="-21.62"/>
  </r>
  <r>
    <x v="0"/>
    <s v="Other specialised food retailing"/>
    <s v="2021-06-01"/>
    <x v="2"/>
    <s v="June     "/>
    <s v="6"/>
    <n v="8.3000000000000007"/>
    <n v="-17.82"/>
  </r>
  <r>
    <x v="0"/>
    <s v="Other specialised food retailing"/>
    <s v="2021-07-01"/>
    <x v="2"/>
    <s v="July     "/>
    <s v="7"/>
    <n v="9.5"/>
    <n v="-15.93"/>
  </r>
  <r>
    <x v="0"/>
    <s v="Other specialised food retailing"/>
    <s v="2021-08-01"/>
    <x v="2"/>
    <s v="August   "/>
    <s v="8"/>
    <n v="7.7"/>
    <n v="-32.46"/>
  </r>
  <r>
    <x v="0"/>
    <s v="Other specialised food retailing"/>
    <s v="2021-09-01"/>
    <x v="2"/>
    <s v="September"/>
    <s v="9"/>
    <n v="7.2"/>
    <n v="-31.43"/>
  </r>
  <r>
    <x v="0"/>
    <s v="Other specialised food retailing"/>
    <s v="2021-10-01"/>
    <x v="2"/>
    <s v="October  "/>
    <s v="10"/>
    <n v="10.8"/>
    <n v="9.09"/>
  </r>
  <r>
    <x v="0"/>
    <s v="Other specialised food retailing"/>
    <s v="2021-11-01"/>
    <x v="2"/>
    <s v="November "/>
    <s v="11"/>
    <n v="10.8"/>
    <n v="11.34"/>
  </r>
  <r>
    <x v="0"/>
    <s v="Other specialised food retailing"/>
    <s v="2021-12-01"/>
    <x v="2"/>
    <s v="December "/>
    <s v="12"/>
    <n v="13.1"/>
    <n v="19.09"/>
  </r>
  <r>
    <x v="0"/>
    <s v="Other specialised food retailing"/>
    <s v="2022-01-01"/>
    <x v="3"/>
    <s v="January  "/>
    <s v="1"/>
    <n v="9.3000000000000007"/>
    <n v="9.41"/>
  </r>
  <r>
    <x v="0"/>
    <s v="Other specialised food retailing"/>
    <s v="2022-02-01"/>
    <x v="3"/>
    <s v="February "/>
    <s v="2"/>
    <n v="10.8"/>
    <n v="27.06"/>
  </r>
  <r>
    <x v="0"/>
    <s v="Other specialised food retailing"/>
    <s v="2022-03-01"/>
    <x v="3"/>
    <s v="March    "/>
    <s v="3"/>
    <n v="11.4"/>
    <n v="23.91"/>
  </r>
  <r>
    <x v="0"/>
    <s v="Other specialised food retailing"/>
    <s v="2022-04-01"/>
    <x v="3"/>
    <s v="April    "/>
    <s v="4"/>
    <n v="11.9"/>
    <n v="36.78"/>
  </r>
  <r>
    <x v="0"/>
    <s v="Other specialised food retailing"/>
    <s v="2022-05-01"/>
    <x v="3"/>
    <s v="May      "/>
    <s v="5"/>
    <n v="11"/>
    <n v="26.44"/>
  </r>
  <r>
    <x v="0"/>
    <s v="Other specialised food retailing"/>
    <s v="2022-06-01"/>
    <x v="3"/>
    <s v="June     "/>
    <s v="6"/>
    <n v="10.199999999999999"/>
    <n v="22.89"/>
  </r>
  <r>
    <x v="0"/>
    <s v="Other specialised food retailing"/>
    <s v="2022-07-01"/>
    <x v="3"/>
    <s v="July     "/>
    <s v="7"/>
    <n v="10.7"/>
    <n v="12.63"/>
  </r>
  <r>
    <x v="0"/>
    <s v="Other specialised food retailing"/>
    <s v="2022-08-01"/>
    <x v="3"/>
    <s v="August   "/>
    <s v="8"/>
    <n v="11"/>
    <n v="42.86"/>
  </r>
  <r>
    <x v="0"/>
    <s v="Other specialised food retailing"/>
    <s v="2022-09-01"/>
    <x v="3"/>
    <s v="September"/>
    <s v="9"/>
    <n v="10.9"/>
    <n v="51.39"/>
  </r>
  <r>
    <x v="0"/>
    <s v="Other specialised food retailing"/>
    <s v="2022-10-01"/>
    <x v="3"/>
    <s v="October  "/>
    <s v="10"/>
    <n v="12.9"/>
    <n v="19.440000000000001"/>
  </r>
  <r>
    <x v="0"/>
    <s v="Other specialised food retailing"/>
    <s v="2022-11-01"/>
    <x v="3"/>
    <s v="November "/>
    <s v="11"/>
    <n v="12.3"/>
    <n v="13.89"/>
  </r>
  <r>
    <x v="0"/>
    <s v="Other specialised food retailing"/>
    <s v="2022-12-01"/>
    <x v="3"/>
    <s v="December "/>
    <s v="12"/>
    <n v="16.899999999999999"/>
    <n v="29.01"/>
  </r>
  <r>
    <x v="0"/>
    <s v="Other specialised food retailing"/>
    <s v="2023-01-01"/>
    <x v="4"/>
    <s v="January  "/>
    <s v="1"/>
    <n v="12"/>
    <n v="29.03"/>
  </r>
  <r>
    <x v="0"/>
    <s v="Other specialised food retailing"/>
    <s v="2023-02-01"/>
    <x v="4"/>
    <s v="February "/>
    <s v="2"/>
    <n v="11.4"/>
    <n v="5.56"/>
  </r>
  <r>
    <x v="0"/>
    <s v="Other specialised food retailing"/>
    <s v="2023-03-01"/>
    <x v="4"/>
    <s v="March    "/>
    <s v="3"/>
    <n v="11.8"/>
    <n v="3.51"/>
  </r>
  <r>
    <x v="0"/>
    <s v="Other specialised food retailing"/>
    <s v="2023-04-01"/>
    <x v="4"/>
    <s v="April    "/>
    <s v="4"/>
    <n v="11.8"/>
    <n v="-0.84"/>
  </r>
  <r>
    <x v="0"/>
    <s v="Other specialised food retailing"/>
    <s v="2023-05-01"/>
    <x v="4"/>
    <s v="May      "/>
    <s v="5"/>
    <n v="11.5"/>
    <n v="4.55"/>
  </r>
  <r>
    <x v="0"/>
    <s v="Other specialised food retailing"/>
    <s v="2023-06-01"/>
    <x v="4"/>
    <s v="June     "/>
    <s v="6"/>
    <n v="12"/>
    <n v="17.649999999999999"/>
  </r>
  <r>
    <x v="0"/>
    <s v="Other specialised food retailing"/>
    <s v="2023-07-01"/>
    <x v="4"/>
    <s v="July     "/>
    <s v="7"/>
    <n v="12"/>
    <n v="12.15"/>
  </r>
  <r>
    <x v="0"/>
    <s v="Other specialised food retailing"/>
    <s v="2023-08-01"/>
    <x v="4"/>
    <s v="August   "/>
    <s v="8"/>
    <n v="11.7"/>
    <n v="6.36"/>
  </r>
  <r>
    <x v="0"/>
    <s v="Other specialised food retailing"/>
    <s v="2023-09-01"/>
    <x v="4"/>
    <s v="September"/>
    <s v="9"/>
    <n v="11.8"/>
    <n v="8.26"/>
  </r>
  <r>
    <x v="0"/>
    <s v="Other specialised food retailing"/>
    <s v="2023-10-01"/>
    <x v="4"/>
    <s v="October  "/>
    <s v="10"/>
    <n v="11.9"/>
    <n v="-7.75"/>
  </r>
  <r>
    <x v="0"/>
    <s v="Other specialised food retailing"/>
    <s v="2023-11-01"/>
    <x v="4"/>
    <s v="November "/>
    <s v="11"/>
    <n v="13"/>
    <n v="5.69"/>
  </r>
  <r>
    <x v="0"/>
    <s v="Other specialised food retailing"/>
    <s v="2023-12-01"/>
    <x v="4"/>
    <s v="December "/>
    <s v="12"/>
    <n v="17.399999999999999"/>
    <n v="2.96"/>
  </r>
  <r>
    <x v="0"/>
    <s v="Other specialised food retailing"/>
    <s v="2024-01-01"/>
    <x v="5"/>
    <s v="January  "/>
    <s v="1"/>
    <n v="15.2"/>
    <n v="26.67"/>
  </r>
  <r>
    <x v="0"/>
    <s v="Other specialised food retailing"/>
    <s v="2024-02-01"/>
    <x v="5"/>
    <s v="February "/>
    <s v="2"/>
    <n v="13.8"/>
    <n v="21.05"/>
  </r>
  <r>
    <x v="0"/>
    <s v="Other specialised food retailing"/>
    <s v="2024-03-01"/>
    <x v="5"/>
    <s v="March    "/>
    <s v="3"/>
    <n v="15.5"/>
    <n v="31.36"/>
  </r>
  <r>
    <x v="0"/>
    <s v="Other specialised food retailing"/>
    <s v="2024-04-01"/>
    <x v="5"/>
    <s v="April    "/>
    <s v="4"/>
    <n v="14.8"/>
    <n v="25.42"/>
  </r>
  <r>
    <x v="0"/>
    <s v="Other specialised food retailing"/>
    <s v="2024-05-01"/>
    <x v="5"/>
    <s v="May      "/>
    <s v="5"/>
    <n v="15.4"/>
    <n v="33.909999999999997"/>
  </r>
  <r>
    <x v="0"/>
    <s v="Other specialised food retailing"/>
    <s v="2024-06-01"/>
    <x v="5"/>
    <s v="June     "/>
    <s v="6"/>
    <n v="17.899999999999999"/>
    <n v="49.17"/>
  </r>
  <r>
    <x v="0"/>
    <s v="Other specialised food retailing"/>
    <s v="2024-07-01"/>
    <x v="5"/>
    <s v="July     "/>
    <s v="7"/>
    <n v="17.600000000000001"/>
    <n v="46.67"/>
  </r>
  <r>
    <x v="0"/>
    <s v="Other specialised food retailing"/>
    <s v="2024-08-01"/>
    <x v="5"/>
    <s v="August   "/>
    <s v="8"/>
    <n v="18.2"/>
    <n v="55.56"/>
  </r>
  <r>
    <x v="0"/>
    <s v="Other specialised food retailing"/>
    <s v="2024-09-01"/>
    <x v="5"/>
    <s v="September"/>
    <s v="9"/>
    <n v="17.600000000000001"/>
    <n v="49.15"/>
  </r>
  <r>
    <x v="0"/>
    <s v="Other specialised food retailing"/>
    <s v="2024-10-01"/>
    <x v="5"/>
    <s v="October  "/>
    <s v="10"/>
    <n v="17.600000000000001"/>
    <n v="47.9"/>
  </r>
  <r>
    <x v="0"/>
    <s v="Other specialised food retailing"/>
    <s v="2024-11-01"/>
    <x v="5"/>
    <s v="November "/>
    <s v="11"/>
    <n v="18.3"/>
    <n v="40.770000000000003"/>
  </r>
  <r>
    <x v="0"/>
    <s v="Other specialised food retailing"/>
    <s v="2024-12-01"/>
    <x v="5"/>
    <s v="December "/>
    <s v="12"/>
    <n v="22.2"/>
    <n v="27.59"/>
  </r>
  <r>
    <x v="0"/>
    <s v="Other specialised food retailing"/>
    <s v="2025-01-01"/>
    <x v="6"/>
    <s v="January  "/>
    <s v="1"/>
    <n v="17.600000000000001"/>
    <n v="15.79"/>
  </r>
  <r>
    <x v="0"/>
    <s v="Other specialised food retailing"/>
    <s v="2025-02-01"/>
    <x v="6"/>
    <s v="February "/>
    <s v="2"/>
    <n v="17.100000000000001"/>
    <n v="23.91"/>
  </r>
  <r>
    <x v="0"/>
    <s v="Other specialised food retailing"/>
    <s v="2025-03-01"/>
    <x v="6"/>
    <s v="March    "/>
    <s v="3"/>
    <n v="19.3"/>
    <n v="24.52"/>
  </r>
  <r>
    <x v="0"/>
    <s v="Other specialised food retailing"/>
    <s v="2025-04-01"/>
    <x v="6"/>
    <s v="April    "/>
    <s v="4"/>
    <n v="18.5"/>
    <n v="25"/>
  </r>
  <r>
    <x v="0"/>
    <s v="Other specialised food retailing"/>
    <s v="2025-05-01"/>
    <x v="6"/>
    <s v="May      "/>
    <s v="5"/>
    <n v="18.7"/>
    <n v="21.43"/>
  </r>
  <r>
    <x v="0"/>
    <s v="Other specialised food retailing"/>
    <s v="2025-06-01"/>
    <x v="6"/>
    <s v="June     "/>
    <s v="6"/>
    <n v="17.899999999999999"/>
    <n v="0"/>
  </r>
  <r>
    <x v="0"/>
    <s v="Pharmaceutical, cosmetic and toiletry goods retailing"/>
    <s v="2019-01-01"/>
    <x v="0"/>
    <s v="January  "/>
    <s v="1"/>
    <n v="17.100000000000001"/>
    <m/>
  </r>
  <r>
    <x v="0"/>
    <s v="Pharmaceutical, cosmetic and toiletry goods retailing"/>
    <s v="2019-02-01"/>
    <x v="0"/>
    <s v="February "/>
    <s v="2"/>
    <n v="17.3"/>
    <m/>
  </r>
  <r>
    <x v="0"/>
    <s v="Pharmaceutical, cosmetic and toiletry goods retailing"/>
    <s v="2019-03-01"/>
    <x v="0"/>
    <s v="March    "/>
    <s v="3"/>
    <n v="19"/>
    <m/>
  </r>
  <r>
    <x v="0"/>
    <s v="Pharmaceutical, cosmetic and toiletry goods retailing"/>
    <s v="2019-04-01"/>
    <x v="0"/>
    <s v="April    "/>
    <s v="4"/>
    <n v="19.2"/>
    <m/>
  </r>
  <r>
    <x v="0"/>
    <s v="Pharmaceutical, cosmetic and toiletry goods retailing"/>
    <s v="2019-05-01"/>
    <x v="0"/>
    <s v="May      "/>
    <s v="5"/>
    <n v="20.2"/>
    <m/>
  </r>
  <r>
    <x v="0"/>
    <s v="Pharmaceutical, cosmetic and toiletry goods retailing"/>
    <s v="2019-06-01"/>
    <x v="0"/>
    <s v="June     "/>
    <s v="6"/>
    <n v="20.3"/>
    <m/>
  </r>
  <r>
    <x v="0"/>
    <s v="Pharmaceutical, cosmetic and toiletry goods retailing"/>
    <s v="2019-07-01"/>
    <x v="0"/>
    <s v="July     "/>
    <s v="7"/>
    <n v="20.399999999999999"/>
    <m/>
  </r>
  <r>
    <x v="0"/>
    <s v="Pharmaceutical, cosmetic and toiletry goods retailing"/>
    <s v="2019-08-01"/>
    <x v="0"/>
    <s v="August   "/>
    <s v="8"/>
    <n v="21.3"/>
    <m/>
  </r>
  <r>
    <x v="0"/>
    <s v="Pharmaceutical, cosmetic and toiletry goods retailing"/>
    <s v="2019-09-01"/>
    <x v="0"/>
    <s v="September"/>
    <s v="9"/>
    <n v="20.2"/>
    <m/>
  </r>
  <r>
    <x v="0"/>
    <s v="Pharmaceutical, cosmetic and toiletry goods retailing"/>
    <s v="2019-10-01"/>
    <x v="0"/>
    <s v="October  "/>
    <s v="10"/>
    <n v="22.4"/>
    <m/>
  </r>
  <r>
    <x v="0"/>
    <s v="Pharmaceutical, cosmetic and toiletry goods retailing"/>
    <s v="2019-11-01"/>
    <x v="0"/>
    <s v="November "/>
    <s v="11"/>
    <n v="23.9"/>
    <m/>
  </r>
  <r>
    <x v="0"/>
    <s v="Pharmaceutical, cosmetic and toiletry goods retailing"/>
    <s v="2019-12-01"/>
    <x v="0"/>
    <s v="December "/>
    <s v="12"/>
    <n v="26.7"/>
    <m/>
  </r>
  <r>
    <x v="0"/>
    <s v="Pharmaceutical, cosmetic and toiletry goods retailing"/>
    <s v="2020-01-01"/>
    <x v="1"/>
    <s v="January  "/>
    <s v="1"/>
    <n v="19"/>
    <n v="11.11"/>
  </r>
  <r>
    <x v="0"/>
    <s v="Pharmaceutical, cosmetic and toiletry goods retailing"/>
    <s v="2020-02-01"/>
    <x v="1"/>
    <s v="February "/>
    <s v="2"/>
    <n v="19.2"/>
    <n v="10.98"/>
  </r>
  <r>
    <x v="0"/>
    <s v="Pharmaceutical, cosmetic and toiletry goods retailing"/>
    <s v="2020-03-01"/>
    <x v="1"/>
    <s v="March    "/>
    <s v="3"/>
    <n v="24.8"/>
    <n v="30.53"/>
  </r>
  <r>
    <x v="0"/>
    <s v="Pharmaceutical, cosmetic and toiletry goods retailing"/>
    <s v="2020-04-01"/>
    <x v="1"/>
    <s v="April    "/>
    <s v="4"/>
    <n v="14.8"/>
    <n v="-22.92"/>
  </r>
  <r>
    <x v="0"/>
    <s v="Pharmaceutical, cosmetic and toiletry goods retailing"/>
    <s v="2020-05-01"/>
    <x v="1"/>
    <s v="May      "/>
    <s v="5"/>
    <n v="16.8"/>
    <n v="-16.829999999999998"/>
  </r>
  <r>
    <x v="0"/>
    <s v="Pharmaceutical, cosmetic and toiletry goods retailing"/>
    <s v="2020-06-01"/>
    <x v="1"/>
    <s v="June     "/>
    <s v="6"/>
    <n v="17.100000000000001"/>
    <n v="-15.76"/>
  </r>
  <r>
    <x v="0"/>
    <s v="Pharmaceutical, cosmetic and toiletry goods retailing"/>
    <s v="2020-07-01"/>
    <x v="1"/>
    <s v="July     "/>
    <s v="7"/>
    <n v="19.5"/>
    <n v="-4.41"/>
  </r>
  <r>
    <x v="0"/>
    <s v="Pharmaceutical, cosmetic and toiletry goods retailing"/>
    <s v="2020-08-01"/>
    <x v="1"/>
    <s v="August   "/>
    <s v="8"/>
    <n v="20.2"/>
    <n v="-5.16"/>
  </r>
  <r>
    <x v="0"/>
    <s v="Pharmaceutical, cosmetic and toiletry goods retailing"/>
    <s v="2020-09-01"/>
    <x v="1"/>
    <s v="September"/>
    <s v="9"/>
    <n v="19.899999999999999"/>
    <n v="-1.49"/>
  </r>
  <r>
    <x v="0"/>
    <s v="Pharmaceutical, cosmetic and toiletry goods retailing"/>
    <s v="2020-10-01"/>
    <x v="1"/>
    <s v="October  "/>
    <s v="10"/>
    <n v="21.2"/>
    <n v="-5.36"/>
  </r>
  <r>
    <x v="0"/>
    <s v="Pharmaceutical, cosmetic and toiletry goods retailing"/>
    <s v="2020-11-01"/>
    <x v="1"/>
    <s v="November "/>
    <s v="11"/>
    <n v="21.9"/>
    <n v="-8.3699999999999992"/>
  </r>
  <r>
    <x v="0"/>
    <s v="Pharmaceutical, cosmetic and toiletry goods retailing"/>
    <s v="2020-12-01"/>
    <x v="1"/>
    <s v="December "/>
    <s v="12"/>
    <n v="27"/>
    <n v="1.1200000000000001"/>
  </r>
  <r>
    <x v="0"/>
    <s v="Pharmaceutical, cosmetic and toiletry goods retailing"/>
    <s v="2021-01-01"/>
    <x v="2"/>
    <s v="January  "/>
    <s v="1"/>
    <n v="19.100000000000001"/>
    <n v="0.53"/>
  </r>
  <r>
    <x v="0"/>
    <s v="Pharmaceutical, cosmetic and toiletry goods retailing"/>
    <s v="2021-02-01"/>
    <x v="2"/>
    <s v="February "/>
    <s v="2"/>
    <n v="19.600000000000001"/>
    <n v="2.08"/>
  </r>
  <r>
    <x v="0"/>
    <s v="Pharmaceutical, cosmetic and toiletry goods retailing"/>
    <s v="2021-03-01"/>
    <x v="2"/>
    <s v="March    "/>
    <s v="3"/>
    <n v="22"/>
    <n v="-11.29"/>
  </r>
  <r>
    <x v="0"/>
    <s v="Pharmaceutical, cosmetic and toiletry goods retailing"/>
    <s v="2021-04-01"/>
    <x v="2"/>
    <s v="April    "/>
    <s v="4"/>
    <n v="20.5"/>
    <n v="38.51"/>
  </r>
  <r>
    <x v="0"/>
    <s v="Pharmaceutical, cosmetic and toiletry goods retailing"/>
    <s v="2021-05-01"/>
    <x v="2"/>
    <s v="May      "/>
    <s v="5"/>
    <n v="21.1"/>
    <n v="25.6"/>
  </r>
  <r>
    <x v="0"/>
    <s v="Pharmaceutical, cosmetic and toiletry goods retailing"/>
    <s v="2021-06-01"/>
    <x v="2"/>
    <s v="June     "/>
    <s v="6"/>
    <n v="21.4"/>
    <n v="25.15"/>
  </r>
  <r>
    <x v="0"/>
    <s v="Pharmaceutical, cosmetic and toiletry goods retailing"/>
    <s v="2021-07-01"/>
    <x v="2"/>
    <s v="July     "/>
    <s v="7"/>
    <n v="22.7"/>
    <n v="16.41"/>
  </r>
  <r>
    <x v="0"/>
    <s v="Pharmaceutical, cosmetic and toiletry goods retailing"/>
    <s v="2021-08-01"/>
    <x v="2"/>
    <s v="August   "/>
    <s v="8"/>
    <n v="18.7"/>
    <n v="-7.43"/>
  </r>
  <r>
    <x v="0"/>
    <s v="Pharmaceutical, cosmetic and toiletry goods retailing"/>
    <s v="2021-09-01"/>
    <x v="2"/>
    <s v="September"/>
    <s v="9"/>
    <n v="16.5"/>
    <n v="-17.09"/>
  </r>
  <r>
    <x v="0"/>
    <s v="Pharmaceutical, cosmetic and toiletry goods retailing"/>
    <s v="2021-10-01"/>
    <x v="2"/>
    <s v="October  "/>
    <s v="10"/>
    <n v="18.8"/>
    <n v="-11.32"/>
  </r>
  <r>
    <x v="0"/>
    <s v="Pharmaceutical, cosmetic and toiletry goods retailing"/>
    <s v="2021-11-01"/>
    <x v="2"/>
    <s v="November "/>
    <s v="11"/>
    <n v="23.5"/>
    <n v="7.31"/>
  </r>
  <r>
    <x v="0"/>
    <s v="Pharmaceutical, cosmetic and toiletry goods retailing"/>
    <s v="2021-12-01"/>
    <x v="2"/>
    <s v="December "/>
    <s v="12"/>
    <n v="27.4"/>
    <n v="1.48"/>
  </r>
  <r>
    <x v="0"/>
    <s v="Pharmaceutical, cosmetic and toiletry goods retailing"/>
    <s v="2022-01-01"/>
    <x v="3"/>
    <s v="January  "/>
    <s v="1"/>
    <n v="19.899999999999999"/>
    <n v="4.1900000000000004"/>
  </r>
  <r>
    <x v="0"/>
    <s v="Pharmaceutical, cosmetic and toiletry goods retailing"/>
    <s v="2022-02-01"/>
    <x v="3"/>
    <s v="February "/>
    <s v="2"/>
    <n v="18.8"/>
    <n v="-4.08"/>
  </r>
  <r>
    <x v="0"/>
    <s v="Pharmaceutical, cosmetic and toiletry goods retailing"/>
    <s v="2022-03-01"/>
    <x v="3"/>
    <s v="March    "/>
    <s v="3"/>
    <n v="20.9"/>
    <n v="-5"/>
  </r>
  <r>
    <x v="0"/>
    <s v="Pharmaceutical, cosmetic and toiletry goods retailing"/>
    <s v="2022-04-01"/>
    <x v="3"/>
    <s v="April    "/>
    <s v="4"/>
    <n v="22.2"/>
    <n v="8.2899999999999991"/>
  </r>
  <r>
    <x v="0"/>
    <s v="Pharmaceutical, cosmetic and toiletry goods retailing"/>
    <s v="2022-05-01"/>
    <x v="3"/>
    <s v="May      "/>
    <s v="5"/>
    <n v="24.3"/>
    <n v="15.17"/>
  </r>
  <r>
    <x v="0"/>
    <s v="Pharmaceutical, cosmetic and toiletry goods retailing"/>
    <s v="2022-06-01"/>
    <x v="3"/>
    <s v="June     "/>
    <s v="6"/>
    <n v="24.5"/>
    <n v="14.49"/>
  </r>
  <r>
    <x v="0"/>
    <s v="Pharmaceutical, cosmetic and toiletry goods retailing"/>
    <s v="2022-07-01"/>
    <x v="3"/>
    <s v="July     "/>
    <s v="7"/>
    <n v="27.9"/>
    <n v="22.91"/>
  </r>
  <r>
    <x v="0"/>
    <s v="Pharmaceutical, cosmetic and toiletry goods retailing"/>
    <s v="2022-08-01"/>
    <x v="3"/>
    <s v="August   "/>
    <s v="8"/>
    <n v="26.2"/>
    <n v="40.11"/>
  </r>
  <r>
    <x v="0"/>
    <s v="Pharmaceutical, cosmetic and toiletry goods retailing"/>
    <s v="2022-09-01"/>
    <x v="3"/>
    <s v="September"/>
    <s v="9"/>
    <n v="25.5"/>
    <n v="54.55"/>
  </r>
  <r>
    <x v="0"/>
    <s v="Pharmaceutical, cosmetic and toiletry goods retailing"/>
    <s v="2022-10-01"/>
    <x v="3"/>
    <s v="October  "/>
    <s v="10"/>
    <n v="25.8"/>
    <n v="37.229999999999997"/>
  </r>
  <r>
    <x v="0"/>
    <s v="Pharmaceutical, cosmetic and toiletry goods retailing"/>
    <s v="2022-11-01"/>
    <x v="3"/>
    <s v="November "/>
    <s v="11"/>
    <n v="27.5"/>
    <n v="17.02"/>
  </r>
  <r>
    <x v="0"/>
    <s v="Pharmaceutical, cosmetic and toiletry goods retailing"/>
    <s v="2022-12-01"/>
    <x v="3"/>
    <s v="December "/>
    <s v="12"/>
    <n v="35"/>
    <n v="27.74"/>
  </r>
  <r>
    <x v="0"/>
    <s v="Pharmaceutical, cosmetic and toiletry goods retailing"/>
    <s v="2023-01-01"/>
    <x v="4"/>
    <s v="January  "/>
    <s v="1"/>
    <n v="25.7"/>
    <n v="29.15"/>
  </r>
  <r>
    <x v="0"/>
    <s v="Pharmaceutical, cosmetic and toiletry goods retailing"/>
    <s v="2023-02-01"/>
    <x v="4"/>
    <s v="February "/>
    <s v="2"/>
    <n v="25.4"/>
    <n v="35.11"/>
  </r>
  <r>
    <x v="0"/>
    <s v="Pharmaceutical, cosmetic and toiletry goods retailing"/>
    <s v="2023-03-01"/>
    <x v="4"/>
    <s v="March    "/>
    <s v="3"/>
    <n v="29.3"/>
    <n v="40.19"/>
  </r>
  <r>
    <x v="0"/>
    <s v="Pharmaceutical, cosmetic and toiletry goods retailing"/>
    <s v="2023-04-01"/>
    <x v="4"/>
    <s v="April    "/>
    <s v="4"/>
    <n v="27.7"/>
    <n v="24.77"/>
  </r>
  <r>
    <x v="0"/>
    <s v="Pharmaceutical, cosmetic and toiletry goods retailing"/>
    <s v="2023-05-01"/>
    <x v="4"/>
    <s v="May      "/>
    <s v="5"/>
    <n v="30.6"/>
    <n v="25.93"/>
  </r>
  <r>
    <x v="0"/>
    <s v="Pharmaceutical, cosmetic and toiletry goods retailing"/>
    <s v="2023-06-01"/>
    <x v="4"/>
    <s v="June     "/>
    <s v="6"/>
    <n v="28.9"/>
    <n v="17.96"/>
  </r>
  <r>
    <x v="0"/>
    <s v="Pharmaceutical, cosmetic and toiletry goods retailing"/>
    <s v="2023-07-01"/>
    <x v="4"/>
    <s v="July     "/>
    <s v="7"/>
    <n v="30.8"/>
    <n v="10.39"/>
  </r>
  <r>
    <x v="0"/>
    <s v="Pharmaceutical, cosmetic and toiletry goods retailing"/>
    <s v="2023-08-01"/>
    <x v="4"/>
    <s v="August   "/>
    <s v="8"/>
    <n v="31.9"/>
    <n v="21.76"/>
  </r>
  <r>
    <x v="0"/>
    <s v="Pharmaceutical, cosmetic and toiletry goods retailing"/>
    <s v="2023-09-01"/>
    <x v="4"/>
    <s v="September"/>
    <s v="9"/>
    <n v="32.700000000000003"/>
    <n v="28.24"/>
  </r>
  <r>
    <x v="0"/>
    <s v="Pharmaceutical, cosmetic and toiletry goods retailing"/>
    <s v="2023-10-01"/>
    <x v="4"/>
    <s v="October  "/>
    <s v="10"/>
    <n v="31.8"/>
    <n v="23.26"/>
  </r>
  <r>
    <x v="0"/>
    <s v="Pharmaceutical, cosmetic and toiletry goods retailing"/>
    <s v="2023-11-01"/>
    <x v="4"/>
    <s v="November "/>
    <s v="11"/>
    <n v="35.5"/>
    <n v="29.09"/>
  </r>
  <r>
    <x v="0"/>
    <s v="Pharmaceutical, cosmetic and toiletry goods retailing"/>
    <s v="2023-12-01"/>
    <x v="4"/>
    <s v="December "/>
    <s v="12"/>
    <n v="39.700000000000003"/>
    <n v="13.43"/>
  </r>
  <r>
    <x v="0"/>
    <s v="Pharmaceutical, cosmetic and toiletry goods retailing"/>
    <s v="2024-01-01"/>
    <x v="5"/>
    <s v="January  "/>
    <s v="1"/>
    <n v="31.2"/>
    <n v="21.4"/>
  </r>
  <r>
    <x v="0"/>
    <s v="Pharmaceutical, cosmetic and toiletry goods retailing"/>
    <s v="2024-02-01"/>
    <x v="5"/>
    <s v="February "/>
    <s v="2"/>
    <n v="31"/>
    <n v="22.05"/>
  </r>
  <r>
    <x v="0"/>
    <s v="Pharmaceutical, cosmetic and toiletry goods retailing"/>
    <s v="2024-03-01"/>
    <x v="5"/>
    <s v="March    "/>
    <s v="3"/>
    <n v="33.1"/>
    <n v="12.97"/>
  </r>
  <r>
    <x v="0"/>
    <s v="Pharmaceutical, cosmetic and toiletry goods retailing"/>
    <s v="2024-04-01"/>
    <x v="5"/>
    <s v="April    "/>
    <s v="4"/>
    <n v="33.1"/>
    <n v="19.489999999999998"/>
  </r>
  <r>
    <x v="0"/>
    <s v="Pharmaceutical, cosmetic and toiletry goods retailing"/>
    <s v="2024-05-01"/>
    <x v="5"/>
    <s v="May      "/>
    <s v="5"/>
    <n v="35.6"/>
    <n v="16.34"/>
  </r>
  <r>
    <x v="0"/>
    <s v="Pharmaceutical, cosmetic and toiletry goods retailing"/>
    <s v="2024-06-01"/>
    <x v="5"/>
    <s v="June     "/>
    <s v="6"/>
    <n v="34.1"/>
    <n v="17.989999999999998"/>
  </r>
  <r>
    <x v="0"/>
    <s v="Pharmaceutical, cosmetic and toiletry goods retailing"/>
    <s v="2024-07-01"/>
    <x v="5"/>
    <s v="July     "/>
    <s v="7"/>
    <n v="38.200000000000003"/>
    <n v="24.03"/>
  </r>
  <r>
    <x v="0"/>
    <s v="Pharmaceutical, cosmetic and toiletry goods retailing"/>
    <s v="2024-08-01"/>
    <x v="5"/>
    <s v="August   "/>
    <s v="8"/>
    <n v="39.299999999999997"/>
    <n v="23.2"/>
  </r>
  <r>
    <x v="0"/>
    <s v="Pharmaceutical, cosmetic and toiletry goods retailing"/>
    <s v="2024-09-01"/>
    <x v="5"/>
    <s v="September"/>
    <s v="9"/>
    <n v="35.200000000000003"/>
    <n v="7.65"/>
  </r>
  <r>
    <x v="0"/>
    <s v="Pharmaceutical, cosmetic and toiletry goods retailing"/>
    <s v="2024-10-01"/>
    <x v="5"/>
    <s v="October  "/>
    <s v="10"/>
    <n v="36.4"/>
    <n v="14.47"/>
  </r>
  <r>
    <x v="0"/>
    <s v="Pharmaceutical, cosmetic and toiletry goods retailing"/>
    <s v="2024-11-01"/>
    <x v="5"/>
    <s v="November "/>
    <s v="11"/>
    <n v="37.9"/>
    <n v="6.76"/>
  </r>
  <r>
    <x v="0"/>
    <s v="Pharmaceutical, cosmetic and toiletry goods retailing"/>
    <s v="2024-12-01"/>
    <x v="5"/>
    <s v="December "/>
    <s v="12"/>
    <n v="41.7"/>
    <n v="5.04"/>
  </r>
  <r>
    <x v="0"/>
    <s v="Pharmaceutical, cosmetic and toiletry goods retailing"/>
    <s v="2025-01-01"/>
    <x v="6"/>
    <s v="January  "/>
    <s v="1"/>
    <n v="31.8"/>
    <n v="1.92"/>
  </r>
  <r>
    <x v="0"/>
    <s v="Pharmaceutical, cosmetic and toiletry goods retailing"/>
    <s v="2025-02-01"/>
    <x v="6"/>
    <s v="February "/>
    <s v="2"/>
    <n v="32.6"/>
    <n v="5.16"/>
  </r>
  <r>
    <x v="0"/>
    <s v="Pharmaceutical, cosmetic and toiletry goods retailing"/>
    <s v="2025-03-01"/>
    <x v="6"/>
    <s v="March    "/>
    <s v="3"/>
    <n v="35"/>
    <n v="5.74"/>
  </r>
  <r>
    <x v="0"/>
    <s v="Pharmaceutical, cosmetic and toiletry goods retailing"/>
    <s v="2025-04-01"/>
    <x v="6"/>
    <s v="April    "/>
    <s v="4"/>
    <n v="34.700000000000003"/>
    <n v="4.83"/>
  </r>
  <r>
    <x v="0"/>
    <s v="Pharmaceutical, cosmetic and toiletry goods retailing"/>
    <s v="2025-05-01"/>
    <x v="6"/>
    <s v="May      "/>
    <s v="5"/>
    <n v="37.9"/>
    <n v="6.46"/>
  </r>
  <r>
    <x v="0"/>
    <s v="Pharmaceutical, cosmetic and toiletry goods retailing"/>
    <s v="2025-06-01"/>
    <x v="6"/>
    <s v="June     "/>
    <s v="6"/>
    <n v="36.1"/>
    <n v="5.87"/>
  </r>
  <r>
    <x v="0"/>
    <s v="Supermarket and grocery stores"/>
    <s v="2019-01-01"/>
    <x v="0"/>
    <s v="January  "/>
    <s v="1"/>
    <n v="188.1"/>
    <m/>
  </r>
  <r>
    <x v="0"/>
    <s v="Supermarket and grocery stores"/>
    <s v="2019-02-01"/>
    <x v="0"/>
    <s v="February "/>
    <s v="2"/>
    <n v="181.5"/>
    <m/>
  </r>
  <r>
    <x v="0"/>
    <s v="Supermarket and grocery stores"/>
    <s v="2019-03-01"/>
    <x v="0"/>
    <s v="March    "/>
    <s v="3"/>
    <n v="198.9"/>
    <m/>
  </r>
  <r>
    <x v="0"/>
    <s v="Supermarket and grocery stores"/>
    <s v="2019-04-01"/>
    <x v="0"/>
    <s v="April    "/>
    <s v="4"/>
    <n v="188"/>
    <m/>
  </r>
  <r>
    <x v="0"/>
    <s v="Supermarket and grocery stores"/>
    <s v="2019-05-01"/>
    <x v="0"/>
    <s v="May      "/>
    <s v="5"/>
    <n v="191.2"/>
    <m/>
  </r>
  <r>
    <x v="0"/>
    <s v="Supermarket and grocery stores"/>
    <s v="2019-06-01"/>
    <x v="0"/>
    <s v="June     "/>
    <s v="6"/>
    <n v="186.3"/>
    <m/>
  </r>
  <r>
    <x v="0"/>
    <s v="Supermarket and grocery stores"/>
    <s v="2019-07-01"/>
    <x v="0"/>
    <s v="July     "/>
    <s v="7"/>
    <n v="185.4"/>
    <m/>
  </r>
  <r>
    <x v="0"/>
    <s v="Supermarket and grocery stores"/>
    <s v="2019-08-01"/>
    <x v="0"/>
    <s v="August   "/>
    <s v="8"/>
    <n v="191.6"/>
    <m/>
  </r>
  <r>
    <x v="0"/>
    <s v="Supermarket and grocery stores"/>
    <s v="2019-09-01"/>
    <x v="0"/>
    <s v="September"/>
    <s v="9"/>
    <n v="189.5"/>
    <m/>
  </r>
  <r>
    <x v="0"/>
    <s v="Supermarket and grocery stores"/>
    <s v="2019-10-01"/>
    <x v="0"/>
    <s v="October  "/>
    <s v="10"/>
    <n v="199.7"/>
    <m/>
  </r>
  <r>
    <x v="0"/>
    <s v="Supermarket and grocery stores"/>
    <s v="2019-11-01"/>
    <x v="0"/>
    <s v="November "/>
    <s v="11"/>
    <n v="203.3"/>
    <m/>
  </r>
  <r>
    <x v="0"/>
    <s v="Supermarket and grocery stores"/>
    <s v="2019-12-01"/>
    <x v="0"/>
    <s v="December "/>
    <s v="12"/>
    <n v="221.6"/>
    <m/>
  </r>
  <r>
    <x v="0"/>
    <s v="Supermarket and grocery stores"/>
    <s v="2020-01-01"/>
    <x v="1"/>
    <s v="January  "/>
    <s v="1"/>
    <n v="194.2"/>
    <n v="3.24"/>
  </r>
  <r>
    <x v="0"/>
    <s v="Supermarket and grocery stores"/>
    <s v="2020-02-01"/>
    <x v="1"/>
    <s v="February "/>
    <s v="2"/>
    <n v="195.1"/>
    <n v="7.49"/>
  </r>
  <r>
    <x v="0"/>
    <s v="Supermarket and grocery stores"/>
    <s v="2020-03-01"/>
    <x v="1"/>
    <s v="March    "/>
    <s v="3"/>
    <n v="245.2"/>
    <n v="23.28"/>
  </r>
  <r>
    <x v="0"/>
    <s v="Supermarket and grocery stores"/>
    <s v="2020-04-01"/>
    <x v="1"/>
    <s v="April    "/>
    <s v="4"/>
    <n v="202"/>
    <n v="7.45"/>
  </r>
  <r>
    <x v="0"/>
    <s v="Supermarket and grocery stores"/>
    <s v="2020-05-01"/>
    <x v="1"/>
    <s v="May      "/>
    <s v="5"/>
    <n v="210.4"/>
    <n v="10.039999999999999"/>
  </r>
  <r>
    <x v="0"/>
    <s v="Supermarket and grocery stores"/>
    <s v="2020-06-01"/>
    <x v="1"/>
    <s v="June     "/>
    <s v="6"/>
    <n v="201.7"/>
    <n v="8.27"/>
  </r>
  <r>
    <x v="0"/>
    <s v="Supermarket and grocery stores"/>
    <s v="2020-07-01"/>
    <x v="1"/>
    <s v="July     "/>
    <s v="7"/>
    <n v="212.6"/>
    <n v="14.67"/>
  </r>
  <r>
    <x v="0"/>
    <s v="Supermarket and grocery stores"/>
    <s v="2020-08-01"/>
    <x v="1"/>
    <s v="August   "/>
    <s v="8"/>
    <n v="216.3"/>
    <n v="12.89"/>
  </r>
  <r>
    <x v="0"/>
    <s v="Supermarket and grocery stores"/>
    <s v="2020-09-01"/>
    <x v="1"/>
    <s v="September"/>
    <s v="9"/>
    <n v="204.6"/>
    <n v="7.97"/>
  </r>
  <r>
    <x v="0"/>
    <s v="Supermarket and grocery stores"/>
    <s v="2020-10-01"/>
    <x v="1"/>
    <s v="October  "/>
    <s v="10"/>
    <n v="218.6"/>
    <n v="9.4600000000000009"/>
  </r>
  <r>
    <x v="0"/>
    <s v="Supermarket and grocery stores"/>
    <s v="2020-11-01"/>
    <x v="1"/>
    <s v="November "/>
    <s v="11"/>
    <n v="215.8"/>
    <n v="6.15"/>
  </r>
  <r>
    <x v="0"/>
    <s v="Supermarket and grocery stores"/>
    <s v="2020-12-01"/>
    <x v="1"/>
    <s v="December "/>
    <s v="12"/>
    <n v="235.4"/>
    <n v="6.23"/>
  </r>
  <r>
    <x v="0"/>
    <s v="Supermarket and grocery stores"/>
    <s v="2021-01-01"/>
    <x v="2"/>
    <s v="January  "/>
    <s v="1"/>
    <n v="214.5"/>
    <n v="10.45"/>
  </r>
  <r>
    <x v="0"/>
    <s v="Supermarket and grocery stores"/>
    <s v="2021-02-01"/>
    <x v="2"/>
    <s v="February "/>
    <s v="2"/>
    <n v="196.6"/>
    <n v="0.77"/>
  </r>
  <r>
    <x v="0"/>
    <s v="Supermarket and grocery stores"/>
    <s v="2021-03-01"/>
    <x v="2"/>
    <s v="March    "/>
    <s v="3"/>
    <n v="210.1"/>
    <n v="-14.31"/>
  </r>
  <r>
    <x v="0"/>
    <s v="Supermarket and grocery stores"/>
    <s v="2021-04-01"/>
    <x v="2"/>
    <s v="April    "/>
    <s v="4"/>
    <n v="204.6"/>
    <n v="1.29"/>
  </r>
  <r>
    <x v="0"/>
    <s v="Supermarket and grocery stores"/>
    <s v="2021-05-01"/>
    <x v="2"/>
    <s v="May      "/>
    <s v="5"/>
    <n v="216.4"/>
    <n v="2.85"/>
  </r>
  <r>
    <x v="0"/>
    <s v="Supermarket and grocery stores"/>
    <s v="2021-06-01"/>
    <x v="2"/>
    <s v="June     "/>
    <s v="6"/>
    <n v="206.6"/>
    <n v="2.4300000000000002"/>
  </r>
  <r>
    <x v="0"/>
    <s v="Supermarket and grocery stores"/>
    <s v="2021-07-01"/>
    <x v="2"/>
    <s v="July     "/>
    <s v="7"/>
    <n v="214.9"/>
    <n v="1.08"/>
  </r>
  <r>
    <x v="0"/>
    <s v="Supermarket and grocery stores"/>
    <s v="2021-08-01"/>
    <x v="2"/>
    <s v="August   "/>
    <s v="8"/>
    <n v="217"/>
    <n v="0.32"/>
  </r>
  <r>
    <x v="0"/>
    <s v="Supermarket and grocery stores"/>
    <s v="2021-09-01"/>
    <x v="2"/>
    <s v="September"/>
    <s v="9"/>
    <n v="211.1"/>
    <n v="3.18"/>
  </r>
  <r>
    <x v="0"/>
    <s v="Supermarket and grocery stores"/>
    <s v="2021-10-01"/>
    <x v="2"/>
    <s v="October  "/>
    <s v="10"/>
    <n v="228"/>
    <n v="4.3"/>
  </r>
  <r>
    <x v="0"/>
    <s v="Supermarket and grocery stores"/>
    <s v="2021-11-01"/>
    <x v="2"/>
    <s v="November "/>
    <s v="11"/>
    <n v="213.6"/>
    <n v="-1.02"/>
  </r>
  <r>
    <x v="0"/>
    <s v="Supermarket and grocery stores"/>
    <s v="2021-12-01"/>
    <x v="2"/>
    <s v="December "/>
    <s v="12"/>
    <n v="237.3"/>
    <n v="0.81"/>
  </r>
  <r>
    <x v="0"/>
    <s v="Supermarket and grocery stores"/>
    <s v="2022-01-01"/>
    <x v="3"/>
    <s v="January  "/>
    <s v="1"/>
    <n v="219.2"/>
    <n v="2.19"/>
  </r>
  <r>
    <x v="0"/>
    <s v="Supermarket and grocery stores"/>
    <s v="2022-02-01"/>
    <x v="3"/>
    <s v="February "/>
    <s v="2"/>
    <n v="200.3"/>
    <n v="1.88"/>
  </r>
  <r>
    <x v="0"/>
    <s v="Supermarket and grocery stores"/>
    <s v="2022-03-01"/>
    <x v="3"/>
    <s v="March    "/>
    <s v="3"/>
    <n v="217"/>
    <n v="3.28"/>
  </r>
  <r>
    <x v="0"/>
    <s v="Supermarket and grocery stores"/>
    <s v="2022-04-01"/>
    <x v="3"/>
    <s v="April    "/>
    <s v="4"/>
    <n v="213.1"/>
    <n v="4.1500000000000004"/>
  </r>
  <r>
    <x v="0"/>
    <s v="Supermarket and grocery stores"/>
    <s v="2022-05-01"/>
    <x v="3"/>
    <s v="May      "/>
    <s v="5"/>
    <n v="217"/>
    <n v="0.28000000000000003"/>
  </r>
  <r>
    <x v="0"/>
    <s v="Supermarket and grocery stores"/>
    <s v="2022-06-01"/>
    <x v="3"/>
    <s v="June     "/>
    <s v="6"/>
    <n v="207.1"/>
    <n v="0.24"/>
  </r>
  <r>
    <x v="0"/>
    <s v="Supermarket and grocery stores"/>
    <s v="2022-07-01"/>
    <x v="3"/>
    <s v="July     "/>
    <s v="7"/>
    <n v="215"/>
    <n v="0.05"/>
  </r>
  <r>
    <x v="0"/>
    <s v="Supermarket and grocery stores"/>
    <s v="2022-08-01"/>
    <x v="3"/>
    <s v="August   "/>
    <s v="8"/>
    <n v="218.1"/>
    <n v="0.51"/>
  </r>
  <r>
    <x v="0"/>
    <s v="Supermarket and grocery stores"/>
    <s v="2022-09-01"/>
    <x v="3"/>
    <s v="September"/>
    <s v="9"/>
    <n v="215.4"/>
    <n v="2.04"/>
  </r>
  <r>
    <x v="0"/>
    <s v="Supermarket and grocery stores"/>
    <s v="2022-10-01"/>
    <x v="3"/>
    <s v="October  "/>
    <s v="10"/>
    <n v="230"/>
    <n v="0.88"/>
  </r>
  <r>
    <x v="0"/>
    <s v="Supermarket and grocery stores"/>
    <s v="2022-11-01"/>
    <x v="3"/>
    <s v="November "/>
    <s v="11"/>
    <n v="226.8"/>
    <n v="6.18"/>
  </r>
  <r>
    <x v="0"/>
    <s v="Supermarket and grocery stores"/>
    <s v="2022-12-01"/>
    <x v="3"/>
    <s v="December "/>
    <s v="12"/>
    <n v="245.1"/>
    <n v="3.29"/>
  </r>
  <r>
    <x v="0"/>
    <s v="Supermarket and grocery stores"/>
    <s v="2023-01-01"/>
    <x v="4"/>
    <s v="January  "/>
    <s v="1"/>
    <n v="221.9"/>
    <n v="1.23"/>
  </r>
  <r>
    <x v="0"/>
    <s v="Supermarket and grocery stores"/>
    <s v="2023-02-01"/>
    <x v="4"/>
    <s v="February "/>
    <s v="2"/>
    <n v="212.3"/>
    <n v="5.99"/>
  </r>
  <r>
    <x v="0"/>
    <s v="Supermarket and grocery stores"/>
    <s v="2023-03-01"/>
    <x v="4"/>
    <s v="March    "/>
    <s v="3"/>
    <n v="232.8"/>
    <n v="7.28"/>
  </r>
  <r>
    <x v="0"/>
    <s v="Supermarket and grocery stores"/>
    <s v="2023-04-01"/>
    <x v="4"/>
    <s v="April    "/>
    <s v="4"/>
    <n v="230.8"/>
    <n v="8.31"/>
  </r>
  <r>
    <x v="0"/>
    <s v="Supermarket and grocery stores"/>
    <s v="2023-05-01"/>
    <x v="4"/>
    <s v="May      "/>
    <s v="5"/>
    <n v="232.2"/>
    <n v="7"/>
  </r>
  <r>
    <x v="0"/>
    <s v="Supermarket and grocery stores"/>
    <s v="2023-06-01"/>
    <x v="4"/>
    <s v="June     "/>
    <s v="6"/>
    <n v="221.1"/>
    <n v="6.76"/>
  </r>
  <r>
    <x v="0"/>
    <s v="Supermarket and grocery stores"/>
    <s v="2023-07-01"/>
    <x v="4"/>
    <s v="July     "/>
    <s v="7"/>
    <n v="230.8"/>
    <n v="7.35"/>
  </r>
  <r>
    <x v="0"/>
    <s v="Supermarket and grocery stores"/>
    <s v="2023-08-01"/>
    <x v="4"/>
    <s v="August   "/>
    <s v="8"/>
    <n v="230.5"/>
    <n v="5.69"/>
  </r>
  <r>
    <x v="0"/>
    <s v="Supermarket and grocery stores"/>
    <s v="2023-09-01"/>
    <x v="4"/>
    <s v="September"/>
    <s v="9"/>
    <n v="228.9"/>
    <n v="6.27"/>
  </r>
  <r>
    <x v="0"/>
    <s v="Supermarket and grocery stores"/>
    <s v="2023-10-01"/>
    <x v="4"/>
    <s v="October  "/>
    <s v="10"/>
    <n v="239"/>
    <n v="3.91"/>
  </r>
  <r>
    <x v="0"/>
    <s v="Supermarket and grocery stores"/>
    <s v="2023-11-01"/>
    <x v="4"/>
    <s v="November "/>
    <s v="11"/>
    <n v="237.1"/>
    <n v="4.54"/>
  </r>
  <r>
    <x v="0"/>
    <s v="Supermarket and grocery stores"/>
    <s v="2023-12-01"/>
    <x v="4"/>
    <s v="December "/>
    <s v="12"/>
    <n v="252.2"/>
    <n v="2.9"/>
  </r>
  <r>
    <x v="0"/>
    <s v="Supermarket and grocery stores"/>
    <s v="2024-01-01"/>
    <x v="5"/>
    <s v="January  "/>
    <s v="1"/>
    <n v="225.6"/>
    <n v="1.67"/>
  </r>
  <r>
    <x v="0"/>
    <s v="Supermarket and grocery stores"/>
    <s v="2024-02-01"/>
    <x v="5"/>
    <s v="February "/>
    <s v="2"/>
    <n v="224"/>
    <n v="5.51"/>
  </r>
  <r>
    <x v="0"/>
    <s v="Supermarket and grocery stores"/>
    <s v="2024-03-01"/>
    <x v="5"/>
    <s v="March    "/>
    <s v="3"/>
    <n v="245.2"/>
    <n v="5.33"/>
  </r>
  <r>
    <x v="0"/>
    <s v="Supermarket and grocery stores"/>
    <s v="2024-04-01"/>
    <x v="5"/>
    <s v="April    "/>
    <s v="4"/>
    <n v="223.8"/>
    <n v="-3.03"/>
  </r>
  <r>
    <x v="0"/>
    <s v="Supermarket and grocery stores"/>
    <s v="2024-05-01"/>
    <x v="5"/>
    <s v="May      "/>
    <s v="5"/>
    <n v="236"/>
    <n v="1.64"/>
  </r>
  <r>
    <x v="0"/>
    <s v="Supermarket and grocery stores"/>
    <s v="2024-06-01"/>
    <x v="5"/>
    <s v="June     "/>
    <s v="6"/>
    <n v="227.6"/>
    <n v="2.94"/>
  </r>
  <r>
    <x v="0"/>
    <s v="Supermarket and grocery stores"/>
    <s v="2024-07-01"/>
    <x v="5"/>
    <s v="July     "/>
    <s v="7"/>
    <n v="228.4"/>
    <n v="-1.04"/>
  </r>
  <r>
    <x v="0"/>
    <s v="Supermarket and grocery stores"/>
    <s v="2024-08-01"/>
    <x v="5"/>
    <s v="August   "/>
    <s v="8"/>
    <n v="238.3"/>
    <n v="3.38"/>
  </r>
  <r>
    <x v="0"/>
    <s v="Supermarket and grocery stores"/>
    <s v="2024-09-01"/>
    <x v="5"/>
    <s v="September"/>
    <s v="9"/>
    <n v="229.7"/>
    <n v="0.35"/>
  </r>
  <r>
    <x v="0"/>
    <s v="Supermarket and grocery stores"/>
    <s v="2024-10-01"/>
    <x v="5"/>
    <s v="October  "/>
    <s v="10"/>
    <n v="237.8"/>
    <n v="-0.5"/>
  </r>
  <r>
    <x v="0"/>
    <s v="Supermarket and grocery stores"/>
    <s v="2024-11-01"/>
    <x v="5"/>
    <s v="November "/>
    <s v="11"/>
    <n v="240.3"/>
    <n v="1.35"/>
  </r>
  <r>
    <x v="0"/>
    <s v="Supermarket and grocery stores"/>
    <s v="2024-12-01"/>
    <x v="5"/>
    <s v="December "/>
    <s v="12"/>
    <n v="251.9"/>
    <n v="-0.12"/>
  </r>
  <r>
    <x v="0"/>
    <s v="Supermarket and grocery stores"/>
    <s v="2025-01-01"/>
    <x v="6"/>
    <s v="January  "/>
    <s v="1"/>
    <n v="231.6"/>
    <n v="2.66"/>
  </r>
  <r>
    <x v="0"/>
    <s v="Supermarket and grocery stores"/>
    <s v="2025-02-01"/>
    <x v="6"/>
    <s v="February "/>
    <s v="2"/>
    <n v="220.8"/>
    <n v="-1.43"/>
  </r>
  <r>
    <x v="0"/>
    <s v="Supermarket and grocery stores"/>
    <s v="2025-03-01"/>
    <x v="6"/>
    <s v="March    "/>
    <s v="3"/>
    <n v="246.6"/>
    <n v="0.56999999999999995"/>
  </r>
  <r>
    <x v="0"/>
    <s v="Supermarket and grocery stores"/>
    <s v="2025-04-01"/>
    <x v="6"/>
    <s v="April    "/>
    <s v="4"/>
    <n v="231.8"/>
    <n v="3.57"/>
  </r>
  <r>
    <x v="0"/>
    <s v="Supermarket and grocery stores"/>
    <s v="2025-05-01"/>
    <x v="6"/>
    <s v="May      "/>
    <s v="5"/>
    <n v="241.2"/>
    <n v="2.2000000000000002"/>
  </r>
  <r>
    <x v="0"/>
    <s v="Supermarket and grocery stores"/>
    <s v="2025-06-01"/>
    <x v="6"/>
    <s v="June     "/>
    <s v="6"/>
    <n v="229.1"/>
    <n v="0.66"/>
  </r>
  <r>
    <x v="0"/>
    <s v="Takeaway food services"/>
    <s v="2019-01-01"/>
    <x v="0"/>
    <s v="January  "/>
    <s v="1"/>
    <n v="25.3"/>
    <m/>
  </r>
  <r>
    <x v="0"/>
    <s v="Takeaway food services"/>
    <s v="2019-02-01"/>
    <x v="0"/>
    <s v="February "/>
    <s v="2"/>
    <n v="24.7"/>
    <m/>
  </r>
  <r>
    <x v="0"/>
    <s v="Takeaway food services"/>
    <s v="2019-03-01"/>
    <x v="0"/>
    <s v="March    "/>
    <s v="3"/>
    <n v="29"/>
    <m/>
  </r>
  <r>
    <x v="0"/>
    <s v="Takeaway food services"/>
    <s v="2019-04-01"/>
    <x v="0"/>
    <s v="April    "/>
    <s v="4"/>
    <n v="28.3"/>
    <m/>
  </r>
  <r>
    <x v="0"/>
    <s v="Takeaway food services"/>
    <s v="2019-05-01"/>
    <x v="0"/>
    <s v="May      "/>
    <s v="5"/>
    <n v="29.4"/>
    <m/>
  </r>
  <r>
    <x v="0"/>
    <s v="Takeaway food services"/>
    <s v="2019-06-01"/>
    <x v="0"/>
    <s v="June     "/>
    <s v="6"/>
    <n v="31.3"/>
    <m/>
  </r>
  <r>
    <x v="0"/>
    <s v="Takeaway food services"/>
    <s v="2019-07-01"/>
    <x v="0"/>
    <s v="July     "/>
    <s v="7"/>
    <n v="31.1"/>
    <m/>
  </r>
  <r>
    <x v="0"/>
    <s v="Takeaway food services"/>
    <s v="2019-08-01"/>
    <x v="0"/>
    <s v="August   "/>
    <s v="8"/>
    <n v="32.799999999999997"/>
    <m/>
  </r>
  <r>
    <x v="0"/>
    <s v="Takeaway food services"/>
    <s v="2019-09-01"/>
    <x v="0"/>
    <s v="September"/>
    <s v="9"/>
    <n v="31.5"/>
    <m/>
  </r>
  <r>
    <x v="0"/>
    <s v="Takeaway food services"/>
    <s v="2019-10-01"/>
    <x v="0"/>
    <s v="October  "/>
    <s v="10"/>
    <n v="30.4"/>
    <m/>
  </r>
  <r>
    <x v="0"/>
    <s v="Takeaway food services"/>
    <s v="2019-11-01"/>
    <x v="0"/>
    <s v="November "/>
    <s v="11"/>
    <n v="31"/>
    <m/>
  </r>
  <r>
    <x v="0"/>
    <s v="Takeaway food services"/>
    <s v="2019-12-01"/>
    <x v="0"/>
    <s v="December "/>
    <s v="12"/>
    <n v="31.8"/>
    <m/>
  </r>
  <r>
    <x v="0"/>
    <s v="Takeaway food services"/>
    <s v="2020-01-01"/>
    <x v="1"/>
    <s v="January  "/>
    <s v="1"/>
    <n v="28.8"/>
    <n v="13.83"/>
  </r>
  <r>
    <x v="0"/>
    <s v="Takeaway food services"/>
    <s v="2020-02-01"/>
    <x v="1"/>
    <s v="February "/>
    <s v="2"/>
    <n v="28.2"/>
    <n v="14.17"/>
  </r>
  <r>
    <x v="0"/>
    <s v="Takeaway food services"/>
    <s v="2020-03-01"/>
    <x v="1"/>
    <s v="March    "/>
    <s v="3"/>
    <n v="25.8"/>
    <n v="-11.03"/>
  </r>
  <r>
    <x v="0"/>
    <s v="Takeaway food services"/>
    <s v="2020-04-01"/>
    <x v="1"/>
    <s v="April    "/>
    <s v="4"/>
    <n v="25.7"/>
    <n v="-9.19"/>
  </r>
  <r>
    <x v="0"/>
    <s v="Takeaway food services"/>
    <s v="2020-05-01"/>
    <x v="1"/>
    <s v="May      "/>
    <s v="5"/>
    <n v="32.299999999999997"/>
    <n v="9.86"/>
  </r>
  <r>
    <x v="0"/>
    <s v="Takeaway food services"/>
    <s v="2020-06-01"/>
    <x v="1"/>
    <s v="June     "/>
    <s v="6"/>
    <n v="33.1"/>
    <n v="5.75"/>
  </r>
  <r>
    <x v="0"/>
    <s v="Takeaway food services"/>
    <s v="2020-07-01"/>
    <x v="1"/>
    <s v="July     "/>
    <s v="7"/>
    <n v="34.9"/>
    <n v="12.22"/>
  </r>
  <r>
    <x v="0"/>
    <s v="Takeaway food services"/>
    <s v="2020-08-01"/>
    <x v="1"/>
    <s v="August   "/>
    <s v="8"/>
    <n v="36.799999999999997"/>
    <n v="12.2"/>
  </r>
  <r>
    <x v="0"/>
    <s v="Takeaway food services"/>
    <s v="2020-09-01"/>
    <x v="1"/>
    <s v="September"/>
    <s v="9"/>
    <n v="34.799999999999997"/>
    <n v="10.48"/>
  </r>
  <r>
    <x v="0"/>
    <s v="Takeaway food services"/>
    <s v="2020-10-01"/>
    <x v="1"/>
    <s v="October  "/>
    <s v="10"/>
    <n v="36.299999999999997"/>
    <n v="19.41"/>
  </r>
  <r>
    <x v="0"/>
    <s v="Takeaway food services"/>
    <s v="2020-11-01"/>
    <x v="1"/>
    <s v="November "/>
    <s v="11"/>
    <n v="35.9"/>
    <n v="15.81"/>
  </r>
  <r>
    <x v="0"/>
    <s v="Takeaway food services"/>
    <s v="2020-12-01"/>
    <x v="1"/>
    <s v="December "/>
    <s v="12"/>
    <n v="37.5"/>
    <n v="17.920000000000002"/>
  </r>
  <r>
    <x v="0"/>
    <s v="Takeaway food services"/>
    <s v="2021-01-01"/>
    <x v="2"/>
    <s v="January  "/>
    <s v="1"/>
    <n v="34.4"/>
    <n v="19.440000000000001"/>
  </r>
  <r>
    <x v="0"/>
    <s v="Takeaway food services"/>
    <s v="2021-02-01"/>
    <x v="2"/>
    <s v="February "/>
    <s v="2"/>
    <n v="32.700000000000003"/>
    <n v="15.96"/>
  </r>
  <r>
    <x v="0"/>
    <s v="Takeaway food services"/>
    <s v="2021-03-01"/>
    <x v="2"/>
    <s v="March    "/>
    <s v="3"/>
    <n v="34.9"/>
    <n v="35.270000000000003"/>
  </r>
  <r>
    <x v="0"/>
    <s v="Takeaway food services"/>
    <s v="2021-04-01"/>
    <x v="2"/>
    <s v="April    "/>
    <s v="4"/>
    <n v="34.299999999999997"/>
    <n v="33.46"/>
  </r>
  <r>
    <x v="0"/>
    <s v="Takeaway food services"/>
    <s v="2021-05-01"/>
    <x v="2"/>
    <s v="May      "/>
    <s v="5"/>
    <n v="36"/>
    <n v="11.46"/>
  </r>
  <r>
    <x v="0"/>
    <s v="Takeaway food services"/>
    <s v="2021-06-01"/>
    <x v="2"/>
    <s v="June     "/>
    <s v="6"/>
    <n v="35.4"/>
    <n v="6.95"/>
  </r>
  <r>
    <x v="0"/>
    <s v="Takeaway food services"/>
    <s v="2021-07-01"/>
    <x v="2"/>
    <s v="July     "/>
    <s v="7"/>
    <n v="35.6"/>
    <n v="2.0099999999999998"/>
  </r>
  <r>
    <x v="0"/>
    <s v="Takeaway food services"/>
    <s v="2021-08-01"/>
    <x v="2"/>
    <s v="August   "/>
    <s v="8"/>
    <n v="25.2"/>
    <n v="-31.52"/>
  </r>
  <r>
    <x v="0"/>
    <s v="Takeaway food services"/>
    <s v="2021-09-01"/>
    <x v="2"/>
    <s v="September"/>
    <s v="9"/>
    <n v="23.8"/>
    <n v="-31.61"/>
  </r>
  <r>
    <x v="0"/>
    <s v="Takeaway food services"/>
    <s v="2021-10-01"/>
    <x v="2"/>
    <s v="October  "/>
    <s v="10"/>
    <n v="30.5"/>
    <n v="-15.98"/>
  </r>
  <r>
    <x v="0"/>
    <s v="Takeaway food services"/>
    <s v="2021-11-01"/>
    <x v="2"/>
    <s v="November "/>
    <s v="11"/>
    <n v="34.1"/>
    <n v="-5.01"/>
  </r>
  <r>
    <x v="0"/>
    <s v="Takeaway food services"/>
    <s v="2021-12-01"/>
    <x v="2"/>
    <s v="December "/>
    <s v="12"/>
    <n v="37.799999999999997"/>
    <n v="0.8"/>
  </r>
  <r>
    <x v="0"/>
    <s v="Takeaway food services"/>
    <s v="2022-01-01"/>
    <x v="3"/>
    <s v="January  "/>
    <s v="1"/>
    <n v="34.4"/>
    <n v="0"/>
  </r>
  <r>
    <x v="0"/>
    <s v="Takeaway food services"/>
    <s v="2022-02-01"/>
    <x v="3"/>
    <s v="February "/>
    <s v="2"/>
    <n v="33.9"/>
    <n v="3.67"/>
  </r>
  <r>
    <x v="0"/>
    <s v="Takeaway food services"/>
    <s v="2022-03-01"/>
    <x v="3"/>
    <s v="March    "/>
    <s v="3"/>
    <n v="39"/>
    <n v="11.75"/>
  </r>
  <r>
    <x v="0"/>
    <s v="Takeaway food services"/>
    <s v="2022-04-01"/>
    <x v="3"/>
    <s v="April    "/>
    <s v="4"/>
    <n v="39.799999999999997"/>
    <n v="16.03"/>
  </r>
  <r>
    <x v="0"/>
    <s v="Takeaway food services"/>
    <s v="2022-05-01"/>
    <x v="3"/>
    <s v="May      "/>
    <s v="5"/>
    <n v="38.799999999999997"/>
    <n v="7.78"/>
  </r>
  <r>
    <x v="0"/>
    <s v="Takeaway food services"/>
    <s v="2022-06-01"/>
    <x v="3"/>
    <s v="June     "/>
    <s v="6"/>
    <n v="38.9"/>
    <n v="9.89"/>
  </r>
  <r>
    <x v="0"/>
    <s v="Takeaway food services"/>
    <s v="2022-07-01"/>
    <x v="3"/>
    <s v="July     "/>
    <s v="7"/>
    <n v="39.799999999999997"/>
    <n v="11.8"/>
  </r>
  <r>
    <x v="0"/>
    <s v="Takeaway food services"/>
    <s v="2022-08-01"/>
    <x v="3"/>
    <s v="August   "/>
    <s v="8"/>
    <n v="38.799999999999997"/>
    <n v="53.97"/>
  </r>
  <r>
    <x v="0"/>
    <s v="Takeaway food services"/>
    <s v="2022-09-01"/>
    <x v="3"/>
    <s v="September"/>
    <s v="9"/>
    <n v="40.799999999999997"/>
    <n v="71.430000000000007"/>
  </r>
  <r>
    <x v="0"/>
    <s v="Takeaway food services"/>
    <s v="2022-10-01"/>
    <x v="3"/>
    <s v="October  "/>
    <s v="10"/>
    <n v="41.1"/>
    <n v="34.75"/>
  </r>
  <r>
    <x v="0"/>
    <s v="Takeaway food services"/>
    <s v="2022-11-01"/>
    <x v="3"/>
    <s v="November "/>
    <s v="11"/>
    <n v="40.1"/>
    <n v="17.600000000000001"/>
  </r>
  <r>
    <x v="0"/>
    <s v="Takeaway food services"/>
    <s v="2022-12-01"/>
    <x v="3"/>
    <s v="December "/>
    <s v="12"/>
    <n v="40.6"/>
    <n v="7.41"/>
  </r>
  <r>
    <x v="0"/>
    <s v="Takeaway food services"/>
    <s v="2023-01-01"/>
    <x v="4"/>
    <s v="January  "/>
    <s v="1"/>
    <n v="39.1"/>
    <n v="13.66"/>
  </r>
  <r>
    <x v="0"/>
    <s v="Takeaway food services"/>
    <s v="2023-02-01"/>
    <x v="4"/>
    <s v="February "/>
    <s v="2"/>
    <n v="39"/>
    <n v="15.04"/>
  </r>
  <r>
    <x v="0"/>
    <s v="Takeaway food services"/>
    <s v="2023-03-01"/>
    <x v="4"/>
    <s v="March    "/>
    <s v="3"/>
    <n v="42.2"/>
    <n v="8.2100000000000009"/>
  </r>
  <r>
    <x v="0"/>
    <s v="Takeaway food services"/>
    <s v="2023-04-01"/>
    <x v="4"/>
    <s v="April    "/>
    <s v="4"/>
    <n v="39.4"/>
    <n v="-1.01"/>
  </r>
  <r>
    <x v="0"/>
    <s v="Takeaway food services"/>
    <s v="2023-05-01"/>
    <x v="4"/>
    <s v="May      "/>
    <s v="5"/>
    <n v="42.2"/>
    <n v="8.76"/>
  </r>
  <r>
    <x v="0"/>
    <s v="Takeaway food services"/>
    <s v="2023-06-01"/>
    <x v="4"/>
    <s v="June     "/>
    <s v="6"/>
    <n v="41.6"/>
    <n v="6.94"/>
  </r>
  <r>
    <x v="0"/>
    <s v="Takeaway food services"/>
    <s v="2023-07-01"/>
    <x v="4"/>
    <s v="July     "/>
    <s v="7"/>
    <n v="45.1"/>
    <n v="13.32"/>
  </r>
  <r>
    <x v="0"/>
    <s v="Takeaway food services"/>
    <s v="2023-08-01"/>
    <x v="4"/>
    <s v="August   "/>
    <s v="8"/>
    <n v="47.5"/>
    <n v="22.42"/>
  </r>
  <r>
    <x v="0"/>
    <s v="Takeaway food services"/>
    <s v="2023-09-01"/>
    <x v="4"/>
    <s v="September"/>
    <s v="9"/>
    <n v="45.8"/>
    <n v="12.25"/>
  </r>
  <r>
    <x v="0"/>
    <s v="Takeaway food services"/>
    <s v="2023-10-01"/>
    <x v="4"/>
    <s v="October  "/>
    <s v="10"/>
    <n v="45.5"/>
    <n v="10.71"/>
  </r>
  <r>
    <x v="0"/>
    <s v="Takeaway food services"/>
    <s v="2023-11-01"/>
    <x v="4"/>
    <s v="November "/>
    <s v="11"/>
    <n v="45.1"/>
    <n v="12.47"/>
  </r>
  <r>
    <x v="0"/>
    <s v="Takeaway food services"/>
    <s v="2023-12-01"/>
    <x v="4"/>
    <s v="December "/>
    <s v="12"/>
    <n v="45.6"/>
    <n v="12.32"/>
  </r>
  <r>
    <x v="0"/>
    <s v="Takeaway food services"/>
    <s v="2024-01-01"/>
    <x v="5"/>
    <s v="January  "/>
    <s v="1"/>
    <n v="39.700000000000003"/>
    <n v="1.53"/>
  </r>
  <r>
    <x v="0"/>
    <s v="Takeaway food services"/>
    <s v="2024-02-01"/>
    <x v="5"/>
    <s v="February "/>
    <s v="2"/>
    <n v="39.6"/>
    <n v="1.54"/>
  </r>
  <r>
    <x v="0"/>
    <s v="Takeaway food services"/>
    <s v="2024-03-01"/>
    <x v="5"/>
    <s v="March    "/>
    <s v="3"/>
    <n v="42.1"/>
    <n v="-0.24"/>
  </r>
  <r>
    <x v="0"/>
    <s v="Takeaway food services"/>
    <s v="2024-04-01"/>
    <x v="5"/>
    <s v="April    "/>
    <s v="4"/>
    <n v="41.6"/>
    <n v="5.58"/>
  </r>
  <r>
    <x v="0"/>
    <s v="Takeaway food services"/>
    <s v="2024-05-01"/>
    <x v="5"/>
    <s v="May      "/>
    <s v="5"/>
    <n v="43"/>
    <n v="1.9"/>
  </r>
  <r>
    <x v="0"/>
    <s v="Takeaway food services"/>
    <s v="2024-06-01"/>
    <x v="5"/>
    <s v="June     "/>
    <s v="6"/>
    <n v="41.3"/>
    <n v="-0.72"/>
  </r>
  <r>
    <x v="0"/>
    <s v="Takeaway food services"/>
    <s v="2024-07-01"/>
    <x v="5"/>
    <s v="July     "/>
    <s v="7"/>
    <n v="41.8"/>
    <n v="-7.32"/>
  </r>
  <r>
    <x v="0"/>
    <s v="Takeaway food services"/>
    <s v="2024-08-01"/>
    <x v="5"/>
    <s v="August   "/>
    <s v="8"/>
    <n v="42.7"/>
    <n v="-10.11"/>
  </r>
  <r>
    <x v="0"/>
    <s v="Takeaway food services"/>
    <s v="2024-09-01"/>
    <x v="5"/>
    <s v="September"/>
    <s v="9"/>
    <n v="41.7"/>
    <n v="-8.9499999999999993"/>
  </r>
  <r>
    <x v="0"/>
    <s v="Takeaway food services"/>
    <s v="2024-10-01"/>
    <x v="5"/>
    <s v="October  "/>
    <s v="10"/>
    <n v="40.700000000000003"/>
    <n v="-10.55"/>
  </r>
  <r>
    <x v="0"/>
    <s v="Takeaway food services"/>
    <s v="2024-11-01"/>
    <x v="5"/>
    <s v="November "/>
    <s v="11"/>
    <n v="41.1"/>
    <n v="-8.8699999999999992"/>
  </r>
  <r>
    <x v="0"/>
    <s v="Takeaway food services"/>
    <s v="2024-12-01"/>
    <x v="5"/>
    <s v="December "/>
    <s v="12"/>
    <n v="40.799999999999997"/>
    <n v="-10.53"/>
  </r>
  <r>
    <x v="0"/>
    <s v="Takeaway food services"/>
    <s v="2025-01-01"/>
    <x v="6"/>
    <s v="January  "/>
    <s v="1"/>
    <n v="34.700000000000003"/>
    <n v="-12.59"/>
  </r>
  <r>
    <x v="0"/>
    <s v="Takeaway food services"/>
    <s v="2025-02-01"/>
    <x v="6"/>
    <s v="February "/>
    <s v="2"/>
    <n v="35.299999999999997"/>
    <n v="-10.86"/>
  </r>
  <r>
    <x v="0"/>
    <s v="Takeaway food services"/>
    <s v="2025-03-01"/>
    <x v="6"/>
    <s v="March    "/>
    <s v="3"/>
    <n v="39.200000000000003"/>
    <n v="-6.89"/>
  </r>
  <r>
    <x v="0"/>
    <s v="Takeaway food services"/>
    <s v="2025-04-01"/>
    <x v="6"/>
    <s v="April    "/>
    <s v="4"/>
    <n v="40"/>
    <n v="-3.85"/>
  </r>
  <r>
    <x v="0"/>
    <s v="Takeaway food services"/>
    <s v="2025-05-01"/>
    <x v="6"/>
    <s v="May      "/>
    <s v="5"/>
    <n v="43.6"/>
    <n v="1.4"/>
  </r>
  <r>
    <x v="0"/>
    <s v="Takeaway food services"/>
    <s v="2025-06-01"/>
    <x v="6"/>
    <s v="June     "/>
    <s v="6"/>
    <n v="41.4"/>
    <n v="0.24"/>
  </r>
  <r>
    <x v="1"/>
    <s v="Cafes, restaurants and catering services"/>
    <s v="2019-01-01"/>
    <x v="0"/>
    <s v="January  "/>
    <s v="1"/>
    <n v="793"/>
    <m/>
  </r>
  <r>
    <x v="1"/>
    <s v="Cafes, restaurants and catering services"/>
    <s v="2019-02-01"/>
    <x v="0"/>
    <s v="February "/>
    <s v="2"/>
    <n v="717"/>
    <m/>
  </r>
  <r>
    <x v="1"/>
    <s v="Cafes, restaurants and catering services"/>
    <s v="2019-03-01"/>
    <x v="0"/>
    <s v="March    "/>
    <s v="3"/>
    <n v="770.9"/>
    <m/>
  </r>
  <r>
    <x v="1"/>
    <s v="Cafes, restaurants and catering services"/>
    <s v="2019-04-01"/>
    <x v="0"/>
    <s v="April    "/>
    <s v="4"/>
    <n v="754.2"/>
    <m/>
  </r>
  <r>
    <x v="1"/>
    <s v="Cafes, restaurants and catering services"/>
    <s v="2019-05-01"/>
    <x v="0"/>
    <s v="May      "/>
    <s v="5"/>
    <n v="765.5"/>
    <m/>
  </r>
  <r>
    <x v="1"/>
    <s v="Cafes, restaurants and catering services"/>
    <s v="2019-06-01"/>
    <x v="0"/>
    <s v="June     "/>
    <s v="6"/>
    <n v="706.6"/>
    <m/>
  </r>
  <r>
    <x v="1"/>
    <s v="Cafes, restaurants and catering services"/>
    <s v="2019-07-01"/>
    <x v="0"/>
    <s v="July     "/>
    <s v="7"/>
    <n v="758.3"/>
    <m/>
  </r>
  <r>
    <x v="1"/>
    <s v="Cafes, restaurants and catering services"/>
    <s v="2019-08-01"/>
    <x v="0"/>
    <s v="August   "/>
    <s v="8"/>
    <n v="772.8"/>
    <m/>
  </r>
  <r>
    <x v="1"/>
    <s v="Cafes, restaurants and catering services"/>
    <s v="2019-09-01"/>
    <x v="0"/>
    <s v="September"/>
    <s v="9"/>
    <n v="800.6"/>
    <m/>
  </r>
  <r>
    <x v="1"/>
    <s v="Cafes, restaurants and catering services"/>
    <s v="2019-10-01"/>
    <x v="0"/>
    <s v="October  "/>
    <s v="10"/>
    <n v="829.2"/>
    <m/>
  </r>
  <r>
    <x v="1"/>
    <s v="Cafes, restaurants and catering services"/>
    <s v="2019-11-01"/>
    <x v="0"/>
    <s v="November "/>
    <s v="11"/>
    <n v="818.5"/>
    <m/>
  </r>
  <r>
    <x v="1"/>
    <s v="Cafes, restaurants and catering services"/>
    <s v="2019-12-01"/>
    <x v="0"/>
    <s v="December "/>
    <s v="12"/>
    <n v="870.5"/>
    <m/>
  </r>
  <r>
    <x v="1"/>
    <s v="Cafes, restaurants and catering services"/>
    <s v="2020-01-01"/>
    <x v="1"/>
    <s v="January  "/>
    <s v="1"/>
    <n v="748.6"/>
    <n v="-5.6"/>
  </r>
  <r>
    <x v="1"/>
    <s v="Cafes, restaurants and catering services"/>
    <s v="2020-02-01"/>
    <x v="1"/>
    <s v="February "/>
    <s v="2"/>
    <n v="697.3"/>
    <n v="-2.75"/>
  </r>
  <r>
    <x v="1"/>
    <s v="Cafes, restaurants and catering services"/>
    <s v="2020-03-01"/>
    <x v="1"/>
    <s v="March    "/>
    <s v="3"/>
    <n v="559.5"/>
    <n v="-27.42"/>
  </r>
  <r>
    <x v="1"/>
    <s v="Cafes, restaurants and catering services"/>
    <s v="2020-04-01"/>
    <x v="1"/>
    <s v="April    "/>
    <s v="4"/>
    <n v="243.3"/>
    <n v="-67.739999999999995"/>
  </r>
  <r>
    <x v="1"/>
    <s v="Cafes, restaurants and catering services"/>
    <s v="2020-05-01"/>
    <x v="1"/>
    <s v="May      "/>
    <s v="5"/>
    <n v="346.7"/>
    <n v="-54.71"/>
  </r>
  <r>
    <x v="1"/>
    <s v="Cafes, restaurants and catering services"/>
    <s v="2020-06-01"/>
    <x v="1"/>
    <s v="June     "/>
    <s v="6"/>
    <n v="544.9"/>
    <n v="-22.88"/>
  </r>
  <r>
    <x v="1"/>
    <s v="Cafes, restaurants and catering services"/>
    <s v="2020-07-01"/>
    <x v="1"/>
    <s v="July     "/>
    <s v="7"/>
    <n v="656.2"/>
    <n v="-13.46"/>
  </r>
  <r>
    <x v="1"/>
    <s v="Cafes, restaurants and catering services"/>
    <s v="2020-08-01"/>
    <x v="1"/>
    <s v="August   "/>
    <s v="8"/>
    <n v="592.1"/>
    <n v="-23.38"/>
  </r>
  <r>
    <x v="1"/>
    <s v="Cafes, restaurants and catering services"/>
    <s v="2020-09-01"/>
    <x v="1"/>
    <s v="September"/>
    <s v="9"/>
    <n v="642.79999999999995"/>
    <n v="-19.71"/>
  </r>
  <r>
    <x v="1"/>
    <s v="Cafes, restaurants and catering services"/>
    <s v="2020-10-01"/>
    <x v="1"/>
    <s v="October  "/>
    <s v="10"/>
    <n v="698.4"/>
    <n v="-15.77"/>
  </r>
  <r>
    <x v="1"/>
    <s v="Cafes, restaurants and catering services"/>
    <s v="2020-11-01"/>
    <x v="1"/>
    <s v="November "/>
    <s v="11"/>
    <n v="704.5"/>
    <n v="-13.93"/>
  </r>
  <r>
    <x v="1"/>
    <s v="Cafes, restaurants and catering services"/>
    <s v="2020-12-01"/>
    <x v="1"/>
    <s v="December "/>
    <s v="12"/>
    <n v="736.8"/>
    <n v="-15.36"/>
  </r>
  <r>
    <x v="1"/>
    <s v="Cafes, restaurants and catering services"/>
    <s v="2021-01-01"/>
    <x v="2"/>
    <s v="January  "/>
    <s v="1"/>
    <n v="671.6"/>
    <n v="-10.29"/>
  </r>
  <r>
    <x v="1"/>
    <s v="Cafes, restaurants and catering services"/>
    <s v="2021-02-01"/>
    <x v="2"/>
    <s v="February "/>
    <s v="2"/>
    <n v="662.9"/>
    <n v="-4.93"/>
  </r>
  <r>
    <x v="1"/>
    <s v="Cafes, restaurants and catering services"/>
    <s v="2021-03-01"/>
    <x v="2"/>
    <s v="March    "/>
    <s v="3"/>
    <n v="729.4"/>
    <n v="30.37"/>
  </r>
  <r>
    <x v="1"/>
    <s v="Cafes, restaurants and catering services"/>
    <s v="2021-04-01"/>
    <x v="2"/>
    <s v="April    "/>
    <s v="4"/>
    <n v="719.2"/>
    <n v="195.6"/>
  </r>
  <r>
    <x v="1"/>
    <s v="Cafes, restaurants and catering services"/>
    <s v="2021-05-01"/>
    <x v="2"/>
    <s v="May      "/>
    <s v="5"/>
    <n v="748.6"/>
    <n v="115.92"/>
  </r>
  <r>
    <x v="1"/>
    <s v="Cafes, restaurants and catering services"/>
    <s v="2021-06-01"/>
    <x v="2"/>
    <s v="June     "/>
    <s v="6"/>
    <n v="653.20000000000005"/>
    <n v="19.88"/>
  </r>
  <r>
    <x v="1"/>
    <s v="Cafes, restaurants and catering services"/>
    <s v="2021-07-01"/>
    <x v="2"/>
    <s v="July     "/>
    <s v="7"/>
    <n v="439.8"/>
    <n v="-32.979999999999997"/>
  </r>
  <r>
    <x v="1"/>
    <s v="Cafes, restaurants and catering services"/>
    <s v="2021-08-01"/>
    <x v="2"/>
    <s v="August   "/>
    <s v="8"/>
    <n v="376.1"/>
    <n v="-36.479999999999997"/>
  </r>
  <r>
    <x v="1"/>
    <s v="Cafes, restaurants and catering services"/>
    <s v="2021-09-01"/>
    <x v="2"/>
    <s v="September"/>
    <s v="9"/>
    <n v="458.8"/>
    <n v="-28.62"/>
  </r>
  <r>
    <x v="1"/>
    <s v="Cafes, restaurants and catering services"/>
    <s v="2021-10-01"/>
    <x v="2"/>
    <s v="October  "/>
    <s v="10"/>
    <n v="691.8"/>
    <n v="-0.95"/>
  </r>
  <r>
    <x v="1"/>
    <s v="Cafes, restaurants and catering services"/>
    <s v="2021-11-01"/>
    <x v="2"/>
    <s v="November "/>
    <s v="11"/>
    <n v="847.4"/>
    <n v="20.28"/>
  </r>
  <r>
    <x v="1"/>
    <s v="Cafes, restaurants and catering services"/>
    <s v="2021-12-01"/>
    <x v="2"/>
    <s v="December "/>
    <s v="12"/>
    <n v="872.2"/>
    <n v="18.38"/>
  </r>
  <r>
    <x v="1"/>
    <s v="Cafes, restaurants and catering services"/>
    <s v="2022-01-01"/>
    <x v="3"/>
    <s v="January  "/>
    <s v="1"/>
    <n v="732.8"/>
    <n v="9.11"/>
  </r>
  <r>
    <x v="1"/>
    <s v="Cafes, restaurants and catering services"/>
    <s v="2022-02-01"/>
    <x v="3"/>
    <s v="February "/>
    <s v="2"/>
    <n v="837.1"/>
    <n v="26.28"/>
  </r>
  <r>
    <x v="1"/>
    <s v="Cafes, restaurants and catering services"/>
    <s v="2022-03-01"/>
    <x v="3"/>
    <s v="March    "/>
    <s v="3"/>
    <n v="955.5"/>
    <n v="31"/>
  </r>
  <r>
    <x v="1"/>
    <s v="Cafes, restaurants and catering services"/>
    <s v="2022-04-01"/>
    <x v="3"/>
    <s v="April    "/>
    <s v="4"/>
    <n v="931.6"/>
    <n v="29.53"/>
  </r>
  <r>
    <x v="1"/>
    <s v="Cafes, restaurants and catering services"/>
    <s v="2022-05-01"/>
    <x v="3"/>
    <s v="May      "/>
    <s v="5"/>
    <n v="1008.1"/>
    <n v="34.659999999999997"/>
  </r>
  <r>
    <x v="1"/>
    <s v="Cafes, restaurants and catering services"/>
    <s v="2022-06-01"/>
    <x v="3"/>
    <s v="June     "/>
    <s v="6"/>
    <n v="980.4"/>
    <n v="50.09"/>
  </r>
  <r>
    <x v="1"/>
    <s v="Cafes, restaurants and catering services"/>
    <s v="2022-07-01"/>
    <x v="3"/>
    <s v="July     "/>
    <s v="7"/>
    <n v="1015.8"/>
    <n v="130.97"/>
  </r>
  <r>
    <x v="1"/>
    <s v="Cafes, restaurants and catering services"/>
    <s v="2022-08-01"/>
    <x v="3"/>
    <s v="August   "/>
    <s v="8"/>
    <n v="1082.8"/>
    <n v="187.9"/>
  </r>
  <r>
    <x v="1"/>
    <s v="Cafes, restaurants and catering services"/>
    <s v="2022-09-01"/>
    <x v="3"/>
    <s v="September"/>
    <s v="9"/>
    <n v="1140.2"/>
    <n v="148.52000000000001"/>
  </r>
  <r>
    <x v="1"/>
    <s v="Cafes, restaurants and catering services"/>
    <s v="2022-10-01"/>
    <x v="3"/>
    <s v="October  "/>
    <s v="10"/>
    <n v="1165.2"/>
    <n v="68.430000000000007"/>
  </r>
  <r>
    <x v="1"/>
    <s v="Cafes, restaurants and catering services"/>
    <s v="2022-11-01"/>
    <x v="3"/>
    <s v="November "/>
    <s v="11"/>
    <n v="1182.5"/>
    <n v="39.54"/>
  </r>
  <r>
    <x v="1"/>
    <s v="Cafes, restaurants and catering services"/>
    <s v="2022-12-01"/>
    <x v="3"/>
    <s v="December "/>
    <s v="12"/>
    <n v="1278.9000000000001"/>
    <n v="46.63"/>
  </r>
  <r>
    <x v="1"/>
    <s v="Cafes, restaurants and catering services"/>
    <s v="2023-01-01"/>
    <x v="4"/>
    <s v="January  "/>
    <s v="1"/>
    <n v="1127.5"/>
    <n v="53.86"/>
  </r>
  <r>
    <x v="1"/>
    <s v="Cafes, restaurants and catering services"/>
    <s v="2023-02-01"/>
    <x v="4"/>
    <s v="February "/>
    <s v="2"/>
    <n v="1043.9000000000001"/>
    <n v="24.7"/>
  </r>
  <r>
    <x v="1"/>
    <s v="Cafes, restaurants and catering services"/>
    <s v="2023-03-01"/>
    <x v="4"/>
    <s v="March    "/>
    <s v="3"/>
    <n v="1145.3"/>
    <n v="19.86"/>
  </r>
  <r>
    <x v="1"/>
    <s v="Cafes, restaurants and catering services"/>
    <s v="2023-04-01"/>
    <x v="4"/>
    <s v="April    "/>
    <s v="4"/>
    <n v="1025.4000000000001"/>
    <n v="10.07"/>
  </r>
  <r>
    <x v="1"/>
    <s v="Cafes, restaurants and catering services"/>
    <s v="2023-05-01"/>
    <x v="4"/>
    <s v="May      "/>
    <s v="5"/>
    <n v="1147.2"/>
    <n v="13.8"/>
  </r>
  <r>
    <x v="1"/>
    <s v="Cafes, restaurants and catering services"/>
    <s v="2023-06-01"/>
    <x v="4"/>
    <s v="June     "/>
    <s v="6"/>
    <n v="1071.0999999999999"/>
    <n v="9.25"/>
  </r>
  <r>
    <x v="1"/>
    <s v="Cafes, restaurants and catering services"/>
    <s v="2023-07-01"/>
    <x v="4"/>
    <s v="July     "/>
    <s v="7"/>
    <n v="1076.5"/>
    <n v="5.98"/>
  </r>
  <r>
    <x v="1"/>
    <s v="Cafes, restaurants and catering services"/>
    <s v="2023-08-01"/>
    <x v="4"/>
    <s v="August   "/>
    <s v="8"/>
    <n v="1110.4000000000001"/>
    <n v="2.5499999999999998"/>
  </r>
  <r>
    <x v="1"/>
    <s v="Cafes, restaurants and catering services"/>
    <s v="2023-09-01"/>
    <x v="4"/>
    <s v="September"/>
    <s v="9"/>
    <n v="1105"/>
    <n v="-3.09"/>
  </r>
  <r>
    <x v="1"/>
    <s v="Cafes, restaurants and catering services"/>
    <s v="2023-10-01"/>
    <x v="4"/>
    <s v="October  "/>
    <s v="10"/>
    <n v="1150.7"/>
    <n v="-1.24"/>
  </r>
  <r>
    <x v="1"/>
    <s v="Cafes, restaurants and catering services"/>
    <s v="2023-11-01"/>
    <x v="4"/>
    <s v="November "/>
    <s v="11"/>
    <n v="1136.7"/>
    <n v="-3.87"/>
  </r>
  <r>
    <x v="1"/>
    <s v="Cafes, restaurants and catering services"/>
    <s v="2023-12-01"/>
    <x v="4"/>
    <s v="December "/>
    <s v="12"/>
    <n v="1132.3"/>
    <n v="-11.46"/>
  </r>
  <r>
    <x v="1"/>
    <s v="Cafes, restaurants and catering services"/>
    <s v="2024-01-01"/>
    <x v="5"/>
    <s v="January  "/>
    <s v="1"/>
    <n v="1006.3"/>
    <n v="-10.75"/>
  </r>
  <r>
    <x v="1"/>
    <s v="Cafes, restaurants and catering services"/>
    <s v="2024-02-01"/>
    <x v="5"/>
    <s v="February "/>
    <s v="2"/>
    <n v="1034.9000000000001"/>
    <n v="-0.86"/>
  </r>
  <r>
    <x v="1"/>
    <s v="Cafes, restaurants and catering services"/>
    <s v="2024-03-01"/>
    <x v="5"/>
    <s v="March    "/>
    <s v="3"/>
    <n v="1052.8"/>
    <n v="-8.08"/>
  </r>
  <r>
    <x v="1"/>
    <s v="Cafes, restaurants and catering services"/>
    <s v="2024-04-01"/>
    <x v="5"/>
    <s v="April    "/>
    <s v="4"/>
    <n v="1057.7"/>
    <n v="3.15"/>
  </r>
  <r>
    <x v="1"/>
    <s v="Cafes, restaurants and catering services"/>
    <s v="2024-05-01"/>
    <x v="5"/>
    <s v="May      "/>
    <s v="5"/>
    <n v="1115.5999999999999"/>
    <n v="-2.75"/>
  </r>
  <r>
    <x v="1"/>
    <s v="Cafes, restaurants and catering services"/>
    <s v="2024-06-01"/>
    <x v="5"/>
    <s v="June     "/>
    <s v="6"/>
    <n v="1014.9"/>
    <n v="-5.25"/>
  </r>
  <r>
    <x v="1"/>
    <s v="Cafes, restaurants and catering services"/>
    <s v="2024-07-01"/>
    <x v="5"/>
    <s v="July     "/>
    <s v="7"/>
    <n v="1061.4000000000001"/>
    <n v="-1.4"/>
  </r>
  <r>
    <x v="1"/>
    <s v="Cafes, restaurants and catering services"/>
    <s v="2024-08-01"/>
    <x v="5"/>
    <s v="August   "/>
    <s v="8"/>
    <n v="1088.9000000000001"/>
    <n v="-1.94"/>
  </r>
  <r>
    <x v="1"/>
    <s v="Cafes, restaurants and catering services"/>
    <s v="2024-09-01"/>
    <x v="5"/>
    <s v="September"/>
    <s v="9"/>
    <n v="1112.4000000000001"/>
    <n v="0.67"/>
  </r>
  <r>
    <x v="1"/>
    <s v="Cafes, restaurants and catering services"/>
    <s v="2024-10-01"/>
    <x v="5"/>
    <s v="October  "/>
    <s v="10"/>
    <n v="1150.5"/>
    <n v="-0.02"/>
  </r>
  <r>
    <x v="1"/>
    <s v="Cafes, restaurants and catering services"/>
    <s v="2024-11-01"/>
    <x v="5"/>
    <s v="November "/>
    <s v="11"/>
    <n v="1176.4000000000001"/>
    <n v="3.49"/>
  </r>
  <r>
    <x v="1"/>
    <s v="Cafes, restaurants and catering services"/>
    <s v="2024-12-01"/>
    <x v="5"/>
    <s v="December "/>
    <s v="12"/>
    <n v="1253.5"/>
    <n v="10.7"/>
  </r>
  <r>
    <x v="1"/>
    <s v="Cafes, restaurants and catering services"/>
    <s v="2025-01-01"/>
    <x v="6"/>
    <s v="January  "/>
    <s v="1"/>
    <n v="1080.5"/>
    <n v="7.37"/>
  </r>
  <r>
    <x v="1"/>
    <s v="Cafes, restaurants and catering services"/>
    <s v="2025-02-01"/>
    <x v="6"/>
    <s v="February "/>
    <s v="2"/>
    <n v="1002.4"/>
    <n v="-3.14"/>
  </r>
  <r>
    <x v="1"/>
    <s v="Cafes, restaurants and catering services"/>
    <s v="2025-03-01"/>
    <x v="6"/>
    <s v="March    "/>
    <s v="3"/>
    <n v="1085"/>
    <n v="3.06"/>
  </r>
  <r>
    <x v="1"/>
    <s v="Cafes, restaurants and catering services"/>
    <s v="2025-04-01"/>
    <x v="6"/>
    <s v="April    "/>
    <s v="4"/>
    <n v="1036.5"/>
    <n v="-2"/>
  </r>
  <r>
    <x v="1"/>
    <s v="Cafes, restaurants and catering services"/>
    <s v="2025-05-01"/>
    <x v="6"/>
    <s v="May      "/>
    <s v="5"/>
    <n v="1101"/>
    <n v="-1.31"/>
  </r>
  <r>
    <x v="1"/>
    <s v="Cafes, restaurants and catering services"/>
    <s v="2025-06-01"/>
    <x v="6"/>
    <s v="June     "/>
    <s v="6"/>
    <n v="1056.9000000000001"/>
    <n v="4.1399999999999997"/>
  </r>
  <r>
    <x v="1"/>
    <s v="Clothing retailing"/>
    <s v="2019-01-01"/>
    <x v="0"/>
    <s v="January  "/>
    <s v="1"/>
    <n v="497.4"/>
    <m/>
  </r>
  <r>
    <x v="1"/>
    <s v="Clothing retailing"/>
    <s v="2019-02-01"/>
    <x v="0"/>
    <s v="February "/>
    <s v="2"/>
    <n v="395.2"/>
    <m/>
  </r>
  <r>
    <x v="1"/>
    <s v="Clothing retailing"/>
    <s v="2019-03-01"/>
    <x v="0"/>
    <s v="March    "/>
    <s v="3"/>
    <n v="475.3"/>
    <m/>
  </r>
  <r>
    <x v="1"/>
    <s v="Clothing retailing"/>
    <s v="2019-04-01"/>
    <x v="0"/>
    <s v="April    "/>
    <s v="4"/>
    <n v="491.6"/>
    <m/>
  </r>
  <r>
    <x v="1"/>
    <s v="Clothing retailing"/>
    <s v="2019-05-01"/>
    <x v="0"/>
    <s v="May      "/>
    <s v="5"/>
    <n v="548.20000000000005"/>
    <m/>
  </r>
  <r>
    <x v="1"/>
    <s v="Clothing retailing"/>
    <s v="2019-06-01"/>
    <x v="0"/>
    <s v="June     "/>
    <s v="6"/>
    <n v="543.5"/>
    <m/>
  </r>
  <r>
    <x v="1"/>
    <s v="Clothing retailing"/>
    <s v="2019-07-01"/>
    <x v="0"/>
    <s v="July     "/>
    <s v="7"/>
    <n v="483.7"/>
    <m/>
  </r>
  <r>
    <x v="1"/>
    <s v="Clothing retailing"/>
    <s v="2019-08-01"/>
    <x v="0"/>
    <s v="August   "/>
    <s v="8"/>
    <n v="479"/>
    <m/>
  </r>
  <r>
    <x v="1"/>
    <s v="Clothing retailing"/>
    <s v="2019-09-01"/>
    <x v="0"/>
    <s v="September"/>
    <s v="9"/>
    <n v="484.4"/>
    <m/>
  </r>
  <r>
    <x v="1"/>
    <s v="Clothing retailing"/>
    <s v="2019-10-01"/>
    <x v="0"/>
    <s v="October  "/>
    <s v="10"/>
    <n v="521.1"/>
    <m/>
  </r>
  <r>
    <x v="1"/>
    <s v="Clothing retailing"/>
    <s v="2019-11-01"/>
    <x v="0"/>
    <s v="November "/>
    <s v="11"/>
    <n v="577.5"/>
    <m/>
  </r>
  <r>
    <x v="1"/>
    <s v="Clothing retailing"/>
    <s v="2019-12-01"/>
    <x v="0"/>
    <s v="December "/>
    <s v="12"/>
    <n v="794.7"/>
    <m/>
  </r>
  <r>
    <x v="1"/>
    <s v="Clothing retailing"/>
    <s v="2020-01-01"/>
    <x v="1"/>
    <s v="January  "/>
    <s v="1"/>
    <n v="503"/>
    <n v="1.1299999999999999"/>
  </r>
  <r>
    <x v="1"/>
    <s v="Clothing retailing"/>
    <s v="2020-02-01"/>
    <x v="1"/>
    <s v="February "/>
    <s v="2"/>
    <n v="399"/>
    <n v="0.96"/>
  </r>
  <r>
    <x v="1"/>
    <s v="Clothing retailing"/>
    <s v="2020-03-01"/>
    <x v="1"/>
    <s v="March    "/>
    <s v="3"/>
    <n v="364.2"/>
    <n v="-23.37"/>
  </r>
  <r>
    <x v="1"/>
    <s v="Clothing retailing"/>
    <s v="2020-04-01"/>
    <x v="1"/>
    <s v="April    "/>
    <s v="4"/>
    <n v="192.9"/>
    <n v="-60.76"/>
  </r>
  <r>
    <x v="1"/>
    <s v="Clothing retailing"/>
    <s v="2020-05-01"/>
    <x v="1"/>
    <s v="May      "/>
    <s v="5"/>
    <n v="475.5"/>
    <n v="-13.26"/>
  </r>
  <r>
    <x v="1"/>
    <s v="Clothing retailing"/>
    <s v="2020-06-01"/>
    <x v="1"/>
    <s v="June     "/>
    <s v="6"/>
    <n v="588.9"/>
    <n v="8.35"/>
  </r>
  <r>
    <x v="1"/>
    <s v="Clothing retailing"/>
    <s v="2020-07-01"/>
    <x v="1"/>
    <s v="July     "/>
    <s v="7"/>
    <n v="606.20000000000005"/>
    <n v="25.33"/>
  </r>
  <r>
    <x v="1"/>
    <s v="Clothing retailing"/>
    <s v="2020-08-01"/>
    <x v="1"/>
    <s v="August   "/>
    <s v="8"/>
    <n v="525.1"/>
    <n v="9.6199999999999992"/>
  </r>
  <r>
    <x v="1"/>
    <s v="Clothing retailing"/>
    <s v="2020-09-01"/>
    <x v="1"/>
    <s v="September"/>
    <s v="9"/>
    <n v="564"/>
    <n v="16.43"/>
  </r>
  <r>
    <x v="1"/>
    <s v="Clothing retailing"/>
    <s v="2020-10-01"/>
    <x v="1"/>
    <s v="October  "/>
    <s v="10"/>
    <n v="641.79999999999995"/>
    <n v="23.16"/>
  </r>
  <r>
    <x v="1"/>
    <s v="Clothing retailing"/>
    <s v="2020-11-01"/>
    <x v="1"/>
    <s v="November "/>
    <s v="11"/>
    <n v="715.6"/>
    <n v="23.91"/>
  </r>
  <r>
    <x v="1"/>
    <s v="Clothing retailing"/>
    <s v="2020-12-01"/>
    <x v="1"/>
    <s v="December "/>
    <s v="12"/>
    <n v="931.2"/>
    <n v="17.18"/>
  </r>
  <r>
    <x v="1"/>
    <s v="Clothing retailing"/>
    <s v="2021-01-01"/>
    <x v="2"/>
    <s v="January  "/>
    <s v="1"/>
    <n v="539.29999999999995"/>
    <n v="7.22"/>
  </r>
  <r>
    <x v="1"/>
    <s v="Clothing retailing"/>
    <s v="2021-02-01"/>
    <x v="2"/>
    <s v="February "/>
    <s v="2"/>
    <n v="504"/>
    <n v="26.32"/>
  </r>
  <r>
    <x v="1"/>
    <s v="Clothing retailing"/>
    <s v="2021-03-01"/>
    <x v="2"/>
    <s v="March    "/>
    <s v="3"/>
    <n v="613.79999999999995"/>
    <n v="68.53"/>
  </r>
  <r>
    <x v="1"/>
    <s v="Clothing retailing"/>
    <s v="2021-04-01"/>
    <x v="2"/>
    <s v="April    "/>
    <s v="4"/>
    <n v="661.9"/>
    <n v="243.13"/>
  </r>
  <r>
    <x v="1"/>
    <s v="Clothing retailing"/>
    <s v="2021-05-01"/>
    <x v="2"/>
    <s v="May      "/>
    <s v="5"/>
    <n v="724.8"/>
    <n v="52.43"/>
  </r>
  <r>
    <x v="1"/>
    <s v="Clothing retailing"/>
    <s v="2021-06-01"/>
    <x v="2"/>
    <s v="June     "/>
    <s v="6"/>
    <n v="647.20000000000005"/>
    <n v="9.9"/>
  </r>
  <r>
    <x v="1"/>
    <s v="Clothing retailing"/>
    <s v="2021-07-01"/>
    <x v="2"/>
    <s v="July     "/>
    <s v="7"/>
    <n v="324.89999999999998"/>
    <n v="-46.4"/>
  </r>
  <r>
    <x v="1"/>
    <s v="Clothing retailing"/>
    <s v="2021-08-01"/>
    <x v="2"/>
    <s v="August   "/>
    <s v="8"/>
    <n v="258.2"/>
    <n v="-50.83"/>
  </r>
  <r>
    <x v="1"/>
    <s v="Clothing retailing"/>
    <s v="2021-09-01"/>
    <x v="2"/>
    <s v="September"/>
    <s v="9"/>
    <n v="292.3"/>
    <n v="-48.17"/>
  </r>
  <r>
    <x v="1"/>
    <s v="Clothing retailing"/>
    <s v="2021-10-01"/>
    <x v="2"/>
    <s v="October  "/>
    <s v="10"/>
    <n v="599.9"/>
    <n v="-6.53"/>
  </r>
  <r>
    <x v="1"/>
    <s v="Clothing retailing"/>
    <s v="2021-11-01"/>
    <x v="2"/>
    <s v="November "/>
    <s v="11"/>
    <n v="823.1"/>
    <n v="15.02"/>
  </r>
  <r>
    <x v="1"/>
    <s v="Clothing retailing"/>
    <s v="2021-12-01"/>
    <x v="2"/>
    <s v="December "/>
    <s v="12"/>
    <n v="1032"/>
    <n v="10.82"/>
  </r>
  <r>
    <x v="1"/>
    <s v="Clothing retailing"/>
    <s v="2022-01-01"/>
    <x v="3"/>
    <s v="January  "/>
    <s v="1"/>
    <n v="606.6"/>
    <n v="12.48"/>
  </r>
  <r>
    <x v="1"/>
    <s v="Clothing retailing"/>
    <s v="2022-02-01"/>
    <x v="3"/>
    <s v="February "/>
    <s v="2"/>
    <n v="566"/>
    <n v="12.3"/>
  </r>
  <r>
    <x v="1"/>
    <s v="Clothing retailing"/>
    <s v="2022-03-01"/>
    <x v="3"/>
    <s v="March    "/>
    <s v="3"/>
    <n v="698.7"/>
    <n v="13.83"/>
  </r>
  <r>
    <x v="1"/>
    <s v="Clothing retailing"/>
    <s v="2022-04-01"/>
    <x v="3"/>
    <s v="April    "/>
    <s v="4"/>
    <n v="743.2"/>
    <n v="12.28"/>
  </r>
  <r>
    <x v="1"/>
    <s v="Clothing retailing"/>
    <s v="2022-05-01"/>
    <x v="3"/>
    <s v="May      "/>
    <s v="5"/>
    <n v="773"/>
    <n v="6.65"/>
  </r>
  <r>
    <x v="1"/>
    <s v="Clothing retailing"/>
    <s v="2022-06-01"/>
    <x v="3"/>
    <s v="June     "/>
    <s v="6"/>
    <n v="788.3"/>
    <n v="21.8"/>
  </r>
  <r>
    <x v="1"/>
    <s v="Clothing retailing"/>
    <s v="2022-07-01"/>
    <x v="3"/>
    <s v="July     "/>
    <s v="7"/>
    <n v="711.4"/>
    <n v="118.96"/>
  </r>
  <r>
    <x v="1"/>
    <s v="Clothing retailing"/>
    <s v="2022-08-01"/>
    <x v="3"/>
    <s v="August   "/>
    <s v="8"/>
    <n v="683.6"/>
    <n v="164.76"/>
  </r>
  <r>
    <x v="1"/>
    <s v="Clothing retailing"/>
    <s v="2022-09-01"/>
    <x v="3"/>
    <s v="September"/>
    <s v="9"/>
    <n v="710.4"/>
    <n v="143.04"/>
  </r>
  <r>
    <x v="1"/>
    <s v="Clothing retailing"/>
    <s v="2022-10-01"/>
    <x v="3"/>
    <s v="October  "/>
    <s v="10"/>
    <n v="743.1"/>
    <n v="23.87"/>
  </r>
  <r>
    <x v="1"/>
    <s v="Clothing retailing"/>
    <s v="2022-11-01"/>
    <x v="3"/>
    <s v="November "/>
    <s v="11"/>
    <n v="887.8"/>
    <n v="7.86"/>
  </r>
  <r>
    <x v="1"/>
    <s v="Clothing retailing"/>
    <s v="2022-12-01"/>
    <x v="3"/>
    <s v="December "/>
    <s v="12"/>
    <n v="1120.8"/>
    <n v="8.6"/>
  </r>
  <r>
    <x v="1"/>
    <s v="Clothing retailing"/>
    <s v="2023-01-01"/>
    <x v="4"/>
    <s v="January  "/>
    <s v="1"/>
    <n v="702.2"/>
    <n v="15.76"/>
  </r>
  <r>
    <x v="1"/>
    <s v="Clothing retailing"/>
    <s v="2023-02-01"/>
    <x v="4"/>
    <s v="February "/>
    <s v="2"/>
    <n v="603.29999999999995"/>
    <n v="6.59"/>
  </r>
  <r>
    <x v="1"/>
    <s v="Clothing retailing"/>
    <s v="2023-03-01"/>
    <x v="4"/>
    <s v="March    "/>
    <s v="3"/>
    <n v="723.1"/>
    <n v="3.49"/>
  </r>
  <r>
    <x v="1"/>
    <s v="Clothing retailing"/>
    <s v="2023-04-01"/>
    <x v="4"/>
    <s v="April    "/>
    <s v="4"/>
    <n v="773.5"/>
    <n v="4.08"/>
  </r>
  <r>
    <x v="1"/>
    <s v="Clothing retailing"/>
    <s v="2023-05-01"/>
    <x v="4"/>
    <s v="May      "/>
    <s v="5"/>
    <n v="836.5"/>
    <n v="8.2100000000000009"/>
  </r>
  <r>
    <x v="1"/>
    <s v="Clothing retailing"/>
    <s v="2023-06-01"/>
    <x v="4"/>
    <s v="June     "/>
    <s v="6"/>
    <n v="790.8"/>
    <n v="0.32"/>
  </r>
  <r>
    <x v="1"/>
    <s v="Clothing retailing"/>
    <s v="2023-07-01"/>
    <x v="4"/>
    <s v="July     "/>
    <s v="7"/>
    <n v="720.6"/>
    <n v="1.29"/>
  </r>
  <r>
    <x v="1"/>
    <s v="Clothing retailing"/>
    <s v="2023-08-01"/>
    <x v="4"/>
    <s v="August   "/>
    <s v="8"/>
    <n v="710.9"/>
    <n v="3.99"/>
  </r>
  <r>
    <x v="1"/>
    <s v="Clothing retailing"/>
    <s v="2023-09-01"/>
    <x v="4"/>
    <s v="September"/>
    <s v="9"/>
    <n v="771.8"/>
    <n v="8.64"/>
  </r>
  <r>
    <x v="1"/>
    <s v="Clothing retailing"/>
    <s v="2023-10-01"/>
    <x v="4"/>
    <s v="October  "/>
    <s v="10"/>
    <n v="766.3"/>
    <n v="3.12"/>
  </r>
  <r>
    <x v="1"/>
    <s v="Clothing retailing"/>
    <s v="2023-11-01"/>
    <x v="4"/>
    <s v="November "/>
    <s v="11"/>
    <n v="906.1"/>
    <n v="2.06"/>
  </r>
  <r>
    <x v="1"/>
    <s v="Clothing retailing"/>
    <s v="2023-12-01"/>
    <x v="4"/>
    <s v="December "/>
    <s v="12"/>
    <n v="1093.3"/>
    <n v="-2.4500000000000002"/>
  </r>
  <r>
    <x v="1"/>
    <s v="Clothing retailing"/>
    <s v="2024-01-01"/>
    <x v="5"/>
    <s v="January  "/>
    <s v="1"/>
    <n v="705.2"/>
    <n v="0.43"/>
  </r>
  <r>
    <x v="1"/>
    <s v="Clothing retailing"/>
    <s v="2024-02-01"/>
    <x v="5"/>
    <s v="February "/>
    <s v="2"/>
    <n v="673"/>
    <n v="11.55"/>
  </r>
  <r>
    <x v="1"/>
    <s v="Clothing retailing"/>
    <s v="2024-03-01"/>
    <x v="5"/>
    <s v="March    "/>
    <s v="3"/>
    <n v="716.9"/>
    <n v="-0.86"/>
  </r>
  <r>
    <x v="1"/>
    <s v="Clothing retailing"/>
    <s v="2024-04-01"/>
    <x v="5"/>
    <s v="April    "/>
    <s v="4"/>
    <n v="774.2"/>
    <n v="0.09"/>
  </r>
  <r>
    <x v="1"/>
    <s v="Clothing retailing"/>
    <s v="2024-05-01"/>
    <x v="5"/>
    <s v="May      "/>
    <s v="5"/>
    <n v="837.5"/>
    <n v="0.12"/>
  </r>
  <r>
    <x v="1"/>
    <s v="Clothing retailing"/>
    <s v="2024-06-01"/>
    <x v="5"/>
    <s v="June     "/>
    <s v="6"/>
    <n v="802.4"/>
    <n v="1.47"/>
  </r>
  <r>
    <x v="1"/>
    <s v="Clothing retailing"/>
    <s v="2024-07-01"/>
    <x v="5"/>
    <s v="July     "/>
    <s v="7"/>
    <n v="733.2"/>
    <n v="1.75"/>
  </r>
  <r>
    <x v="1"/>
    <s v="Clothing retailing"/>
    <s v="2024-08-01"/>
    <x v="5"/>
    <s v="August   "/>
    <s v="8"/>
    <n v="750.6"/>
    <n v="5.58"/>
  </r>
  <r>
    <x v="1"/>
    <s v="Clothing retailing"/>
    <s v="2024-09-01"/>
    <x v="5"/>
    <s v="September"/>
    <s v="9"/>
    <n v="767.2"/>
    <n v="-0.6"/>
  </r>
  <r>
    <x v="1"/>
    <s v="Clothing retailing"/>
    <s v="2024-10-01"/>
    <x v="5"/>
    <s v="October  "/>
    <s v="10"/>
    <n v="781"/>
    <n v="1.92"/>
  </r>
  <r>
    <x v="1"/>
    <s v="Clothing retailing"/>
    <s v="2024-11-01"/>
    <x v="5"/>
    <s v="November "/>
    <s v="11"/>
    <n v="943.6"/>
    <n v="4.1399999999999997"/>
  </r>
  <r>
    <x v="1"/>
    <s v="Clothing retailing"/>
    <s v="2024-12-01"/>
    <x v="5"/>
    <s v="December "/>
    <s v="12"/>
    <n v="1118.5"/>
    <n v="2.2999999999999998"/>
  </r>
  <r>
    <x v="1"/>
    <s v="Clothing retailing"/>
    <s v="2025-01-01"/>
    <x v="6"/>
    <s v="January  "/>
    <s v="1"/>
    <n v="748.4"/>
    <n v="6.13"/>
  </r>
  <r>
    <x v="1"/>
    <s v="Clothing retailing"/>
    <s v="2025-02-01"/>
    <x v="6"/>
    <s v="February "/>
    <s v="2"/>
    <n v="661.5"/>
    <n v="-1.71"/>
  </r>
  <r>
    <x v="1"/>
    <s v="Clothing retailing"/>
    <s v="2025-03-01"/>
    <x v="6"/>
    <s v="March    "/>
    <s v="3"/>
    <n v="780.8"/>
    <n v="8.91"/>
  </r>
  <r>
    <x v="1"/>
    <s v="Clothing retailing"/>
    <s v="2025-04-01"/>
    <x v="6"/>
    <s v="April    "/>
    <s v="4"/>
    <n v="770.1"/>
    <n v="-0.53"/>
  </r>
  <r>
    <x v="1"/>
    <s v="Clothing retailing"/>
    <s v="2025-05-01"/>
    <x v="6"/>
    <s v="May      "/>
    <s v="5"/>
    <n v="869.4"/>
    <n v="3.81"/>
  </r>
  <r>
    <x v="1"/>
    <s v="Clothing retailing"/>
    <s v="2025-06-01"/>
    <x v="6"/>
    <s v="June     "/>
    <s v="6"/>
    <n v="850.5"/>
    <n v="5.99"/>
  </r>
  <r>
    <x v="1"/>
    <s v="Department stores"/>
    <s v="2019-01-01"/>
    <x v="0"/>
    <s v="January  "/>
    <s v="1"/>
    <n v="465.2"/>
    <m/>
  </r>
  <r>
    <x v="1"/>
    <s v="Department stores"/>
    <s v="2019-02-01"/>
    <x v="0"/>
    <s v="February "/>
    <s v="2"/>
    <n v="356.2"/>
    <m/>
  </r>
  <r>
    <x v="1"/>
    <s v="Department stores"/>
    <s v="2019-03-01"/>
    <x v="0"/>
    <s v="March    "/>
    <s v="3"/>
    <n v="444.9"/>
    <m/>
  </r>
  <r>
    <x v="1"/>
    <s v="Department stores"/>
    <s v="2019-04-01"/>
    <x v="0"/>
    <s v="April    "/>
    <s v="4"/>
    <n v="479.6"/>
    <m/>
  </r>
  <r>
    <x v="1"/>
    <s v="Department stores"/>
    <s v="2019-05-01"/>
    <x v="0"/>
    <s v="May      "/>
    <s v="5"/>
    <n v="494.8"/>
    <m/>
  </r>
  <r>
    <x v="1"/>
    <s v="Department stores"/>
    <s v="2019-06-01"/>
    <x v="0"/>
    <s v="June     "/>
    <s v="6"/>
    <n v="526.6"/>
    <m/>
  </r>
  <r>
    <x v="1"/>
    <s v="Department stores"/>
    <s v="2019-07-01"/>
    <x v="0"/>
    <s v="July     "/>
    <s v="7"/>
    <n v="451.5"/>
    <m/>
  </r>
  <r>
    <x v="1"/>
    <s v="Department stores"/>
    <s v="2019-08-01"/>
    <x v="0"/>
    <s v="August   "/>
    <s v="8"/>
    <n v="446.2"/>
    <m/>
  </r>
  <r>
    <x v="1"/>
    <s v="Department stores"/>
    <s v="2019-09-01"/>
    <x v="0"/>
    <s v="September"/>
    <s v="9"/>
    <n v="456.7"/>
    <m/>
  </r>
  <r>
    <x v="1"/>
    <s v="Department stores"/>
    <s v="2019-10-01"/>
    <x v="0"/>
    <s v="October  "/>
    <s v="10"/>
    <n v="511"/>
    <m/>
  </r>
  <r>
    <x v="1"/>
    <s v="Department stores"/>
    <s v="2019-11-01"/>
    <x v="0"/>
    <s v="November "/>
    <s v="11"/>
    <n v="604.79999999999995"/>
    <m/>
  </r>
  <r>
    <x v="1"/>
    <s v="Department stores"/>
    <s v="2019-12-01"/>
    <x v="0"/>
    <s v="December "/>
    <s v="12"/>
    <n v="920.3"/>
    <m/>
  </r>
  <r>
    <x v="1"/>
    <s v="Department stores"/>
    <s v="2020-01-01"/>
    <x v="1"/>
    <s v="January  "/>
    <s v="1"/>
    <n v="469.2"/>
    <n v="0.86"/>
  </r>
  <r>
    <x v="1"/>
    <s v="Department stores"/>
    <s v="2020-02-01"/>
    <x v="1"/>
    <s v="February "/>
    <s v="2"/>
    <n v="376.8"/>
    <n v="5.78"/>
  </r>
  <r>
    <x v="1"/>
    <s v="Department stores"/>
    <s v="2020-03-01"/>
    <x v="1"/>
    <s v="March    "/>
    <s v="3"/>
    <n v="412"/>
    <n v="-7.39"/>
  </r>
  <r>
    <x v="1"/>
    <s v="Department stores"/>
    <s v="2020-04-01"/>
    <x v="1"/>
    <s v="April    "/>
    <s v="4"/>
    <n v="390"/>
    <n v="-18.68"/>
  </r>
  <r>
    <x v="1"/>
    <s v="Department stores"/>
    <s v="2020-05-01"/>
    <x v="1"/>
    <s v="May      "/>
    <s v="5"/>
    <n v="557.6"/>
    <n v="12.69"/>
  </r>
  <r>
    <x v="1"/>
    <s v="Department stores"/>
    <s v="2020-06-01"/>
    <x v="1"/>
    <s v="June     "/>
    <s v="6"/>
    <n v="520"/>
    <n v="-1.25"/>
  </r>
  <r>
    <x v="1"/>
    <s v="Department stores"/>
    <s v="2020-07-01"/>
    <x v="1"/>
    <s v="July     "/>
    <s v="7"/>
    <n v="506.9"/>
    <n v="12.27"/>
  </r>
  <r>
    <x v="1"/>
    <s v="Department stores"/>
    <s v="2020-08-01"/>
    <x v="1"/>
    <s v="August   "/>
    <s v="8"/>
    <n v="449.3"/>
    <n v="0.69"/>
  </r>
  <r>
    <x v="1"/>
    <s v="Department stores"/>
    <s v="2020-09-01"/>
    <x v="1"/>
    <s v="September"/>
    <s v="9"/>
    <n v="505.7"/>
    <n v="10.73"/>
  </r>
  <r>
    <x v="1"/>
    <s v="Department stores"/>
    <s v="2020-10-01"/>
    <x v="1"/>
    <s v="October  "/>
    <s v="10"/>
    <n v="561.6"/>
    <n v="9.9"/>
  </r>
  <r>
    <x v="1"/>
    <s v="Department stores"/>
    <s v="2020-11-01"/>
    <x v="1"/>
    <s v="November "/>
    <s v="11"/>
    <n v="688"/>
    <n v="13.76"/>
  </r>
  <r>
    <x v="1"/>
    <s v="Department stores"/>
    <s v="2020-12-01"/>
    <x v="1"/>
    <s v="December "/>
    <s v="12"/>
    <n v="959.4"/>
    <n v="4.25"/>
  </r>
  <r>
    <x v="1"/>
    <s v="Department stores"/>
    <s v="2021-01-01"/>
    <x v="2"/>
    <s v="January  "/>
    <s v="1"/>
    <n v="470.6"/>
    <n v="0.3"/>
  </r>
  <r>
    <x v="1"/>
    <s v="Department stores"/>
    <s v="2021-02-01"/>
    <x v="2"/>
    <s v="February "/>
    <s v="2"/>
    <n v="398.2"/>
    <n v="5.68"/>
  </r>
  <r>
    <x v="1"/>
    <s v="Department stores"/>
    <s v="2021-03-01"/>
    <x v="2"/>
    <s v="March    "/>
    <s v="3"/>
    <n v="513.6"/>
    <n v="24.66"/>
  </r>
  <r>
    <x v="1"/>
    <s v="Department stores"/>
    <s v="2021-04-01"/>
    <x v="2"/>
    <s v="April    "/>
    <s v="4"/>
    <n v="516.79999999999995"/>
    <n v="32.51"/>
  </r>
  <r>
    <x v="1"/>
    <s v="Department stores"/>
    <s v="2021-05-01"/>
    <x v="2"/>
    <s v="May      "/>
    <s v="5"/>
    <n v="528.9"/>
    <n v="-5.15"/>
  </r>
  <r>
    <x v="1"/>
    <s v="Department stores"/>
    <s v="2021-06-01"/>
    <x v="2"/>
    <s v="June     "/>
    <s v="6"/>
    <n v="505.8"/>
    <n v="-2.73"/>
  </r>
  <r>
    <x v="1"/>
    <s v="Department stores"/>
    <s v="2021-07-01"/>
    <x v="2"/>
    <s v="July     "/>
    <s v="7"/>
    <n v="322.39999999999998"/>
    <n v="-36.4"/>
  </r>
  <r>
    <x v="1"/>
    <s v="Department stores"/>
    <s v="2021-08-01"/>
    <x v="2"/>
    <s v="August   "/>
    <s v="8"/>
    <n v="210.9"/>
    <n v="-53.06"/>
  </r>
  <r>
    <x v="1"/>
    <s v="Department stores"/>
    <s v="2021-09-01"/>
    <x v="2"/>
    <s v="September"/>
    <s v="9"/>
    <n v="248"/>
    <n v="-50.96"/>
  </r>
  <r>
    <x v="1"/>
    <s v="Department stores"/>
    <s v="2021-10-01"/>
    <x v="2"/>
    <s v="October  "/>
    <s v="10"/>
    <n v="490.7"/>
    <n v="-12.62"/>
  </r>
  <r>
    <x v="1"/>
    <s v="Department stores"/>
    <s v="2021-11-01"/>
    <x v="2"/>
    <s v="November "/>
    <s v="11"/>
    <n v="644.1"/>
    <n v="-6.38"/>
  </r>
  <r>
    <x v="1"/>
    <s v="Department stores"/>
    <s v="2021-12-01"/>
    <x v="2"/>
    <s v="December "/>
    <s v="12"/>
    <n v="866.4"/>
    <n v="-9.69"/>
  </r>
  <r>
    <x v="1"/>
    <s v="Department stores"/>
    <s v="2022-01-01"/>
    <x v="3"/>
    <s v="January  "/>
    <s v="1"/>
    <n v="451.8"/>
    <n v="-3.99"/>
  </r>
  <r>
    <x v="1"/>
    <s v="Department stores"/>
    <s v="2022-02-01"/>
    <x v="3"/>
    <s v="February "/>
    <s v="2"/>
    <n v="403.7"/>
    <n v="1.38"/>
  </r>
  <r>
    <x v="1"/>
    <s v="Department stores"/>
    <s v="2022-03-01"/>
    <x v="3"/>
    <s v="March    "/>
    <s v="3"/>
    <n v="521.5"/>
    <n v="1.54"/>
  </r>
  <r>
    <x v="1"/>
    <s v="Department stores"/>
    <s v="2022-04-01"/>
    <x v="3"/>
    <s v="April    "/>
    <s v="4"/>
    <n v="541.70000000000005"/>
    <n v="4.82"/>
  </r>
  <r>
    <x v="1"/>
    <s v="Department stores"/>
    <s v="2022-05-01"/>
    <x v="3"/>
    <s v="May      "/>
    <s v="5"/>
    <n v="559.29999999999995"/>
    <n v="5.75"/>
  </r>
  <r>
    <x v="1"/>
    <s v="Department stores"/>
    <s v="2022-06-01"/>
    <x v="3"/>
    <s v="June     "/>
    <s v="6"/>
    <n v="577.29999999999995"/>
    <n v="14.14"/>
  </r>
  <r>
    <x v="1"/>
    <s v="Department stores"/>
    <s v="2022-07-01"/>
    <x v="3"/>
    <s v="July     "/>
    <s v="7"/>
    <n v="551.70000000000005"/>
    <n v="71.12"/>
  </r>
  <r>
    <x v="1"/>
    <s v="Department stores"/>
    <s v="2022-08-01"/>
    <x v="3"/>
    <s v="August   "/>
    <s v="8"/>
    <n v="501.9"/>
    <n v="137.97999999999999"/>
  </r>
  <r>
    <x v="1"/>
    <s v="Department stores"/>
    <s v="2022-09-01"/>
    <x v="3"/>
    <s v="September"/>
    <s v="9"/>
    <n v="553.20000000000005"/>
    <n v="123.06"/>
  </r>
  <r>
    <x v="1"/>
    <s v="Department stores"/>
    <s v="2022-10-01"/>
    <x v="3"/>
    <s v="October  "/>
    <s v="10"/>
    <n v="573.5"/>
    <n v="16.87"/>
  </r>
  <r>
    <x v="1"/>
    <s v="Department stores"/>
    <s v="2022-11-01"/>
    <x v="3"/>
    <s v="November "/>
    <s v="11"/>
    <n v="724.5"/>
    <n v="12.48"/>
  </r>
  <r>
    <x v="1"/>
    <s v="Department stores"/>
    <s v="2022-12-01"/>
    <x v="3"/>
    <s v="December "/>
    <s v="12"/>
    <n v="976.6"/>
    <n v="12.72"/>
  </r>
  <r>
    <x v="1"/>
    <s v="Department stores"/>
    <s v="2023-01-01"/>
    <x v="4"/>
    <s v="January  "/>
    <s v="1"/>
    <n v="532.20000000000005"/>
    <n v="17.8"/>
  </r>
  <r>
    <x v="1"/>
    <s v="Department stores"/>
    <s v="2023-02-01"/>
    <x v="4"/>
    <s v="February "/>
    <s v="2"/>
    <n v="418.6"/>
    <n v="3.69"/>
  </r>
  <r>
    <x v="1"/>
    <s v="Department stores"/>
    <s v="2023-03-01"/>
    <x v="4"/>
    <s v="March    "/>
    <s v="3"/>
    <n v="515.1"/>
    <n v="-1.23"/>
  </r>
  <r>
    <x v="1"/>
    <s v="Department stores"/>
    <s v="2023-04-01"/>
    <x v="4"/>
    <s v="April    "/>
    <s v="4"/>
    <n v="573.1"/>
    <n v="5.8"/>
  </r>
  <r>
    <x v="1"/>
    <s v="Department stores"/>
    <s v="2023-05-01"/>
    <x v="4"/>
    <s v="May      "/>
    <s v="5"/>
    <n v="582.20000000000005"/>
    <n v="4.09"/>
  </r>
  <r>
    <x v="1"/>
    <s v="Department stores"/>
    <s v="2023-06-01"/>
    <x v="4"/>
    <s v="June     "/>
    <s v="6"/>
    <n v="552.9"/>
    <n v="-4.2300000000000004"/>
  </r>
  <r>
    <x v="1"/>
    <s v="Department stores"/>
    <s v="2023-07-01"/>
    <x v="4"/>
    <s v="July     "/>
    <s v="7"/>
    <n v="522.29999999999995"/>
    <n v="-5.33"/>
  </r>
  <r>
    <x v="1"/>
    <s v="Department stores"/>
    <s v="2023-08-01"/>
    <x v="4"/>
    <s v="August   "/>
    <s v="8"/>
    <n v="498"/>
    <n v="-0.78"/>
  </r>
  <r>
    <x v="1"/>
    <s v="Department stores"/>
    <s v="2023-09-01"/>
    <x v="4"/>
    <s v="September"/>
    <s v="9"/>
    <n v="561.5"/>
    <n v="1.5"/>
  </r>
  <r>
    <x v="1"/>
    <s v="Department stores"/>
    <s v="2023-10-01"/>
    <x v="4"/>
    <s v="October  "/>
    <s v="10"/>
    <n v="563.9"/>
    <n v="-1.67"/>
  </r>
  <r>
    <x v="1"/>
    <s v="Department stores"/>
    <s v="2023-11-01"/>
    <x v="4"/>
    <s v="November "/>
    <s v="11"/>
    <n v="734.1"/>
    <n v="1.33"/>
  </r>
  <r>
    <x v="1"/>
    <s v="Department stores"/>
    <s v="2023-12-01"/>
    <x v="4"/>
    <s v="December "/>
    <s v="12"/>
    <n v="1000.3"/>
    <n v="2.4300000000000002"/>
  </r>
  <r>
    <x v="1"/>
    <s v="Department stores"/>
    <s v="2024-01-01"/>
    <x v="5"/>
    <s v="January  "/>
    <s v="1"/>
    <n v="516.20000000000005"/>
    <n v="-3.01"/>
  </r>
  <r>
    <x v="1"/>
    <s v="Department stores"/>
    <s v="2024-02-01"/>
    <x v="5"/>
    <s v="February "/>
    <s v="2"/>
    <n v="434.1"/>
    <n v="3.7"/>
  </r>
  <r>
    <x v="1"/>
    <s v="Department stores"/>
    <s v="2024-03-01"/>
    <x v="5"/>
    <s v="March    "/>
    <s v="3"/>
    <n v="524.9"/>
    <n v="1.9"/>
  </r>
  <r>
    <x v="1"/>
    <s v="Department stores"/>
    <s v="2024-04-01"/>
    <x v="5"/>
    <s v="April    "/>
    <s v="4"/>
    <n v="532.5"/>
    <n v="-7.08"/>
  </r>
  <r>
    <x v="1"/>
    <s v="Department stores"/>
    <s v="2024-05-01"/>
    <x v="5"/>
    <s v="May      "/>
    <s v="5"/>
    <n v="570.29999999999995"/>
    <n v="-2.04"/>
  </r>
  <r>
    <x v="1"/>
    <s v="Department stores"/>
    <s v="2024-06-01"/>
    <x v="5"/>
    <s v="June     "/>
    <s v="6"/>
    <n v="576.20000000000005"/>
    <n v="4.21"/>
  </r>
  <r>
    <x v="1"/>
    <s v="Department stores"/>
    <s v="2024-07-01"/>
    <x v="5"/>
    <s v="July     "/>
    <s v="7"/>
    <n v="524.70000000000005"/>
    <n v="0.46"/>
  </r>
  <r>
    <x v="1"/>
    <s v="Department stores"/>
    <s v="2024-08-01"/>
    <x v="5"/>
    <s v="August   "/>
    <s v="8"/>
    <n v="511.1"/>
    <n v="2.63"/>
  </r>
  <r>
    <x v="1"/>
    <s v="Department stores"/>
    <s v="2024-09-01"/>
    <x v="5"/>
    <s v="September"/>
    <s v="9"/>
    <n v="525.79999999999995"/>
    <n v="-6.36"/>
  </r>
  <r>
    <x v="1"/>
    <s v="Department stores"/>
    <s v="2024-10-01"/>
    <x v="5"/>
    <s v="October  "/>
    <s v="10"/>
    <n v="566.1"/>
    <n v="0.39"/>
  </r>
  <r>
    <x v="1"/>
    <s v="Department stores"/>
    <s v="2024-11-01"/>
    <x v="5"/>
    <s v="November "/>
    <s v="11"/>
    <n v="735.5"/>
    <n v="0.19"/>
  </r>
  <r>
    <x v="1"/>
    <s v="Department stores"/>
    <s v="2024-12-01"/>
    <x v="5"/>
    <s v="December "/>
    <s v="12"/>
    <n v="999.5"/>
    <n v="-0.08"/>
  </r>
  <r>
    <x v="1"/>
    <s v="Department stores"/>
    <s v="2025-01-01"/>
    <x v="6"/>
    <s v="January  "/>
    <s v="1"/>
    <n v="523.4"/>
    <n v="1.39"/>
  </r>
  <r>
    <x v="1"/>
    <s v="Department stores"/>
    <s v="2025-02-01"/>
    <x v="6"/>
    <s v="February "/>
    <s v="2"/>
    <n v="437"/>
    <n v="0.67"/>
  </r>
  <r>
    <x v="1"/>
    <s v="Department stores"/>
    <s v="2025-03-01"/>
    <x v="6"/>
    <s v="March    "/>
    <s v="3"/>
    <n v="534"/>
    <n v="1.73"/>
  </r>
  <r>
    <x v="1"/>
    <s v="Department stores"/>
    <s v="2025-04-01"/>
    <x v="6"/>
    <s v="April    "/>
    <s v="4"/>
    <n v="534.4"/>
    <n v="0.36"/>
  </r>
  <r>
    <x v="1"/>
    <s v="Department stores"/>
    <s v="2025-05-01"/>
    <x v="6"/>
    <s v="May      "/>
    <s v="5"/>
    <n v="582.79999999999995"/>
    <n v="2.19"/>
  </r>
  <r>
    <x v="1"/>
    <s v="Department stores"/>
    <s v="2025-06-01"/>
    <x v="6"/>
    <s v="June     "/>
    <s v="6"/>
    <n v="607"/>
    <n v="5.35"/>
  </r>
  <r>
    <x v="1"/>
    <s v="Electrical and electronic goods retailing"/>
    <s v="2019-01-01"/>
    <x v="0"/>
    <s v="January  "/>
    <s v="1"/>
    <n v="580.5"/>
    <m/>
  </r>
  <r>
    <x v="1"/>
    <s v="Electrical and electronic goods retailing"/>
    <s v="2019-02-01"/>
    <x v="0"/>
    <s v="February "/>
    <s v="2"/>
    <n v="501.3"/>
    <m/>
  </r>
  <r>
    <x v="1"/>
    <s v="Electrical and electronic goods retailing"/>
    <s v="2019-03-01"/>
    <x v="0"/>
    <s v="March    "/>
    <s v="3"/>
    <n v="533.5"/>
    <m/>
  </r>
  <r>
    <x v="1"/>
    <s v="Electrical and electronic goods retailing"/>
    <s v="2019-04-01"/>
    <x v="0"/>
    <s v="April    "/>
    <s v="4"/>
    <n v="473.4"/>
    <m/>
  </r>
  <r>
    <x v="1"/>
    <s v="Electrical and electronic goods retailing"/>
    <s v="2019-05-01"/>
    <x v="0"/>
    <s v="May      "/>
    <s v="5"/>
    <n v="522.20000000000005"/>
    <m/>
  </r>
  <r>
    <x v="1"/>
    <s v="Electrical and electronic goods retailing"/>
    <s v="2019-06-01"/>
    <x v="0"/>
    <s v="June     "/>
    <s v="6"/>
    <n v="595.9"/>
    <m/>
  </r>
  <r>
    <x v="1"/>
    <s v="Electrical and electronic goods retailing"/>
    <s v="2019-07-01"/>
    <x v="0"/>
    <s v="July     "/>
    <s v="7"/>
    <n v="538.5"/>
    <m/>
  </r>
  <r>
    <x v="1"/>
    <s v="Electrical and electronic goods retailing"/>
    <s v="2019-08-01"/>
    <x v="0"/>
    <s v="August   "/>
    <s v="8"/>
    <n v="528.79999999999995"/>
    <m/>
  </r>
  <r>
    <x v="1"/>
    <s v="Electrical and electronic goods retailing"/>
    <s v="2019-09-01"/>
    <x v="0"/>
    <s v="September"/>
    <s v="9"/>
    <n v="536.4"/>
    <m/>
  </r>
  <r>
    <x v="1"/>
    <s v="Electrical and electronic goods retailing"/>
    <s v="2019-10-01"/>
    <x v="0"/>
    <s v="October  "/>
    <s v="10"/>
    <n v="543.1"/>
    <m/>
  </r>
  <r>
    <x v="1"/>
    <s v="Electrical and electronic goods retailing"/>
    <s v="2019-11-01"/>
    <x v="0"/>
    <s v="November "/>
    <s v="11"/>
    <n v="624.79999999999995"/>
    <m/>
  </r>
  <r>
    <x v="1"/>
    <s v="Electrical and electronic goods retailing"/>
    <s v="2019-12-01"/>
    <x v="0"/>
    <s v="December "/>
    <s v="12"/>
    <n v="839.9"/>
    <m/>
  </r>
  <r>
    <x v="1"/>
    <s v="Electrical and electronic goods retailing"/>
    <s v="2020-01-01"/>
    <x v="1"/>
    <s v="January  "/>
    <s v="1"/>
    <n v="563.9"/>
    <n v="-2.86"/>
  </r>
  <r>
    <x v="1"/>
    <s v="Electrical and electronic goods retailing"/>
    <s v="2020-02-01"/>
    <x v="1"/>
    <s v="February "/>
    <s v="2"/>
    <n v="515"/>
    <n v="2.73"/>
  </r>
  <r>
    <x v="1"/>
    <s v="Electrical and electronic goods retailing"/>
    <s v="2020-03-01"/>
    <x v="1"/>
    <s v="March    "/>
    <s v="3"/>
    <n v="596.29999999999995"/>
    <n v="11.77"/>
  </r>
  <r>
    <x v="1"/>
    <s v="Electrical and electronic goods retailing"/>
    <s v="2020-04-01"/>
    <x v="1"/>
    <s v="April    "/>
    <s v="4"/>
    <n v="520.29999999999995"/>
    <n v="9.91"/>
  </r>
  <r>
    <x v="1"/>
    <s v="Electrical and electronic goods retailing"/>
    <s v="2020-05-01"/>
    <x v="1"/>
    <s v="May      "/>
    <s v="5"/>
    <n v="675.4"/>
    <n v="29.34"/>
  </r>
  <r>
    <x v="1"/>
    <s v="Electrical and electronic goods retailing"/>
    <s v="2020-06-01"/>
    <x v="1"/>
    <s v="June     "/>
    <s v="6"/>
    <n v="730.1"/>
    <n v="22.52"/>
  </r>
  <r>
    <x v="1"/>
    <s v="Electrical and electronic goods retailing"/>
    <s v="2020-07-01"/>
    <x v="1"/>
    <s v="July     "/>
    <s v="7"/>
    <n v="723.7"/>
    <n v="34.39"/>
  </r>
  <r>
    <x v="1"/>
    <s v="Electrical and electronic goods retailing"/>
    <s v="2020-08-01"/>
    <x v="1"/>
    <s v="August   "/>
    <s v="8"/>
    <n v="700.9"/>
    <n v="32.549999999999997"/>
  </r>
  <r>
    <x v="1"/>
    <s v="Electrical and electronic goods retailing"/>
    <s v="2020-09-01"/>
    <x v="1"/>
    <s v="September"/>
    <s v="9"/>
    <n v="647.70000000000005"/>
    <n v="20.75"/>
  </r>
  <r>
    <x v="1"/>
    <s v="Electrical and electronic goods retailing"/>
    <s v="2020-10-01"/>
    <x v="1"/>
    <s v="October  "/>
    <s v="10"/>
    <n v="659.6"/>
    <n v="21.45"/>
  </r>
  <r>
    <x v="1"/>
    <s v="Electrical and electronic goods retailing"/>
    <s v="2020-11-01"/>
    <x v="1"/>
    <s v="November "/>
    <s v="11"/>
    <n v="822.5"/>
    <n v="31.64"/>
  </r>
  <r>
    <x v="1"/>
    <s v="Electrical and electronic goods retailing"/>
    <s v="2020-12-01"/>
    <x v="1"/>
    <s v="December "/>
    <s v="12"/>
    <n v="981.1"/>
    <n v="16.809999999999999"/>
  </r>
  <r>
    <x v="1"/>
    <s v="Electrical and electronic goods retailing"/>
    <s v="2021-01-01"/>
    <x v="2"/>
    <s v="January  "/>
    <s v="1"/>
    <n v="670.1"/>
    <n v="18.829999999999998"/>
  </r>
  <r>
    <x v="1"/>
    <s v="Electrical and electronic goods retailing"/>
    <s v="2021-02-01"/>
    <x v="2"/>
    <s v="February "/>
    <s v="2"/>
    <n v="598.1"/>
    <n v="16.14"/>
  </r>
  <r>
    <x v="1"/>
    <s v="Electrical and electronic goods retailing"/>
    <s v="2021-03-01"/>
    <x v="2"/>
    <s v="March    "/>
    <s v="3"/>
    <n v="636.1"/>
    <n v="6.67"/>
  </r>
  <r>
    <x v="1"/>
    <s v="Electrical and electronic goods retailing"/>
    <s v="2021-04-01"/>
    <x v="2"/>
    <s v="April    "/>
    <s v="4"/>
    <n v="590.6"/>
    <n v="13.51"/>
  </r>
  <r>
    <x v="1"/>
    <s v="Electrical and electronic goods retailing"/>
    <s v="2021-05-01"/>
    <x v="2"/>
    <s v="May      "/>
    <s v="5"/>
    <n v="645"/>
    <n v="-4.5"/>
  </r>
  <r>
    <x v="1"/>
    <s v="Electrical and electronic goods retailing"/>
    <s v="2021-06-01"/>
    <x v="2"/>
    <s v="June     "/>
    <s v="6"/>
    <n v="720.3"/>
    <n v="-1.34"/>
  </r>
  <r>
    <x v="1"/>
    <s v="Electrical and electronic goods retailing"/>
    <s v="2021-07-01"/>
    <x v="2"/>
    <s v="July     "/>
    <s v="7"/>
    <n v="600.20000000000005"/>
    <n v="-17.07"/>
  </r>
  <r>
    <x v="1"/>
    <s v="Electrical and electronic goods retailing"/>
    <s v="2021-08-01"/>
    <x v="2"/>
    <s v="August   "/>
    <s v="8"/>
    <n v="522.6"/>
    <n v="-25.44"/>
  </r>
  <r>
    <x v="1"/>
    <s v="Electrical and electronic goods retailing"/>
    <s v="2021-09-01"/>
    <x v="2"/>
    <s v="September"/>
    <s v="9"/>
    <n v="578.4"/>
    <n v="-10.7"/>
  </r>
  <r>
    <x v="1"/>
    <s v="Electrical and electronic goods retailing"/>
    <s v="2021-10-01"/>
    <x v="2"/>
    <s v="October  "/>
    <s v="10"/>
    <n v="690.5"/>
    <n v="4.68"/>
  </r>
  <r>
    <x v="1"/>
    <s v="Electrical and electronic goods retailing"/>
    <s v="2021-11-01"/>
    <x v="2"/>
    <s v="November "/>
    <s v="11"/>
    <n v="867.2"/>
    <n v="5.43"/>
  </r>
  <r>
    <x v="1"/>
    <s v="Electrical and electronic goods retailing"/>
    <s v="2021-12-01"/>
    <x v="2"/>
    <s v="December "/>
    <s v="12"/>
    <n v="970.9"/>
    <n v="-1.04"/>
  </r>
  <r>
    <x v="1"/>
    <s v="Electrical and electronic goods retailing"/>
    <s v="2022-01-01"/>
    <x v="3"/>
    <s v="January  "/>
    <s v="1"/>
    <n v="664.8"/>
    <n v="-0.79"/>
  </r>
  <r>
    <x v="1"/>
    <s v="Electrical and electronic goods retailing"/>
    <s v="2022-02-01"/>
    <x v="3"/>
    <s v="February "/>
    <s v="2"/>
    <n v="621.29999999999995"/>
    <n v="3.88"/>
  </r>
  <r>
    <x v="1"/>
    <s v="Electrical and electronic goods retailing"/>
    <s v="2022-03-01"/>
    <x v="3"/>
    <s v="March    "/>
    <s v="3"/>
    <n v="705.6"/>
    <n v="10.93"/>
  </r>
  <r>
    <x v="1"/>
    <s v="Electrical and electronic goods retailing"/>
    <s v="2022-04-01"/>
    <x v="3"/>
    <s v="April    "/>
    <s v="4"/>
    <n v="639.20000000000005"/>
    <n v="8.23"/>
  </r>
  <r>
    <x v="1"/>
    <s v="Electrical and electronic goods retailing"/>
    <s v="2022-05-01"/>
    <x v="3"/>
    <s v="May      "/>
    <s v="5"/>
    <n v="681.5"/>
    <n v="5.66"/>
  </r>
  <r>
    <x v="1"/>
    <s v="Electrical and electronic goods retailing"/>
    <s v="2022-06-01"/>
    <x v="3"/>
    <s v="June     "/>
    <s v="6"/>
    <n v="720.2"/>
    <n v="-0.01"/>
  </r>
  <r>
    <x v="1"/>
    <s v="Electrical and electronic goods retailing"/>
    <s v="2022-07-01"/>
    <x v="3"/>
    <s v="July     "/>
    <s v="7"/>
    <n v="681"/>
    <n v="13.46"/>
  </r>
  <r>
    <x v="1"/>
    <s v="Electrical and electronic goods retailing"/>
    <s v="2022-08-01"/>
    <x v="3"/>
    <s v="August   "/>
    <s v="8"/>
    <n v="647.9"/>
    <n v="23.98"/>
  </r>
  <r>
    <x v="1"/>
    <s v="Electrical and electronic goods retailing"/>
    <s v="2022-09-01"/>
    <x v="3"/>
    <s v="September"/>
    <s v="9"/>
    <n v="689.4"/>
    <n v="19.190000000000001"/>
  </r>
  <r>
    <x v="1"/>
    <s v="Electrical and electronic goods retailing"/>
    <s v="2022-10-01"/>
    <x v="3"/>
    <s v="October  "/>
    <s v="10"/>
    <n v="681.8"/>
    <n v="-1.26"/>
  </r>
  <r>
    <x v="1"/>
    <s v="Electrical and electronic goods retailing"/>
    <s v="2022-11-01"/>
    <x v="3"/>
    <s v="November "/>
    <s v="11"/>
    <n v="817.6"/>
    <n v="-5.72"/>
  </r>
  <r>
    <x v="1"/>
    <s v="Electrical and electronic goods retailing"/>
    <s v="2022-12-01"/>
    <x v="3"/>
    <s v="December "/>
    <s v="12"/>
    <n v="923.4"/>
    <n v="-4.8899999999999997"/>
  </r>
  <r>
    <x v="1"/>
    <s v="Electrical and electronic goods retailing"/>
    <s v="2023-01-01"/>
    <x v="4"/>
    <s v="January  "/>
    <s v="1"/>
    <n v="655.6"/>
    <n v="-1.38"/>
  </r>
  <r>
    <x v="1"/>
    <s v="Electrical and electronic goods retailing"/>
    <s v="2023-02-01"/>
    <x v="4"/>
    <s v="February "/>
    <s v="2"/>
    <n v="596"/>
    <n v="-4.07"/>
  </r>
  <r>
    <x v="1"/>
    <s v="Electrical and electronic goods retailing"/>
    <s v="2023-03-01"/>
    <x v="4"/>
    <s v="March    "/>
    <s v="3"/>
    <n v="630.70000000000005"/>
    <n v="-10.62"/>
  </r>
  <r>
    <x v="1"/>
    <s v="Electrical and electronic goods retailing"/>
    <s v="2023-04-01"/>
    <x v="4"/>
    <s v="April    "/>
    <s v="4"/>
    <n v="569.20000000000005"/>
    <n v="-10.95"/>
  </r>
  <r>
    <x v="1"/>
    <s v="Electrical and electronic goods retailing"/>
    <s v="2023-05-01"/>
    <x v="4"/>
    <s v="May      "/>
    <s v="5"/>
    <n v="626.4"/>
    <n v="-8.09"/>
  </r>
  <r>
    <x v="1"/>
    <s v="Electrical and electronic goods retailing"/>
    <s v="2023-06-01"/>
    <x v="4"/>
    <s v="June     "/>
    <s v="6"/>
    <n v="691.8"/>
    <n v="-3.94"/>
  </r>
  <r>
    <x v="1"/>
    <s v="Electrical and electronic goods retailing"/>
    <s v="2023-07-01"/>
    <x v="4"/>
    <s v="July     "/>
    <s v="7"/>
    <n v="585.79999999999995"/>
    <n v="-13.98"/>
  </r>
  <r>
    <x v="1"/>
    <s v="Electrical and electronic goods retailing"/>
    <s v="2023-08-01"/>
    <x v="4"/>
    <s v="August   "/>
    <s v="8"/>
    <n v="570.1"/>
    <n v="-12.01"/>
  </r>
  <r>
    <x v="1"/>
    <s v="Electrical and electronic goods retailing"/>
    <s v="2023-09-01"/>
    <x v="4"/>
    <s v="September"/>
    <s v="9"/>
    <n v="611.70000000000005"/>
    <n v="-11.27"/>
  </r>
  <r>
    <x v="1"/>
    <s v="Electrical and electronic goods retailing"/>
    <s v="2023-10-01"/>
    <x v="4"/>
    <s v="October  "/>
    <s v="10"/>
    <n v="623.79999999999995"/>
    <n v="-8.51"/>
  </r>
  <r>
    <x v="1"/>
    <s v="Electrical and electronic goods retailing"/>
    <s v="2023-11-01"/>
    <x v="4"/>
    <s v="November "/>
    <s v="11"/>
    <n v="825.8"/>
    <n v="1"/>
  </r>
  <r>
    <x v="1"/>
    <s v="Electrical and electronic goods retailing"/>
    <s v="2023-12-01"/>
    <x v="4"/>
    <s v="December "/>
    <s v="12"/>
    <n v="876.7"/>
    <n v="-5.0599999999999996"/>
  </r>
  <r>
    <x v="1"/>
    <s v="Electrical and electronic goods retailing"/>
    <s v="2024-01-01"/>
    <x v="5"/>
    <s v="January  "/>
    <s v="1"/>
    <n v="628.79999999999995"/>
    <n v="-4.09"/>
  </r>
  <r>
    <x v="1"/>
    <s v="Electrical and electronic goods retailing"/>
    <s v="2024-02-01"/>
    <x v="5"/>
    <s v="February "/>
    <s v="2"/>
    <n v="582.20000000000005"/>
    <n v="-2.3199999999999998"/>
  </r>
  <r>
    <x v="1"/>
    <s v="Electrical and electronic goods retailing"/>
    <s v="2024-03-01"/>
    <x v="5"/>
    <s v="March    "/>
    <s v="3"/>
    <n v="570.79999999999995"/>
    <n v="-9.5"/>
  </r>
  <r>
    <x v="1"/>
    <s v="Electrical and electronic goods retailing"/>
    <s v="2024-04-01"/>
    <x v="5"/>
    <s v="April    "/>
    <s v="4"/>
    <n v="559.29999999999995"/>
    <n v="-1.74"/>
  </r>
  <r>
    <x v="1"/>
    <s v="Electrical and electronic goods retailing"/>
    <s v="2024-05-01"/>
    <x v="5"/>
    <s v="May      "/>
    <s v="5"/>
    <n v="607.4"/>
    <n v="-3.03"/>
  </r>
  <r>
    <x v="1"/>
    <s v="Electrical and electronic goods retailing"/>
    <s v="2024-06-01"/>
    <x v="5"/>
    <s v="June     "/>
    <s v="6"/>
    <n v="684.3"/>
    <n v="-1.08"/>
  </r>
  <r>
    <x v="1"/>
    <s v="Electrical and electronic goods retailing"/>
    <s v="2024-07-01"/>
    <x v="5"/>
    <s v="July     "/>
    <s v="7"/>
    <n v="605.70000000000005"/>
    <n v="3.4"/>
  </r>
  <r>
    <x v="1"/>
    <s v="Electrical and electronic goods retailing"/>
    <s v="2024-08-01"/>
    <x v="5"/>
    <s v="August   "/>
    <s v="8"/>
    <n v="576.4"/>
    <n v="1.1100000000000001"/>
  </r>
  <r>
    <x v="1"/>
    <s v="Electrical and electronic goods retailing"/>
    <s v="2024-09-01"/>
    <x v="5"/>
    <s v="September"/>
    <s v="9"/>
    <n v="598.6"/>
    <n v="-2.14"/>
  </r>
  <r>
    <x v="1"/>
    <s v="Electrical and electronic goods retailing"/>
    <s v="2024-10-01"/>
    <x v="5"/>
    <s v="October  "/>
    <s v="10"/>
    <n v="653.9"/>
    <n v="4.83"/>
  </r>
  <r>
    <x v="1"/>
    <s v="Electrical and electronic goods retailing"/>
    <s v="2024-11-01"/>
    <x v="5"/>
    <s v="November "/>
    <s v="11"/>
    <n v="823.3"/>
    <n v="-0.3"/>
  </r>
  <r>
    <x v="1"/>
    <s v="Electrical and electronic goods retailing"/>
    <s v="2024-12-01"/>
    <x v="5"/>
    <s v="December "/>
    <s v="12"/>
    <n v="947.8"/>
    <n v="8.11"/>
  </r>
  <r>
    <x v="1"/>
    <s v="Electrical and electronic goods retailing"/>
    <s v="2025-01-01"/>
    <x v="6"/>
    <s v="January  "/>
    <s v="1"/>
    <n v="620"/>
    <n v="-1.4"/>
  </r>
  <r>
    <x v="1"/>
    <s v="Electrical and electronic goods retailing"/>
    <s v="2025-02-01"/>
    <x v="6"/>
    <s v="February "/>
    <s v="2"/>
    <n v="572.6"/>
    <n v="-1.65"/>
  </r>
  <r>
    <x v="1"/>
    <s v="Electrical and electronic goods retailing"/>
    <s v="2025-03-01"/>
    <x v="6"/>
    <s v="March    "/>
    <s v="3"/>
    <n v="613"/>
    <n v="7.39"/>
  </r>
  <r>
    <x v="1"/>
    <s v="Electrical and electronic goods retailing"/>
    <s v="2025-04-01"/>
    <x v="6"/>
    <s v="April    "/>
    <s v="4"/>
    <n v="548.1"/>
    <n v="-2"/>
  </r>
  <r>
    <x v="1"/>
    <s v="Electrical and electronic goods retailing"/>
    <s v="2025-05-01"/>
    <x v="6"/>
    <s v="May      "/>
    <s v="5"/>
    <n v="612.5"/>
    <n v="0.84"/>
  </r>
  <r>
    <x v="1"/>
    <s v="Electrical and electronic goods retailing"/>
    <s v="2025-06-01"/>
    <x v="6"/>
    <s v="June     "/>
    <s v="6"/>
    <n v="725.2"/>
    <n v="5.98"/>
  </r>
  <r>
    <x v="1"/>
    <s v="Footwear and other personal accessory retailing"/>
    <s v="2019-01-01"/>
    <x v="0"/>
    <s v="January  "/>
    <s v="1"/>
    <n v="266.7"/>
    <m/>
  </r>
  <r>
    <x v="1"/>
    <s v="Footwear and other personal accessory retailing"/>
    <s v="2019-02-01"/>
    <x v="0"/>
    <s v="February "/>
    <s v="2"/>
    <n v="233.2"/>
    <m/>
  </r>
  <r>
    <x v="1"/>
    <s v="Footwear and other personal accessory retailing"/>
    <s v="2019-03-01"/>
    <x v="0"/>
    <s v="March    "/>
    <s v="3"/>
    <n v="245.7"/>
    <m/>
  </r>
  <r>
    <x v="1"/>
    <s v="Footwear and other personal accessory retailing"/>
    <s v="2019-04-01"/>
    <x v="0"/>
    <s v="April    "/>
    <s v="4"/>
    <n v="227.4"/>
    <m/>
  </r>
  <r>
    <x v="1"/>
    <s v="Footwear and other personal accessory retailing"/>
    <s v="2019-05-01"/>
    <x v="0"/>
    <s v="May      "/>
    <s v="5"/>
    <n v="255.1"/>
    <m/>
  </r>
  <r>
    <x v="1"/>
    <s v="Footwear and other personal accessory retailing"/>
    <s v="2019-06-01"/>
    <x v="0"/>
    <s v="June     "/>
    <s v="6"/>
    <n v="243.7"/>
    <m/>
  </r>
  <r>
    <x v="1"/>
    <s v="Footwear and other personal accessory retailing"/>
    <s v="2019-07-01"/>
    <x v="0"/>
    <s v="July     "/>
    <s v="7"/>
    <n v="237.5"/>
    <m/>
  </r>
  <r>
    <x v="1"/>
    <s v="Footwear and other personal accessory retailing"/>
    <s v="2019-08-01"/>
    <x v="0"/>
    <s v="August   "/>
    <s v="8"/>
    <n v="259"/>
    <m/>
  </r>
  <r>
    <x v="1"/>
    <s v="Footwear and other personal accessory retailing"/>
    <s v="2019-09-01"/>
    <x v="0"/>
    <s v="September"/>
    <s v="9"/>
    <n v="247"/>
    <m/>
  </r>
  <r>
    <x v="1"/>
    <s v="Footwear and other personal accessory retailing"/>
    <s v="2019-10-01"/>
    <x v="0"/>
    <s v="October  "/>
    <s v="10"/>
    <n v="257.89999999999998"/>
    <m/>
  </r>
  <r>
    <x v="1"/>
    <s v="Footwear and other personal accessory retailing"/>
    <s v="2019-11-01"/>
    <x v="0"/>
    <s v="November "/>
    <s v="11"/>
    <n v="297.3"/>
    <m/>
  </r>
  <r>
    <x v="1"/>
    <s v="Footwear and other personal accessory retailing"/>
    <s v="2019-12-01"/>
    <x v="0"/>
    <s v="December "/>
    <s v="12"/>
    <n v="450.7"/>
    <m/>
  </r>
  <r>
    <x v="1"/>
    <s v="Footwear and other personal accessory retailing"/>
    <s v="2020-01-01"/>
    <x v="1"/>
    <s v="January  "/>
    <s v="1"/>
    <n v="260.3"/>
    <n v="-2.4"/>
  </r>
  <r>
    <x v="1"/>
    <s v="Footwear and other personal accessory retailing"/>
    <s v="2020-02-01"/>
    <x v="1"/>
    <s v="February "/>
    <s v="2"/>
    <n v="224.6"/>
    <n v="-3.69"/>
  </r>
  <r>
    <x v="1"/>
    <s v="Footwear and other personal accessory retailing"/>
    <s v="2020-03-01"/>
    <x v="1"/>
    <s v="March    "/>
    <s v="3"/>
    <n v="191"/>
    <n v="-22.26"/>
  </r>
  <r>
    <x v="1"/>
    <s v="Footwear and other personal accessory retailing"/>
    <s v="2020-04-01"/>
    <x v="1"/>
    <s v="April    "/>
    <s v="4"/>
    <n v="106.3"/>
    <n v="-53.25"/>
  </r>
  <r>
    <x v="1"/>
    <s v="Footwear and other personal accessory retailing"/>
    <s v="2020-05-01"/>
    <x v="1"/>
    <s v="May      "/>
    <s v="5"/>
    <n v="212.6"/>
    <n v="-16.66"/>
  </r>
  <r>
    <x v="1"/>
    <s v="Footwear and other personal accessory retailing"/>
    <s v="2020-06-01"/>
    <x v="1"/>
    <s v="June     "/>
    <s v="6"/>
    <n v="214.9"/>
    <n v="-11.82"/>
  </r>
  <r>
    <x v="1"/>
    <s v="Footwear and other personal accessory retailing"/>
    <s v="2020-07-01"/>
    <x v="1"/>
    <s v="July     "/>
    <s v="7"/>
    <n v="250.8"/>
    <n v="5.6"/>
  </r>
  <r>
    <x v="1"/>
    <s v="Footwear and other personal accessory retailing"/>
    <s v="2020-08-01"/>
    <x v="1"/>
    <s v="August   "/>
    <s v="8"/>
    <n v="259.2"/>
    <n v="0.08"/>
  </r>
  <r>
    <x v="1"/>
    <s v="Footwear and other personal accessory retailing"/>
    <s v="2020-09-01"/>
    <x v="1"/>
    <s v="September"/>
    <s v="9"/>
    <n v="256.39999999999998"/>
    <n v="3.81"/>
  </r>
  <r>
    <x v="1"/>
    <s v="Footwear and other personal accessory retailing"/>
    <s v="2020-10-01"/>
    <x v="1"/>
    <s v="October  "/>
    <s v="10"/>
    <n v="263.7"/>
    <n v="2.25"/>
  </r>
  <r>
    <x v="1"/>
    <s v="Footwear and other personal accessory retailing"/>
    <s v="2020-11-01"/>
    <x v="1"/>
    <s v="November "/>
    <s v="11"/>
    <n v="305"/>
    <n v="2.59"/>
  </r>
  <r>
    <x v="1"/>
    <s v="Footwear and other personal accessory retailing"/>
    <s v="2020-12-01"/>
    <x v="1"/>
    <s v="December "/>
    <s v="12"/>
    <n v="454.8"/>
    <n v="0.91"/>
  </r>
  <r>
    <x v="1"/>
    <s v="Footwear and other personal accessory retailing"/>
    <s v="2021-01-01"/>
    <x v="2"/>
    <s v="January  "/>
    <s v="1"/>
    <n v="271.2"/>
    <n v="4.1900000000000004"/>
  </r>
  <r>
    <x v="1"/>
    <s v="Footwear and other personal accessory retailing"/>
    <s v="2021-02-01"/>
    <x v="2"/>
    <s v="February "/>
    <s v="2"/>
    <n v="252.5"/>
    <n v="12.42"/>
  </r>
  <r>
    <x v="1"/>
    <s v="Footwear and other personal accessory retailing"/>
    <s v="2021-03-01"/>
    <x v="2"/>
    <s v="March    "/>
    <s v="3"/>
    <n v="271.89999999999998"/>
    <n v="42.36"/>
  </r>
  <r>
    <x v="1"/>
    <s v="Footwear and other personal accessory retailing"/>
    <s v="2021-04-01"/>
    <x v="2"/>
    <s v="April    "/>
    <s v="4"/>
    <n v="271.60000000000002"/>
    <n v="155.5"/>
  </r>
  <r>
    <x v="1"/>
    <s v="Footwear and other personal accessory retailing"/>
    <s v="2021-05-01"/>
    <x v="2"/>
    <s v="May      "/>
    <s v="5"/>
    <n v="297.3"/>
    <n v="39.840000000000003"/>
  </r>
  <r>
    <x v="1"/>
    <s v="Footwear and other personal accessory retailing"/>
    <s v="2021-06-01"/>
    <x v="2"/>
    <s v="June     "/>
    <s v="6"/>
    <n v="257.2"/>
    <n v="19.68"/>
  </r>
  <r>
    <x v="1"/>
    <s v="Footwear and other personal accessory retailing"/>
    <s v="2021-07-01"/>
    <x v="2"/>
    <s v="July     "/>
    <s v="7"/>
    <n v="186.8"/>
    <n v="-25.52"/>
  </r>
  <r>
    <x v="1"/>
    <s v="Footwear and other personal accessory retailing"/>
    <s v="2021-08-01"/>
    <x v="2"/>
    <s v="August   "/>
    <s v="8"/>
    <n v="140.1"/>
    <n v="-45.95"/>
  </r>
  <r>
    <x v="1"/>
    <s v="Footwear and other personal accessory retailing"/>
    <s v="2021-09-01"/>
    <x v="2"/>
    <s v="September"/>
    <s v="9"/>
    <n v="156.6"/>
    <n v="-38.92"/>
  </r>
  <r>
    <x v="1"/>
    <s v="Footwear and other personal accessory retailing"/>
    <s v="2021-10-01"/>
    <x v="2"/>
    <s v="October  "/>
    <s v="10"/>
    <n v="283.60000000000002"/>
    <n v="7.55"/>
  </r>
  <r>
    <x v="1"/>
    <s v="Footwear and other personal accessory retailing"/>
    <s v="2021-11-01"/>
    <x v="2"/>
    <s v="November "/>
    <s v="11"/>
    <n v="390.7"/>
    <n v="28.1"/>
  </r>
  <r>
    <x v="1"/>
    <s v="Footwear and other personal accessory retailing"/>
    <s v="2021-12-01"/>
    <x v="2"/>
    <s v="December "/>
    <s v="12"/>
    <n v="534.9"/>
    <n v="17.61"/>
  </r>
  <r>
    <x v="1"/>
    <s v="Footwear and other personal accessory retailing"/>
    <s v="2022-01-01"/>
    <x v="3"/>
    <s v="January  "/>
    <s v="1"/>
    <n v="310.2"/>
    <n v="14.38"/>
  </r>
  <r>
    <x v="1"/>
    <s v="Footwear and other personal accessory retailing"/>
    <s v="2022-02-01"/>
    <x v="3"/>
    <s v="February "/>
    <s v="2"/>
    <n v="291.39999999999998"/>
    <n v="15.41"/>
  </r>
  <r>
    <x v="1"/>
    <s v="Footwear and other personal accessory retailing"/>
    <s v="2022-03-01"/>
    <x v="3"/>
    <s v="March    "/>
    <s v="3"/>
    <n v="326.8"/>
    <n v="20.190000000000001"/>
  </r>
  <r>
    <x v="1"/>
    <s v="Footwear and other personal accessory retailing"/>
    <s v="2022-04-01"/>
    <x v="3"/>
    <s v="April    "/>
    <s v="4"/>
    <n v="308.7"/>
    <n v="13.66"/>
  </r>
  <r>
    <x v="1"/>
    <s v="Footwear and other personal accessory retailing"/>
    <s v="2022-05-01"/>
    <x v="3"/>
    <s v="May      "/>
    <s v="5"/>
    <n v="341.4"/>
    <n v="14.83"/>
  </r>
  <r>
    <x v="1"/>
    <s v="Footwear and other personal accessory retailing"/>
    <s v="2022-06-01"/>
    <x v="3"/>
    <s v="June     "/>
    <s v="6"/>
    <n v="314.5"/>
    <n v="22.28"/>
  </r>
  <r>
    <x v="1"/>
    <s v="Footwear and other personal accessory retailing"/>
    <s v="2022-07-01"/>
    <x v="3"/>
    <s v="July     "/>
    <s v="7"/>
    <n v="324.5"/>
    <n v="73.72"/>
  </r>
  <r>
    <x v="1"/>
    <s v="Footwear and other personal accessory retailing"/>
    <s v="2022-08-01"/>
    <x v="3"/>
    <s v="August   "/>
    <s v="8"/>
    <n v="334"/>
    <n v="138.4"/>
  </r>
  <r>
    <x v="1"/>
    <s v="Footwear and other personal accessory retailing"/>
    <s v="2022-09-01"/>
    <x v="3"/>
    <s v="September"/>
    <s v="9"/>
    <n v="340.1"/>
    <n v="117.18"/>
  </r>
  <r>
    <x v="1"/>
    <s v="Footwear and other personal accessory retailing"/>
    <s v="2022-10-01"/>
    <x v="3"/>
    <s v="October  "/>
    <s v="10"/>
    <n v="338.4"/>
    <n v="19.32"/>
  </r>
  <r>
    <x v="1"/>
    <s v="Footwear and other personal accessory retailing"/>
    <s v="2022-11-01"/>
    <x v="3"/>
    <s v="November "/>
    <s v="11"/>
    <n v="422"/>
    <n v="8.01"/>
  </r>
  <r>
    <x v="1"/>
    <s v="Footwear and other personal accessory retailing"/>
    <s v="2022-12-01"/>
    <x v="3"/>
    <s v="December "/>
    <s v="12"/>
    <n v="556.5"/>
    <n v="4.04"/>
  </r>
  <r>
    <x v="1"/>
    <s v="Footwear and other personal accessory retailing"/>
    <s v="2023-01-01"/>
    <x v="4"/>
    <s v="January  "/>
    <s v="1"/>
    <n v="357.3"/>
    <n v="15.18"/>
  </r>
  <r>
    <x v="1"/>
    <s v="Footwear and other personal accessory retailing"/>
    <s v="2023-02-01"/>
    <x v="4"/>
    <s v="February "/>
    <s v="2"/>
    <n v="293.10000000000002"/>
    <n v="0.57999999999999996"/>
  </r>
  <r>
    <x v="1"/>
    <s v="Footwear and other personal accessory retailing"/>
    <s v="2023-03-01"/>
    <x v="4"/>
    <s v="March    "/>
    <s v="3"/>
    <n v="324.10000000000002"/>
    <n v="-0.83"/>
  </r>
  <r>
    <x v="1"/>
    <s v="Footwear and other personal accessory retailing"/>
    <s v="2023-04-01"/>
    <x v="4"/>
    <s v="April    "/>
    <s v="4"/>
    <n v="319.3"/>
    <n v="3.43"/>
  </r>
  <r>
    <x v="1"/>
    <s v="Footwear and other personal accessory retailing"/>
    <s v="2023-05-01"/>
    <x v="4"/>
    <s v="May      "/>
    <s v="5"/>
    <n v="336.7"/>
    <n v="-1.38"/>
  </r>
  <r>
    <x v="1"/>
    <s v="Footwear and other personal accessory retailing"/>
    <s v="2023-06-01"/>
    <x v="4"/>
    <s v="June     "/>
    <s v="6"/>
    <n v="314.7"/>
    <n v="0.06"/>
  </r>
  <r>
    <x v="1"/>
    <s v="Footwear and other personal accessory retailing"/>
    <s v="2023-07-01"/>
    <x v="4"/>
    <s v="July     "/>
    <s v="7"/>
    <n v="314.7"/>
    <n v="-3.02"/>
  </r>
  <r>
    <x v="1"/>
    <s v="Footwear and other personal accessory retailing"/>
    <s v="2023-08-01"/>
    <x v="4"/>
    <s v="August   "/>
    <s v="8"/>
    <n v="344.7"/>
    <n v="3.2"/>
  </r>
  <r>
    <x v="1"/>
    <s v="Footwear and other personal accessory retailing"/>
    <s v="2023-09-01"/>
    <x v="4"/>
    <s v="September"/>
    <s v="9"/>
    <n v="325.8"/>
    <n v="-4.2"/>
  </r>
  <r>
    <x v="1"/>
    <s v="Footwear and other personal accessory retailing"/>
    <s v="2023-10-01"/>
    <x v="4"/>
    <s v="October  "/>
    <s v="10"/>
    <n v="338.6"/>
    <n v="0.06"/>
  </r>
  <r>
    <x v="1"/>
    <s v="Footwear and other personal accessory retailing"/>
    <s v="2023-11-01"/>
    <x v="4"/>
    <s v="November "/>
    <s v="11"/>
    <n v="401.8"/>
    <n v="-4.79"/>
  </r>
  <r>
    <x v="1"/>
    <s v="Footwear and other personal accessory retailing"/>
    <s v="2023-12-01"/>
    <x v="4"/>
    <s v="December "/>
    <s v="12"/>
    <n v="554.20000000000005"/>
    <n v="-0.41"/>
  </r>
  <r>
    <x v="1"/>
    <s v="Footwear and other personal accessory retailing"/>
    <s v="2024-01-01"/>
    <x v="5"/>
    <s v="January  "/>
    <s v="1"/>
    <n v="329.9"/>
    <n v="-7.67"/>
  </r>
  <r>
    <x v="1"/>
    <s v="Footwear and other personal accessory retailing"/>
    <s v="2024-02-01"/>
    <x v="5"/>
    <s v="February "/>
    <s v="2"/>
    <n v="296.8"/>
    <n v="1.26"/>
  </r>
  <r>
    <x v="1"/>
    <s v="Footwear and other personal accessory retailing"/>
    <s v="2024-03-01"/>
    <x v="5"/>
    <s v="March    "/>
    <s v="3"/>
    <n v="306.10000000000002"/>
    <n v="-5.55"/>
  </r>
  <r>
    <x v="1"/>
    <s v="Footwear and other personal accessory retailing"/>
    <s v="2024-04-01"/>
    <x v="5"/>
    <s v="April    "/>
    <s v="4"/>
    <n v="301.5"/>
    <n v="-5.57"/>
  </r>
  <r>
    <x v="1"/>
    <s v="Footwear and other personal accessory retailing"/>
    <s v="2024-05-01"/>
    <x v="5"/>
    <s v="May      "/>
    <s v="5"/>
    <n v="342.1"/>
    <n v="1.6"/>
  </r>
  <r>
    <x v="1"/>
    <s v="Footwear and other personal accessory retailing"/>
    <s v="2024-06-01"/>
    <x v="5"/>
    <s v="June     "/>
    <s v="6"/>
    <n v="312"/>
    <n v="-0.86"/>
  </r>
  <r>
    <x v="1"/>
    <s v="Footwear and other personal accessory retailing"/>
    <s v="2024-07-01"/>
    <x v="5"/>
    <s v="July     "/>
    <s v="7"/>
    <n v="316.3"/>
    <n v="0.51"/>
  </r>
  <r>
    <x v="1"/>
    <s v="Footwear and other personal accessory retailing"/>
    <s v="2024-08-01"/>
    <x v="5"/>
    <s v="August   "/>
    <s v="8"/>
    <n v="327.9"/>
    <n v="-4.87"/>
  </r>
  <r>
    <x v="1"/>
    <s v="Footwear and other personal accessory retailing"/>
    <s v="2024-09-01"/>
    <x v="5"/>
    <s v="September"/>
    <s v="9"/>
    <n v="312.2"/>
    <n v="-4.17"/>
  </r>
  <r>
    <x v="1"/>
    <s v="Footwear and other personal accessory retailing"/>
    <s v="2024-10-01"/>
    <x v="5"/>
    <s v="October  "/>
    <s v="10"/>
    <n v="323.8"/>
    <n v="-4.37"/>
  </r>
  <r>
    <x v="1"/>
    <s v="Footwear and other personal accessory retailing"/>
    <s v="2024-11-01"/>
    <x v="5"/>
    <s v="November "/>
    <s v="11"/>
    <n v="415.5"/>
    <n v="3.41"/>
  </r>
  <r>
    <x v="1"/>
    <s v="Footwear and other personal accessory retailing"/>
    <s v="2024-12-01"/>
    <x v="5"/>
    <s v="December "/>
    <s v="12"/>
    <n v="570.5"/>
    <n v="2.94"/>
  </r>
  <r>
    <x v="1"/>
    <s v="Footwear and other personal accessory retailing"/>
    <s v="2025-01-01"/>
    <x v="6"/>
    <s v="January  "/>
    <s v="1"/>
    <n v="333.1"/>
    <n v="0.97"/>
  </r>
  <r>
    <x v="1"/>
    <s v="Footwear and other personal accessory retailing"/>
    <s v="2025-02-01"/>
    <x v="6"/>
    <s v="February "/>
    <s v="2"/>
    <n v="294.3"/>
    <n v="-0.84"/>
  </r>
  <r>
    <x v="1"/>
    <s v="Footwear and other personal accessory retailing"/>
    <s v="2025-03-01"/>
    <x v="6"/>
    <s v="March    "/>
    <s v="3"/>
    <n v="317.2"/>
    <n v="3.63"/>
  </r>
  <r>
    <x v="1"/>
    <s v="Footwear and other personal accessory retailing"/>
    <s v="2025-04-01"/>
    <x v="6"/>
    <s v="April    "/>
    <s v="4"/>
    <n v="307"/>
    <n v="1.82"/>
  </r>
  <r>
    <x v="1"/>
    <s v="Footwear and other personal accessory retailing"/>
    <s v="2025-05-01"/>
    <x v="6"/>
    <s v="May      "/>
    <s v="5"/>
    <n v="349.6"/>
    <n v="2.19"/>
  </r>
  <r>
    <x v="1"/>
    <s v="Footwear and other personal accessory retailing"/>
    <s v="2025-06-01"/>
    <x v="6"/>
    <s v="June     "/>
    <s v="6"/>
    <n v="330"/>
    <n v="5.77"/>
  </r>
  <r>
    <x v="1"/>
    <s v="Furniture, floor coverings, houseware and textile goods retailing"/>
    <s v="2019-01-01"/>
    <x v="0"/>
    <s v="January  "/>
    <s v="1"/>
    <n v="393.4"/>
    <m/>
  </r>
  <r>
    <x v="1"/>
    <s v="Furniture, floor coverings, houseware and textile goods retailing"/>
    <s v="2019-02-01"/>
    <x v="0"/>
    <s v="February "/>
    <s v="2"/>
    <n v="347"/>
    <m/>
  </r>
  <r>
    <x v="1"/>
    <s v="Furniture, floor coverings, houseware and textile goods retailing"/>
    <s v="2019-03-01"/>
    <x v="0"/>
    <s v="March    "/>
    <s v="3"/>
    <n v="368.4"/>
    <m/>
  </r>
  <r>
    <x v="1"/>
    <s v="Furniture, floor coverings, houseware and textile goods retailing"/>
    <s v="2019-04-01"/>
    <x v="0"/>
    <s v="April    "/>
    <s v="4"/>
    <n v="357.8"/>
    <m/>
  </r>
  <r>
    <x v="1"/>
    <s v="Furniture, floor coverings, houseware and textile goods retailing"/>
    <s v="2019-05-01"/>
    <x v="0"/>
    <s v="May      "/>
    <s v="5"/>
    <n v="383.7"/>
    <m/>
  </r>
  <r>
    <x v="1"/>
    <s v="Furniture, floor coverings, houseware and textile goods retailing"/>
    <s v="2019-06-01"/>
    <x v="0"/>
    <s v="June     "/>
    <s v="6"/>
    <n v="402.4"/>
    <m/>
  </r>
  <r>
    <x v="1"/>
    <s v="Furniture, floor coverings, houseware and textile goods retailing"/>
    <s v="2019-07-01"/>
    <x v="0"/>
    <s v="July     "/>
    <s v="7"/>
    <n v="391"/>
    <m/>
  </r>
  <r>
    <x v="1"/>
    <s v="Furniture, floor coverings, houseware and textile goods retailing"/>
    <s v="2019-08-01"/>
    <x v="0"/>
    <s v="August   "/>
    <s v="8"/>
    <n v="394.1"/>
    <m/>
  </r>
  <r>
    <x v="1"/>
    <s v="Furniture, floor coverings, houseware and textile goods retailing"/>
    <s v="2019-09-01"/>
    <x v="0"/>
    <s v="September"/>
    <s v="9"/>
    <n v="389.1"/>
    <m/>
  </r>
  <r>
    <x v="1"/>
    <s v="Furniture, floor coverings, houseware and textile goods retailing"/>
    <s v="2019-10-01"/>
    <x v="0"/>
    <s v="October  "/>
    <s v="10"/>
    <n v="406.6"/>
    <m/>
  </r>
  <r>
    <x v="1"/>
    <s v="Furniture, floor coverings, houseware and textile goods retailing"/>
    <s v="2019-11-01"/>
    <x v="0"/>
    <s v="November "/>
    <s v="11"/>
    <n v="431.5"/>
    <m/>
  </r>
  <r>
    <x v="1"/>
    <s v="Furniture, floor coverings, houseware and textile goods retailing"/>
    <s v="2019-12-01"/>
    <x v="0"/>
    <s v="December "/>
    <s v="12"/>
    <n v="483.5"/>
    <m/>
  </r>
  <r>
    <x v="1"/>
    <s v="Furniture, floor coverings, houseware and textile goods retailing"/>
    <s v="2020-01-01"/>
    <x v="1"/>
    <s v="January  "/>
    <s v="1"/>
    <n v="401.7"/>
    <n v="2.11"/>
  </r>
  <r>
    <x v="1"/>
    <s v="Furniture, floor coverings, houseware and textile goods retailing"/>
    <s v="2020-02-01"/>
    <x v="1"/>
    <s v="February "/>
    <s v="2"/>
    <n v="341.3"/>
    <n v="-1.64"/>
  </r>
  <r>
    <x v="1"/>
    <s v="Furniture, floor coverings, houseware and textile goods retailing"/>
    <s v="2020-03-01"/>
    <x v="1"/>
    <s v="March    "/>
    <s v="3"/>
    <n v="353.9"/>
    <n v="-3.94"/>
  </r>
  <r>
    <x v="1"/>
    <s v="Furniture, floor coverings, houseware and textile goods retailing"/>
    <s v="2020-04-01"/>
    <x v="1"/>
    <s v="April    "/>
    <s v="4"/>
    <n v="317.2"/>
    <n v="-11.35"/>
  </r>
  <r>
    <x v="1"/>
    <s v="Furniture, floor coverings, houseware and textile goods retailing"/>
    <s v="2020-05-01"/>
    <x v="1"/>
    <s v="May      "/>
    <s v="5"/>
    <n v="428"/>
    <n v="11.55"/>
  </r>
  <r>
    <x v="1"/>
    <s v="Furniture, floor coverings, houseware and textile goods retailing"/>
    <s v="2020-06-01"/>
    <x v="1"/>
    <s v="June     "/>
    <s v="6"/>
    <n v="481.7"/>
    <n v="19.71"/>
  </r>
  <r>
    <x v="1"/>
    <s v="Furniture, floor coverings, houseware and textile goods retailing"/>
    <s v="2020-07-01"/>
    <x v="1"/>
    <s v="July     "/>
    <s v="7"/>
    <n v="501.5"/>
    <n v="28.26"/>
  </r>
  <r>
    <x v="1"/>
    <s v="Furniture, floor coverings, houseware and textile goods retailing"/>
    <s v="2020-08-01"/>
    <x v="1"/>
    <s v="August   "/>
    <s v="8"/>
    <n v="494.6"/>
    <n v="25.5"/>
  </r>
  <r>
    <x v="1"/>
    <s v="Furniture, floor coverings, houseware and textile goods retailing"/>
    <s v="2020-09-01"/>
    <x v="1"/>
    <s v="September"/>
    <s v="9"/>
    <n v="497.8"/>
    <n v="27.94"/>
  </r>
  <r>
    <x v="1"/>
    <s v="Furniture, floor coverings, houseware and textile goods retailing"/>
    <s v="2020-10-01"/>
    <x v="1"/>
    <s v="October  "/>
    <s v="10"/>
    <n v="513.1"/>
    <n v="26.19"/>
  </r>
  <r>
    <x v="1"/>
    <s v="Furniture, floor coverings, houseware and textile goods retailing"/>
    <s v="2020-11-01"/>
    <x v="1"/>
    <s v="November "/>
    <s v="11"/>
    <n v="528.5"/>
    <n v="22.48"/>
  </r>
  <r>
    <x v="1"/>
    <s v="Furniture, floor coverings, houseware and textile goods retailing"/>
    <s v="2020-12-01"/>
    <x v="1"/>
    <s v="December "/>
    <s v="12"/>
    <n v="575.79999999999995"/>
    <n v="19.09"/>
  </r>
  <r>
    <x v="1"/>
    <s v="Furniture, floor coverings, houseware and textile goods retailing"/>
    <s v="2021-01-01"/>
    <x v="2"/>
    <s v="January  "/>
    <s v="1"/>
    <n v="494.1"/>
    <n v="23"/>
  </r>
  <r>
    <x v="1"/>
    <s v="Furniture, floor coverings, houseware and textile goods retailing"/>
    <s v="2021-02-01"/>
    <x v="2"/>
    <s v="February "/>
    <s v="2"/>
    <n v="442.5"/>
    <n v="29.65"/>
  </r>
  <r>
    <x v="1"/>
    <s v="Furniture, floor coverings, houseware and textile goods retailing"/>
    <s v="2021-03-01"/>
    <x v="2"/>
    <s v="March    "/>
    <s v="3"/>
    <n v="483.1"/>
    <n v="36.51"/>
  </r>
  <r>
    <x v="1"/>
    <s v="Furniture, floor coverings, houseware and textile goods retailing"/>
    <s v="2021-04-01"/>
    <x v="2"/>
    <s v="April    "/>
    <s v="4"/>
    <n v="464.3"/>
    <n v="46.37"/>
  </r>
  <r>
    <x v="1"/>
    <s v="Furniture, floor coverings, houseware and textile goods retailing"/>
    <s v="2021-05-01"/>
    <x v="2"/>
    <s v="May      "/>
    <s v="5"/>
    <n v="488.1"/>
    <n v="14.04"/>
  </r>
  <r>
    <x v="1"/>
    <s v="Furniture, floor coverings, houseware and textile goods retailing"/>
    <s v="2021-06-01"/>
    <x v="2"/>
    <s v="June     "/>
    <s v="6"/>
    <n v="498.8"/>
    <n v="3.55"/>
  </r>
  <r>
    <x v="1"/>
    <s v="Furniture, floor coverings, houseware and textile goods retailing"/>
    <s v="2021-07-01"/>
    <x v="2"/>
    <s v="July     "/>
    <s v="7"/>
    <n v="407.9"/>
    <n v="-18.66"/>
  </r>
  <r>
    <x v="1"/>
    <s v="Furniture, floor coverings, houseware and textile goods retailing"/>
    <s v="2021-08-01"/>
    <x v="2"/>
    <s v="August   "/>
    <s v="8"/>
    <n v="309.2"/>
    <n v="-37.479999999999997"/>
  </r>
  <r>
    <x v="1"/>
    <s v="Furniture, floor coverings, houseware and textile goods retailing"/>
    <s v="2021-09-01"/>
    <x v="2"/>
    <s v="September"/>
    <s v="9"/>
    <n v="347.4"/>
    <n v="-30.21"/>
  </r>
  <r>
    <x v="1"/>
    <s v="Furniture, floor coverings, houseware and textile goods retailing"/>
    <s v="2021-10-01"/>
    <x v="2"/>
    <s v="October  "/>
    <s v="10"/>
    <n v="515.6"/>
    <n v="0.49"/>
  </r>
  <r>
    <x v="1"/>
    <s v="Furniture, floor coverings, houseware and textile goods retailing"/>
    <s v="2021-11-01"/>
    <x v="2"/>
    <s v="November "/>
    <s v="11"/>
    <n v="625.1"/>
    <n v="18.28"/>
  </r>
  <r>
    <x v="1"/>
    <s v="Furniture, floor coverings, houseware and textile goods retailing"/>
    <s v="2021-12-01"/>
    <x v="2"/>
    <s v="December "/>
    <s v="12"/>
    <n v="619.6"/>
    <n v="7.61"/>
  </r>
  <r>
    <x v="1"/>
    <s v="Furniture, floor coverings, houseware and textile goods retailing"/>
    <s v="2022-01-01"/>
    <x v="3"/>
    <s v="January  "/>
    <s v="1"/>
    <n v="500.6"/>
    <n v="1.32"/>
  </r>
  <r>
    <x v="1"/>
    <s v="Furniture, floor coverings, houseware and textile goods retailing"/>
    <s v="2022-02-01"/>
    <x v="3"/>
    <s v="February "/>
    <s v="2"/>
    <n v="473.8"/>
    <n v="7.07"/>
  </r>
  <r>
    <x v="1"/>
    <s v="Furniture, floor coverings, houseware and textile goods retailing"/>
    <s v="2022-03-01"/>
    <x v="3"/>
    <s v="March    "/>
    <s v="3"/>
    <n v="523.6"/>
    <n v="8.3800000000000008"/>
  </r>
  <r>
    <x v="1"/>
    <s v="Furniture, floor coverings, houseware and textile goods retailing"/>
    <s v="2022-04-01"/>
    <x v="3"/>
    <s v="April    "/>
    <s v="4"/>
    <n v="488.2"/>
    <n v="5.15"/>
  </r>
  <r>
    <x v="1"/>
    <s v="Furniture, floor coverings, houseware and textile goods retailing"/>
    <s v="2022-05-01"/>
    <x v="3"/>
    <s v="May      "/>
    <s v="5"/>
    <n v="554.6"/>
    <n v="13.62"/>
  </r>
  <r>
    <x v="1"/>
    <s v="Furniture, floor coverings, houseware and textile goods retailing"/>
    <s v="2022-06-01"/>
    <x v="3"/>
    <s v="June     "/>
    <s v="6"/>
    <n v="552.1"/>
    <n v="10.69"/>
  </r>
  <r>
    <x v="1"/>
    <s v="Furniture, floor coverings, houseware and textile goods retailing"/>
    <s v="2022-07-01"/>
    <x v="3"/>
    <s v="July     "/>
    <s v="7"/>
    <n v="532.6"/>
    <n v="30.57"/>
  </r>
  <r>
    <x v="1"/>
    <s v="Furniture, floor coverings, houseware and textile goods retailing"/>
    <s v="2022-08-01"/>
    <x v="3"/>
    <s v="August   "/>
    <s v="8"/>
    <n v="553.9"/>
    <n v="79.14"/>
  </r>
  <r>
    <x v="1"/>
    <s v="Furniture, floor coverings, houseware and textile goods retailing"/>
    <s v="2022-09-01"/>
    <x v="3"/>
    <s v="September"/>
    <s v="9"/>
    <n v="534.20000000000005"/>
    <n v="53.77"/>
  </r>
  <r>
    <x v="1"/>
    <s v="Furniture, floor coverings, houseware and textile goods retailing"/>
    <s v="2022-10-01"/>
    <x v="3"/>
    <s v="October  "/>
    <s v="10"/>
    <n v="559.20000000000005"/>
    <n v="8.4600000000000009"/>
  </r>
  <r>
    <x v="1"/>
    <s v="Furniture, floor coverings, houseware and textile goods retailing"/>
    <s v="2022-11-01"/>
    <x v="3"/>
    <s v="November "/>
    <s v="11"/>
    <n v="638.5"/>
    <n v="2.14"/>
  </r>
  <r>
    <x v="1"/>
    <s v="Furniture, floor coverings, houseware and textile goods retailing"/>
    <s v="2022-12-01"/>
    <x v="3"/>
    <s v="December "/>
    <s v="12"/>
    <n v="660.3"/>
    <n v="6.57"/>
  </r>
  <r>
    <x v="1"/>
    <s v="Furniture, floor coverings, houseware and textile goods retailing"/>
    <s v="2023-01-01"/>
    <x v="4"/>
    <s v="January  "/>
    <s v="1"/>
    <n v="525.5"/>
    <n v="4.97"/>
  </r>
  <r>
    <x v="1"/>
    <s v="Furniture, floor coverings, houseware and textile goods retailing"/>
    <s v="2023-02-01"/>
    <x v="4"/>
    <s v="February "/>
    <s v="2"/>
    <n v="465.5"/>
    <n v="-1.75"/>
  </r>
  <r>
    <x v="1"/>
    <s v="Furniture, floor coverings, houseware and textile goods retailing"/>
    <s v="2023-03-01"/>
    <x v="4"/>
    <s v="March    "/>
    <s v="3"/>
    <n v="504.1"/>
    <n v="-3.72"/>
  </r>
  <r>
    <x v="1"/>
    <s v="Furniture, floor coverings, houseware and textile goods retailing"/>
    <s v="2023-04-01"/>
    <x v="4"/>
    <s v="April    "/>
    <s v="4"/>
    <n v="466.9"/>
    <n v="-4.3600000000000003"/>
  </r>
  <r>
    <x v="1"/>
    <s v="Furniture, floor coverings, houseware and textile goods retailing"/>
    <s v="2023-05-01"/>
    <x v="4"/>
    <s v="May      "/>
    <s v="5"/>
    <n v="511.1"/>
    <n v="-7.84"/>
  </r>
  <r>
    <x v="1"/>
    <s v="Furniture, floor coverings, houseware and textile goods retailing"/>
    <s v="2023-06-01"/>
    <x v="4"/>
    <s v="June     "/>
    <s v="6"/>
    <n v="534.1"/>
    <n v="-3.26"/>
  </r>
  <r>
    <x v="1"/>
    <s v="Furniture, floor coverings, houseware and textile goods retailing"/>
    <s v="2023-07-01"/>
    <x v="4"/>
    <s v="July     "/>
    <s v="7"/>
    <n v="494.3"/>
    <n v="-7.19"/>
  </r>
  <r>
    <x v="1"/>
    <s v="Furniture, floor coverings, houseware and textile goods retailing"/>
    <s v="2023-08-01"/>
    <x v="4"/>
    <s v="August   "/>
    <s v="8"/>
    <n v="491.8"/>
    <n v="-11.21"/>
  </r>
  <r>
    <x v="1"/>
    <s v="Furniture, floor coverings, houseware and textile goods retailing"/>
    <s v="2023-09-01"/>
    <x v="4"/>
    <s v="September"/>
    <s v="9"/>
    <n v="482.6"/>
    <n v="-9.66"/>
  </r>
  <r>
    <x v="1"/>
    <s v="Furniture, floor coverings, houseware and textile goods retailing"/>
    <s v="2023-10-01"/>
    <x v="4"/>
    <s v="October  "/>
    <s v="10"/>
    <n v="519.79999999999995"/>
    <n v="-7.05"/>
  </r>
  <r>
    <x v="1"/>
    <s v="Furniture, floor coverings, houseware and textile goods retailing"/>
    <s v="2023-11-01"/>
    <x v="4"/>
    <s v="November "/>
    <s v="11"/>
    <n v="618.9"/>
    <n v="-3.07"/>
  </r>
  <r>
    <x v="1"/>
    <s v="Furniture, floor coverings, houseware and textile goods retailing"/>
    <s v="2023-12-01"/>
    <x v="4"/>
    <s v="December "/>
    <s v="12"/>
    <n v="627.6"/>
    <n v="-4.95"/>
  </r>
  <r>
    <x v="1"/>
    <s v="Furniture, floor coverings, houseware and textile goods retailing"/>
    <s v="2024-01-01"/>
    <x v="5"/>
    <s v="January  "/>
    <s v="1"/>
    <n v="500.5"/>
    <n v="-4.76"/>
  </r>
  <r>
    <x v="1"/>
    <s v="Furniture, floor coverings, houseware and textile goods retailing"/>
    <s v="2024-02-01"/>
    <x v="5"/>
    <s v="February "/>
    <s v="2"/>
    <n v="456.6"/>
    <n v="-1.91"/>
  </r>
  <r>
    <x v="1"/>
    <s v="Furniture, floor coverings, houseware and textile goods retailing"/>
    <s v="2024-03-01"/>
    <x v="5"/>
    <s v="March    "/>
    <s v="3"/>
    <n v="456.3"/>
    <n v="-9.48"/>
  </r>
  <r>
    <x v="1"/>
    <s v="Furniture, floor coverings, houseware and textile goods retailing"/>
    <s v="2024-04-01"/>
    <x v="5"/>
    <s v="April    "/>
    <s v="4"/>
    <n v="454.9"/>
    <n v="-2.57"/>
  </r>
  <r>
    <x v="1"/>
    <s v="Furniture, floor coverings, houseware and textile goods retailing"/>
    <s v="2024-05-01"/>
    <x v="5"/>
    <s v="May      "/>
    <s v="5"/>
    <n v="506.4"/>
    <n v="-0.92"/>
  </r>
  <r>
    <x v="1"/>
    <s v="Furniture, floor coverings, houseware and textile goods retailing"/>
    <s v="2024-06-01"/>
    <x v="5"/>
    <s v="June     "/>
    <s v="6"/>
    <n v="524.79999999999995"/>
    <n v="-1.74"/>
  </r>
  <r>
    <x v="1"/>
    <s v="Furniture, floor coverings, houseware and textile goods retailing"/>
    <s v="2024-07-01"/>
    <x v="5"/>
    <s v="July     "/>
    <s v="7"/>
    <n v="508.9"/>
    <n v="2.95"/>
  </r>
  <r>
    <x v="1"/>
    <s v="Furniture, floor coverings, houseware and textile goods retailing"/>
    <s v="2024-08-01"/>
    <x v="5"/>
    <s v="August   "/>
    <s v="8"/>
    <n v="492"/>
    <n v="0.04"/>
  </r>
  <r>
    <x v="1"/>
    <s v="Furniture, floor coverings, houseware and textile goods retailing"/>
    <s v="2024-09-01"/>
    <x v="5"/>
    <s v="September"/>
    <s v="9"/>
    <n v="481.4"/>
    <n v="-0.25"/>
  </r>
  <r>
    <x v="1"/>
    <s v="Furniture, floor coverings, houseware and textile goods retailing"/>
    <s v="2024-10-01"/>
    <x v="5"/>
    <s v="October  "/>
    <s v="10"/>
    <n v="528.6"/>
    <n v="1.69"/>
  </r>
  <r>
    <x v="1"/>
    <s v="Furniture, floor coverings, houseware and textile goods retailing"/>
    <s v="2024-11-01"/>
    <x v="5"/>
    <s v="November "/>
    <s v="11"/>
    <n v="603.70000000000005"/>
    <n v="-2.46"/>
  </r>
  <r>
    <x v="1"/>
    <s v="Furniture, floor coverings, houseware and textile goods retailing"/>
    <s v="2024-12-01"/>
    <x v="5"/>
    <s v="December "/>
    <s v="12"/>
    <n v="658.1"/>
    <n v="4.8600000000000003"/>
  </r>
  <r>
    <x v="1"/>
    <s v="Furniture, floor coverings, houseware and textile goods retailing"/>
    <s v="2025-01-01"/>
    <x v="6"/>
    <s v="January  "/>
    <s v="1"/>
    <n v="488.8"/>
    <n v="-2.34"/>
  </r>
  <r>
    <x v="1"/>
    <s v="Furniture, floor coverings, houseware and textile goods retailing"/>
    <s v="2025-02-01"/>
    <x v="6"/>
    <s v="February "/>
    <s v="2"/>
    <n v="430.4"/>
    <n v="-5.74"/>
  </r>
  <r>
    <x v="1"/>
    <s v="Furniture, floor coverings, houseware and textile goods retailing"/>
    <s v="2025-03-01"/>
    <x v="6"/>
    <s v="March    "/>
    <s v="3"/>
    <n v="465.8"/>
    <n v="2.08"/>
  </r>
  <r>
    <x v="1"/>
    <s v="Furniture, floor coverings, houseware and textile goods retailing"/>
    <s v="2025-04-01"/>
    <x v="6"/>
    <s v="April    "/>
    <s v="4"/>
    <n v="451.7"/>
    <n v="-0.7"/>
  </r>
  <r>
    <x v="1"/>
    <s v="Furniture, floor coverings, houseware and textile goods retailing"/>
    <s v="2025-05-01"/>
    <x v="6"/>
    <s v="May      "/>
    <s v="5"/>
    <n v="499.5"/>
    <n v="-1.36"/>
  </r>
  <r>
    <x v="1"/>
    <s v="Furniture, floor coverings, houseware and textile goods retailing"/>
    <s v="2025-06-01"/>
    <x v="6"/>
    <s v="June     "/>
    <s v="6"/>
    <n v="543.9"/>
    <n v="3.64"/>
  </r>
  <r>
    <x v="1"/>
    <s v="Hardware, building and garden supplies retailing"/>
    <s v="2019-01-01"/>
    <x v="0"/>
    <s v="January  "/>
    <s v="1"/>
    <n v="469.1"/>
    <m/>
  </r>
  <r>
    <x v="1"/>
    <s v="Hardware, building and garden supplies retailing"/>
    <s v="2019-02-01"/>
    <x v="0"/>
    <s v="February "/>
    <s v="2"/>
    <n v="440.8"/>
    <m/>
  </r>
  <r>
    <x v="1"/>
    <s v="Hardware, building and garden supplies retailing"/>
    <s v="2019-03-01"/>
    <x v="0"/>
    <s v="March    "/>
    <s v="3"/>
    <n v="462.8"/>
    <m/>
  </r>
  <r>
    <x v="1"/>
    <s v="Hardware, building and garden supplies retailing"/>
    <s v="2019-04-01"/>
    <x v="0"/>
    <s v="April    "/>
    <s v="4"/>
    <n v="445.6"/>
    <m/>
  </r>
  <r>
    <x v="1"/>
    <s v="Hardware, building and garden supplies retailing"/>
    <s v="2019-05-01"/>
    <x v="0"/>
    <s v="May      "/>
    <s v="5"/>
    <n v="457.2"/>
    <m/>
  </r>
  <r>
    <x v="1"/>
    <s v="Hardware, building and garden supplies retailing"/>
    <s v="2019-06-01"/>
    <x v="0"/>
    <s v="June     "/>
    <s v="6"/>
    <n v="435.4"/>
    <m/>
  </r>
  <r>
    <x v="1"/>
    <s v="Hardware, building and garden supplies retailing"/>
    <s v="2019-07-01"/>
    <x v="0"/>
    <s v="July     "/>
    <s v="7"/>
    <n v="457"/>
    <m/>
  </r>
  <r>
    <x v="1"/>
    <s v="Hardware, building and garden supplies retailing"/>
    <s v="2019-08-01"/>
    <x v="0"/>
    <s v="August   "/>
    <s v="8"/>
    <n v="479.2"/>
    <m/>
  </r>
  <r>
    <x v="1"/>
    <s v="Hardware, building and garden supplies retailing"/>
    <s v="2019-09-01"/>
    <x v="0"/>
    <s v="September"/>
    <s v="9"/>
    <n v="506.2"/>
    <m/>
  </r>
  <r>
    <x v="1"/>
    <s v="Hardware, building and garden supplies retailing"/>
    <s v="2019-10-01"/>
    <x v="0"/>
    <s v="October  "/>
    <s v="10"/>
    <n v="535.70000000000005"/>
    <m/>
  </r>
  <r>
    <x v="1"/>
    <s v="Hardware, building and garden supplies retailing"/>
    <s v="2019-11-01"/>
    <x v="0"/>
    <s v="November "/>
    <s v="11"/>
    <n v="535.1"/>
    <m/>
  </r>
  <r>
    <x v="1"/>
    <s v="Hardware, building and garden supplies retailing"/>
    <s v="2019-12-01"/>
    <x v="0"/>
    <s v="December "/>
    <s v="12"/>
    <n v="526.79999999999995"/>
    <m/>
  </r>
  <r>
    <x v="1"/>
    <s v="Hardware, building and garden supplies retailing"/>
    <s v="2020-01-01"/>
    <x v="1"/>
    <s v="January  "/>
    <s v="1"/>
    <n v="444.1"/>
    <n v="-5.33"/>
  </r>
  <r>
    <x v="1"/>
    <s v="Hardware, building and garden supplies retailing"/>
    <s v="2020-02-01"/>
    <x v="1"/>
    <s v="February "/>
    <s v="2"/>
    <n v="443.3"/>
    <n v="0.56999999999999995"/>
  </r>
  <r>
    <x v="1"/>
    <s v="Hardware, building and garden supplies retailing"/>
    <s v="2020-03-01"/>
    <x v="1"/>
    <s v="March    "/>
    <s v="3"/>
    <n v="520.29999999999995"/>
    <n v="12.42"/>
  </r>
  <r>
    <x v="1"/>
    <s v="Hardware, building and garden supplies retailing"/>
    <s v="2020-04-01"/>
    <x v="1"/>
    <s v="April    "/>
    <s v="4"/>
    <n v="571.9"/>
    <n v="28.34"/>
  </r>
  <r>
    <x v="1"/>
    <s v="Hardware, building and garden supplies retailing"/>
    <s v="2020-05-01"/>
    <x v="1"/>
    <s v="May      "/>
    <s v="5"/>
    <n v="624.4"/>
    <n v="36.57"/>
  </r>
  <r>
    <x v="1"/>
    <s v="Hardware, building and garden supplies retailing"/>
    <s v="2020-06-01"/>
    <x v="1"/>
    <s v="June     "/>
    <s v="6"/>
    <n v="565.4"/>
    <n v="29.86"/>
  </r>
  <r>
    <x v="1"/>
    <s v="Hardware, building and garden supplies retailing"/>
    <s v="2020-07-01"/>
    <x v="1"/>
    <s v="July     "/>
    <s v="7"/>
    <n v="567.1"/>
    <n v="24.09"/>
  </r>
  <r>
    <x v="1"/>
    <s v="Hardware, building and garden supplies retailing"/>
    <s v="2020-08-01"/>
    <x v="1"/>
    <s v="August   "/>
    <s v="8"/>
    <n v="599.4"/>
    <n v="25.08"/>
  </r>
  <r>
    <x v="1"/>
    <s v="Hardware, building and garden supplies retailing"/>
    <s v="2020-09-01"/>
    <x v="1"/>
    <s v="September"/>
    <s v="9"/>
    <n v="655.6"/>
    <n v="29.51"/>
  </r>
  <r>
    <x v="1"/>
    <s v="Hardware, building and garden supplies retailing"/>
    <s v="2020-10-01"/>
    <x v="1"/>
    <s v="October  "/>
    <s v="10"/>
    <n v="676"/>
    <n v="26.19"/>
  </r>
  <r>
    <x v="1"/>
    <s v="Hardware, building and garden supplies retailing"/>
    <s v="2020-11-01"/>
    <x v="1"/>
    <s v="November "/>
    <s v="11"/>
    <n v="631"/>
    <n v="17.920000000000002"/>
  </r>
  <r>
    <x v="1"/>
    <s v="Hardware, building and garden supplies retailing"/>
    <s v="2020-12-01"/>
    <x v="1"/>
    <s v="December "/>
    <s v="12"/>
    <n v="636.70000000000005"/>
    <n v="20.86"/>
  </r>
  <r>
    <x v="1"/>
    <s v="Hardware, building and garden supplies retailing"/>
    <s v="2021-01-01"/>
    <x v="2"/>
    <s v="January  "/>
    <s v="1"/>
    <n v="568.29999999999995"/>
    <n v="27.97"/>
  </r>
  <r>
    <x v="1"/>
    <s v="Hardware, building and garden supplies retailing"/>
    <s v="2021-02-01"/>
    <x v="2"/>
    <s v="February "/>
    <s v="2"/>
    <n v="532.6"/>
    <n v="20.14"/>
  </r>
  <r>
    <x v="1"/>
    <s v="Hardware, building and garden supplies retailing"/>
    <s v="2021-03-01"/>
    <x v="2"/>
    <s v="March    "/>
    <s v="3"/>
    <n v="583.1"/>
    <n v="12.07"/>
  </r>
  <r>
    <x v="1"/>
    <s v="Hardware, building and garden supplies retailing"/>
    <s v="2021-04-01"/>
    <x v="2"/>
    <s v="April    "/>
    <s v="4"/>
    <n v="564.4"/>
    <n v="-1.31"/>
  </r>
  <r>
    <x v="1"/>
    <s v="Hardware, building and garden supplies retailing"/>
    <s v="2021-05-01"/>
    <x v="2"/>
    <s v="May      "/>
    <s v="5"/>
    <n v="576.6"/>
    <n v="-7.66"/>
  </r>
  <r>
    <x v="1"/>
    <s v="Hardware, building and garden supplies retailing"/>
    <s v="2021-06-01"/>
    <x v="2"/>
    <s v="June     "/>
    <s v="6"/>
    <n v="550.79999999999995"/>
    <n v="-2.58"/>
  </r>
  <r>
    <x v="1"/>
    <s v="Hardware, building and garden supplies retailing"/>
    <s v="2021-07-01"/>
    <x v="2"/>
    <s v="July     "/>
    <s v="7"/>
    <n v="546.4"/>
    <n v="-3.65"/>
  </r>
  <r>
    <x v="1"/>
    <s v="Hardware, building and garden supplies retailing"/>
    <s v="2021-08-01"/>
    <x v="2"/>
    <s v="August   "/>
    <s v="8"/>
    <n v="593.29999999999995"/>
    <n v="-1.02"/>
  </r>
  <r>
    <x v="1"/>
    <s v="Hardware, building and garden supplies retailing"/>
    <s v="2021-09-01"/>
    <x v="2"/>
    <s v="September"/>
    <s v="9"/>
    <n v="686.4"/>
    <n v="4.7"/>
  </r>
  <r>
    <x v="1"/>
    <s v="Hardware, building and garden supplies retailing"/>
    <s v="2021-10-01"/>
    <x v="2"/>
    <s v="October  "/>
    <s v="10"/>
    <n v="767.2"/>
    <n v="13.49"/>
  </r>
  <r>
    <x v="1"/>
    <s v="Hardware, building and garden supplies retailing"/>
    <s v="2021-11-01"/>
    <x v="2"/>
    <s v="November "/>
    <s v="11"/>
    <n v="677.5"/>
    <n v="7.37"/>
  </r>
  <r>
    <x v="1"/>
    <s v="Hardware, building and garden supplies retailing"/>
    <s v="2021-12-01"/>
    <x v="2"/>
    <s v="December "/>
    <s v="12"/>
    <n v="718"/>
    <n v="12.77"/>
  </r>
  <r>
    <x v="1"/>
    <s v="Hardware, building and garden supplies retailing"/>
    <s v="2022-01-01"/>
    <x v="3"/>
    <s v="January  "/>
    <s v="1"/>
    <n v="591"/>
    <n v="3.99"/>
  </r>
  <r>
    <x v="1"/>
    <s v="Hardware, building and garden supplies retailing"/>
    <s v="2022-02-01"/>
    <x v="3"/>
    <s v="February "/>
    <s v="2"/>
    <n v="562.9"/>
    <n v="5.69"/>
  </r>
  <r>
    <x v="1"/>
    <s v="Hardware, building and garden supplies retailing"/>
    <s v="2022-03-01"/>
    <x v="3"/>
    <s v="March    "/>
    <s v="3"/>
    <n v="620.5"/>
    <n v="6.41"/>
  </r>
  <r>
    <x v="1"/>
    <s v="Hardware, building and garden supplies retailing"/>
    <s v="2022-04-01"/>
    <x v="3"/>
    <s v="April    "/>
    <s v="4"/>
    <n v="596.79999999999995"/>
    <n v="5.74"/>
  </r>
  <r>
    <x v="1"/>
    <s v="Hardware, building and garden supplies retailing"/>
    <s v="2022-05-01"/>
    <x v="3"/>
    <s v="May      "/>
    <s v="5"/>
    <n v="640.70000000000005"/>
    <n v="11.12"/>
  </r>
  <r>
    <x v="1"/>
    <s v="Hardware, building and garden supplies retailing"/>
    <s v="2022-06-01"/>
    <x v="3"/>
    <s v="June     "/>
    <s v="6"/>
    <n v="625.6"/>
    <n v="13.58"/>
  </r>
  <r>
    <x v="1"/>
    <s v="Hardware, building and garden supplies retailing"/>
    <s v="2022-07-01"/>
    <x v="3"/>
    <s v="July     "/>
    <s v="7"/>
    <n v="598.79999999999995"/>
    <n v="9.59"/>
  </r>
  <r>
    <x v="1"/>
    <s v="Hardware, building and garden supplies retailing"/>
    <s v="2022-08-01"/>
    <x v="3"/>
    <s v="August   "/>
    <s v="8"/>
    <n v="659.8"/>
    <n v="11.21"/>
  </r>
  <r>
    <x v="1"/>
    <s v="Hardware, building and garden supplies retailing"/>
    <s v="2022-09-01"/>
    <x v="3"/>
    <s v="September"/>
    <s v="9"/>
    <n v="676.2"/>
    <n v="-1.49"/>
  </r>
  <r>
    <x v="1"/>
    <s v="Hardware, building and garden supplies retailing"/>
    <s v="2022-10-01"/>
    <x v="3"/>
    <s v="October  "/>
    <s v="10"/>
    <n v="705.2"/>
    <n v="-8.08"/>
  </r>
  <r>
    <x v="1"/>
    <s v="Hardware, building and garden supplies retailing"/>
    <s v="2022-11-01"/>
    <x v="3"/>
    <s v="November "/>
    <s v="11"/>
    <n v="754.6"/>
    <n v="11.38"/>
  </r>
  <r>
    <x v="1"/>
    <s v="Hardware, building and garden supplies retailing"/>
    <s v="2022-12-01"/>
    <x v="3"/>
    <s v="December "/>
    <s v="12"/>
    <n v="738.4"/>
    <n v="2.84"/>
  </r>
  <r>
    <x v="1"/>
    <s v="Hardware, building and garden supplies retailing"/>
    <s v="2023-01-01"/>
    <x v="4"/>
    <s v="January  "/>
    <s v="1"/>
    <n v="606.6"/>
    <n v="2.64"/>
  </r>
  <r>
    <x v="1"/>
    <s v="Hardware, building and garden supplies retailing"/>
    <s v="2023-02-01"/>
    <x v="4"/>
    <s v="February "/>
    <s v="2"/>
    <n v="565"/>
    <n v="0.37"/>
  </r>
  <r>
    <x v="1"/>
    <s v="Hardware, building and garden supplies retailing"/>
    <s v="2023-03-01"/>
    <x v="4"/>
    <s v="March    "/>
    <s v="3"/>
    <n v="619.6"/>
    <n v="-0.15"/>
  </r>
  <r>
    <x v="1"/>
    <s v="Hardware, building and garden supplies retailing"/>
    <s v="2023-04-01"/>
    <x v="4"/>
    <s v="April    "/>
    <s v="4"/>
    <n v="565.5"/>
    <n v="-5.24"/>
  </r>
  <r>
    <x v="1"/>
    <s v="Hardware, building and garden supplies retailing"/>
    <s v="2023-05-01"/>
    <x v="4"/>
    <s v="May      "/>
    <s v="5"/>
    <n v="595.70000000000005"/>
    <n v="-7.02"/>
  </r>
  <r>
    <x v="1"/>
    <s v="Hardware, building and garden supplies retailing"/>
    <s v="2023-06-01"/>
    <x v="4"/>
    <s v="June     "/>
    <s v="6"/>
    <n v="576.70000000000005"/>
    <n v="-7.82"/>
  </r>
  <r>
    <x v="1"/>
    <s v="Hardware, building and garden supplies retailing"/>
    <s v="2023-07-01"/>
    <x v="4"/>
    <s v="July     "/>
    <s v="7"/>
    <n v="595.1"/>
    <n v="-0.62"/>
  </r>
  <r>
    <x v="1"/>
    <s v="Hardware, building and garden supplies retailing"/>
    <s v="2023-08-01"/>
    <x v="4"/>
    <s v="August   "/>
    <s v="8"/>
    <n v="640.79999999999995"/>
    <n v="-2.88"/>
  </r>
  <r>
    <x v="1"/>
    <s v="Hardware, building and garden supplies retailing"/>
    <s v="2023-09-01"/>
    <x v="4"/>
    <s v="September"/>
    <s v="9"/>
    <n v="690.4"/>
    <n v="2.1"/>
  </r>
  <r>
    <x v="1"/>
    <s v="Hardware, building and garden supplies retailing"/>
    <s v="2023-10-01"/>
    <x v="4"/>
    <s v="October  "/>
    <s v="10"/>
    <n v="701.3"/>
    <n v="-0.55000000000000004"/>
  </r>
  <r>
    <x v="1"/>
    <s v="Hardware, building and garden supplies retailing"/>
    <s v="2023-11-01"/>
    <x v="4"/>
    <s v="November "/>
    <s v="11"/>
    <n v="687.9"/>
    <n v="-8.84"/>
  </r>
  <r>
    <x v="1"/>
    <s v="Hardware, building and garden supplies retailing"/>
    <s v="2023-12-01"/>
    <x v="4"/>
    <s v="December "/>
    <s v="12"/>
    <n v="702.2"/>
    <n v="-4.9000000000000004"/>
  </r>
  <r>
    <x v="1"/>
    <s v="Hardware, building and garden supplies retailing"/>
    <s v="2024-01-01"/>
    <x v="5"/>
    <s v="January  "/>
    <s v="1"/>
    <n v="602.20000000000005"/>
    <n v="-0.73"/>
  </r>
  <r>
    <x v="1"/>
    <s v="Hardware, building and garden supplies retailing"/>
    <s v="2024-02-01"/>
    <x v="5"/>
    <s v="February "/>
    <s v="2"/>
    <n v="570.9"/>
    <n v="1.04"/>
  </r>
  <r>
    <x v="1"/>
    <s v="Hardware, building and garden supplies retailing"/>
    <s v="2024-03-01"/>
    <x v="5"/>
    <s v="March    "/>
    <s v="3"/>
    <n v="597.79999999999995"/>
    <n v="-3.52"/>
  </r>
  <r>
    <x v="1"/>
    <s v="Hardware, building and garden supplies retailing"/>
    <s v="2024-04-01"/>
    <x v="5"/>
    <s v="April    "/>
    <s v="4"/>
    <n v="586.6"/>
    <n v="3.73"/>
  </r>
  <r>
    <x v="1"/>
    <s v="Hardware, building and garden supplies retailing"/>
    <s v="2024-05-01"/>
    <x v="5"/>
    <s v="May      "/>
    <s v="5"/>
    <n v="578.20000000000005"/>
    <n v="-2.94"/>
  </r>
  <r>
    <x v="1"/>
    <s v="Hardware, building and garden supplies retailing"/>
    <s v="2024-06-01"/>
    <x v="5"/>
    <s v="June     "/>
    <s v="6"/>
    <n v="551.79999999999995"/>
    <n v="-4.32"/>
  </r>
  <r>
    <x v="1"/>
    <s v="Hardware, building and garden supplies retailing"/>
    <s v="2024-07-01"/>
    <x v="5"/>
    <s v="July     "/>
    <s v="7"/>
    <n v="571.5"/>
    <n v="-3.97"/>
  </r>
  <r>
    <x v="1"/>
    <s v="Hardware, building and garden supplies retailing"/>
    <s v="2024-08-01"/>
    <x v="5"/>
    <s v="August   "/>
    <s v="8"/>
    <n v="631.20000000000005"/>
    <n v="-1.5"/>
  </r>
  <r>
    <x v="1"/>
    <s v="Hardware, building and garden supplies retailing"/>
    <s v="2024-09-01"/>
    <x v="5"/>
    <s v="September"/>
    <s v="9"/>
    <n v="669.9"/>
    <n v="-2.97"/>
  </r>
  <r>
    <x v="1"/>
    <s v="Hardware, building and garden supplies retailing"/>
    <s v="2024-10-01"/>
    <x v="5"/>
    <s v="October  "/>
    <s v="10"/>
    <n v="703.1"/>
    <n v="0.26"/>
  </r>
  <r>
    <x v="1"/>
    <s v="Hardware, building and garden supplies retailing"/>
    <s v="2024-11-01"/>
    <x v="5"/>
    <s v="November "/>
    <s v="11"/>
    <n v="701.8"/>
    <n v="2.02"/>
  </r>
  <r>
    <x v="1"/>
    <s v="Hardware, building and garden supplies retailing"/>
    <s v="2024-12-01"/>
    <x v="5"/>
    <s v="December "/>
    <s v="12"/>
    <n v="728.4"/>
    <n v="3.73"/>
  </r>
  <r>
    <x v="1"/>
    <s v="Hardware, building and garden supplies retailing"/>
    <s v="2025-01-01"/>
    <x v="6"/>
    <s v="January  "/>
    <s v="1"/>
    <n v="609"/>
    <n v="1.1299999999999999"/>
  </r>
  <r>
    <x v="1"/>
    <s v="Hardware, building and garden supplies retailing"/>
    <s v="2025-02-01"/>
    <x v="6"/>
    <s v="February "/>
    <s v="2"/>
    <n v="568.4"/>
    <n v="-0.44"/>
  </r>
  <r>
    <x v="1"/>
    <s v="Hardware, building and garden supplies retailing"/>
    <s v="2025-03-01"/>
    <x v="6"/>
    <s v="March    "/>
    <s v="3"/>
    <n v="595.5"/>
    <n v="-0.38"/>
  </r>
  <r>
    <x v="1"/>
    <s v="Hardware, building and garden supplies retailing"/>
    <s v="2025-04-01"/>
    <x v="6"/>
    <s v="April    "/>
    <s v="4"/>
    <n v="583.4"/>
    <n v="-0.55000000000000004"/>
  </r>
  <r>
    <x v="1"/>
    <s v="Hardware, building and garden supplies retailing"/>
    <s v="2025-05-01"/>
    <x v="6"/>
    <s v="May      "/>
    <s v="5"/>
    <n v="594.4"/>
    <n v="2.8"/>
  </r>
  <r>
    <x v="1"/>
    <s v="Hardware, building and garden supplies retailing"/>
    <s v="2025-06-01"/>
    <x v="6"/>
    <s v="June     "/>
    <s v="6"/>
    <n v="592.9"/>
    <n v="7.45"/>
  </r>
  <r>
    <x v="1"/>
    <s v="Liquor retailing"/>
    <s v="2019-01-01"/>
    <x v="0"/>
    <s v="January  "/>
    <s v="1"/>
    <n v="303.10000000000002"/>
    <m/>
  </r>
  <r>
    <x v="1"/>
    <s v="Liquor retailing"/>
    <s v="2019-02-01"/>
    <x v="0"/>
    <s v="February "/>
    <s v="2"/>
    <n v="266"/>
    <m/>
  </r>
  <r>
    <x v="1"/>
    <s v="Liquor retailing"/>
    <s v="2019-03-01"/>
    <x v="0"/>
    <s v="March    "/>
    <s v="3"/>
    <n v="297.39999999999998"/>
    <m/>
  </r>
  <r>
    <x v="1"/>
    <s v="Liquor retailing"/>
    <s v="2019-04-01"/>
    <x v="0"/>
    <s v="April    "/>
    <s v="4"/>
    <n v="296"/>
    <m/>
  </r>
  <r>
    <x v="1"/>
    <s v="Liquor retailing"/>
    <s v="2019-05-01"/>
    <x v="0"/>
    <s v="May      "/>
    <s v="5"/>
    <n v="276.8"/>
    <m/>
  </r>
  <r>
    <x v="1"/>
    <s v="Liquor retailing"/>
    <s v="2019-06-01"/>
    <x v="0"/>
    <s v="June     "/>
    <s v="6"/>
    <n v="267.5"/>
    <m/>
  </r>
  <r>
    <x v="1"/>
    <s v="Liquor retailing"/>
    <s v="2019-07-01"/>
    <x v="0"/>
    <s v="July     "/>
    <s v="7"/>
    <n v="276.10000000000002"/>
    <m/>
  </r>
  <r>
    <x v="1"/>
    <s v="Liquor retailing"/>
    <s v="2019-08-01"/>
    <x v="0"/>
    <s v="August   "/>
    <s v="8"/>
    <n v="298.8"/>
    <m/>
  </r>
  <r>
    <x v="1"/>
    <s v="Liquor retailing"/>
    <s v="2019-09-01"/>
    <x v="0"/>
    <s v="September"/>
    <s v="9"/>
    <n v="289.7"/>
    <m/>
  </r>
  <r>
    <x v="1"/>
    <s v="Liquor retailing"/>
    <s v="2019-10-01"/>
    <x v="0"/>
    <s v="October  "/>
    <s v="10"/>
    <n v="318"/>
    <m/>
  </r>
  <r>
    <x v="1"/>
    <s v="Liquor retailing"/>
    <s v="2019-11-01"/>
    <x v="0"/>
    <s v="November "/>
    <s v="11"/>
    <n v="345.1"/>
    <m/>
  </r>
  <r>
    <x v="1"/>
    <s v="Liquor retailing"/>
    <s v="2019-12-01"/>
    <x v="0"/>
    <s v="December "/>
    <s v="12"/>
    <n v="489.4"/>
    <m/>
  </r>
  <r>
    <x v="1"/>
    <s v="Liquor retailing"/>
    <s v="2020-01-01"/>
    <x v="1"/>
    <s v="January  "/>
    <s v="1"/>
    <n v="312.3"/>
    <n v="3.04"/>
  </r>
  <r>
    <x v="1"/>
    <s v="Liquor retailing"/>
    <s v="2020-02-01"/>
    <x v="1"/>
    <s v="February "/>
    <s v="2"/>
    <n v="288.2"/>
    <n v="8.35"/>
  </r>
  <r>
    <x v="1"/>
    <s v="Liquor retailing"/>
    <s v="2020-03-01"/>
    <x v="1"/>
    <s v="March    "/>
    <s v="3"/>
    <n v="423.8"/>
    <n v="42.5"/>
  </r>
  <r>
    <x v="1"/>
    <s v="Liquor retailing"/>
    <s v="2020-04-01"/>
    <x v="1"/>
    <s v="April    "/>
    <s v="4"/>
    <n v="387.3"/>
    <n v="30.84"/>
  </r>
  <r>
    <x v="1"/>
    <s v="Liquor retailing"/>
    <s v="2020-05-01"/>
    <x v="1"/>
    <s v="May      "/>
    <s v="5"/>
    <n v="456"/>
    <n v="64.739999999999995"/>
  </r>
  <r>
    <x v="1"/>
    <s v="Liquor retailing"/>
    <s v="2020-06-01"/>
    <x v="1"/>
    <s v="June     "/>
    <s v="6"/>
    <n v="408.4"/>
    <n v="52.67"/>
  </r>
  <r>
    <x v="1"/>
    <s v="Liquor retailing"/>
    <s v="2020-07-01"/>
    <x v="1"/>
    <s v="July     "/>
    <s v="7"/>
    <n v="417.9"/>
    <n v="51.36"/>
  </r>
  <r>
    <x v="1"/>
    <s v="Liquor retailing"/>
    <s v="2020-08-01"/>
    <x v="1"/>
    <s v="August   "/>
    <s v="8"/>
    <n v="413.4"/>
    <n v="38.35"/>
  </r>
  <r>
    <x v="1"/>
    <s v="Liquor retailing"/>
    <s v="2020-09-01"/>
    <x v="1"/>
    <s v="September"/>
    <s v="9"/>
    <n v="421"/>
    <n v="45.32"/>
  </r>
  <r>
    <x v="1"/>
    <s v="Liquor retailing"/>
    <s v="2020-10-01"/>
    <x v="1"/>
    <s v="October  "/>
    <s v="10"/>
    <n v="458.6"/>
    <n v="44.21"/>
  </r>
  <r>
    <x v="1"/>
    <s v="Liquor retailing"/>
    <s v="2020-11-01"/>
    <x v="1"/>
    <s v="November "/>
    <s v="11"/>
    <n v="449"/>
    <n v="30.11"/>
  </r>
  <r>
    <x v="1"/>
    <s v="Liquor retailing"/>
    <s v="2020-12-01"/>
    <x v="1"/>
    <s v="December "/>
    <s v="12"/>
    <n v="676.8"/>
    <n v="38.29"/>
  </r>
  <r>
    <x v="1"/>
    <s v="Liquor retailing"/>
    <s v="2021-01-01"/>
    <x v="2"/>
    <s v="January  "/>
    <s v="1"/>
    <n v="416.5"/>
    <n v="33.369999999999997"/>
  </r>
  <r>
    <x v="1"/>
    <s v="Liquor retailing"/>
    <s v="2021-02-01"/>
    <x v="2"/>
    <s v="February "/>
    <s v="2"/>
    <n v="355.4"/>
    <n v="23.32"/>
  </r>
  <r>
    <x v="1"/>
    <s v="Liquor retailing"/>
    <s v="2021-03-01"/>
    <x v="2"/>
    <s v="March    "/>
    <s v="3"/>
    <n v="400.9"/>
    <n v="-5.4"/>
  </r>
  <r>
    <x v="1"/>
    <s v="Liquor retailing"/>
    <s v="2021-04-01"/>
    <x v="2"/>
    <s v="April    "/>
    <s v="4"/>
    <n v="397.9"/>
    <n v="2.74"/>
  </r>
  <r>
    <x v="1"/>
    <s v="Liquor retailing"/>
    <s v="2021-05-01"/>
    <x v="2"/>
    <s v="May      "/>
    <s v="5"/>
    <n v="377.4"/>
    <n v="-17.239999999999998"/>
  </r>
  <r>
    <x v="1"/>
    <s v="Liquor retailing"/>
    <s v="2021-06-01"/>
    <x v="2"/>
    <s v="June     "/>
    <s v="6"/>
    <n v="376.6"/>
    <n v="-7.79"/>
  </r>
  <r>
    <x v="1"/>
    <s v="Liquor retailing"/>
    <s v="2021-07-01"/>
    <x v="2"/>
    <s v="July     "/>
    <s v="7"/>
    <n v="429.5"/>
    <n v="2.78"/>
  </r>
  <r>
    <x v="1"/>
    <s v="Liquor retailing"/>
    <s v="2021-08-01"/>
    <x v="2"/>
    <s v="August   "/>
    <s v="8"/>
    <n v="452.6"/>
    <n v="9.48"/>
  </r>
  <r>
    <x v="1"/>
    <s v="Liquor retailing"/>
    <s v="2021-09-01"/>
    <x v="2"/>
    <s v="September"/>
    <s v="9"/>
    <n v="469.8"/>
    <n v="11.59"/>
  </r>
  <r>
    <x v="1"/>
    <s v="Liquor retailing"/>
    <s v="2021-10-01"/>
    <x v="2"/>
    <s v="October  "/>
    <s v="10"/>
    <n v="481"/>
    <n v="4.88"/>
  </r>
  <r>
    <x v="1"/>
    <s v="Liquor retailing"/>
    <s v="2021-11-01"/>
    <x v="2"/>
    <s v="November "/>
    <s v="11"/>
    <n v="447.1"/>
    <n v="-0.42"/>
  </r>
  <r>
    <x v="1"/>
    <s v="Liquor retailing"/>
    <s v="2021-12-01"/>
    <x v="2"/>
    <s v="December "/>
    <s v="12"/>
    <n v="719.5"/>
    <n v="6.31"/>
  </r>
  <r>
    <x v="1"/>
    <s v="Liquor retailing"/>
    <s v="2022-01-01"/>
    <x v="3"/>
    <s v="January  "/>
    <s v="1"/>
    <n v="415.8"/>
    <n v="-0.17"/>
  </r>
  <r>
    <x v="1"/>
    <s v="Liquor retailing"/>
    <s v="2022-02-01"/>
    <x v="3"/>
    <s v="February "/>
    <s v="2"/>
    <n v="380.9"/>
    <n v="7.18"/>
  </r>
  <r>
    <x v="1"/>
    <s v="Liquor retailing"/>
    <s v="2022-03-01"/>
    <x v="3"/>
    <s v="March    "/>
    <s v="3"/>
    <n v="410"/>
    <n v="2.27"/>
  </r>
  <r>
    <x v="1"/>
    <s v="Liquor retailing"/>
    <s v="2022-04-01"/>
    <x v="3"/>
    <s v="April    "/>
    <s v="4"/>
    <n v="436.1"/>
    <n v="9.6"/>
  </r>
  <r>
    <x v="1"/>
    <s v="Liquor retailing"/>
    <s v="2022-05-01"/>
    <x v="3"/>
    <s v="May      "/>
    <s v="5"/>
    <n v="397.4"/>
    <n v="5.3"/>
  </r>
  <r>
    <x v="1"/>
    <s v="Liquor retailing"/>
    <s v="2022-06-01"/>
    <x v="3"/>
    <s v="June     "/>
    <s v="6"/>
    <n v="391.9"/>
    <n v="4.0599999999999996"/>
  </r>
  <r>
    <x v="1"/>
    <s v="Liquor retailing"/>
    <s v="2022-07-01"/>
    <x v="3"/>
    <s v="July     "/>
    <s v="7"/>
    <n v="408.9"/>
    <n v="-4.8"/>
  </r>
  <r>
    <x v="1"/>
    <s v="Liquor retailing"/>
    <s v="2022-08-01"/>
    <x v="3"/>
    <s v="August   "/>
    <s v="8"/>
    <n v="413.2"/>
    <n v="-8.7100000000000009"/>
  </r>
  <r>
    <x v="1"/>
    <s v="Liquor retailing"/>
    <s v="2022-09-01"/>
    <x v="3"/>
    <s v="September"/>
    <s v="9"/>
    <n v="447.3"/>
    <n v="-4.79"/>
  </r>
  <r>
    <x v="1"/>
    <s v="Liquor retailing"/>
    <s v="2022-10-01"/>
    <x v="3"/>
    <s v="October  "/>
    <s v="10"/>
    <n v="450.4"/>
    <n v="-6.36"/>
  </r>
  <r>
    <x v="1"/>
    <s v="Liquor retailing"/>
    <s v="2022-11-01"/>
    <x v="3"/>
    <s v="November "/>
    <s v="11"/>
    <n v="472.6"/>
    <n v="5.7"/>
  </r>
  <r>
    <x v="1"/>
    <s v="Liquor retailing"/>
    <s v="2022-12-01"/>
    <x v="3"/>
    <s v="December "/>
    <s v="12"/>
    <n v="749.8"/>
    <n v="4.21"/>
  </r>
  <r>
    <x v="1"/>
    <s v="Liquor retailing"/>
    <s v="2023-01-01"/>
    <x v="4"/>
    <s v="January  "/>
    <s v="1"/>
    <n v="435"/>
    <n v="4.62"/>
  </r>
  <r>
    <x v="1"/>
    <s v="Liquor retailing"/>
    <s v="2023-02-01"/>
    <x v="4"/>
    <s v="February "/>
    <s v="2"/>
    <n v="399.7"/>
    <n v="4.9400000000000004"/>
  </r>
  <r>
    <x v="1"/>
    <s v="Liquor retailing"/>
    <s v="2023-03-01"/>
    <x v="4"/>
    <s v="March    "/>
    <s v="3"/>
    <n v="449"/>
    <n v="9.51"/>
  </r>
  <r>
    <x v="1"/>
    <s v="Liquor retailing"/>
    <s v="2023-04-01"/>
    <x v="4"/>
    <s v="April    "/>
    <s v="4"/>
    <n v="435.7"/>
    <n v="-0.09"/>
  </r>
  <r>
    <x v="1"/>
    <s v="Liquor retailing"/>
    <s v="2023-05-01"/>
    <x v="4"/>
    <s v="May      "/>
    <s v="5"/>
    <n v="408.2"/>
    <n v="2.72"/>
  </r>
  <r>
    <x v="1"/>
    <s v="Liquor retailing"/>
    <s v="2023-06-01"/>
    <x v="4"/>
    <s v="June     "/>
    <s v="6"/>
    <n v="409.6"/>
    <n v="4.5199999999999996"/>
  </r>
  <r>
    <x v="1"/>
    <s v="Liquor retailing"/>
    <s v="2023-07-01"/>
    <x v="4"/>
    <s v="July     "/>
    <s v="7"/>
    <n v="404.7"/>
    <n v="-1.03"/>
  </r>
  <r>
    <x v="1"/>
    <s v="Liquor retailing"/>
    <s v="2023-08-01"/>
    <x v="4"/>
    <s v="August   "/>
    <s v="8"/>
    <n v="420.7"/>
    <n v="1.82"/>
  </r>
  <r>
    <x v="1"/>
    <s v="Liquor retailing"/>
    <s v="2023-09-01"/>
    <x v="4"/>
    <s v="September"/>
    <s v="9"/>
    <n v="455.7"/>
    <n v="1.88"/>
  </r>
  <r>
    <x v="1"/>
    <s v="Liquor retailing"/>
    <s v="2023-10-01"/>
    <x v="4"/>
    <s v="October  "/>
    <s v="10"/>
    <n v="447.7"/>
    <n v="-0.6"/>
  </r>
  <r>
    <x v="1"/>
    <s v="Liquor retailing"/>
    <s v="2023-11-01"/>
    <x v="4"/>
    <s v="November "/>
    <s v="11"/>
    <n v="474.5"/>
    <n v="0.4"/>
  </r>
  <r>
    <x v="1"/>
    <s v="Liquor retailing"/>
    <s v="2023-12-01"/>
    <x v="4"/>
    <s v="December "/>
    <s v="12"/>
    <n v="725.6"/>
    <n v="-3.23"/>
  </r>
  <r>
    <x v="1"/>
    <s v="Liquor retailing"/>
    <s v="2024-01-01"/>
    <x v="5"/>
    <s v="January  "/>
    <s v="1"/>
    <n v="425.5"/>
    <n v="-2.1800000000000002"/>
  </r>
  <r>
    <x v="1"/>
    <s v="Liquor retailing"/>
    <s v="2024-02-01"/>
    <x v="5"/>
    <s v="February "/>
    <s v="2"/>
    <n v="394.5"/>
    <n v="-1.3"/>
  </r>
  <r>
    <x v="1"/>
    <s v="Liquor retailing"/>
    <s v="2024-03-01"/>
    <x v="5"/>
    <s v="March    "/>
    <s v="3"/>
    <n v="459.6"/>
    <n v="2.36"/>
  </r>
  <r>
    <x v="1"/>
    <s v="Liquor retailing"/>
    <s v="2024-04-01"/>
    <x v="5"/>
    <s v="April    "/>
    <s v="4"/>
    <n v="400"/>
    <n v="-8.19"/>
  </r>
  <r>
    <x v="1"/>
    <s v="Liquor retailing"/>
    <s v="2024-05-01"/>
    <x v="5"/>
    <s v="May      "/>
    <s v="5"/>
    <n v="410.6"/>
    <n v="0.59"/>
  </r>
  <r>
    <x v="1"/>
    <s v="Liquor retailing"/>
    <s v="2024-06-01"/>
    <x v="5"/>
    <s v="June     "/>
    <s v="6"/>
    <n v="401.3"/>
    <n v="-2.0299999999999998"/>
  </r>
  <r>
    <x v="1"/>
    <s v="Liquor retailing"/>
    <s v="2024-07-01"/>
    <x v="5"/>
    <s v="July     "/>
    <s v="7"/>
    <n v="391.5"/>
    <n v="-3.26"/>
  </r>
  <r>
    <x v="1"/>
    <s v="Liquor retailing"/>
    <s v="2024-08-01"/>
    <x v="5"/>
    <s v="August   "/>
    <s v="8"/>
    <n v="441.4"/>
    <n v="4.92"/>
  </r>
  <r>
    <x v="1"/>
    <s v="Liquor retailing"/>
    <s v="2024-09-01"/>
    <x v="5"/>
    <s v="September"/>
    <s v="9"/>
    <n v="409.5"/>
    <n v="-10.14"/>
  </r>
  <r>
    <x v="1"/>
    <s v="Liquor retailing"/>
    <s v="2024-10-01"/>
    <x v="5"/>
    <s v="October  "/>
    <s v="10"/>
    <n v="448.3"/>
    <n v="0.13"/>
  </r>
  <r>
    <x v="1"/>
    <s v="Liquor retailing"/>
    <s v="2024-11-01"/>
    <x v="5"/>
    <s v="November "/>
    <s v="11"/>
    <n v="492.6"/>
    <n v="3.81"/>
  </r>
  <r>
    <x v="1"/>
    <s v="Liquor retailing"/>
    <s v="2024-12-01"/>
    <x v="5"/>
    <s v="December "/>
    <s v="12"/>
    <n v="724.6"/>
    <n v="-0.14000000000000001"/>
  </r>
  <r>
    <x v="1"/>
    <s v="Liquor retailing"/>
    <s v="2025-01-01"/>
    <x v="6"/>
    <s v="January  "/>
    <s v="1"/>
    <n v="418.6"/>
    <n v="-1.62"/>
  </r>
  <r>
    <x v="1"/>
    <s v="Liquor retailing"/>
    <s v="2025-02-01"/>
    <x v="6"/>
    <s v="February "/>
    <s v="2"/>
    <n v="377.3"/>
    <n v="-4.3600000000000003"/>
  </r>
  <r>
    <x v="1"/>
    <s v="Liquor retailing"/>
    <s v="2025-03-01"/>
    <x v="6"/>
    <s v="March    "/>
    <s v="3"/>
    <n v="425.8"/>
    <n v="-7.35"/>
  </r>
  <r>
    <x v="1"/>
    <s v="Liquor retailing"/>
    <s v="2025-04-01"/>
    <x v="6"/>
    <s v="April    "/>
    <s v="4"/>
    <n v="425.2"/>
    <n v="6.3"/>
  </r>
  <r>
    <x v="1"/>
    <s v="Liquor retailing"/>
    <s v="2025-05-01"/>
    <x v="6"/>
    <s v="May      "/>
    <s v="5"/>
    <n v="414.1"/>
    <n v="0.85"/>
  </r>
  <r>
    <x v="1"/>
    <s v="Liquor retailing"/>
    <s v="2025-06-01"/>
    <x v="6"/>
    <s v="June     "/>
    <s v="6"/>
    <n v="386"/>
    <n v="-3.81"/>
  </r>
  <r>
    <x v="1"/>
    <s v="Newspaper and book retailing"/>
    <s v="2019-01-01"/>
    <x v="0"/>
    <s v="January  "/>
    <s v="1"/>
    <n v="77.8"/>
    <m/>
  </r>
  <r>
    <x v="1"/>
    <s v="Newspaper and book retailing"/>
    <s v="2019-02-01"/>
    <x v="0"/>
    <s v="February "/>
    <s v="2"/>
    <n v="74.099999999999994"/>
    <m/>
  </r>
  <r>
    <x v="1"/>
    <s v="Newspaper and book retailing"/>
    <s v="2019-03-01"/>
    <x v="0"/>
    <s v="March    "/>
    <s v="3"/>
    <n v="76.599999999999994"/>
    <m/>
  </r>
  <r>
    <x v="1"/>
    <s v="Newspaper and book retailing"/>
    <s v="2019-04-01"/>
    <x v="0"/>
    <s v="April    "/>
    <s v="4"/>
    <n v="65.8"/>
    <m/>
  </r>
  <r>
    <x v="1"/>
    <s v="Newspaper and book retailing"/>
    <s v="2019-05-01"/>
    <x v="0"/>
    <s v="May      "/>
    <s v="5"/>
    <n v="72.7"/>
    <m/>
  </r>
  <r>
    <x v="1"/>
    <s v="Newspaper and book retailing"/>
    <s v="2019-06-01"/>
    <x v="0"/>
    <s v="June     "/>
    <s v="6"/>
    <n v="70.8"/>
    <m/>
  </r>
  <r>
    <x v="1"/>
    <s v="Newspaper and book retailing"/>
    <s v="2019-07-01"/>
    <x v="0"/>
    <s v="July     "/>
    <s v="7"/>
    <n v="76"/>
    <m/>
  </r>
  <r>
    <x v="1"/>
    <s v="Newspaper and book retailing"/>
    <s v="2019-08-01"/>
    <x v="0"/>
    <s v="August   "/>
    <s v="8"/>
    <n v="74.2"/>
    <m/>
  </r>
  <r>
    <x v="1"/>
    <s v="Newspaper and book retailing"/>
    <s v="2019-09-01"/>
    <x v="0"/>
    <s v="September"/>
    <s v="9"/>
    <n v="66.8"/>
    <m/>
  </r>
  <r>
    <x v="1"/>
    <s v="Newspaper and book retailing"/>
    <s v="2019-10-01"/>
    <x v="0"/>
    <s v="October  "/>
    <s v="10"/>
    <n v="59.8"/>
    <m/>
  </r>
  <r>
    <x v="1"/>
    <s v="Newspaper and book retailing"/>
    <s v="2019-11-01"/>
    <x v="0"/>
    <s v="November "/>
    <s v="11"/>
    <n v="64.400000000000006"/>
    <m/>
  </r>
  <r>
    <x v="1"/>
    <s v="Newspaper and book retailing"/>
    <s v="2019-12-01"/>
    <x v="0"/>
    <s v="December "/>
    <s v="12"/>
    <n v="87.3"/>
    <m/>
  </r>
  <r>
    <x v="1"/>
    <s v="Newspaper and book retailing"/>
    <s v="2020-01-01"/>
    <x v="1"/>
    <s v="January  "/>
    <s v="1"/>
    <n v="64"/>
    <n v="-17.739999999999998"/>
  </r>
  <r>
    <x v="1"/>
    <s v="Newspaper and book retailing"/>
    <s v="2020-02-01"/>
    <x v="1"/>
    <s v="February "/>
    <s v="2"/>
    <n v="61.3"/>
    <n v="-17.27"/>
  </r>
  <r>
    <x v="1"/>
    <s v="Newspaper and book retailing"/>
    <s v="2020-03-01"/>
    <x v="1"/>
    <s v="March    "/>
    <s v="3"/>
    <n v="57.3"/>
    <n v="-25.2"/>
  </r>
  <r>
    <x v="1"/>
    <s v="Newspaper and book retailing"/>
    <s v="2020-04-01"/>
    <x v="1"/>
    <s v="April    "/>
    <s v="4"/>
    <n v="45.2"/>
    <n v="-31.31"/>
  </r>
  <r>
    <x v="1"/>
    <s v="Newspaper and book retailing"/>
    <s v="2020-05-01"/>
    <x v="1"/>
    <s v="May      "/>
    <s v="5"/>
    <n v="56.5"/>
    <n v="-22.28"/>
  </r>
  <r>
    <x v="1"/>
    <s v="Newspaper and book retailing"/>
    <s v="2020-06-01"/>
    <x v="1"/>
    <s v="June     "/>
    <s v="6"/>
    <n v="50.2"/>
    <n v="-29.1"/>
  </r>
  <r>
    <x v="1"/>
    <s v="Newspaper and book retailing"/>
    <s v="2020-07-01"/>
    <x v="1"/>
    <s v="July     "/>
    <s v="7"/>
    <n v="56.8"/>
    <n v="-25.26"/>
  </r>
  <r>
    <x v="1"/>
    <s v="Newspaper and book retailing"/>
    <s v="2020-08-01"/>
    <x v="1"/>
    <s v="August   "/>
    <s v="8"/>
    <n v="52.4"/>
    <n v="-29.38"/>
  </r>
  <r>
    <x v="1"/>
    <s v="Newspaper and book retailing"/>
    <s v="2020-09-01"/>
    <x v="1"/>
    <s v="September"/>
    <s v="9"/>
    <n v="55.9"/>
    <n v="-16.32"/>
  </r>
  <r>
    <x v="1"/>
    <s v="Newspaper and book retailing"/>
    <s v="2020-10-01"/>
    <x v="1"/>
    <s v="October  "/>
    <s v="10"/>
    <n v="55.4"/>
    <n v="-7.36"/>
  </r>
  <r>
    <x v="1"/>
    <s v="Newspaper and book retailing"/>
    <s v="2020-11-01"/>
    <x v="1"/>
    <s v="November "/>
    <s v="11"/>
    <n v="58.3"/>
    <n v="-9.4700000000000006"/>
  </r>
  <r>
    <x v="1"/>
    <s v="Newspaper and book retailing"/>
    <s v="2020-12-01"/>
    <x v="1"/>
    <s v="December "/>
    <s v="12"/>
    <n v="71.8"/>
    <n v="-17.75"/>
  </r>
  <r>
    <x v="1"/>
    <s v="Newspaper and book retailing"/>
    <s v="2021-01-01"/>
    <x v="2"/>
    <s v="January  "/>
    <s v="1"/>
    <n v="51.9"/>
    <n v="-18.91"/>
  </r>
  <r>
    <x v="1"/>
    <s v="Newspaper and book retailing"/>
    <s v="2021-02-01"/>
    <x v="2"/>
    <s v="February "/>
    <s v="2"/>
    <n v="53.4"/>
    <n v="-12.89"/>
  </r>
  <r>
    <x v="1"/>
    <s v="Newspaper and book retailing"/>
    <s v="2021-03-01"/>
    <x v="2"/>
    <s v="March    "/>
    <s v="3"/>
    <n v="56"/>
    <n v="-2.27"/>
  </r>
  <r>
    <x v="1"/>
    <s v="Newspaper and book retailing"/>
    <s v="2021-04-01"/>
    <x v="2"/>
    <s v="April    "/>
    <s v="4"/>
    <n v="57"/>
    <n v="26.11"/>
  </r>
  <r>
    <x v="1"/>
    <s v="Newspaper and book retailing"/>
    <s v="2021-05-01"/>
    <x v="2"/>
    <s v="May      "/>
    <s v="5"/>
    <n v="62.1"/>
    <n v="9.91"/>
  </r>
  <r>
    <x v="1"/>
    <s v="Newspaper and book retailing"/>
    <s v="2021-06-01"/>
    <x v="2"/>
    <s v="June     "/>
    <s v="6"/>
    <n v="50.8"/>
    <n v="1.2"/>
  </r>
  <r>
    <x v="1"/>
    <s v="Newspaper and book retailing"/>
    <s v="2021-07-01"/>
    <x v="2"/>
    <s v="July     "/>
    <s v="7"/>
    <n v="34.6"/>
    <n v="-39.08"/>
  </r>
  <r>
    <x v="1"/>
    <s v="Newspaper and book retailing"/>
    <s v="2021-08-01"/>
    <x v="2"/>
    <s v="August   "/>
    <s v="8"/>
    <n v="37.700000000000003"/>
    <n v="-28.05"/>
  </r>
  <r>
    <x v="1"/>
    <s v="Newspaper and book retailing"/>
    <s v="2021-09-01"/>
    <x v="2"/>
    <s v="September"/>
    <s v="9"/>
    <n v="39.799999999999997"/>
    <n v="-28.8"/>
  </r>
  <r>
    <x v="1"/>
    <s v="Newspaper and book retailing"/>
    <s v="2021-10-01"/>
    <x v="2"/>
    <s v="October  "/>
    <s v="10"/>
    <n v="46"/>
    <n v="-16.97"/>
  </r>
  <r>
    <x v="1"/>
    <s v="Newspaper and book retailing"/>
    <s v="2021-11-01"/>
    <x v="2"/>
    <s v="November "/>
    <s v="11"/>
    <n v="50.1"/>
    <n v="-14.07"/>
  </r>
  <r>
    <x v="1"/>
    <s v="Newspaper and book retailing"/>
    <s v="2021-12-01"/>
    <x v="2"/>
    <s v="December "/>
    <s v="12"/>
    <n v="69.900000000000006"/>
    <n v="-2.65"/>
  </r>
  <r>
    <x v="1"/>
    <s v="Newspaper and book retailing"/>
    <s v="2022-01-01"/>
    <x v="3"/>
    <s v="January  "/>
    <s v="1"/>
    <n v="43.1"/>
    <n v="-16.96"/>
  </r>
  <r>
    <x v="1"/>
    <s v="Newspaper and book retailing"/>
    <s v="2022-02-01"/>
    <x v="3"/>
    <s v="February "/>
    <s v="2"/>
    <n v="41.6"/>
    <n v="-22.1"/>
  </r>
  <r>
    <x v="1"/>
    <s v="Newspaper and book retailing"/>
    <s v="2022-03-01"/>
    <x v="3"/>
    <s v="March    "/>
    <s v="3"/>
    <n v="40.299999999999997"/>
    <n v="-28.04"/>
  </r>
  <r>
    <x v="1"/>
    <s v="Newspaper and book retailing"/>
    <s v="2022-04-01"/>
    <x v="3"/>
    <s v="April    "/>
    <s v="4"/>
    <n v="38.9"/>
    <n v="-31.75"/>
  </r>
  <r>
    <x v="1"/>
    <s v="Newspaper and book retailing"/>
    <s v="2022-05-01"/>
    <x v="3"/>
    <s v="May      "/>
    <s v="5"/>
    <n v="43.2"/>
    <n v="-30.43"/>
  </r>
  <r>
    <x v="1"/>
    <s v="Newspaper and book retailing"/>
    <s v="2022-06-01"/>
    <x v="3"/>
    <s v="June     "/>
    <s v="6"/>
    <n v="43.2"/>
    <n v="-14.96"/>
  </r>
  <r>
    <x v="1"/>
    <s v="Newspaper and book retailing"/>
    <s v="2022-07-01"/>
    <x v="3"/>
    <s v="July     "/>
    <s v="7"/>
    <n v="39.299999999999997"/>
    <n v="13.58"/>
  </r>
  <r>
    <x v="1"/>
    <s v="Newspaper and book retailing"/>
    <s v="2022-08-01"/>
    <x v="3"/>
    <s v="August   "/>
    <s v="8"/>
    <n v="39"/>
    <n v="3.45"/>
  </r>
  <r>
    <x v="1"/>
    <s v="Newspaper and book retailing"/>
    <s v="2022-09-01"/>
    <x v="3"/>
    <s v="September"/>
    <s v="9"/>
    <n v="39.200000000000003"/>
    <n v="-1.51"/>
  </r>
  <r>
    <x v="1"/>
    <s v="Newspaper and book retailing"/>
    <s v="2022-10-01"/>
    <x v="3"/>
    <s v="October  "/>
    <s v="10"/>
    <n v="41.8"/>
    <n v="-9.1300000000000008"/>
  </r>
  <r>
    <x v="1"/>
    <s v="Newspaper and book retailing"/>
    <s v="2022-11-01"/>
    <x v="3"/>
    <s v="November "/>
    <s v="11"/>
    <n v="44"/>
    <n v="-12.18"/>
  </r>
  <r>
    <x v="1"/>
    <s v="Newspaper and book retailing"/>
    <s v="2022-12-01"/>
    <x v="3"/>
    <s v="December "/>
    <s v="12"/>
    <n v="56.7"/>
    <n v="-18.88"/>
  </r>
  <r>
    <x v="1"/>
    <s v="Newspaper and book retailing"/>
    <s v="2023-01-01"/>
    <x v="4"/>
    <s v="January  "/>
    <s v="1"/>
    <n v="38"/>
    <n v="-11.83"/>
  </r>
  <r>
    <x v="1"/>
    <s v="Newspaper and book retailing"/>
    <s v="2023-02-01"/>
    <x v="4"/>
    <s v="February "/>
    <s v="2"/>
    <n v="33.9"/>
    <n v="-18.510000000000002"/>
  </r>
  <r>
    <x v="1"/>
    <s v="Newspaper and book retailing"/>
    <s v="2023-03-01"/>
    <x v="4"/>
    <s v="March    "/>
    <s v="3"/>
    <n v="37.4"/>
    <n v="-7.2"/>
  </r>
  <r>
    <x v="1"/>
    <s v="Newspaper and book retailing"/>
    <s v="2023-04-01"/>
    <x v="4"/>
    <s v="April    "/>
    <s v="4"/>
    <n v="35.200000000000003"/>
    <n v="-9.51"/>
  </r>
  <r>
    <x v="1"/>
    <s v="Newspaper and book retailing"/>
    <s v="2023-05-01"/>
    <x v="4"/>
    <s v="May      "/>
    <s v="5"/>
    <n v="33"/>
    <n v="-23.61"/>
  </r>
  <r>
    <x v="1"/>
    <s v="Newspaper and book retailing"/>
    <s v="2023-06-01"/>
    <x v="4"/>
    <s v="June     "/>
    <s v="6"/>
    <n v="32.700000000000003"/>
    <n v="-24.31"/>
  </r>
  <r>
    <x v="1"/>
    <s v="Newspaper and book retailing"/>
    <s v="2023-07-01"/>
    <x v="4"/>
    <s v="July     "/>
    <s v="7"/>
    <n v="33.5"/>
    <n v="-14.76"/>
  </r>
  <r>
    <x v="1"/>
    <s v="Newspaper and book retailing"/>
    <s v="2023-08-01"/>
    <x v="4"/>
    <s v="August   "/>
    <s v="8"/>
    <n v="36"/>
    <n v="-7.69"/>
  </r>
  <r>
    <x v="1"/>
    <s v="Newspaper and book retailing"/>
    <s v="2023-09-01"/>
    <x v="4"/>
    <s v="September"/>
    <s v="9"/>
    <n v="35.4"/>
    <n v="-9.69"/>
  </r>
  <r>
    <x v="1"/>
    <s v="Newspaper and book retailing"/>
    <s v="2023-10-01"/>
    <x v="4"/>
    <s v="October  "/>
    <s v="10"/>
    <n v="34.299999999999997"/>
    <n v="-17.940000000000001"/>
  </r>
  <r>
    <x v="1"/>
    <s v="Newspaper and book retailing"/>
    <s v="2023-11-01"/>
    <x v="4"/>
    <s v="November "/>
    <s v="11"/>
    <n v="38.799999999999997"/>
    <n v="-11.82"/>
  </r>
  <r>
    <x v="1"/>
    <s v="Newspaper and book retailing"/>
    <s v="2023-12-01"/>
    <x v="4"/>
    <s v="December "/>
    <s v="12"/>
    <n v="53.2"/>
    <n v="-6.17"/>
  </r>
  <r>
    <x v="1"/>
    <s v="Newspaper and book retailing"/>
    <s v="2024-01-01"/>
    <x v="5"/>
    <s v="January  "/>
    <s v="1"/>
    <n v="39.5"/>
    <n v="3.95"/>
  </r>
  <r>
    <x v="1"/>
    <s v="Newspaper and book retailing"/>
    <s v="2024-02-01"/>
    <x v="5"/>
    <s v="February "/>
    <s v="2"/>
    <n v="35.5"/>
    <n v="4.72"/>
  </r>
  <r>
    <x v="1"/>
    <s v="Newspaper and book retailing"/>
    <s v="2024-03-01"/>
    <x v="5"/>
    <s v="March    "/>
    <s v="3"/>
    <n v="33.6"/>
    <n v="-10.16"/>
  </r>
  <r>
    <x v="1"/>
    <s v="Newspaper and book retailing"/>
    <s v="2024-04-01"/>
    <x v="5"/>
    <s v="April    "/>
    <s v="4"/>
    <n v="33.9"/>
    <n v="-3.69"/>
  </r>
  <r>
    <x v="1"/>
    <s v="Newspaper and book retailing"/>
    <s v="2024-05-01"/>
    <x v="5"/>
    <s v="May      "/>
    <s v="5"/>
    <n v="36.299999999999997"/>
    <n v="10"/>
  </r>
  <r>
    <x v="1"/>
    <s v="Newspaper and book retailing"/>
    <s v="2024-06-01"/>
    <x v="5"/>
    <s v="June     "/>
    <s v="6"/>
    <n v="33.299999999999997"/>
    <n v="1.83"/>
  </r>
  <r>
    <x v="1"/>
    <s v="Newspaper and book retailing"/>
    <s v="2024-07-01"/>
    <x v="5"/>
    <s v="July     "/>
    <s v="7"/>
    <n v="34.9"/>
    <n v="4.18"/>
  </r>
  <r>
    <x v="1"/>
    <s v="Newspaper and book retailing"/>
    <s v="2024-08-01"/>
    <x v="5"/>
    <s v="August   "/>
    <s v="8"/>
    <n v="39.200000000000003"/>
    <n v="8.89"/>
  </r>
  <r>
    <x v="1"/>
    <s v="Newspaper and book retailing"/>
    <s v="2024-09-01"/>
    <x v="5"/>
    <s v="September"/>
    <s v="9"/>
    <n v="36.9"/>
    <n v="4.24"/>
  </r>
  <r>
    <x v="1"/>
    <s v="Newspaper and book retailing"/>
    <s v="2024-10-01"/>
    <x v="5"/>
    <s v="October  "/>
    <s v="10"/>
    <n v="38"/>
    <n v="10.79"/>
  </r>
  <r>
    <x v="1"/>
    <s v="Newspaper and book retailing"/>
    <s v="2024-11-01"/>
    <x v="5"/>
    <s v="November "/>
    <s v="11"/>
    <n v="43.3"/>
    <n v="11.6"/>
  </r>
  <r>
    <x v="1"/>
    <s v="Newspaper and book retailing"/>
    <s v="2024-12-01"/>
    <x v="5"/>
    <s v="December "/>
    <s v="12"/>
    <n v="60.2"/>
    <n v="13.16"/>
  </r>
  <r>
    <x v="1"/>
    <s v="Newspaper and book retailing"/>
    <s v="2025-01-01"/>
    <x v="6"/>
    <s v="January  "/>
    <s v="1"/>
    <n v="40.5"/>
    <n v="2.5299999999999998"/>
  </r>
  <r>
    <x v="1"/>
    <s v="Newspaper and book retailing"/>
    <s v="2025-02-01"/>
    <x v="6"/>
    <s v="February "/>
    <s v="2"/>
    <n v="36.200000000000003"/>
    <n v="1.97"/>
  </r>
  <r>
    <x v="1"/>
    <s v="Newspaper and book retailing"/>
    <s v="2025-03-01"/>
    <x v="6"/>
    <s v="March    "/>
    <s v="3"/>
    <n v="34.700000000000003"/>
    <n v="3.27"/>
  </r>
  <r>
    <x v="1"/>
    <s v="Newspaper and book retailing"/>
    <s v="2025-04-01"/>
    <x v="6"/>
    <s v="April    "/>
    <s v="4"/>
    <n v="34.5"/>
    <n v="1.77"/>
  </r>
  <r>
    <x v="1"/>
    <s v="Newspaper and book retailing"/>
    <s v="2025-05-01"/>
    <x v="6"/>
    <s v="May      "/>
    <s v="5"/>
    <n v="37.5"/>
    <n v="3.31"/>
  </r>
  <r>
    <x v="1"/>
    <s v="Newspaper and book retailing"/>
    <s v="2025-06-01"/>
    <x v="6"/>
    <s v="June     "/>
    <s v="6"/>
    <n v="35.9"/>
    <n v="7.81"/>
  </r>
  <r>
    <x v="1"/>
    <s v="Other recreational goods retailing"/>
    <s v="2019-01-01"/>
    <x v="0"/>
    <s v="January  "/>
    <s v="1"/>
    <n v="131.4"/>
    <m/>
  </r>
  <r>
    <x v="1"/>
    <s v="Other recreational goods retailing"/>
    <s v="2019-02-01"/>
    <x v="0"/>
    <s v="February "/>
    <s v="2"/>
    <n v="87.4"/>
    <m/>
  </r>
  <r>
    <x v="1"/>
    <s v="Other recreational goods retailing"/>
    <s v="2019-03-01"/>
    <x v="0"/>
    <s v="March    "/>
    <s v="3"/>
    <n v="102.7"/>
    <m/>
  </r>
  <r>
    <x v="1"/>
    <s v="Other recreational goods retailing"/>
    <s v="2019-04-01"/>
    <x v="0"/>
    <s v="April    "/>
    <s v="4"/>
    <n v="101.7"/>
    <m/>
  </r>
  <r>
    <x v="1"/>
    <s v="Other recreational goods retailing"/>
    <s v="2019-05-01"/>
    <x v="0"/>
    <s v="May      "/>
    <s v="5"/>
    <n v="92.1"/>
    <m/>
  </r>
  <r>
    <x v="1"/>
    <s v="Other recreational goods retailing"/>
    <s v="2019-06-01"/>
    <x v="0"/>
    <s v="June     "/>
    <s v="6"/>
    <n v="93.3"/>
    <m/>
  </r>
  <r>
    <x v="1"/>
    <s v="Other recreational goods retailing"/>
    <s v="2019-07-01"/>
    <x v="0"/>
    <s v="July     "/>
    <s v="7"/>
    <n v="99.8"/>
    <m/>
  </r>
  <r>
    <x v="1"/>
    <s v="Other recreational goods retailing"/>
    <s v="2019-08-01"/>
    <x v="0"/>
    <s v="August   "/>
    <s v="8"/>
    <n v="97.6"/>
    <m/>
  </r>
  <r>
    <x v="1"/>
    <s v="Other recreational goods retailing"/>
    <s v="2019-09-01"/>
    <x v="0"/>
    <s v="September"/>
    <s v="9"/>
    <n v="107.8"/>
    <m/>
  </r>
  <r>
    <x v="1"/>
    <s v="Other recreational goods retailing"/>
    <s v="2019-10-01"/>
    <x v="0"/>
    <s v="October  "/>
    <s v="10"/>
    <n v="129.4"/>
    <m/>
  </r>
  <r>
    <x v="1"/>
    <s v="Other recreational goods retailing"/>
    <s v="2019-11-01"/>
    <x v="0"/>
    <s v="November "/>
    <s v="11"/>
    <n v="143.6"/>
    <m/>
  </r>
  <r>
    <x v="1"/>
    <s v="Other recreational goods retailing"/>
    <s v="2019-12-01"/>
    <x v="0"/>
    <s v="December "/>
    <s v="12"/>
    <n v="231.3"/>
    <m/>
  </r>
  <r>
    <x v="1"/>
    <s v="Other recreational goods retailing"/>
    <s v="2020-01-01"/>
    <x v="1"/>
    <s v="January  "/>
    <s v="1"/>
    <n v="123.5"/>
    <n v="-6.01"/>
  </r>
  <r>
    <x v="1"/>
    <s v="Other recreational goods retailing"/>
    <s v="2020-02-01"/>
    <x v="1"/>
    <s v="February "/>
    <s v="2"/>
    <n v="92.7"/>
    <n v="6.06"/>
  </r>
  <r>
    <x v="1"/>
    <s v="Other recreational goods retailing"/>
    <s v="2020-03-01"/>
    <x v="1"/>
    <s v="March    "/>
    <s v="3"/>
    <n v="112.5"/>
    <n v="9.5399999999999991"/>
  </r>
  <r>
    <x v="1"/>
    <s v="Other recreational goods retailing"/>
    <s v="2020-04-01"/>
    <x v="1"/>
    <s v="April    "/>
    <s v="4"/>
    <n v="120.2"/>
    <n v="18.190000000000001"/>
  </r>
  <r>
    <x v="1"/>
    <s v="Other recreational goods retailing"/>
    <s v="2020-05-01"/>
    <x v="1"/>
    <s v="May      "/>
    <s v="5"/>
    <n v="138.4"/>
    <n v="50.27"/>
  </r>
  <r>
    <x v="1"/>
    <s v="Other recreational goods retailing"/>
    <s v="2020-06-01"/>
    <x v="1"/>
    <s v="June     "/>
    <s v="6"/>
    <n v="143.69999999999999"/>
    <n v="54.02"/>
  </r>
  <r>
    <x v="1"/>
    <s v="Other recreational goods retailing"/>
    <s v="2020-07-01"/>
    <x v="1"/>
    <s v="July     "/>
    <s v="7"/>
    <n v="174.7"/>
    <n v="75.05"/>
  </r>
  <r>
    <x v="1"/>
    <s v="Other recreational goods retailing"/>
    <s v="2020-08-01"/>
    <x v="1"/>
    <s v="August   "/>
    <s v="8"/>
    <n v="152.5"/>
    <n v="56.25"/>
  </r>
  <r>
    <x v="1"/>
    <s v="Other recreational goods retailing"/>
    <s v="2020-09-01"/>
    <x v="1"/>
    <s v="September"/>
    <s v="9"/>
    <n v="168.9"/>
    <n v="56.68"/>
  </r>
  <r>
    <x v="1"/>
    <s v="Other recreational goods retailing"/>
    <s v="2020-10-01"/>
    <x v="1"/>
    <s v="October  "/>
    <s v="10"/>
    <n v="199.3"/>
    <n v="54.02"/>
  </r>
  <r>
    <x v="1"/>
    <s v="Other recreational goods retailing"/>
    <s v="2020-11-01"/>
    <x v="1"/>
    <s v="November "/>
    <s v="11"/>
    <n v="245.2"/>
    <n v="70.75"/>
  </r>
  <r>
    <x v="1"/>
    <s v="Other recreational goods retailing"/>
    <s v="2020-12-01"/>
    <x v="1"/>
    <s v="December "/>
    <s v="12"/>
    <n v="308.39999999999998"/>
    <n v="33.33"/>
  </r>
  <r>
    <x v="1"/>
    <s v="Other recreational goods retailing"/>
    <s v="2021-01-01"/>
    <x v="2"/>
    <s v="January  "/>
    <s v="1"/>
    <n v="170.2"/>
    <n v="37.81"/>
  </r>
  <r>
    <x v="1"/>
    <s v="Other recreational goods retailing"/>
    <s v="2021-02-01"/>
    <x v="2"/>
    <s v="February "/>
    <s v="2"/>
    <n v="121.1"/>
    <n v="30.64"/>
  </r>
  <r>
    <x v="1"/>
    <s v="Other recreational goods retailing"/>
    <s v="2021-03-01"/>
    <x v="2"/>
    <s v="March    "/>
    <s v="3"/>
    <n v="142"/>
    <n v="26.22"/>
  </r>
  <r>
    <x v="1"/>
    <s v="Other recreational goods retailing"/>
    <s v="2021-04-01"/>
    <x v="2"/>
    <s v="April    "/>
    <s v="4"/>
    <n v="147.5"/>
    <n v="22.71"/>
  </r>
  <r>
    <x v="1"/>
    <s v="Other recreational goods retailing"/>
    <s v="2021-05-01"/>
    <x v="2"/>
    <s v="May      "/>
    <s v="5"/>
    <n v="143.6"/>
    <n v="3.76"/>
  </r>
  <r>
    <x v="1"/>
    <s v="Other recreational goods retailing"/>
    <s v="2021-06-01"/>
    <x v="2"/>
    <s v="June     "/>
    <s v="6"/>
    <n v="143"/>
    <n v="-0.49"/>
  </r>
  <r>
    <x v="1"/>
    <s v="Other recreational goods retailing"/>
    <s v="2021-07-01"/>
    <x v="2"/>
    <s v="July     "/>
    <s v="7"/>
    <n v="135"/>
    <n v="-22.72"/>
  </r>
  <r>
    <x v="1"/>
    <s v="Other recreational goods retailing"/>
    <s v="2021-08-01"/>
    <x v="2"/>
    <s v="August   "/>
    <s v="8"/>
    <n v="128.80000000000001"/>
    <n v="-15.54"/>
  </r>
  <r>
    <x v="1"/>
    <s v="Other recreational goods retailing"/>
    <s v="2021-09-01"/>
    <x v="2"/>
    <s v="September"/>
    <s v="9"/>
    <n v="139"/>
    <n v="-17.7"/>
  </r>
  <r>
    <x v="1"/>
    <s v="Other recreational goods retailing"/>
    <s v="2021-10-01"/>
    <x v="2"/>
    <s v="October  "/>
    <s v="10"/>
    <n v="173.2"/>
    <n v="-13.1"/>
  </r>
  <r>
    <x v="1"/>
    <s v="Other recreational goods retailing"/>
    <s v="2021-11-01"/>
    <x v="2"/>
    <s v="November "/>
    <s v="11"/>
    <n v="239.1"/>
    <n v="-2.4900000000000002"/>
  </r>
  <r>
    <x v="1"/>
    <s v="Other recreational goods retailing"/>
    <s v="2021-12-01"/>
    <x v="2"/>
    <s v="December "/>
    <s v="12"/>
    <n v="294.5"/>
    <n v="-4.51"/>
  </r>
  <r>
    <x v="1"/>
    <s v="Other recreational goods retailing"/>
    <s v="2022-01-01"/>
    <x v="3"/>
    <s v="January  "/>
    <s v="1"/>
    <n v="191.5"/>
    <n v="12.51"/>
  </r>
  <r>
    <x v="1"/>
    <s v="Other recreational goods retailing"/>
    <s v="2022-02-01"/>
    <x v="3"/>
    <s v="February "/>
    <s v="2"/>
    <n v="135.30000000000001"/>
    <n v="11.73"/>
  </r>
  <r>
    <x v="1"/>
    <s v="Other recreational goods retailing"/>
    <s v="2022-03-01"/>
    <x v="3"/>
    <s v="March    "/>
    <s v="3"/>
    <n v="143.4"/>
    <n v="0.99"/>
  </r>
  <r>
    <x v="1"/>
    <s v="Other recreational goods retailing"/>
    <s v="2022-04-01"/>
    <x v="3"/>
    <s v="April    "/>
    <s v="4"/>
    <n v="160.5"/>
    <n v="8.81"/>
  </r>
  <r>
    <x v="1"/>
    <s v="Other recreational goods retailing"/>
    <s v="2022-05-01"/>
    <x v="3"/>
    <s v="May      "/>
    <s v="5"/>
    <n v="140.30000000000001"/>
    <n v="-2.2999999999999998"/>
  </r>
  <r>
    <x v="1"/>
    <s v="Other recreational goods retailing"/>
    <s v="2022-06-01"/>
    <x v="3"/>
    <s v="June     "/>
    <s v="6"/>
    <n v="147.30000000000001"/>
    <n v="3.01"/>
  </r>
  <r>
    <x v="1"/>
    <s v="Other recreational goods retailing"/>
    <s v="2022-07-01"/>
    <x v="3"/>
    <s v="July     "/>
    <s v="7"/>
    <n v="152.69999999999999"/>
    <n v="13.11"/>
  </r>
  <r>
    <x v="1"/>
    <s v="Other recreational goods retailing"/>
    <s v="2022-08-01"/>
    <x v="3"/>
    <s v="August   "/>
    <s v="8"/>
    <n v="145.69999999999999"/>
    <n v="13.12"/>
  </r>
  <r>
    <x v="1"/>
    <s v="Other recreational goods retailing"/>
    <s v="2022-09-01"/>
    <x v="3"/>
    <s v="September"/>
    <s v="9"/>
    <n v="161.6"/>
    <n v="16.260000000000002"/>
  </r>
  <r>
    <x v="1"/>
    <s v="Other recreational goods retailing"/>
    <s v="2022-10-01"/>
    <x v="3"/>
    <s v="October  "/>
    <s v="10"/>
    <n v="159.19999999999999"/>
    <n v="-8.08"/>
  </r>
  <r>
    <x v="1"/>
    <s v="Other recreational goods retailing"/>
    <s v="2022-11-01"/>
    <x v="3"/>
    <s v="November "/>
    <s v="11"/>
    <n v="197.6"/>
    <n v="-17.36"/>
  </r>
  <r>
    <x v="1"/>
    <s v="Other recreational goods retailing"/>
    <s v="2022-12-01"/>
    <x v="3"/>
    <s v="December "/>
    <s v="12"/>
    <n v="275.8"/>
    <n v="-6.35"/>
  </r>
  <r>
    <x v="1"/>
    <s v="Other recreational goods retailing"/>
    <s v="2023-01-01"/>
    <x v="4"/>
    <s v="January  "/>
    <s v="1"/>
    <n v="188.4"/>
    <n v="-1.62"/>
  </r>
  <r>
    <x v="1"/>
    <s v="Other recreational goods retailing"/>
    <s v="2023-02-01"/>
    <x v="4"/>
    <s v="February "/>
    <s v="2"/>
    <n v="135.1"/>
    <n v="-0.15"/>
  </r>
  <r>
    <x v="1"/>
    <s v="Other recreational goods retailing"/>
    <s v="2023-03-01"/>
    <x v="4"/>
    <s v="March    "/>
    <s v="3"/>
    <n v="154.1"/>
    <n v="7.46"/>
  </r>
  <r>
    <x v="1"/>
    <s v="Other recreational goods retailing"/>
    <s v="2023-04-01"/>
    <x v="4"/>
    <s v="April    "/>
    <s v="4"/>
    <n v="150.6"/>
    <n v="-6.17"/>
  </r>
  <r>
    <x v="1"/>
    <s v="Other recreational goods retailing"/>
    <s v="2023-05-01"/>
    <x v="4"/>
    <s v="May      "/>
    <s v="5"/>
    <n v="141.30000000000001"/>
    <n v="0.71"/>
  </r>
  <r>
    <x v="1"/>
    <s v="Other recreational goods retailing"/>
    <s v="2023-06-01"/>
    <x v="4"/>
    <s v="June     "/>
    <s v="6"/>
    <n v="137.19999999999999"/>
    <n v="-6.86"/>
  </r>
  <r>
    <x v="1"/>
    <s v="Other recreational goods retailing"/>
    <s v="2023-07-01"/>
    <x v="4"/>
    <s v="July     "/>
    <s v="7"/>
    <n v="132.4"/>
    <n v="-13.29"/>
  </r>
  <r>
    <x v="1"/>
    <s v="Other recreational goods retailing"/>
    <s v="2023-08-01"/>
    <x v="4"/>
    <s v="August   "/>
    <s v="8"/>
    <n v="131.19999999999999"/>
    <n v="-9.9499999999999993"/>
  </r>
  <r>
    <x v="1"/>
    <s v="Other recreational goods retailing"/>
    <s v="2023-09-01"/>
    <x v="4"/>
    <s v="September"/>
    <s v="9"/>
    <n v="148.9"/>
    <n v="-7.86"/>
  </r>
  <r>
    <x v="1"/>
    <s v="Other recreational goods retailing"/>
    <s v="2023-10-01"/>
    <x v="4"/>
    <s v="October  "/>
    <s v="10"/>
    <n v="147.19999999999999"/>
    <n v="-7.54"/>
  </r>
  <r>
    <x v="1"/>
    <s v="Other recreational goods retailing"/>
    <s v="2023-11-01"/>
    <x v="4"/>
    <s v="November "/>
    <s v="11"/>
    <n v="183.7"/>
    <n v="-7.03"/>
  </r>
  <r>
    <x v="1"/>
    <s v="Other recreational goods retailing"/>
    <s v="2023-12-01"/>
    <x v="4"/>
    <s v="December "/>
    <s v="12"/>
    <n v="258.10000000000002"/>
    <n v="-6.42"/>
  </r>
  <r>
    <x v="1"/>
    <s v="Other recreational goods retailing"/>
    <s v="2024-01-01"/>
    <x v="5"/>
    <s v="January  "/>
    <s v="1"/>
    <n v="168.6"/>
    <n v="-10.51"/>
  </r>
  <r>
    <x v="1"/>
    <s v="Other recreational goods retailing"/>
    <s v="2024-02-01"/>
    <x v="5"/>
    <s v="February "/>
    <s v="2"/>
    <n v="133.1"/>
    <n v="-1.48"/>
  </r>
  <r>
    <x v="1"/>
    <s v="Other recreational goods retailing"/>
    <s v="2024-03-01"/>
    <x v="5"/>
    <s v="March    "/>
    <s v="3"/>
    <n v="136.1"/>
    <n v="-11.68"/>
  </r>
  <r>
    <x v="1"/>
    <s v="Other recreational goods retailing"/>
    <s v="2024-04-01"/>
    <x v="5"/>
    <s v="April    "/>
    <s v="4"/>
    <n v="151.4"/>
    <n v="0.53"/>
  </r>
  <r>
    <x v="1"/>
    <s v="Other recreational goods retailing"/>
    <s v="2024-05-01"/>
    <x v="5"/>
    <s v="May      "/>
    <s v="5"/>
    <n v="134.30000000000001"/>
    <n v="-4.95"/>
  </r>
  <r>
    <x v="1"/>
    <s v="Other recreational goods retailing"/>
    <s v="2024-06-01"/>
    <x v="5"/>
    <s v="June     "/>
    <s v="6"/>
    <n v="140.30000000000001"/>
    <n v="2.2599999999999998"/>
  </r>
  <r>
    <x v="1"/>
    <s v="Other recreational goods retailing"/>
    <s v="2024-07-01"/>
    <x v="5"/>
    <s v="July     "/>
    <s v="7"/>
    <n v="144.30000000000001"/>
    <n v="8.99"/>
  </r>
  <r>
    <x v="1"/>
    <s v="Other recreational goods retailing"/>
    <s v="2024-08-01"/>
    <x v="5"/>
    <s v="August   "/>
    <s v="8"/>
    <n v="138.1"/>
    <n v="5.26"/>
  </r>
  <r>
    <x v="1"/>
    <s v="Other recreational goods retailing"/>
    <s v="2024-09-01"/>
    <x v="5"/>
    <s v="September"/>
    <s v="9"/>
    <n v="147.30000000000001"/>
    <n v="-1.07"/>
  </r>
  <r>
    <x v="1"/>
    <s v="Other recreational goods retailing"/>
    <s v="2024-10-01"/>
    <x v="5"/>
    <s v="October  "/>
    <s v="10"/>
    <n v="157.5"/>
    <n v="7"/>
  </r>
  <r>
    <x v="1"/>
    <s v="Other recreational goods retailing"/>
    <s v="2024-11-01"/>
    <x v="5"/>
    <s v="November "/>
    <s v="11"/>
    <n v="187.5"/>
    <n v="2.0699999999999998"/>
  </r>
  <r>
    <x v="1"/>
    <s v="Other recreational goods retailing"/>
    <s v="2024-12-01"/>
    <x v="5"/>
    <s v="December "/>
    <s v="12"/>
    <n v="269.8"/>
    <n v="4.53"/>
  </r>
  <r>
    <x v="1"/>
    <s v="Other recreational goods retailing"/>
    <s v="2025-01-01"/>
    <x v="6"/>
    <s v="January  "/>
    <s v="1"/>
    <n v="173.3"/>
    <n v="2.79"/>
  </r>
  <r>
    <x v="1"/>
    <s v="Other recreational goods retailing"/>
    <s v="2025-02-01"/>
    <x v="6"/>
    <s v="February "/>
    <s v="2"/>
    <n v="124.9"/>
    <n v="-6.16"/>
  </r>
  <r>
    <x v="1"/>
    <s v="Other recreational goods retailing"/>
    <s v="2025-03-01"/>
    <x v="6"/>
    <s v="March    "/>
    <s v="3"/>
    <n v="141.1"/>
    <n v="3.67"/>
  </r>
  <r>
    <x v="1"/>
    <s v="Other recreational goods retailing"/>
    <s v="2025-04-01"/>
    <x v="6"/>
    <s v="April    "/>
    <s v="4"/>
    <n v="142.5"/>
    <n v="-5.88"/>
  </r>
  <r>
    <x v="1"/>
    <s v="Other recreational goods retailing"/>
    <s v="2025-05-01"/>
    <x v="6"/>
    <s v="May      "/>
    <s v="5"/>
    <n v="122.4"/>
    <n v="-8.86"/>
  </r>
  <r>
    <x v="1"/>
    <s v="Other recreational goods retailing"/>
    <s v="2025-06-01"/>
    <x v="6"/>
    <s v="June     "/>
    <s v="6"/>
    <n v="143.6"/>
    <n v="2.35"/>
  </r>
  <r>
    <x v="1"/>
    <s v="Other retailing n.e.c."/>
    <s v="2019-01-01"/>
    <x v="0"/>
    <s v="January  "/>
    <s v="1"/>
    <n v="538.5"/>
    <m/>
  </r>
  <r>
    <x v="1"/>
    <s v="Other retailing n.e.c."/>
    <s v="2019-02-01"/>
    <x v="0"/>
    <s v="February "/>
    <s v="2"/>
    <n v="523.6"/>
    <m/>
  </r>
  <r>
    <x v="1"/>
    <s v="Other retailing n.e.c."/>
    <s v="2019-03-01"/>
    <x v="0"/>
    <s v="March    "/>
    <s v="3"/>
    <n v="537.79999999999995"/>
    <m/>
  </r>
  <r>
    <x v="1"/>
    <s v="Other retailing n.e.c."/>
    <s v="2019-04-01"/>
    <x v="0"/>
    <s v="April    "/>
    <s v="4"/>
    <n v="524.1"/>
    <m/>
  </r>
  <r>
    <x v="1"/>
    <s v="Other retailing n.e.c."/>
    <s v="2019-05-01"/>
    <x v="0"/>
    <s v="May      "/>
    <s v="5"/>
    <n v="563.70000000000005"/>
    <m/>
  </r>
  <r>
    <x v="1"/>
    <s v="Other retailing n.e.c."/>
    <s v="2019-06-01"/>
    <x v="0"/>
    <s v="June     "/>
    <s v="6"/>
    <n v="550.5"/>
    <m/>
  </r>
  <r>
    <x v="1"/>
    <s v="Other retailing n.e.c."/>
    <s v="2019-07-01"/>
    <x v="0"/>
    <s v="July     "/>
    <s v="7"/>
    <n v="558.79999999999995"/>
    <m/>
  </r>
  <r>
    <x v="1"/>
    <s v="Other retailing n.e.c."/>
    <s v="2019-08-01"/>
    <x v="0"/>
    <s v="August   "/>
    <s v="8"/>
    <n v="589.6"/>
    <m/>
  </r>
  <r>
    <x v="1"/>
    <s v="Other retailing n.e.c."/>
    <s v="2019-09-01"/>
    <x v="0"/>
    <s v="September"/>
    <s v="9"/>
    <n v="576.20000000000005"/>
    <m/>
  </r>
  <r>
    <x v="1"/>
    <s v="Other retailing n.e.c."/>
    <s v="2019-10-01"/>
    <x v="0"/>
    <s v="October  "/>
    <s v="10"/>
    <n v="628.79999999999995"/>
    <m/>
  </r>
  <r>
    <x v="1"/>
    <s v="Other retailing n.e.c."/>
    <s v="2019-11-01"/>
    <x v="0"/>
    <s v="November "/>
    <s v="11"/>
    <n v="755.2"/>
    <m/>
  </r>
  <r>
    <x v="1"/>
    <s v="Other retailing n.e.c."/>
    <s v="2019-12-01"/>
    <x v="0"/>
    <s v="December "/>
    <s v="12"/>
    <n v="736.8"/>
    <m/>
  </r>
  <r>
    <x v="1"/>
    <s v="Other retailing n.e.c."/>
    <s v="2020-01-01"/>
    <x v="1"/>
    <s v="January  "/>
    <s v="1"/>
    <n v="567.5"/>
    <n v="5.39"/>
  </r>
  <r>
    <x v="1"/>
    <s v="Other retailing n.e.c."/>
    <s v="2020-02-01"/>
    <x v="1"/>
    <s v="February "/>
    <s v="2"/>
    <n v="532.70000000000005"/>
    <n v="1.74"/>
  </r>
  <r>
    <x v="1"/>
    <s v="Other retailing n.e.c."/>
    <s v="2020-03-01"/>
    <x v="1"/>
    <s v="March    "/>
    <s v="3"/>
    <n v="608"/>
    <n v="13.05"/>
  </r>
  <r>
    <x v="1"/>
    <s v="Other retailing n.e.c."/>
    <s v="2020-04-01"/>
    <x v="1"/>
    <s v="April    "/>
    <s v="4"/>
    <n v="564.4"/>
    <n v="7.69"/>
  </r>
  <r>
    <x v="1"/>
    <s v="Other retailing n.e.c."/>
    <s v="2020-05-01"/>
    <x v="1"/>
    <s v="May      "/>
    <s v="5"/>
    <n v="598"/>
    <n v="6.08"/>
  </r>
  <r>
    <x v="1"/>
    <s v="Other retailing n.e.c."/>
    <s v="2020-06-01"/>
    <x v="1"/>
    <s v="June     "/>
    <s v="6"/>
    <n v="623.6"/>
    <n v="13.28"/>
  </r>
  <r>
    <x v="1"/>
    <s v="Other retailing n.e.c."/>
    <s v="2020-07-01"/>
    <x v="1"/>
    <s v="July     "/>
    <s v="7"/>
    <n v="644.4"/>
    <n v="15.32"/>
  </r>
  <r>
    <x v="1"/>
    <s v="Other retailing n.e.c."/>
    <s v="2020-08-01"/>
    <x v="1"/>
    <s v="August   "/>
    <s v="8"/>
    <n v="645.79999999999995"/>
    <n v="9.5299999999999994"/>
  </r>
  <r>
    <x v="1"/>
    <s v="Other retailing n.e.c."/>
    <s v="2020-09-01"/>
    <x v="1"/>
    <s v="September"/>
    <s v="9"/>
    <n v="609.79999999999995"/>
    <n v="5.83"/>
  </r>
  <r>
    <x v="1"/>
    <s v="Other retailing n.e.c."/>
    <s v="2020-10-01"/>
    <x v="1"/>
    <s v="October  "/>
    <s v="10"/>
    <n v="674.4"/>
    <n v="7.25"/>
  </r>
  <r>
    <x v="1"/>
    <s v="Other retailing n.e.c."/>
    <s v="2020-11-01"/>
    <x v="1"/>
    <s v="November "/>
    <s v="11"/>
    <n v="842.7"/>
    <n v="11.59"/>
  </r>
  <r>
    <x v="1"/>
    <s v="Other retailing n.e.c."/>
    <s v="2020-12-01"/>
    <x v="1"/>
    <s v="December "/>
    <s v="12"/>
    <n v="843.8"/>
    <n v="14.52"/>
  </r>
  <r>
    <x v="1"/>
    <s v="Other retailing n.e.c."/>
    <s v="2021-01-01"/>
    <x v="2"/>
    <s v="January  "/>
    <s v="1"/>
    <n v="642.79999999999995"/>
    <n v="13.27"/>
  </r>
  <r>
    <x v="1"/>
    <s v="Other retailing n.e.c."/>
    <s v="2021-02-01"/>
    <x v="2"/>
    <s v="February "/>
    <s v="2"/>
    <n v="596.29999999999995"/>
    <n v="11.94"/>
  </r>
  <r>
    <x v="1"/>
    <s v="Other retailing n.e.c."/>
    <s v="2021-03-01"/>
    <x v="2"/>
    <s v="March    "/>
    <s v="3"/>
    <n v="655.1"/>
    <n v="7.75"/>
  </r>
  <r>
    <x v="1"/>
    <s v="Other retailing n.e.c."/>
    <s v="2021-04-01"/>
    <x v="2"/>
    <s v="April    "/>
    <s v="4"/>
    <n v="611.79999999999995"/>
    <n v="8.4"/>
  </r>
  <r>
    <x v="1"/>
    <s v="Other retailing n.e.c."/>
    <s v="2021-05-01"/>
    <x v="2"/>
    <s v="May      "/>
    <s v="5"/>
    <n v="660.8"/>
    <n v="10.5"/>
  </r>
  <r>
    <x v="1"/>
    <s v="Other retailing n.e.c."/>
    <s v="2021-06-01"/>
    <x v="2"/>
    <s v="June     "/>
    <s v="6"/>
    <n v="681.1"/>
    <n v="9.2200000000000006"/>
  </r>
  <r>
    <x v="1"/>
    <s v="Other retailing n.e.c."/>
    <s v="2021-07-01"/>
    <x v="2"/>
    <s v="July     "/>
    <s v="7"/>
    <n v="727.1"/>
    <n v="12.83"/>
  </r>
  <r>
    <x v="1"/>
    <s v="Other retailing n.e.c."/>
    <s v="2021-08-01"/>
    <x v="2"/>
    <s v="August   "/>
    <s v="8"/>
    <n v="749.2"/>
    <n v="16.010000000000002"/>
  </r>
  <r>
    <x v="1"/>
    <s v="Other retailing n.e.c."/>
    <s v="2021-09-01"/>
    <x v="2"/>
    <s v="September"/>
    <s v="9"/>
    <n v="746.8"/>
    <n v="22.47"/>
  </r>
  <r>
    <x v="1"/>
    <s v="Other retailing n.e.c."/>
    <s v="2021-10-01"/>
    <x v="2"/>
    <s v="October  "/>
    <s v="10"/>
    <n v="806.6"/>
    <n v="19.600000000000001"/>
  </r>
  <r>
    <x v="1"/>
    <s v="Other retailing n.e.c."/>
    <s v="2021-11-01"/>
    <x v="2"/>
    <s v="November "/>
    <s v="11"/>
    <n v="1037.8"/>
    <n v="23.15"/>
  </r>
  <r>
    <x v="1"/>
    <s v="Other retailing n.e.c."/>
    <s v="2021-12-01"/>
    <x v="2"/>
    <s v="December "/>
    <s v="12"/>
    <n v="1026.0999999999999"/>
    <n v="21.6"/>
  </r>
  <r>
    <x v="1"/>
    <s v="Other retailing n.e.c."/>
    <s v="2022-01-01"/>
    <x v="3"/>
    <s v="January  "/>
    <s v="1"/>
    <n v="778.3"/>
    <n v="21.08"/>
  </r>
  <r>
    <x v="1"/>
    <s v="Other retailing n.e.c."/>
    <s v="2022-02-01"/>
    <x v="3"/>
    <s v="February "/>
    <s v="2"/>
    <n v="772.5"/>
    <n v="29.55"/>
  </r>
  <r>
    <x v="1"/>
    <s v="Other retailing n.e.c."/>
    <s v="2022-03-01"/>
    <x v="3"/>
    <s v="March    "/>
    <s v="3"/>
    <n v="864.9"/>
    <n v="32.03"/>
  </r>
  <r>
    <x v="1"/>
    <s v="Other retailing n.e.c."/>
    <s v="2022-04-01"/>
    <x v="3"/>
    <s v="April    "/>
    <s v="4"/>
    <n v="782.5"/>
    <n v="27.9"/>
  </r>
  <r>
    <x v="1"/>
    <s v="Other retailing n.e.c."/>
    <s v="2022-05-01"/>
    <x v="3"/>
    <s v="May      "/>
    <s v="5"/>
    <n v="860.7"/>
    <n v="30.25"/>
  </r>
  <r>
    <x v="1"/>
    <s v="Other retailing n.e.c."/>
    <s v="2022-06-01"/>
    <x v="3"/>
    <s v="June     "/>
    <s v="6"/>
    <n v="847.4"/>
    <n v="24.42"/>
  </r>
  <r>
    <x v="1"/>
    <s v="Other retailing n.e.c."/>
    <s v="2022-07-01"/>
    <x v="3"/>
    <s v="July     "/>
    <s v="7"/>
    <n v="864.2"/>
    <n v="18.86"/>
  </r>
  <r>
    <x v="1"/>
    <s v="Other retailing n.e.c."/>
    <s v="2022-08-01"/>
    <x v="3"/>
    <s v="August   "/>
    <s v="8"/>
    <n v="859.7"/>
    <n v="14.75"/>
  </r>
  <r>
    <x v="1"/>
    <s v="Other retailing n.e.c."/>
    <s v="2022-09-01"/>
    <x v="3"/>
    <s v="September"/>
    <s v="9"/>
    <n v="850.5"/>
    <n v="13.89"/>
  </r>
  <r>
    <x v="1"/>
    <s v="Other retailing n.e.c."/>
    <s v="2022-10-01"/>
    <x v="3"/>
    <s v="October  "/>
    <s v="10"/>
    <n v="909.8"/>
    <n v="12.79"/>
  </r>
  <r>
    <x v="1"/>
    <s v="Other retailing n.e.c."/>
    <s v="2022-11-01"/>
    <x v="3"/>
    <s v="November "/>
    <s v="11"/>
    <n v="1067.5999999999999"/>
    <n v="2.87"/>
  </r>
  <r>
    <x v="1"/>
    <s v="Other retailing n.e.c."/>
    <s v="2022-12-01"/>
    <x v="3"/>
    <s v="December "/>
    <s v="12"/>
    <n v="1069"/>
    <n v="4.18"/>
  </r>
  <r>
    <x v="1"/>
    <s v="Other retailing n.e.c."/>
    <s v="2023-01-01"/>
    <x v="4"/>
    <s v="January  "/>
    <s v="1"/>
    <n v="838.7"/>
    <n v="7.76"/>
  </r>
  <r>
    <x v="1"/>
    <s v="Other retailing n.e.c."/>
    <s v="2023-02-01"/>
    <x v="4"/>
    <s v="February "/>
    <s v="2"/>
    <n v="793.9"/>
    <n v="2.77"/>
  </r>
  <r>
    <x v="1"/>
    <s v="Other retailing n.e.c."/>
    <s v="2023-03-01"/>
    <x v="4"/>
    <s v="March    "/>
    <s v="3"/>
    <n v="853.8"/>
    <n v="-1.28"/>
  </r>
  <r>
    <x v="1"/>
    <s v="Other retailing n.e.c."/>
    <s v="2023-04-01"/>
    <x v="4"/>
    <s v="April    "/>
    <s v="4"/>
    <n v="785.5"/>
    <n v="0.38"/>
  </r>
  <r>
    <x v="1"/>
    <s v="Other retailing n.e.c."/>
    <s v="2023-05-01"/>
    <x v="4"/>
    <s v="May      "/>
    <s v="5"/>
    <n v="886.4"/>
    <n v="2.99"/>
  </r>
  <r>
    <x v="1"/>
    <s v="Other retailing n.e.c."/>
    <s v="2023-06-01"/>
    <x v="4"/>
    <s v="June     "/>
    <s v="6"/>
    <n v="836.5"/>
    <n v="-1.29"/>
  </r>
  <r>
    <x v="1"/>
    <s v="Other retailing n.e.c."/>
    <s v="2023-07-01"/>
    <x v="4"/>
    <s v="July     "/>
    <s v="7"/>
    <n v="835.6"/>
    <n v="-3.31"/>
  </r>
  <r>
    <x v="1"/>
    <s v="Other retailing n.e.c."/>
    <s v="2023-08-01"/>
    <x v="4"/>
    <s v="August   "/>
    <s v="8"/>
    <n v="844.3"/>
    <n v="-1.79"/>
  </r>
  <r>
    <x v="1"/>
    <s v="Other retailing n.e.c."/>
    <s v="2023-09-01"/>
    <x v="4"/>
    <s v="September"/>
    <s v="9"/>
    <n v="845.8"/>
    <n v="-0.55000000000000004"/>
  </r>
  <r>
    <x v="1"/>
    <s v="Other retailing n.e.c."/>
    <s v="2023-10-01"/>
    <x v="4"/>
    <s v="October  "/>
    <s v="10"/>
    <n v="902"/>
    <n v="-0.86"/>
  </r>
  <r>
    <x v="1"/>
    <s v="Other retailing n.e.c."/>
    <s v="2023-11-01"/>
    <x v="4"/>
    <s v="November "/>
    <s v="11"/>
    <n v="1072.3"/>
    <n v="0.44"/>
  </r>
  <r>
    <x v="1"/>
    <s v="Other retailing n.e.c."/>
    <s v="2023-12-01"/>
    <x v="4"/>
    <s v="December "/>
    <s v="12"/>
    <n v="1056.8"/>
    <n v="-1.1399999999999999"/>
  </r>
  <r>
    <x v="1"/>
    <s v="Other retailing n.e.c."/>
    <s v="2024-01-01"/>
    <x v="5"/>
    <s v="January  "/>
    <s v="1"/>
    <n v="858.4"/>
    <n v="2.35"/>
  </r>
  <r>
    <x v="1"/>
    <s v="Other retailing n.e.c."/>
    <s v="2024-02-01"/>
    <x v="5"/>
    <s v="February "/>
    <s v="2"/>
    <n v="858.1"/>
    <n v="8.09"/>
  </r>
  <r>
    <x v="1"/>
    <s v="Other retailing n.e.c."/>
    <s v="2024-03-01"/>
    <x v="5"/>
    <s v="March    "/>
    <s v="3"/>
    <n v="851.4"/>
    <n v="-0.28000000000000003"/>
  </r>
  <r>
    <x v="1"/>
    <s v="Other retailing n.e.c."/>
    <s v="2024-04-01"/>
    <x v="5"/>
    <s v="April    "/>
    <s v="4"/>
    <n v="845.5"/>
    <n v="7.64"/>
  </r>
  <r>
    <x v="1"/>
    <s v="Other retailing n.e.c."/>
    <s v="2024-05-01"/>
    <x v="5"/>
    <s v="May      "/>
    <s v="5"/>
    <n v="889.8"/>
    <n v="0.38"/>
  </r>
  <r>
    <x v="1"/>
    <s v="Other retailing n.e.c."/>
    <s v="2024-06-01"/>
    <x v="5"/>
    <s v="June     "/>
    <s v="6"/>
    <n v="854.9"/>
    <n v="2.2000000000000002"/>
  </r>
  <r>
    <x v="1"/>
    <s v="Other retailing n.e.c."/>
    <s v="2024-07-01"/>
    <x v="5"/>
    <s v="July     "/>
    <s v="7"/>
    <n v="851.7"/>
    <n v="1.93"/>
  </r>
  <r>
    <x v="1"/>
    <s v="Other retailing n.e.c."/>
    <s v="2024-08-01"/>
    <x v="5"/>
    <s v="August   "/>
    <s v="8"/>
    <n v="874.6"/>
    <n v="3.59"/>
  </r>
  <r>
    <x v="1"/>
    <s v="Other retailing n.e.c."/>
    <s v="2024-09-01"/>
    <x v="5"/>
    <s v="September"/>
    <s v="9"/>
    <n v="845.2"/>
    <n v="-7.0000000000000007E-2"/>
  </r>
  <r>
    <x v="1"/>
    <s v="Other retailing n.e.c."/>
    <s v="2024-10-01"/>
    <x v="5"/>
    <s v="October  "/>
    <s v="10"/>
    <n v="933.6"/>
    <n v="3.5"/>
  </r>
  <r>
    <x v="1"/>
    <s v="Other retailing n.e.c."/>
    <s v="2024-11-01"/>
    <x v="5"/>
    <s v="November "/>
    <s v="11"/>
    <n v="1058.7"/>
    <n v="-1.27"/>
  </r>
  <r>
    <x v="1"/>
    <s v="Other retailing n.e.c."/>
    <s v="2024-12-01"/>
    <x v="5"/>
    <s v="December "/>
    <s v="12"/>
    <n v="1036.5"/>
    <n v="-1.92"/>
  </r>
  <r>
    <x v="1"/>
    <s v="Other retailing n.e.c."/>
    <s v="2025-01-01"/>
    <x v="6"/>
    <s v="January  "/>
    <s v="1"/>
    <n v="845.6"/>
    <n v="-1.49"/>
  </r>
  <r>
    <x v="1"/>
    <s v="Other retailing n.e.c."/>
    <s v="2025-02-01"/>
    <x v="6"/>
    <s v="February "/>
    <s v="2"/>
    <n v="780.8"/>
    <n v="-9.01"/>
  </r>
  <r>
    <x v="1"/>
    <s v="Other retailing n.e.c."/>
    <s v="2025-03-01"/>
    <x v="6"/>
    <s v="March    "/>
    <s v="3"/>
    <n v="835.5"/>
    <n v="-1.87"/>
  </r>
  <r>
    <x v="1"/>
    <s v="Other retailing n.e.c."/>
    <s v="2025-04-01"/>
    <x v="6"/>
    <s v="April    "/>
    <s v="4"/>
    <n v="781.8"/>
    <n v="-7.53"/>
  </r>
  <r>
    <x v="1"/>
    <s v="Other retailing n.e.c."/>
    <s v="2025-05-01"/>
    <x v="6"/>
    <s v="May      "/>
    <s v="5"/>
    <n v="831.4"/>
    <n v="-6.56"/>
  </r>
  <r>
    <x v="1"/>
    <s v="Other retailing n.e.c."/>
    <s v="2025-06-01"/>
    <x v="6"/>
    <s v="June     "/>
    <s v="6"/>
    <n v="847.8"/>
    <n v="-0.83"/>
  </r>
  <r>
    <x v="1"/>
    <s v="Other specialised food retailing"/>
    <s v="2019-01-01"/>
    <x v="0"/>
    <s v="January  "/>
    <s v="1"/>
    <n v="263.60000000000002"/>
    <m/>
  </r>
  <r>
    <x v="1"/>
    <s v="Other specialised food retailing"/>
    <s v="2019-02-01"/>
    <x v="0"/>
    <s v="February "/>
    <s v="2"/>
    <n v="245.3"/>
    <m/>
  </r>
  <r>
    <x v="1"/>
    <s v="Other specialised food retailing"/>
    <s v="2019-03-01"/>
    <x v="0"/>
    <s v="March    "/>
    <s v="3"/>
    <n v="264.3"/>
    <m/>
  </r>
  <r>
    <x v="1"/>
    <s v="Other specialised food retailing"/>
    <s v="2019-04-01"/>
    <x v="0"/>
    <s v="April    "/>
    <s v="4"/>
    <n v="277.3"/>
    <m/>
  </r>
  <r>
    <x v="1"/>
    <s v="Other specialised food retailing"/>
    <s v="2019-05-01"/>
    <x v="0"/>
    <s v="May      "/>
    <s v="5"/>
    <n v="259.5"/>
    <m/>
  </r>
  <r>
    <x v="1"/>
    <s v="Other specialised food retailing"/>
    <s v="2019-06-01"/>
    <x v="0"/>
    <s v="June     "/>
    <s v="6"/>
    <n v="239.9"/>
    <m/>
  </r>
  <r>
    <x v="1"/>
    <s v="Other specialised food retailing"/>
    <s v="2019-07-01"/>
    <x v="0"/>
    <s v="July     "/>
    <s v="7"/>
    <n v="233.3"/>
    <m/>
  </r>
  <r>
    <x v="1"/>
    <s v="Other specialised food retailing"/>
    <s v="2019-08-01"/>
    <x v="0"/>
    <s v="August   "/>
    <s v="8"/>
    <n v="239.9"/>
    <m/>
  </r>
  <r>
    <x v="1"/>
    <s v="Other specialised food retailing"/>
    <s v="2019-09-01"/>
    <x v="0"/>
    <s v="September"/>
    <s v="9"/>
    <n v="231.4"/>
    <m/>
  </r>
  <r>
    <x v="1"/>
    <s v="Other specialised food retailing"/>
    <s v="2019-10-01"/>
    <x v="0"/>
    <s v="October  "/>
    <s v="10"/>
    <n v="250.6"/>
    <m/>
  </r>
  <r>
    <x v="1"/>
    <s v="Other specialised food retailing"/>
    <s v="2019-11-01"/>
    <x v="0"/>
    <s v="November "/>
    <s v="11"/>
    <n v="252.7"/>
    <m/>
  </r>
  <r>
    <x v="1"/>
    <s v="Other specialised food retailing"/>
    <s v="2019-12-01"/>
    <x v="0"/>
    <s v="December "/>
    <s v="12"/>
    <n v="321.60000000000002"/>
    <m/>
  </r>
  <r>
    <x v="1"/>
    <s v="Other specialised food retailing"/>
    <s v="2020-01-01"/>
    <x v="1"/>
    <s v="January  "/>
    <s v="1"/>
    <n v="243.3"/>
    <n v="-7.7"/>
  </r>
  <r>
    <x v="1"/>
    <s v="Other specialised food retailing"/>
    <s v="2020-02-01"/>
    <x v="1"/>
    <s v="February "/>
    <s v="2"/>
    <n v="225.2"/>
    <n v="-8.19"/>
  </r>
  <r>
    <x v="1"/>
    <s v="Other specialised food retailing"/>
    <s v="2020-03-01"/>
    <x v="1"/>
    <s v="March    "/>
    <s v="3"/>
    <n v="280.7"/>
    <n v="6.21"/>
  </r>
  <r>
    <x v="1"/>
    <s v="Other specialised food retailing"/>
    <s v="2020-04-01"/>
    <x v="1"/>
    <s v="April    "/>
    <s v="4"/>
    <n v="246"/>
    <n v="-11.29"/>
  </r>
  <r>
    <x v="1"/>
    <s v="Other specialised food retailing"/>
    <s v="2020-05-01"/>
    <x v="1"/>
    <s v="May      "/>
    <s v="5"/>
    <n v="258.2"/>
    <n v="-0.5"/>
  </r>
  <r>
    <x v="1"/>
    <s v="Other specialised food retailing"/>
    <s v="2020-06-01"/>
    <x v="1"/>
    <s v="June     "/>
    <s v="6"/>
    <n v="250.3"/>
    <n v="4.34"/>
  </r>
  <r>
    <x v="1"/>
    <s v="Other specialised food retailing"/>
    <s v="2020-07-01"/>
    <x v="1"/>
    <s v="July     "/>
    <s v="7"/>
    <n v="266.8"/>
    <n v="14.36"/>
  </r>
  <r>
    <x v="1"/>
    <s v="Other specialised food retailing"/>
    <s v="2020-08-01"/>
    <x v="1"/>
    <s v="August   "/>
    <s v="8"/>
    <n v="270.60000000000002"/>
    <n v="12.8"/>
  </r>
  <r>
    <x v="1"/>
    <s v="Other specialised food retailing"/>
    <s v="2020-09-01"/>
    <x v="1"/>
    <s v="September"/>
    <s v="9"/>
    <n v="266.89999999999998"/>
    <n v="15.34"/>
  </r>
  <r>
    <x v="1"/>
    <s v="Other specialised food retailing"/>
    <s v="2020-10-01"/>
    <x v="1"/>
    <s v="October  "/>
    <s v="10"/>
    <n v="273.8"/>
    <n v="9.26"/>
  </r>
  <r>
    <x v="1"/>
    <s v="Other specialised food retailing"/>
    <s v="2020-11-01"/>
    <x v="1"/>
    <s v="November "/>
    <s v="11"/>
    <n v="283.39999999999998"/>
    <n v="12.15"/>
  </r>
  <r>
    <x v="1"/>
    <s v="Other specialised food retailing"/>
    <s v="2020-12-01"/>
    <x v="1"/>
    <s v="December "/>
    <s v="12"/>
    <n v="347.4"/>
    <n v="8.02"/>
  </r>
  <r>
    <x v="1"/>
    <s v="Other specialised food retailing"/>
    <s v="2021-01-01"/>
    <x v="2"/>
    <s v="January  "/>
    <s v="1"/>
    <n v="282.60000000000002"/>
    <n v="16.149999999999999"/>
  </r>
  <r>
    <x v="1"/>
    <s v="Other specialised food retailing"/>
    <s v="2021-02-01"/>
    <x v="2"/>
    <s v="February "/>
    <s v="2"/>
    <n v="263.2"/>
    <n v="16.87"/>
  </r>
  <r>
    <x v="1"/>
    <s v="Other specialised food retailing"/>
    <s v="2021-03-01"/>
    <x v="2"/>
    <s v="March    "/>
    <s v="3"/>
    <n v="285.3"/>
    <n v="1.64"/>
  </r>
  <r>
    <x v="1"/>
    <s v="Other specialised food retailing"/>
    <s v="2021-04-01"/>
    <x v="2"/>
    <s v="April    "/>
    <s v="4"/>
    <n v="299.2"/>
    <n v="21.63"/>
  </r>
  <r>
    <x v="1"/>
    <s v="Other specialised food retailing"/>
    <s v="2021-05-01"/>
    <x v="2"/>
    <s v="May      "/>
    <s v="5"/>
    <n v="296"/>
    <n v="14.64"/>
  </r>
  <r>
    <x v="1"/>
    <s v="Other specialised food retailing"/>
    <s v="2021-06-01"/>
    <x v="2"/>
    <s v="June     "/>
    <s v="6"/>
    <n v="299"/>
    <n v="19.46"/>
  </r>
  <r>
    <x v="1"/>
    <s v="Other specialised food retailing"/>
    <s v="2021-07-01"/>
    <x v="2"/>
    <s v="July     "/>
    <s v="7"/>
    <n v="283.10000000000002"/>
    <n v="6.11"/>
  </r>
  <r>
    <x v="1"/>
    <s v="Other specialised food retailing"/>
    <s v="2021-08-01"/>
    <x v="2"/>
    <s v="August   "/>
    <s v="8"/>
    <n v="299.5"/>
    <n v="10.68"/>
  </r>
  <r>
    <x v="1"/>
    <s v="Other specialised food retailing"/>
    <s v="2021-09-01"/>
    <x v="2"/>
    <s v="September"/>
    <s v="9"/>
    <n v="308.7"/>
    <n v="15.66"/>
  </r>
  <r>
    <x v="1"/>
    <s v="Other specialised food retailing"/>
    <s v="2021-10-01"/>
    <x v="2"/>
    <s v="October  "/>
    <s v="10"/>
    <n v="313.7"/>
    <n v="14.57"/>
  </r>
  <r>
    <x v="1"/>
    <s v="Other specialised food retailing"/>
    <s v="2021-11-01"/>
    <x v="2"/>
    <s v="November "/>
    <s v="11"/>
    <n v="314"/>
    <n v="10.8"/>
  </r>
  <r>
    <x v="1"/>
    <s v="Other specialised food retailing"/>
    <s v="2021-12-01"/>
    <x v="2"/>
    <s v="December "/>
    <s v="12"/>
    <n v="377.1"/>
    <n v="8.5500000000000007"/>
  </r>
  <r>
    <x v="1"/>
    <s v="Other specialised food retailing"/>
    <s v="2022-01-01"/>
    <x v="3"/>
    <s v="January  "/>
    <s v="1"/>
    <n v="308.60000000000002"/>
    <n v="9.1999999999999993"/>
  </r>
  <r>
    <x v="1"/>
    <s v="Other specialised food retailing"/>
    <s v="2022-02-01"/>
    <x v="3"/>
    <s v="February "/>
    <s v="2"/>
    <n v="276.3"/>
    <n v="4.9800000000000004"/>
  </r>
  <r>
    <x v="1"/>
    <s v="Other specialised food retailing"/>
    <s v="2022-03-01"/>
    <x v="3"/>
    <s v="March    "/>
    <s v="3"/>
    <n v="298.3"/>
    <n v="4.5599999999999996"/>
  </r>
  <r>
    <x v="1"/>
    <s v="Other specialised food retailing"/>
    <s v="2022-04-01"/>
    <x v="3"/>
    <s v="April    "/>
    <s v="4"/>
    <n v="307"/>
    <n v="2.61"/>
  </r>
  <r>
    <x v="1"/>
    <s v="Other specialised food retailing"/>
    <s v="2022-05-01"/>
    <x v="3"/>
    <s v="May      "/>
    <s v="5"/>
    <n v="301.5"/>
    <n v="1.86"/>
  </r>
  <r>
    <x v="1"/>
    <s v="Other specialised food retailing"/>
    <s v="2022-06-01"/>
    <x v="3"/>
    <s v="June     "/>
    <s v="6"/>
    <n v="288.7"/>
    <n v="-3.44"/>
  </r>
  <r>
    <x v="1"/>
    <s v="Other specialised food retailing"/>
    <s v="2022-07-01"/>
    <x v="3"/>
    <s v="July     "/>
    <s v="7"/>
    <n v="304"/>
    <n v="7.38"/>
  </r>
  <r>
    <x v="1"/>
    <s v="Other specialised food retailing"/>
    <s v="2022-08-01"/>
    <x v="3"/>
    <s v="August   "/>
    <s v="8"/>
    <n v="323.7"/>
    <n v="8.08"/>
  </r>
  <r>
    <x v="1"/>
    <s v="Other specialised food retailing"/>
    <s v="2022-09-01"/>
    <x v="3"/>
    <s v="September"/>
    <s v="9"/>
    <n v="323.89999999999998"/>
    <n v="4.92"/>
  </r>
  <r>
    <x v="1"/>
    <s v="Other specialised food retailing"/>
    <s v="2022-10-01"/>
    <x v="3"/>
    <s v="October  "/>
    <s v="10"/>
    <n v="323.7"/>
    <n v="3.19"/>
  </r>
  <r>
    <x v="1"/>
    <s v="Other specialised food retailing"/>
    <s v="2022-11-01"/>
    <x v="3"/>
    <s v="November "/>
    <s v="11"/>
    <n v="342.8"/>
    <n v="9.17"/>
  </r>
  <r>
    <x v="1"/>
    <s v="Other specialised food retailing"/>
    <s v="2022-12-01"/>
    <x v="3"/>
    <s v="December "/>
    <s v="12"/>
    <n v="422"/>
    <n v="11.91"/>
  </r>
  <r>
    <x v="1"/>
    <s v="Other specialised food retailing"/>
    <s v="2023-01-01"/>
    <x v="4"/>
    <s v="January  "/>
    <s v="1"/>
    <n v="325"/>
    <n v="5.31"/>
  </r>
  <r>
    <x v="1"/>
    <s v="Other specialised food retailing"/>
    <s v="2023-02-01"/>
    <x v="4"/>
    <s v="February "/>
    <s v="2"/>
    <n v="307.2"/>
    <n v="11.18"/>
  </r>
  <r>
    <x v="1"/>
    <s v="Other specialised food retailing"/>
    <s v="2023-03-01"/>
    <x v="4"/>
    <s v="March    "/>
    <s v="3"/>
    <n v="325.89999999999998"/>
    <n v="9.25"/>
  </r>
  <r>
    <x v="1"/>
    <s v="Other specialised food retailing"/>
    <s v="2023-04-01"/>
    <x v="4"/>
    <s v="April    "/>
    <s v="4"/>
    <n v="314.60000000000002"/>
    <n v="2.48"/>
  </r>
  <r>
    <x v="1"/>
    <s v="Other specialised food retailing"/>
    <s v="2023-05-01"/>
    <x v="4"/>
    <s v="May      "/>
    <s v="5"/>
    <n v="311.89999999999998"/>
    <n v="3.45"/>
  </r>
  <r>
    <x v="1"/>
    <s v="Other specialised food retailing"/>
    <s v="2023-06-01"/>
    <x v="4"/>
    <s v="June     "/>
    <s v="6"/>
    <n v="311"/>
    <n v="7.72"/>
  </r>
  <r>
    <x v="1"/>
    <s v="Other specialised food retailing"/>
    <s v="2023-07-01"/>
    <x v="4"/>
    <s v="July     "/>
    <s v="7"/>
    <n v="318.7"/>
    <n v="4.84"/>
  </r>
  <r>
    <x v="1"/>
    <s v="Other specialised food retailing"/>
    <s v="2023-08-01"/>
    <x v="4"/>
    <s v="August   "/>
    <s v="8"/>
    <n v="343.8"/>
    <n v="6.21"/>
  </r>
  <r>
    <x v="1"/>
    <s v="Other specialised food retailing"/>
    <s v="2023-09-01"/>
    <x v="4"/>
    <s v="September"/>
    <s v="9"/>
    <n v="332.2"/>
    <n v="2.56"/>
  </r>
  <r>
    <x v="1"/>
    <s v="Other specialised food retailing"/>
    <s v="2023-10-01"/>
    <x v="4"/>
    <s v="October  "/>
    <s v="10"/>
    <n v="340.4"/>
    <n v="5.16"/>
  </r>
  <r>
    <x v="1"/>
    <s v="Other specialised food retailing"/>
    <s v="2023-11-01"/>
    <x v="4"/>
    <s v="November "/>
    <s v="11"/>
    <n v="341.6"/>
    <n v="-0.35"/>
  </r>
  <r>
    <x v="1"/>
    <s v="Other specialised food retailing"/>
    <s v="2023-12-01"/>
    <x v="4"/>
    <s v="December "/>
    <s v="12"/>
    <n v="392"/>
    <n v="-7.11"/>
  </r>
  <r>
    <x v="1"/>
    <s v="Other specialised food retailing"/>
    <s v="2024-01-01"/>
    <x v="5"/>
    <s v="January  "/>
    <s v="1"/>
    <n v="316.3"/>
    <n v="-2.68"/>
  </r>
  <r>
    <x v="1"/>
    <s v="Other specialised food retailing"/>
    <s v="2024-02-01"/>
    <x v="5"/>
    <s v="February "/>
    <s v="2"/>
    <n v="316.5"/>
    <n v="3.03"/>
  </r>
  <r>
    <x v="1"/>
    <s v="Other specialised food retailing"/>
    <s v="2024-03-01"/>
    <x v="5"/>
    <s v="March    "/>
    <s v="3"/>
    <n v="349.4"/>
    <n v="7.21"/>
  </r>
  <r>
    <x v="1"/>
    <s v="Other specialised food retailing"/>
    <s v="2024-04-01"/>
    <x v="5"/>
    <s v="April    "/>
    <s v="4"/>
    <n v="350.4"/>
    <n v="11.38"/>
  </r>
  <r>
    <x v="1"/>
    <s v="Other specialised food retailing"/>
    <s v="2024-05-01"/>
    <x v="5"/>
    <s v="May      "/>
    <s v="5"/>
    <n v="358"/>
    <n v="14.78"/>
  </r>
  <r>
    <x v="1"/>
    <s v="Other specialised food retailing"/>
    <s v="2024-06-01"/>
    <x v="5"/>
    <s v="June     "/>
    <s v="6"/>
    <n v="344.9"/>
    <n v="10.9"/>
  </r>
  <r>
    <x v="1"/>
    <s v="Other specialised food retailing"/>
    <s v="2024-07-01"/>
    <x v="5"/>
    <s v="July     "/>
    <s v="7"/>
    <n v="358.7"/>
    <n v="12.55"/>
  </r>
  <r>
    <x v="1"/>
    <s v="Other specialised food retailing"/>
    <s v="2024-08-01"/>
    <x v="5"/>
    <s v="August   "/>
    <s v="8"/>
    <n v="369.4"/>
    <n v="7.45"/>
  </r>
  <r>
    <x v="1"/>
    <s v="Other specialised food retailing"/>
    <s v="2024-09-01"/>
    <x v="5"/>
    <s v="September"/>
    <s v="9"/>
    <n v="356.8"/>
    <n v="7.41"/>
  </r>
  <r>
    <x v="1"/>
    <s v="Other specialised food retailing"/>
    <s v="2024-10-01"/>
    <x v="5"/>
    <s v="October  "/>
    <s v="10"/>
    <n v="365"/>
    <n v="7.23"/>
  </r>
  <r>
    <x v="1"/>
    <s v="Other specialised food retailing"/>
    <s v="2024-11-01"/>
    <x v="5"/>
    <s v="November "/>
    <s v="11"/>
    <n v="367.7"/>
    <n v="7.64"/>
  </r>
  <r>
    <x v="1"/>
    <s v="Other specialised food retailing"/>
    <s v="2024-12-01"/>
    <x v="5"/>
    <s v="December "/>
    <s v="12"/>
    <n v="466.5"/>
    <n v="19.010000000000002"/>
  </r>
  <r>
    <x v="1"/>
    <s v="Other specialised food retailing"/>
    <s v="2025-01-01"/>
    <x v="6"/>
    <s v="January  "/>
    <s v="1"/>
    <n v="360.8"/>
    <n v="14.07"/>
  </r>
  <r>
    <x v="1"/>
    <s v="Other specialised food retailing"/>
    <s v="2025-02-01"/>
    <x v="6"/>
    <s v="February "/>
    <s v="2"/>
    <n v="348.2"/>
    <n v="10.02"/>
  </r>
  <r>
    <x v="1"/>
    <s v="Other specialised food retailing"/>
    <s v="2025-03-01"/>
    <x v="6"/>
    <s v="March    "/>
    <s v="3"/>
    <n v="381.3"/>
    <n v="9.1300000000000008"/>
  </r>
  <r>
    <x v="1"/>
    <s v="Other specialised food retailing"/>
    <s v="2025-04-01"/>
    <x v="6"/>
    <s v="April    "/>
    <s v="4"/>
    <n v="395.4"/>
    <n v="12.84"/>
  </r>
  <r>
    <x v="1"/>
    <s v="Other specialised food retailing"/>
    <s v="2025-05-01"/>
    <x v="6"/>
    <s v="May      "/>
    <s v="5"/>
    <n v="389.1"/>
    <n v="8.69"/>
  </r>
  <r>
    <x v="1"/>
    <s v="Other specialised food retailing"/>
    <s v="2025-06-01"/>
    <x v="6"/>
    <s v="June     "/>
    <s v="6"/>
    <n v="366"/>
    <n v="6.12"/>
  </r>
  <r>
    <x v="1"/>
    <s v="Pharmaceutical, cosmetic and toiletry goods retailing"/>
    <s v="2019-01-01"/>
    <x v="0"/>
    <s v="January  "/>
    <s v="1"/>
    <n v="355.8"/>
    <m/>
  </r>
  <r>
    <x v="1"/>
    <s v="Pharmaceutical, cosmetic and toiletry goods retailing"/>
    <s v="2019-02-01"/>
    <x v="0"/>
    <s v="February "/>
    <s v="2"/>
    <n v="344"/>
    <m/>
  </r>
  <r>
    <x v="1"/>
    <s v="Pharmaceutical, cosmetic and toiletry goods retailing"/>
    <s v="2019-03-01"/>
    <x v="0"/>
    <s v="March    "/>
    <s v="3"/>
    <n v="393"/>
    <m/>
  </r>
  <r>
    <x v="1"/>
    <s v="Pharmaceutical, cosmetic and toiletry goods retailing"/>
    <s v="2019-04-01"/>
    <x v="0"/>
    <s v="April    "/>
    <s v="4"/>
    <n v="375.9"/>
    <m/>
  </r>
  <r>
    <x v="1"/>
    <s v="Pharmaceutical, cosmetic and toiletry goods retailing"/>
    <s v="2019-05-01"/>
    <x v="0"/>
    <s v="May      "/>
    <s v="5"/>
    <n v="408.4"/>
    <m/>
  </r>
  <r>
    <x v="1"/>
    <s v="Pharmaceutical, cosmetic and toiletry goods retailing"/>
    <s v="2019-06-01"/>
    <x v="0"/>
    <s v="June     "/>
    <s v="6"/>
    <n v="391.7"/>
    <m/>
  </r>
  <r>
    <x v="1"/>
    <s v="Pharmaceutical, cosmetic and toiletry goods retailing"/>
    <s v="2019-07-01"/>
    <x v="0"/>
    <s v="July     "/>
    <s v="7"/>
    <n v="405.7"/>
    <m/>
  </r>
  <r>
    <x v="1"/>
    <s v="Pharmaceutical, cosmetic and toiletry goods retailing"/>
    <s v="2019-08-01"/>
    <x v="0"/>
    <s v="August   "/>
    <s v="8"/>
    <n v="410.7"/>
    <m/>
  </r>
  <r>
    <x v="1"/>
    <s v="Pharmaceutical, cosmetic and toiletry goods retailing"/>
    <s v="2019-09-01"/>
    <x v="0"/>
    <s v="September"/>
    <s v="9"/>
    <n v="394.9"/>
    <m/>
  </r>
  <r>
    <x v="1"/>
    <s v="Pharmaceutical, cosmetic and toiletry goods retailing"/>
    <s v="2019-10-01"/>
    <x v="0"/>
    <s v="October  "/>
    <s v="10"/>
    <n v="407.3"/>
    <m/>
  </r>
  <r>
    <x v="1"/>
    <s v="Pharmaceutical, cosmetic and toiletry goods retailing"/>
    <s v="2019-11-01"/>
    <x v="0"/>
    <s v="November "/>
    <s v="11"/>
    <n v="426.9"/>
    <m/>
  </r>
  <r>
    <x v="1"/>
    <s v="Pharmaceutical, cosmetic and toiletry goods retailing"/>
    <s v="2019-12-01"/>
    <x v="0"/>
    <s v="December "/>
    <s v="12"/>
    <n v="478.1"/>
    <m/>
  </r>
  <r>
    <x v="1"/>
    <s v="Pharmaceutical, cosmetic and toiletry goods retailing"/>
    <s v="2020-01-01"/>
    <x v="1"/>
    <s v="January  "/>
    <s v="1"/>
    <n v="370.6"/>
    <n v="4.16"/>
  </r>
  <r>
    <x v="1"/>
    <s v="Pharmaceutical, cosmetic and toiletry goods retailing"/>
    <s v="2020-02-01"/>
    <x v="1"/>
    <s v="February "/>
    <s v="2"/>
    <n v="372.7"/>
    <n v="8.34"/>
  </r>
  <r>
    <x v="1"/>
    <s v="Pharmaceutical, cosmetic and toiletry goods retailing"/>
    <s v="2020-03-01"/>
    <x v="1"/>
    <s v="March    "/>
    <s v="3"/>
    <n v="478.4"/>
    <n v="21.73"/>
  </r>
  <r>
    <x v="1"/>
    <s v="Pharmaceutical, cosmetic and toiletry goods retailing"/>
    <s v="2020-04-01"/>
    <x v="1"/>
    <s v="April    "/>
    <s v="4"/>
    <n v="350.7"/>
    <n v="-6.7"/>
  </r>
  <r>
    <x v="1"/>
    <s v="Pharmaceutical, cosmetic and toiletry goods retailing"/>
    <s v="2020-05-01"/>
    <x v="1"/>
    <s v="May      "/>
    <s v="5"/>
    <n v="418.4"/>
    <n v="2.4500000000000002"/>
  </r>
  <r>
    <x v="1"/>
    <s v="Pharmaceutical, cosmetic and toiletry goods retailing"/>
    <s v="2020-06-01"/>
    <x v="1"/>
    <s v="June     "/>
    <s v="6"/>
    <n v="403.4"/>
    <n v="2.99"/>
  </r>
  <r>
    <x v="1"/>
    <s v="Pharmaceutical, cosmetic and toiletry goods retailing"/>
    <s v="2020-07-01"/>
    <x v="1"/>
    <s v="July     "/>
    <s v="7"/>
    <n v="479.5"/>
    <n v="18.190000000000001"/>
  </r>
  <r>
    <x v="1"/>
    <s v="Pharmaceutical, cosmetic and toiletry goods retailing"/>
    <s v="2020-08-01"/>
    <x v="1"/>
    <s v="August   "/>
    <s v="8"/>
    <n v="437.2"/>
    <n v="6.45"/>
  </r>
  <r>
    <x v="1"/>
    <s v="Pharmaceutical, cosmetic and toiletry goods retailing"/>
    <s v="2020-09-01"/>
    <x v="1"/>
    <s v="September"/>
    <s v="9"/>
    <n v="448.8"/>
    <n v="13.65"/>
  </r>
  <r>
    <x v="1"/>
    <s v="Pharmaceutical, cosmetic and toiletry goods retailing"/>
    <s v="2020-10-01"/>
    <x v="1"/>
    <s v="October  "/>
    <s v="10"/>
    <n v="459.1"/>
    <n v="12.72"/>
  </r>
  <r>
    <x v="1"/>
    <s v="Pharmaceutical, cosmetic and toiletry goods retailing"/>
    <s v="2020-11-01"/>
    <x v="1"/>
    <s v="November "/>
    <s v="11"/>
    <n v="463.4"/>
    <n v="8.5500000000000007"/>
  </r>
  <r>
    <x v="1"/>
    <s v="Pharmaceutical, cosmetic and toiletry goods retailing"/>
    <s v="2020-12-01"/>
    <x v="1"/>
    <s v="December "/>
    <s v="12"/>
    <n v="554.6"/>
    <n v="16"/>
  </r>
  <r>
    <x v="1"/>
    <s v="Pharmaceutical, cosmetic and toiletry goods retailing"/>
    <s v="2021-01-01"/>
    <x v="2"/>
    <s v="January  "/>
    <s v="1"/>
    <n v="415.2"/>
    <n v="12.03"/>
  </r>
  <r>
    <x v="1"/>
    <s v="Pharmaceutical, cosmetic and toiletry goods retailing"/>
    <s v="2021-02-01"/>
    <x v="2"/>
    <s v="February "/>
    <s v="2"/>
    <n v="418.4"/>
    <n v="12.26"/>
  </r>
  <r>
    <x v="1"/>
    <s v="Pharmaceutical, cosmetic and toiletry goods retailing"/>
    <s v="2021-03-01"/>
    <x v="2"/>
    <s v="March    "/>
    <s v="3"/>
    <n v="481.2"/>
    <n v="0.59"/>
  </r>
  <r>
    <x v="1"/>
    <s v="Pharmaceutical, cosmetic and toiletry goods retailing"/>
    <s v="2021-04-01"/>
    <x v="2"/>
    <s v="April    "/>
    <s v="4"/>
    <n v="467.4"/>
    <n v="33.28"/>
  </r>
  <r>
    <x v="1"/>
    <s v="Pharmaceutical, cosmetic and toiletry goods retailing"/>
    <s v="2021-05-01"/>
    <x v="2"/>
    <s v="May      "/>
    <s v="5"/>
    <n v="489.7"/>
    <n v="17.04"/>
  </r>
  <r>
    <x v="1"/>
    <s v="Pharmaceutical, cosmetic and toiletry goods retailing"/>
    <s v="2021-06-01"/>
    <x v="2"/>
    <s v="June     "/>
    <s v="6"/>
    <n v="458.3"/>
    <n v="13.61"/>
  </r>
  <r>
    <x v="1"/>
    <s v="Pharmaceutical, cosmetic and toiletry goods retailing"/>
    <s v="2021-07-01"/>
    <x v="2"/>
    <s v="July     "/>
    <s v="7"/>
    <n v="488.6"/>
    <n v="1.9"/>
  </r>
  <r>
    <x v="1"/>
    <s v="Pharmaceutical, cosmetic and toiletry goods retailing"/>
    <s v="2021-08-01"/>
    <x v="2"/>
    <s v="August   "/>
    <s v="8"/>
    <n v="484"/>
    <n v="10.7"/>
  </r>
  <r>
    <x v="1"/>
    <s v="Pharmaceutical, cosmetic and toiletry goods retailing"/>
    <s v="2021-09-01"/>
    <x v="2"/>
    <s v="September"/>
    <s v="9"/>
    <n v="478.9"/>
    <n v="6.71"/>
  </r>
  <r>
    <x v="1"/>
    <s v="Pharmaceutical, cosmetic and toiletry goods retailing"/>
    <s v="2021-10-01"/>
    <x v="2"/>
    <s v="October  "/>
    <s v="10"/>
    <n v="499.8"/>
    <n v="8.8699999999999992"/>
  </r>
  <r>
    <x v="1"/>
    <s v="Pharmaceutical, cosmetic and toiletry goods retailing"/>
    <s v="2021-11-01"/>
    <x v="2"/>
    <s v="November "/>
    <s v="11"/>
    <n v="533.5"/>
    <n v="15.13"/>
  </r>
  <r>
    <x v="1"/>
    <s v="Pharmaceutical, cosmetic and toiletry goods retailing"/>
    <s v="2021-12-01"/>
    <x v="2"/>
    <s v="December "/>
    <s v="12"/>
    <n v="655.6"/>
    <n v="18.21"/>
  </r>
  <r>
    <x v="1"/>
    <s v="Pharmaceutical, cosmetic and toiletry goods retailing"/>
    <s v="2022-01-01"/>
    <x v="3"/>
    <s v="January  "/>
    <s v="1"/>
    <n v="500.3"/>
    <n v="20.5"/>
  </r>
  <r>
    <x v="1"/>
    <s v="Pharmaceutical, cosmetic and toiletry goods retailing"/>
    <s v="2022-02-01"/>
    <x v="3"/>
    <s v="February "/>
    <s v="2"/>
    <n v="474.7"/>
    <n v="13.46"/>
  </r>
  <r>
    <x v="1"/>
    <s v="Pharmaceutical, cosmetic and toiletry goods retailing"/>
    <s v="2022-03-01"/>
    <x v="3"/>
    <s v="March    "/>
    <s v="3"/>
    <n v="538.79999999999995"/>
    <n v="11.97"/>
  </r>
  <r>
    <x v="1"/>
    <s v="Pharmaceutical, cosmetic and toiletry goods retailing"/>
    <s v="2022-04-01"/>
    <x v="3"/>
    <s v="April    "/>
    <s v="4"/>
    <n v="525.29999999999995"/>
    <n v="12.39"/>
  </r>
  <r>
    <x v="1"/>
    <s v="Pharmaceutical, cosmetic and toiletry goods retailing"/>
    <s v="2022-05-01"/>
    <x v="3"/>
    <s v="May      "/>
    <s v="5"/>
    <n v="562"/>
    <n v="14.76"/>
  </r>
  <r>
    <x v="1"/>
    <s v="Pharmaceutical, cosmetic and toiletry goods retailing"/>
    <s v="2022-06-01"/>
    <x v="3"/>
    <s v="June     "/>
    <s v="6"/>
    <n v="555.5"/>
    <n v="21.21"/>
  </r>
  <r>
    <x v="1"/>
    <s v="Pharmaceutical, cosmetic and toiletry goods retailing"/>
    <s v="2022-07-01"/>
    <x v="3"/>
    <s v="July     "/>
    <s v="7"/>
    <n v="554.70000000000005"/>
    <n v="13.53"/>
  </r>
  <r>
    <x v="1"/>
    <s v="Pharmaceutical, cosmetic and toiletry goods retailing"/>
    <s v="2022-08-01"/>
    <x v="3"/>
    <s v="August   "/>
    <s v="8"/>
    <n v="570"/>
    <n v="17.77"/>
  </r>
  <r>
    <x v="1"/>
    <s v="Pharmaceutical, cosmetic and toiletry goods retailing"/>
    <s v="2022-09-01"/>
    <x v="3"/>
    <s v="September"/>
    <s v="9"/>
    <n v="565.4"/>
    <n v="18.059999999999999"/>
  </r>
  <r>
    <x v="1"/>
    <s v="Pharmaceutical, cosmetic and toiletry goods retailing"/>
    <s v="2022-10-01"/>
    <x v="3"/>
    <s v="October  "/>
    <s v="10"/>
    <n v="548.5"/>
    <n v="9.74"/>
  </r>
  <r>
    <x v="1"/>
    <s v="Pharmaceutical, cosmetic and toiletry goods retailing"/>
    <s v="2022-11-01"/>
    <x v="3"/>
    <s v="November "/>
    <s v="11"/>
    <n v="589.1"/>
    <n v="10.42"/>
  </r>
  <r>
    <x v="1"/>
    <s v="Pharmaceutical, cosmetic and toiletry goods retailing"/>
    <s v="2022-12-01"/>
    <x v="3"/>
    <s v="December "/>
    <s v="12"/>
    <n v="679.8"/>
    <n v="3.69"/>
  </r>
  <r>
    <x v="1"/>
    <s v="Pharmaceutical, cosmetic and toiletry goods retailing"/>
    <s v="2023-01-01"/>
    <x v="4"/>
    <s v="January  "/>
    <s v="1"/>
    <n v="506.7"/>
    <n v="1.28"/>
  </r>
  <r>
    <x v="1"/>
    <s v="Pharmaceutical, cosmetic and toiletry goods retailing"/>
    <s v="2023-02-01"/>
    <x v="4"/>
    <s v="February "/>
    <s v="2"/>
    <n v="496.7"/>
    <n v="4.63"/>
  </r>
  <r>
    <x v="1"/>
    <s v="Pharmaceutical, cosmetic and toiletry goods retailing"/>
    <s v="2023-03-01"/>
    <x v="4"/>
    <s v="March    "/>
    <s v="3"/>
    <n v="559.79999999999995"/>
    <n v="3.9"/>
  </r>
  <r>
    <x v="1"/>
    <s v="Pharmaceutical, cosmetic and toiletry goods retailing"/>
    <s v="2023-04-01"/>
    <x v="4"/>
    <s v="April    "/>
    <s v="4"/>
    <n v="534.5"/>
    <n v="1.75"/>
  </r>
  <r>
    <x v="1"/>
    <s v="Pharmaceutical, cosmetic and toiletry goods retailing"/>
    <s v="2023-05-01"/>
    <x v="4"/>
    <s v="May      "/>
    <s v="5"/>
    <n v="598"/>
    <n v="6.41"/>
  </r>
  <r>
    <x v="1"/>
    <s v="Pharmaceutical, cosmetic and toiletry goods retailing"/>
    <s v="2023-06-01"/>
    <x v="4"/>
    <s v="June     "/>
    <s v="6"/>
    <n v="559"/>
    <n v="0.63"/>
  </r>
  <r>
    <x v="1"/>
    <s v="Pharmaceutical, cosmetic and toiletry goods retailing"/>
    <s v="2023-07-01"/>
    <x v="4"/>
    <s v="July     "/>
    <s v="7"/>
    <n v="574"/>
    <n v="3.48"/>
  </r>
  <r>
    <x v="1"/>
    <s v="Pharmaceutical, cosmetic and toiletry goods retailing"/>
    <s v="2023-08-01"/>
    <x v="4"/>
    <s v="August   "/>
    <s v="8"/>
    <n v="590.9"/>
    <n v="3.67"/>
  </r>
  <r>
    <x v="1"/>
    <s v="Pharmaceutical, cosmetic and toiletry goods retailing"/>
    <s v="2023-09-01"/>
    <x v="4"/>
    <s v="September"/>
    <s v="9"/>
    <n v="610.1"/>
    <n v="7.91"/>
  </r>
  <r>
    <x v="1"/>
    <s v="Pharmaceutical, cosmetic and toiletry goods retailing"/>
    <s v="2023-10-01"/>
    <x v="4"/>
    <s v="October  "/>
    <s v="10"/>
    <n v="599.79999999999995"/>
    <n v="9.35"/>
  </r>
  <r>
    <x v="1"/>
    <s v="Pharmaceutical, cosmetic and toiletry goods retailing"/>
    <s v="2023-11-01"/>
    <x v="4"/>
    <s v="November "/>
    <s v="11"/>
    <n v="631.79999999999995"/>
    <n v="7.25"/>
  </r>
  <r>
    <x v="1"/>
    <s v="Pharmaceutical, cosmetic and toiletry goods retailing"/>
    <s v="2023-12-01"/>
    <x v="4"/>
    <s v="December "/>
    <s v="12"/>
    <n v="698.3"/>
    <n v="2.72"/>
  </r>
  <r>
    <x v="1"/>
    <s v="Pharmaceutical, cosmetic and toiletry goods retailing"/>
    <s v="2024-01-01"/>
    <x v="5"/>
    <s v="January  "/>
    <s v="1"/>
    <n v="553.29999999999995"/>
    <n v="9.1999999999999993"/>
  </r>
  <r>
    <x v="1"/>
    <s v="Pharmaceutical, cosmetic and toiletry goods retailing"/>
    <s v="2024-02-01"/>
    <x v="5"/>
    <s v="February "/>
    <s v="2"/>
    <n v="537.20000000000005"/>
    <n v="8.15"/>
  </r>
  <r>
    <x v="1"/>
    <s v="Pharmaceutical, cosmetic and toiletry goods retailing"/>
    <s v="2024-03-01"/>
    <x v="5"/>
    <s v="March    "/>
    <s v="3"/>
    <n v="574.6"/>
    <n v="2.64"/>
  </r>
  <r>
    <x v="1"/>
    <s v="Pharmaceutical, cosmetic and toiletry goods retailing"/>
    <s v="2024-04-01"/>
    <x v="5"/>
    <s v="April    "/>
    <s v="4"/>
    <n v="568.79999999999995"/>
    <n v="6.42"/>
  </r>
  <r>
    <x v="1"/>
    <s v="Pharmaceutical, cosmetic and toiletry goods retailing"/>
    <s v="2024-05-01"/>
    <x v="5"/>
    <s v="May      "/>
    <s v="5"/>
    <n v="621.20000000000005"/>
    <n v="3.88"/>
  </r>
  <r>
    <x v="1"/>
    <s v="Pharmaceutical, cosmetic and toiletry goods retailing"/>
    <s v="2024-06-01"/>
    <x v="5"/>
    <s v="June     "/>
    <s v="6"/>
    <n v="569.5"/>
    <n v="1.88"/>
  </r>
  <r>
    <x v="1"/>
    <s v="Pharmaceutical, cosmetic and toiletry goods retailing"/>
    <s v="2024-07-01"/>
    <x v="5"/>
    <s v="July     "/>
    <s v="7"/>
    <n v="610.79999999999995"/>
    <n v="6.41"/>
  </r>
  <r>
    <x v="1"/>
    <s v="Pharmaceutical, cosmetic and toiletry goods retailing"/>
    <s v="2024-08-01"/>
    <x v="5"/>
    <s v="August   "/>
    <s v="8"/>
    <n v="641"/>
    <n v="8.48"/>
  </r>
  <r>
    <x v="1"/>
    <s v="Pharmaceutical, cosmetic and toiletry goods retailing"/>
    <s v="2024-09-01"/>
    <x v="5"/>
    <s v="September"/>
    <s v="9"/>
    <n v="627"/>
    <n v="2.77"/>
  </r>
  <r>
    <x v="1"/>
    <s v="Pharmaceutical, cosmetic and toiletry goods retailing"/>
    <s v="2024-10-01"/>
    <x v="5"/>
    <s v="October  "/>
    <s v="10"/>
    <n v="644.29999999999995"/>
    <n v="7.42"/>
  </r>
  <r>
    <x v="1"/>
    <s v="Pharmaceutical, cosmetic and toiletry goods retailing"/>
    <s v="2024-11-01"/>
    <x v="5"/>
    <s v="November "/>
    <s v="11"/>
    <n v="668.2"/>
    <n v="5.76"/>
  </r>
  <r>
    <x v="1"/>
    <s v="Pharmaceutical, cosmetic and toiletry goods retailing"/>
    <s v="2024-12-01"/>
    <x v="5"/>
    <s v="December "/>
    <s v="12"/>
    <n v="758.3"/>
    <n v="8.59"/>
  </r>
  <r>
    <x v="1"/>
    <s v="Pharmaceutical, cosmetic and toiletry goods retailing"/>
    <s v="2025-01-01"/>
    <x v="6"/>
    <s v="January  "/>
    <s v="1"/>
    <n v="596.4"/>
    <n v="7.79"/>
  </r>
  <r>
    <x v="1"/>
    <s v="Pharmaceutical, cosmetic and toiletry goods retailing"/>
    <s v="2025-02-01"/>
    <x v="6"/>
    <s v="February "/>
    <s v="2"/>
    <n v="581.1"/>
    <n v="8.17"/>
  </r>
  <r>
    <x v="1"/>
    <s v="Pharmaceutical, cosmetic and toiletry goods retailing"/>
    <s v="2025-03-01"/>
    <x v="6"/>
    <s v="March    "/>
    <s v="3"/>
    <n v="629.6"/>
    <n v="9.57"/>
  </r>
  <r>
    <x v="1"/>
    <s v="Pharmaceutical, cosmetic and toiletry goods retailing"/>
    <s v="2025-04-01"/>
    <x v="6"/>
    <s v="April    "/>
    <s v="4"/>
    <n v="627.9"/>
    <n v="10.39"/>
  </r>
  <r>
    <x v="1"/>
    <s v="Pharmaceutical, cosmetic and toiletry goods retailing"/>
    <s v="2025-05-01"/>
    <x v="6"/>
    <s v="May      "/>
    <s v="5"/>
    <n v="675.7"/>
    <n v="8.77"/>
  </r>
  <r>
    <x v="1"/>
    <s v="Pharmaceutical, cosmetic and toiletry goods retailing"/>
    <s v="2025-06-01"/>
    <x v="6"/>
    <s v="June     "/>
    <s v="6"/>
    <n v="634.5"/>
    <n v="11.41"/>
  </r>
  <r>
    <x v="1"/>
    <s v="Supermarket and grocery stores"/>
    <s v="2019-01-01"/>
    <x v="0"/>
    <s v="January  "/>
    <s v="1"/>
    <n v="2936.7"/>
    <m/>
  </r>
  <r>
    <x v="1"/>
    <s v="Supermarket and grocery stores"/>
    <s v="2019-02-01"/>
    <x v="0"/>
    <s v="February "/>
    <s v="2"/>
    <n v="2690.9"/>
    <m/>
  </r>
  <r>
    <x v="1"/>
    <s v="Supermarket and grocery stores"/>
    <s v="2019-03-01"/>
    <x v="0"/>
    <s v="March    "/>
    <s v="3"/>
    <n v="2951.9"/>
    <m/>
  </r>
  <r>
    <x v="1"/>
    <s v="Supermarket and grocery stores"/>
    <s v="2019-04-01"/>
    <x v="0"/>
    <s v="April    "/>
    <s v="4"/>
    <n v="2796.5"/>
    <m/>
  </r>
  <r>
    <x v="1"/>
    <s v="Supermarket and grocery stores"/>
    <s v="2019-05-01"/>
    <x v="0"/>
    <s v="May      "/>
    <s v="5"/>
    <n v="2835.7"/>
    <m/>
  </r>
  <r>
    <x v="1"/>
    <s v="Supermarket and grocery stores"/>
    <s v="2019-06-01"/>
    <x v="0"/>
    <s v="June     "/>
    <s v="6"/>
    <n v="2744.9"/>
    <m/>
  </r>
  <r>
    <x v="1"/>
    <s v="Supermarket and grocery stores"/>
    <s v="2019-07-01"/>
    <x v="0"/>
    <s v="July     "/>
    <s v="7"/>
    <n v="2783.1"/>
    <m/>
  </r>
  <r>
    <x v="1"/>
    <s v="Supermarket and grocery stores"/>
    <s v="2019-08-01"/>
    <x v="0"/>
    <s v="August   "/>
    <s v="8"/>
    <n v="2885.2"/>
    <m/>
  </r>
  <r>
    <x v="1"/>
    <s v="Supermarket and grocery stores"/>
    <s v="2019-09-01"/>
    <x v="0"/>
    <s v="September"/>
    <s v="9"/>
    <n v="2792.8"/>
    <m/>
  </r>
  <r>
    <x v="1"/>
    <s v="Supermarket and grocery stores"/>
    <s v="2019-10-01"/>
    <x v="0"/>
    <s v="October  "/>
    <s v="10"/>
    <n v="2949.6"/>
    <m/>
  </r>
  <r>
    <x v="1"/>
    <s v="Supermarket and grocery stores"/>
    <s v="2019-11-01"/>
    <x v="0"/>
    <s v="November "/>
    <s v="11"/>
    <n v="2947.9"/>
    <m/>
  </r>
  <r>
    <x v="1"/>
    <s v="Supermarket and grocery stores"/>
    <s v="2019-12-01"/>
    <x v="0"/>
    <s v="December "/>
    <s v="12"/>
    <n v="3259.7"/>
    <m/>
  </r>
  <r>
    <x v="1"/>
    <s v="Supermarket and grocery stores"/>
    <s v="2020-01-01"/>
    <x v="1"/>
    <s v="January  "/>
    <s v="1"/>
    <n v="2951.3"/>
    <n v="0.5"/>
  </r>
  <r>
    <x v="1"/>
    <s v="Supermarket and grocery stores"/>
    <s v="2020-02-01"/>
    <x v="1"/>
    <s v="February "/>
    <s v="2"/>
    <n v="2840.4"/>
    <n v="5.56"/>
  </r>
  <r>
    <x v="1"/>
    <s v="Supermarket and grocery stores"/>
    <s v="2020-03-01"/>
    <x v="1"/>
    <s v="March    "/>
    <s v="3"/>
    <n v="3623.5"/>
    <n v="22.75"/>
  </r>
  <r>
    <x v="1"/>
    <s v="Supermarket and grocery stores"/>
    <s v="2020-04-01"/>
    <x v="1"/>
    <s v="April    "/>
    <s v="4"/>
    <n v="2938.2"/>
    <n v="5.07"/>
  </r>
  <r>
    <x v="1"/>
    <s v="Supermarket and grocery stores"/>
    <s v="2020-05-01"/>
    <x v="1"/>
    <s v="May      "/>
    <s v="5"/>
    <n v="3073.8"/>
    <n v="8.4"/>
  </r>
  <r>
    <x v="1"/>
    <s v="Supermarket and grocery stores"/>
    <s v="2020-06-01"/>
    <x v="1"/>
    <s v="June     "/>
    <s v="6"/>
    <n v="2934.8"/>
    <n v="6.92"/>
  </r>
  <r>
    <x v="1"/>
    <s v="Supermarket and grocery stores"/>
    <s v="2020-07-01"/>
    <x v="1"/>
    <s v="July     "/>
    <s v="7"/>
    <n v="3110.2"/>
    <n v="11.75"/>
  </r>
  <r>
    <x v="1"/>
    <s v="Supermarket and grocery stores"/>
    <s v="2020-08-01"/>
    <x v="1"/>
    <s v="August   "/>
    <s v="8"/>
    <n v="3147.3"/>
    <n v="9.08"/>
  </r>
  <r>
    <x v="1"/>
    <s v="Supermarket and grocery stores"/>
    <s v="2020-09-01"/>
    <x v="1"/>
    <s v="September"/>
    <s v="9"/>
    <n v="3037"/>
    <n v="8.74"/>
  </r>
  <r>
    <x v="1"/>
    <s v="Supermarket and grocery stores"/>
    <s v="2020-10-01"/>
    <x v="1"/>
    <s v="October  "/>
    <s v="10"/>
    <n v="3194.9"/>
    <n v="8.32"/>
  </r>
  <r>
    <x v="1"/>
    <s v="Supermarket and grocery stores"/>
    <s v="2020-11-01"/>
    <x v="1"/>
    <s v="November "/>
    <s v="11"/>
    <n v="3141.5"/>
    <n v="6.57"/>
  </r>
  <r>
    <x v="1"/>
    <s v="Supermarket and grocery stores"/>
    <s v="2020-12-01"/>
    <x v="1"/>
    <s v="December "/>
    <s v="12"/>
    <n v="3477.9"/>
    <n v="6.69"/>
  </r>
  <r>
    <x v="1"/>
    <s v="Supermarket and grocery stores"/>
    <s v="2021-01-01"/>
    <x v="2"/>
    <s v="January  "/>
    <s v="1"/>
    <n v="3172.8"/>
    <n v="7.51"/>
  </r>
  <r>
    <x v="1"/>
    <s v="Supermarket and grocery stores"/>
    <s v="2021-02-01"/>
    <x v="2"/>
    <s v="February "/>
    <s v="2"/>
    <n v="2798.3"/>
    <n v="-1.48"/>
  </r>
  <r>
    <x v="1"/>
    <s v="Supermarket and grocery stores"/>
    <s v="2021-03-01"/>
    <x v="2"/>
    <s v="March    "/>
    <s v="3"/>
    <n v="3070.8"/>
    <n v="-15.25"/>
  </r>
  <r>
    <x v="1"/>
    <s v="Supermarket and grocery stores"/>
    <s v="2021-04-01"/>
    <x v="2"/>
    <s v="April    "/>
    <s v="4"/>
    <n v="2907.4"/>
    <n v="-1.05"/>
  </r>
  <r>
    <x v="1"/>
    <s v="Supermarket and grocery stores"/>
    <s v="2021-05-01"/>
    <x v="2"/>
    <s v="May      "/>
    <s v="5"/>
    <n v="3006.1"/>
    <n v="-2.2000000000000002"/>
  </r>
  <r>
    <x v="1"/>
    <s v="Supermarket and grocery stores"/>
    <s v="2021-06-01"/>
    <x v="2"/>
    <s v="June     "/>
    <s v="6"/>
    <n v="2945.4"/>
    <n v="0.36"/>
  </r>
  <r>
    <x v="1"/>
    <s v="Supermarket and grocery stores"/>
    <s v="2021-07-01"/>
    <x v="2"/>
    <s v="July     "/>
    <s v="7"/>
    <n v="3204.7"/>
    <n v="3.04"/>
  </r>
  <r>
    <x v="1"/>
    <s v="Supermarket and grocery stores"/>
    <s v="2021-08-01"/>
    <x v="2"/>
    <s v="August   "/>
    <s v="8"/>
    <n v="3271.1"/>
    <n v="3.93"/>
  </r>
  <r>
    <x v="1"/>
    <s v="Supermarket and grocery stores"/>
    <s v="2021-09-01"/>
    <x v="2"/>
    <s v="September"/>
    <s v="9"/>
    <n v="3173"/>
    <n v="4.4800000000000004"/>
  </r>
  <r>
    <x v="1"/>
    <s v="Supermarket and grocery stores"/>
    <s v="2021-10-01"/>
    <x v="2"/>
    <s v="October  "/>
    <s v="10"/>
    <n v="3250.5"/>
    <n v="1.74"/>
  </r>
  <r>
    <x v="1"/>
    <s v="Supermarket and grocery stores"/>
    <s v="2021-11-01"/>
    <x v="2"/>
    <s v="November "/>
    <s v="11"/>
    <n v="3076.8"/>
    <n v="-2.06"/>
  </r>
  <r>
    <x v="1"/>
    <s v="Supermarket and grocery stores"/>
    <s v="2021-12-01"/>
    <x v="2"/>
    <s v="December "/>
    <s v="12"/>
    <n v="3495.2"/>
    <n v="0.5"/>
  </r>
  <r>
    <x v="1"/>
    <s v="Supermarket and grocery stores"/>
    <s v="2022-01-01"/>
    <x v="3"/>
    <s v="January  "/>
    <s v="1"/>
    <n v="3263.7"/>
    <n v="2.86"/>
  </r>
  <r>
    <x v="1"/>
    <s v="Supermarket and grocery stores"/>
    <s v="2022-02-01"/>
    <x v="3"/>
    <s v="February "/>
    <s v="2"/>
    <n v="2909.4"/>
    <n v="3.97"/>
  </r>
  <r>
    <x v="1"/>
    <s v="Supermarket and grocery stores"/>
    <s v="2022-03-01"/>
    <x v="3"/>
    <s v="March    "/>
    <s v="3"/>
    <n v="3176.3"/>
    <n v="3.44"/>
  </r>
  <r>
    <x v="1"/>
    <s v="Supermarket and grocery stores"/>
    <s v="2022-04-01"/>
    <x v="3"/>
    <s v="April    "/>
    <s v="4"/>
    <n v="3141.5"/>
    <n v="8.0500000000000007"/>
  </r>
  <r>
    <x v="1"/>
    <s v="Supermarket and grocery stores"/>
    <s v="2022-05-01"/>
    <x v="3"/>
    <s v="May      "/>
    <s v="5"/>
    <n v="3162.7"/>
    <n v="5.21"/>
  </r>
  <r>
    <x v="1"/>
    <s v="Supermarket and grocery stores"/>
    <s v="2022-06-01"/>
    <x v="3"/>
    <s v="June     "/>
    <s v="6"/>
    <n v="3054.5"/>
    <n v="3.7"/>
  </r>
  <r>
    <x v="1"/>
    <s v="Supermarket and grocery stores"/>
    <s v="2022-07-01"/>
    <x v="3"/>
    <s v="July     "/>
    <s v="7"/>
    <n v="3229"/>
    <n v="0.76"/>
  </r>
  <r>
    <x v="1"/>
    <s v="Supermarket and grocery stores"/>
    <s v="2022-08-01"/>
    <x v="3"/>
    <s v="August   "/>
    <s v="8"/>
    <n v="3265.3"/>
    <n v="-0.18"/>
  </r>
  <r>
    <x v="1"/>
    <s v="Supermarket and grocery stores"/>
    <s v="2022-09-01"/>
    <x v="3"/>
    <s v="September"/>
    <s v="9"/>
    <n v="3228.5"/>
    <n v="1.75"/>
  </r>
  <r>
    <x v="1"/>
    <s v="Supermarket and grocery stores"/>
    <s v="2022-10-01"/>
    <x v="3"/>
    <s v="October  "/>
    <s v="10"/>
    <n v="3423.6"/>
    <n v="5.33"/>
  </r>
  <r>
    <x v="1"/>
    <s v="Supermarket and grocery stores"/>
    <s v="2022-11-01"/>
    <x v="3"/>
    <s v="November "/>
    <s v="11"/>
    <n v="3368.3"/>
    <n v="9.4700000000000006"/>
  </r>
  <r>
    <x v="1"/>
    <s v="Supermarket and grocery stores"/>
    <s v="2022-12-01"/>
    <x v="3"/>
    <s v="December "/>
    <s v="12"/>
    <n v="3842.2"/>
    <n v="9.93"/>
  </r>
  <r>
    <x v="1"/>
    <s v="Supermarket and grocery stores"/>
    <s v="2023-01-01"/>
    <x v="4"/>
    <s v="January  "/>
    <s v="1"/>
    <n v="3456.6"/>
    <n v="5.91"/>
  </r>
  <r>
    <x v="1"/>
    <s v="Supermarket and grocery stores"/>
    <s v="2023-02-01"/>
    <x v="4"/>
    <s v="February "/>
    <s v="2"/>
    <n v="3198.9"/>
    <n v="9.9499999999999993"/>
  </r>
  <r>
    <x v="1"/>
    <s v="Supermarket and grocery stores"/>
    <s v="2023-03-01"/>
    <x v="4"/>
    <s v="March    "/>
    <s v="3"/>
    <n v="3560.4"/>
    <n v="12.09"/>
  </r>
  <r>
    <x v="1"/>
    <s v="Supermarket and grocery stores"/>
    <s v="2023-04-01"/>
    <x v="4"/>
    <s v="April    "/>
    <s v="4"/>
    <n v="3440.5"/>
    <n v="9.52"/>
  </r>
  <r>
    <x v="1"/>
    <s v="Supermarket and grocery stores"/>
    <s v="2023-05-01"/>
    <x v="4"/>
    <s v="May      "/>
    <s v="5"/>
    <n v="3444.2"/>
    <n v="8.9"/>
  </r>
  <r>
    <x v="1"/>
    <s v="Supermarket and grocery stores"/>
    <s v="2023-06-01"/>
    <x v="4"/>
    <s v="June     "/>
    <s v="6"/>
    <n v="3323"/>
    <n v="8.7899999999999991"/>
  </r>
  <r>
    <x v="1"/>
    <s v="Supermarket and grocery stores"/>
    <s v="2023-07-01"/>
    <x v="4"/>
    <s v="July     "/>
    <s v="7"/>
    <n v="3433.2"/>
    <n v="6.32"/>
  </r>
  <r>
    <x v="1"/>
    <s v="Supermarket and grocery stores"/>
    <s v="2023-08-01"/>
    <x v="4"/>
    <s v="August   "/>
    <s v="8"/>
    <n v="3462.1"/>
    <n v="6.03"/>
  </r>
  <r>
    <x v="1"/>
    <s v="Supermarket and grocery stores"/>
    <s v="2023-09-01"/>
    <x v="4"/>
    <s v="September"/>
    <s v="9"/>
    <n v="3449.1"/>
    <n v="6.83"/>
  </r>
  <r>
    <x v="1"/>
    <s v="Supermarket and grocery stores"/>
    <s v="2023-10-01"/>
    <x v="4"/>
    <s v="October  "/>
    <s v="10"/>
    <n v="3567"/>
    <n v="4.1900000000000004"/>
  </r>
  <r>
    <x v="1"/>
    <s v="Supermarket and grocery stores"/>
    <s v="2023-11-01"/>
    <x v="4"/>
    <s v="November "/>
    <s v="11"/>
    <n v="3542.8"/>
    <n v="5.18"/>
  </r>
  <r>
    <x v="1"/>
    <s v="Supermarket and grocery stores"/>
    <s v="2023-12-01"/>
    <x v="4"/>
    <s v="December "/>
    <s v="12"/>
    <n v="3988.9"/>
    <n v="3.82"/>
  </r>
  <r>
    <x v="1"/>
    <s v="Supermarket and grocery stores"/>
    <s v="2024-01-01"/>
    <x v="5"/>
    <s v="January  "/>
    <s v="1"/>
    <n v="3571.7"/>
    <n v="3.33"/>
  </r>
  <r>
    <x v="1"/>
    <s v="Supermarket and grocery stores"/>
    <s v="2024-02-01"/>
    <x v="5"/>
    <s v="February "/>
    <s v="2"/>
    <n v="3405.9"/>
    <n v="6.47"/>
  </r>
  <r>
    <x v="1"/>
    <s v="Supermarket and grocery stores"/>
    <s v="2024-03-01"/>
    <x v="5"/>
    <s v="March    "/>
    <s v="3"/>
    <n v="3677.2"/>
    <n v="3.28"/>
  </r>
  <r>
    <x v="1"/>
    <s v="Supermarket and grocery stores"/>
    <s v="2024-04-01"/>
    <x v="5"/>
    <s v="April    "/>
    <s v="4"/>
    <n v="3458.7"/>
    <n v="0.53"/>
  </r>
  <r>
    <x v="1"/>
    <s v="Supermarket and grocery stores"/>
    <s v="2024-05-01"/>
    <x v="5"/>
    <s v="May      "/>
    <s v="5"/>
    <n v="3532.5"/>
    <n v="2.56"/>
  </r>
  <r>
    <x v="1"/>
    <s v="Supermarket and grocery stores"/>
    <s v="2024-06-01"/>
    <x v="5"/>
    <s v="June     "/>
    <s v="6"/>
    <n v="3425"/>
    <n v="3.07"/>
  </r>
  <r>
    <x v="1"/>
    <s v="Supermarket and grocery stores"/>
    <s v="2024-07-01"/>
    <x v="5"/>
    <s v="July     "/>
    <s v="7"/>
    <n v="3491.4"/>
    <n v="1.7"/>
  </r>
  <r>
    <x v="1"/>
    <s v="Supermarket and grocery stores"/>
    <s v="2024-08-01"/>
    <x v="5"/>
    <s v="August   "/>
    <s v="8"/>
    <n v="3623.1"/>
    <n v="4.6500000000000004"/>
  </r>
  <r>
    <x v="1"/>
    <s v="Supermarket and grocery stores"/>
    <s v="2024-09-01"/>
    <x v="5"/>
    <s v="September"/>
    <s v="9"/>
    <n v="3524.6"/>
    <n v="2.19"/>
  </r>
  <r>
    <x v="1"/>
    <s v="Supermarket and grocery stores"/>
    <s v="2024-10-01"/>
    <x v="5"/>
    <s v="October  "/>
    <s v="10"/>
    <n v="3655"/>
    <n v="2.4700000000000002"/>
  </r>
  <r>
    <x v="1"/>
    <s v="Supermarket and grocery stores"/>
    <s v="2024-11-01"/>
    <x v="5"/>
    <s v="November "/>
    <s v="11"/>
    <n v="3666.7"/>
    <n v="3.5"/>
  </r>
  <r>
    <x v="1"/>
    <s v="Supermarket and grocery stores"/>
    <s v="2024-12-01"/>
    <x v="5"/>
    <s v="December "/>
    <s v="12"/>
    <n v="4053.8"/>
    <n v="1.63"/>
  </r>
  <r>
    <x v="1"/>
    <s v="Supermarket and grocery stores"/>
    <s v="2025-01-01"/>
    <x v="6"/>
    <s v="January  "/>
    <s v="1"/>
    <n v="3639.2"/>
    <n v="1.89"/>
  </r>
  <r>
    <x v="1"/>
    <s v="Supermarket and grocery stores"/>
    <s v="2025-02-01"/>
    <x v="6"/>
    <s v="February "/>
    <s v="2"/>
    <n v="3393"/>
    <n v="-0.38"/>
  </r>
  <r>
    <x v="1"/>
    <s v="Supermarket and grocery stores"/>
    <s v="2025-03-01"/>
    <x v="6"/>
    <s v="March    "/>
    <s v="3"/>
    <n v="3790"/>
    <n v="3.07"/>
  </r>
  <r>
    <x v="1"/>
    <s v="Supermarket and grocery stores"/>
    <s v="2025-04-01"/>
    <x v="6"/>
    <s v="April    "/>
    <s v="4"/>
    <n v="3572.7"/>
    <n v="3.3"/>
  </r>
  <r>
    <x v="1"/>
    <s v="Supermarket and grocery stores"/>
    <s v="2025-05-01"/>
    <x v="6"/>
    <s v="May      "/>
    <s v="5"/>
    <n v="3636.5"/>
    <n v="2.94"/>
  </r>
  <r>
    <x v="1"/>
    <s v="Supermarket and grocery stores"/>
    <s v="2025-06-01"/>
    <x v="6"/>
    <s v="June     "/>
    <s v="6"/>
    <n v="3521"/>
    <n v="2.8"/>
  </r>
  <r>
    <x v="1"/>
    <s v="Takeaway food services"/>
    <s v="2019-01-01"/>
    <x v="0"/>
    <s v="January  "/>
    <s v="1"/>
    <n v="578.79999999999995"/>
    <m/>
  </r>
  <r>
    <x v="1"/>
    <s v="Takeaway food services"/>
    <s v="2019-02-01"/>
    <x v="0"/>
    <s v="February "/>
    <s v="2"/>
    <n v="495.4"/>
    <m/>
  </r>
  <r>
    <x v="1"/>
    <s v="Takeaway food services"/>
    <s v="2019-03-01"/>
    <x v="0"/>
    <s v="March    "/>
    <s v="3"/>
    <n v="571.1"/>
    <m/>
  </r>
  <r>
    <x v="1"/>
    <s v="Takeaway food services"/>
    <s v="2019-04-01"/>
    <x v="0"/>
    <s v="April    "/>
    <s v="4"/>
    <n v="581"/>
    <m/>
  </r>
  <r>
    <x v="1"/>
    <s v="Takeaway food services"/>
    <s v="2019-05-01"/>
    <x v="0"/>
    <s v="May      "/>
    <s v="5"/>
    <n v="568.1"/>
    <m/>
  </r>
  <r>
    <x v="1"/>
    <s v="Takeaway food services"/>
    <s v="2019-06-01"/>
    <x v="0"/>
    <s v="June     "/>
    <s v="6"/>
    <n v="558.6"/>
    <m/>
  </r>
  <r>
    <x v="1"/>
    <s v="Takeaway food services"/>
    <s v="2019-07-01"/>
    <x v="0"/>
    <s v="July     "/>
    <s v="7"/>
    <n v="599.70000000000005"/>
    <m/>
  </r>
  <r>
    <x v="1"/>
    <s v="Takeaway food services"/>
    <s v="2019-08-01"/>
    <x v="0"/>
    <s v="August   "/>
    <s v="8"/>
    <n v="588.1"/>
    <m/>
  </r>
  <r>
    <x v="1"/>
    <s v="Takeaway food services"/>
    <s v="2019-09-01"/>
    <x v="0"/>
    <s v="September"/>
    <s v="9"/>
    <n v="571.4"/>
    <m/>
  </r>
  <r>
    <x v="1"/>
    <s v="Takeaway food services"/>
    <s v="2019-10-01"/>
    <x v="0"/>
    <s v="October  "/>
    <s v="10"/>
    <n v="582.4"/>
    <m/>
  </r>
  <r>
    <x v="1"/>
    <s v="Takeaway food services"/>
    <s v="2019-11-01"/>
    <x v="0"/>
    <s v="November "/>
    <s v="11"/>
    <n v="599.79999999999995"/>
    <m/>
  </r>
  <r>
    <x v="1"/>
    <s v="Takeaway food services"/>
    <s v="2019-12-01"/>
    <x v="0"/>
    <s v="December "/>
    <s v="12"/>
    <n v="669.6"/>
    <m/>
  </r>
  <r>
    <x v="1"/>
    <s v="Takeaway food services"/>
    <s v="2020-01-01"/>
    <x v="1"/>
    <s v="January  "/>
    <s v="1"/>
    <n v="606.4"/>
    <n v="4.7699999999999996"/>
  </r>
  <r>
    <x v="1"/>
    <s v="Takeaway food services"/>
    <s v="2020-02-01"/>
    <x v="1"/>
    <s v="February "/>
    <s v="2"/>
    <n v="536.79999999999995"/>
    <n v="8.36"/>
  </r>
  <r>
    <x v="1"/>
    <s v="Takeaway food services"/>
    <s v="2020-03-01"/>
    <x v="1"/>
    <s v="March    "/>
    <s v="3"/>
    <n v="477.5"/>
    <n v="-16.39"/>
  </r>
  <r>
    <x v="1"/>
    <s v="Takeaway food services"/>
    <s v="2020-04-01"/>
    <x v="1"/>
    <s v="April    "/>
    <s v="4"/>
    <n v="356.5"/>
    <n v="-38.64"/>
  </r>
  <r>
    <x v="1"/>
    <s v="Takeaway food services"/>
    <s v="2020-05-01"/>
    <x v="1"/>
    <s v="May      "/>
    <s v="5"/>
    <n v="470.1"/>
    <n v="-17.25"/>
  </r>
  <r>
    <x v="1"/>
    <s v="Takeaway food services"/>
    <s v="2020-06-01"/>
    <x v="1"/>
    <s v="June     "/>
    <s v="6"/>
    <n v="507.8"/>
    <n v="-9.09"/>
  </r>
  <r>
    <x v="1"/>
    <s v="Takeaway food services"/>
    <s v="2020-07-01"/>
    <x v="1"/>
    <s v="July     "/>
    <s v="7"/>
    <n v="575.9"/>
    <n v="-3.97"/>
  </r>
  <r>
    <x v="1"/>
    <s v="Takeaway food services"/>
    <s v="2020-08-01"/>
    <x v="1"/>
    <s v="August   "/>
    <s v="8"/>
    <n v="540.79999999999995"/>
    <n v="-8.0399999999999991"/>
  </r>
  <r>
    <x v="1"/>
    <s v="Takeaway food services"/>
    <s v="2020-09-01"/>
    <x v="1"/>
    <s v="September"/>
    <s v="9"/>
    <n v="559.70000000000005"/>
    <n v="-2.0499999999999998"/>
  </r>
  <r>
    <x v="1"/>
    <s v="Takeaway food services"/>
    <s v="2020-10-01"/>
    <x v="1"/>
    <s v="October  "/>
    <s v="10"/>
    <n v="585.29999999999995"/>
    <n v="0.5"/>
  </r>
  <r>
    <x v="1"/>
    <s v="Takeaway food services"/>
    <s v="2020-11-01"/>
    <x v="1"/>
    <s v="November "/>
    <s v="11"/>
    <n v="572.79999999999995"/>
    <n v="-4.5"/>
  </r>
  <r>
    <x v="1"/>
    <s v="Takeaway food services"/>
    <s v="2020-12-01"/>
    <x v="1"/>
    <s v="December "/>
    <s v="12"/>
    <n v="623"/>
    <n v="-6.96"/>
  </r>
  <r>
    <x v="1"/>
    <s v="Takeaway food services"/>
    <s v="2021-01-01"/>
    <x v="2"/>
    <s v="January  "/>
    <s v="1"/>
    <n v="550.6"/>
    <n v="-9.1999999999999993"/>
  </r>
  <r>
    <x v="1"/>
    <s v="Takeaway food services"/>
    <s v="2021-02-01"/>
    <x v="2"/>
    <s v="February "/>
    <s v="2"/>
    <n v="484.3"/>
    <n v="-9.7799999999999994"/>
  </r>
  <r>
    <x v="1"/>
    <s v="Takeaway food services"/>
    <s v="2021-03-01"/>
    <x v="2"/>
    <s v="March    "/>
    <s v="3"/>
    <n v="552.79999999999995"/>
    <n v="15.77"/>
  </r>
  <r>
    <x v="1"/>
    <s v="Takeaway food services"/>
    <s v="2021-04-01"/>
    <x v="2"/>
    <s v="April    "/>
    <s v="4"/>
    <n v="582"/>
    <n v="63.25"/>
  </r>
  <r>
    <x v="1"/>
    <s v="Takeaway food services"/>
    <s v="2021-05-01"/>
    <x v="2"/>
    <s v="May      "/>
    <s v="5"/>
    <n v="570.29999999999995"/>
    <n v="21.31"/>
  </r>
  <r>
    <x v="1"/>
    <s v="Takeaway food services"/>
    <s v="2021-06-01"/>
    <x v="2"/>
    <s v="June     "/>
    <s v="6"/>
    <n v="559.79999999999995"/>
    <n v="10.24"/>
  </r>
  <r>
    <x v="1"/>
    <s v="Takeaway food services"/>
    <s v="2021-07-01"/>
    <x v="2"/>
    <s v="July     "/>
    <s v="7"/>
    <n v="427"/>
    <n v="-25.86"/>
  </r>
  <r>
    <x v="1"/>
    <s v="Takeaway food services"/>
    <s v="2021-08-01"/>
    <x v="2"/>
    <s v="August   "/>
    <s v="8"/>
    <n v="384.4"/>
    <n v="-28.92"/>
  </r>
  <r>
    <x v="1"/>
    <s v="Takeaway food services"/>
    <s v="2021-09-01"/>
    <x v="2"/>
    <s v="September"/>
    <s v="9"/>
    <n v="417.3"/>
    <n v="-25.44"/>
  </r>
  <r>
    <x v="1"/>
    <s v="Takeaway food services"/>
    <s v="2021-10-01"/>
    <x v="2"/>
    <s v="October  "/>
    <s v="10"/>
    <n v="481.3"/>
    <n v="-17.77"/>
  </r>
  <r>
    <x v="1"/>
    <s v="Takeaway food services"/>
    <s v="2021-11-01"/>
    <x v="2"/>
    <s v="November "/>
    <s v="11"/>
    <n v="476.2"/>
    <n v="-16.86"/>
  </r>
  <r>
    <x v="1"/>
    <s v="Takeaway food services"/>
    <s v="2021-12-01"/>
    <x v="2"/>
    <s v="December "/>
    <s v="12"/>
    <n v="550.70000000000005"/>
    <n v="-11.61"/>
  </r>
  <r>
    <x v="1"/>
    <s v="Takeaway food services"/>
    <s v="2022-01-01"/>
    <x v="3"/>
    <s v="January  "/>
    <s v="1"/>
    <n v="504.3"/>
    <n v="-8.41"/>
  </r>
  <r>
    <x v="1"/>
    <s v="Takeaway food services"/>
    <s v="2022-02-01"/>
    <x v="3"/>
    <s v="February "/>
    <s v="2"/>
    <n v="456.3"/>
    <n v="-5.78"/>
  </r>
  <r>
    <x v="1"/>
    <s v="Takeaway food services"/>
    <s v="2022-03-01"/>
    <x v="3"/>
    <s v="March    "/>
    <s v="3"/>
    <n v="516"/>
    <n v="-6.66"/>
  </r>
  <r>
    <x v="1"/>
    <s v="Takeaway food services"/>
    <s v="2022-04-01"/>
    <x v="3"/>
    <s v="April    "/>
    <s v="4"/>
    <n v="534.6"/>
    <n v="-8.14"/>
  </r>
  <r>
    <x v="1"/>
    <s v="Takeaway food services"/>
    <s v="2022-05-01"/>
    <x v="3"/>
    <s v="May      "/>
    <s v="5"/>
    <n v="528.1"/>
    <n v="-7.4"/>
  </r>
  <r>
    <x v="1"/>
    <s v="Takeaway food services"/>
    <s v="2022-06-01"/>
    <x v="3"/>
    <s v="June     "/>
    <s v="6"/>
    <n v="527.5"/>
    <n v="-5.77"/>
  </r>
  <r>
    <x v="1"/>
    <s v="Takeaway food services"/>
    <s v="2022-07-01"/>
    <x v="3"/>
    <s v="July     "/>
    <s v="7"/>
    <n v="567.79999999999995"/>
    <n v="32.97"/>
  </r>
  <r>
    <x v="1"/>
    <s v="Takeaway food services"/>
    <s v="2022-08-01"/>
    <x v="3"/>
    <s v="August   "/>
    <s v="8"/>
    <n v="554.70000000000005"/>
    <n v="44.3"/>
  </r>
  <r>
    <x v="1"/>
    <s v="Takeaway food services"/>
    <s v="2022-09-01"/>
    <x v="3"/>
    <s v="September"/>
    <s v="9"/>
    <n v="566.29999999999995"/>
    <n v="35.71"/>
  </r>
  <r>
    <x v="1"/>
    <s v="Takeaway food services"/>
    <s v="2022-10-01"/>
    <x v="3"/>
    <s v="October  "/>
    <s v="10"/>
    <n v="560.70000000000005"/>
    <n v="16.5"/>
  </r>
  <r>
    <x v="1"/>
    <s v="Takeaway food services"/>
    <s v="2022-11-01"/>
    <x v="3"/>
    <s v="November "/>
    <s v="11"/>
    <n v="540.9"/>
    <n v="13.59"/>
  </r>
  <r>
    <x v="1"/>
    <s v="Takeaway food services"/>
    <s v="2022-12-01"/>
    <x v="3"/>
    <s v="December "/>
    <s v="12"/>
    <n v="597"/>
    <n v="8.41"/>
  </r>
  <r>
    <x v="1"/>
    <s v="Takeaway food services"/>
    <s v="2023-01-01"/>
    <x v="4"/>
    <s v="January  "/>
    <s v="1"/>
    <n v="535"/>
    <n v="6.09"/>
  </r>
  <r>
    <x v="1"/>
    <s v="Takeaway food services"/>
    <s v="2023-02-01"/>
    <x v="4"/>
    <s v="February "/>
    <s v="2"/>
    <n v="471.7"/>
    <n v="3.37"/>
  </r>
  <r>
    <x v="1"/>
    <s v="Takeaway food services"/>
    <s v="2023-03-01"/>
    <x v="4"/>
    <s v="March    "/>
    <s v="3"/>
    <n v="542.1"/>
    <n v="5.0599999999999996"/>
  </r>
  <r>
    <x v="1"/>
    <s v="Takeaway food services"/>
    <s v="2023-04-01"/>
    <x v="4"/>
    <s v="April    "/>
    <s v="4"/>
    <n v="528.29999999999995"/>
    <n v="-1.18"/>
  </r>
  <r>
    <x v="1"/>
    <s v="Takeaway food services"/>
    <s v="2023-05-01"/>
    <x v="4"/>
    <s v="May      "/>
    <s v="5"/>
    <n v="537.5"/>
    <n v="1.78"/>
  </r>
  <r>
    <x v="1"/>
    <s v="Takeaway food services"/>
    <s v="2023-06-01"/>
    <x v="4"/>
    <s v="June     "/>
    <s v="6"/>
    <n v="536.20000000000005"/>
    <n v="1.65"/>
  </r>
  <r>
    <x v="1"/>
    <s v="Takeaway food services"/>
    <s v="2023-07-01"/>
    <x v="4"/>
    <s v="July     "/>
    <s v="7"/>
    <n v="554"/>
    <n v="-2.4300000000000002"/>
  </r>
  <r>
    <x v="1"/>
    <s v="Takeaway food services"/>
    <s v="2023-08-01"/>
    <x v="4"/>
    <s v="August   "/>
    <s v="8"/>
    <n v="562.20000000000005"/>
    <n v="1.35"/>
  </r>
  <r>
    <x v="1"/>
    <s v="Takeaway food services"/>
    <s v="2023-09-01"/>
    <x v="4"/>
    <s v="September"/>
    <s v="9"/>
    <n v="571.9"/>
    <n v="0.99"/>
  </r>
  <r>
    <x v="1"/>
    <s v="Takeaway food services"/>
    <s v="2023-10-01"/>
    <x v="4"/>
    <s v="October  "/>
    <s v="10"/>
    <n v="567.29999999999995"/>
    <n v="1.18"/>
  </r>
  <r>
    <x v="1"/>
    <s v="Takeaway food services"/>
    <s v="2023-11-01"/>
    <x v="4"/>
    <s v="November "/>
    <s v="11"/>
    <n v="558.20000000000005"/>
    <n v="3.2"/>
  </r>
  <r>
    <x v="1"/>
    <s v="Takeaway food services"/>
    <s v="2023-12-01"/>
    <x v="4"/>
    <s v="December "/>
    <s v="12"/>
    <n v="625"/>
    <n v="4.6900000000000004"/>
  </r>
  <r>
    <x v="1"/>
    <s v="Takeaway food services"/>
    <s v="2024-01-01"/>
    <x v="5"/>
    <s v="January  "/>
    <s v="1"/>
    <n v="565.29999999999995"/>
    <n v="5.66"/>
  </r>
  <r>
    <x v="1"/>
    <s v="Takeaway food services"/>
    <s v="2024-02-01"/>
    <x v="5"/>
    <s v="February "/>
    <s v="2"/>
    <n v="520.29999999999995"/>
    <n v="10.3"/>
  </r>
  <r>
    <x v="1"/>
    <s v="Takeaway food services"/>
    <s v="2024-03-01"/>
    <x v="5"/>
    <s v="March    "/>
    <s v="3"/>
    <n v="565.9"/>
    <n v="4.3899999999999997"/>
  </r>
  <r>
    <x v="1"/>
    <s v="Takeaway food services"/>
    <s v="2024-04-01"/>
    <x v="5"/>
    <s v="April    "/>
    <s v="4"/>
    <n v="564.6"/>
    <n v="6.87"/>
  </r>
  <r>
    <x v="1"/>
    <s v="Takeaway food services"/>
    <s v="2024-05-01"/>
    <x v="5"/>
    <s v="May      "/>
    <s v="5"/>
    <n v="550.29999999999995"/>
    <n v="2.38"/>
  </r>
  <r>
    <x v="1"/>
    <s v="Takeaway food services"/>
    <s v="2024-06-01"/>
    <x v="5"/>
    <s v="June     "/>
    <s v="6"/>
    <n v="541.70000000000005"/>
    <n v="1.03"/>
  </r>
  <r>
    <x v="1"/>
    <s v="Takeaway food services"/>
    <s v="2024-07-01"/>
    <x v="5"/>
    <s v="July     "/>
    <s v="7"/>
    <n v="567.9"/>
    <n v="2.5099999999999998"/>
  </r>
  <r>
    <x v="1"/>
    <s v="Takeaway food services"/>
    <s v="2024-08-01"/>
    <x v="5"/>
    <s v="August   "/>
    <s v="8"/>
    <n v="582.9"/>
    <n v="3.68"/>
  </r>
  <r>
    <x v="1"/>
    <s v="Takeaway food services"/>
    <s v="2024-09-01"/>
    <x v="5"/>
    <s v="September"/>
    <s v="9"/>
    <n v="577.79999999999995"/>
    <n v="1.03"/>
  </r>
  <r>
    <x v="1"/>
    <s v="Takeaway food services"/>
    <s v="2024-10-01"/>
    <x v="5"/>
    <s v="October  "/>
    <s v="10"/>
    <n v="618.20000000000005"/>
    <n v="8.9700000000000006"/>
  </r>
  <r>
    <x v="1"/>
    <s v="Takeaway food services"/>
    <s v="2024-11-01"/>
    <x v="5"/>
    <s v="November "/>
    <s v="11"/>
    <n v="618.79999999999995"/>
    <n v="10.86"/>
  </r>
  <r>
    <x v="1"/>
    <s v="Takeaway food services"/>
    <s v="2024-12-01"/>
    <x v="5"/>
    <s v="December "/>
    <s v="12"/>
    <n v="650.9"/>
    <n v="4.1399999999999997"/>
  </r>
  <r>
    <x v="1"/>
    <s v="Takeaway food services"/>
    <s v="2025-01-01"/>
    <x v="6"/>
    <s v="January  "/>
    <s v="1"/>
    <n v="589.9"/>
    <n v="4.3499999999999996"/>
  </r>
  <r>
    <x v="1"/>
    <s v="Takeaway food services"/>
    <s v="2025-02-01"/>
    <x v="6"/>
    <s v="February "/>
    <s v="2"/>
    <n v="530.20000000000005"/>
    <n v="1.9"/>
  </r>
  <r>
    <x v="1"/>
    <s v="Takeaway food services"/>
    <s v="2025-03-01"/>
    <x v="6"/>
    <s v="March    "/>
    <s v="3"/>
    <n v="593"/>
    <n v="4.79"/>
  </r>
  <r>
    <x v="1"/>
    <s v="Takeaway food services"/>
    <s v="2025-04-01"/>
    <x v="6"/>
    <s v="April    "/>
    <s v="4"/>
    <n v="611.29999999999995"/>
    <n v="8.27"/>
  </r>
  <r>
    <x v="1"/>
    <s v="Takeaway food services"/>
    <s v="2025-05-01"/>
    <x v="6"/>
    <s v="May      "/>
    <s v="5"/>
    <n v="613.29999999999995"/>
    <n v="11.45"/>
  </r>
  <r>
    <x v="1"/>
    <s v="Takeaway food services"/>
    <s v="2025-06-01"/>
    <x v="6"/>
    <s v="June     "/>
    <s v="6"/>
    <n v="596.5"/>
    <n v="10.119999999999999"/>
  </r>
  <r>
    <x v="2"/>
    <s v="Cafes, restaurants and catering services"/>
    <s v="2019-01-01"/>
    <x v="0"/>
    <s v="January  "/>
    <s v="1"/>
    <n v="12.8"/>
    <m/>
  </r>
  <r>
    <x v="2"/>
    <s v="Cafes, restaurants and catering services"/>
    <s v="2019-02-01"/>
    <x v="0"/>
    <s v="February "/>
    <s v="2"/>
    <n v="13.7"/>
    <m/>
  </r>
  <r>
    <x v="2"/>
    <s v="Cafes, restaurants and catering services"/>
    <s v="2019-03-01"/>
    <x v="0"/>
    <s v="March    "/>
    <s v="3"/>
    <n v="16.3"/>
    <m/>
  </r>
  <r>
    <x v="2"/>
    <s v="Cafes, restaurants and catering services"/>
    <s v="2019-04-01"/>
    <x v="0"/>
    <s v="April    "/>
    <s v="4"/>
    <n v="16.7"/>
    <m/>
  </r>
  <r>
    <x v="2"/>
    <s v="Cafes, restaurants and catering services"/>
    <s v="2019-05-01"/>
    <x v="0"/>
    <s v="May      "/>
    <s v="5"/>
    <n v="17.7"/>
    <m/>
  </r>
  <r>
    <x v="2"/>
    <s v="Cafes, restaurants and catering services"/>
    <s v="2019-06-01"/>
    <x v="0"/>
    <s v="June     "/>
    <s v="6"/>
    <n v="19.5"/>
    <m/>
  </r>
  <r>
    <x v="2"/>
    <s v="Cafes, restaurants and catering services"/>
    <s v="2019-07-01"/>
    <x v="0"/>
    <s v="July     "/>
    <s v="7"/>
    <n v="21.3"/>
    <m/>
  </r>
  <r>
    <x v="2"/>
    <s v="Cafes, restaurants and catering services"/>
    <s v="2019-08-01"/>
    <x v="0"/>
    <s v="August   "/>
    <s v="8"/>
    <n v="21.8"/>
    <m/>
  </r>
  <r>
    <x v="2"/>
    <s v="Cafes, restaurants and catering services"/>
    <s v="2019-09-01"/>
    <x v="0"/>
    <s v="September"/>
    <s v="9"/>
    <n v="17.899999999999999"/>
    <m/>
  </r>
  <r>
    <x v="2"/>
    <s v="Cafes, restaurants and catering services"/>
    <s v="2019-10-01"/>
    <x v="0"/>
    <s v="October  "/>
    <s v="10"/>
    <n v="17.100000000000001"/>
    <m/>
  </r>
  <r>
    <x v="2"/>
    <s v="Cafes, restaurants and catering services"/>
    <s v="2019-11-01"/>
    <x v="0"/>
    <s v="November "/>
    <s v="11"/>
    <n v="16.399999999999999"/>
    <m/>
  </r>
  <r>
    <x v="2"/>
    <s v="Cafes, restaurants and catering services"/>
    <s v="2019-12-01"/>
    <x v="0"/>
    <s v="December "/>
    <s v="12"/>
    <n v="15.4"/>
    <m/>
  </r>
  <r>
    <x v="2"/>
    <s v="Cafes, restaurants and catering services"/>
    <s v="2020-01-01"/>
    <x v="1"/>
    <s v="January  "/>
    <s v="1"/>
    <n v="13.1"/>
    <n v="2.34"/>
  </r>
  <r>
    <x v="2"/>
    <s v="Cafes, restaurants and catering services"/>
    <s v="2020-02-01"/>
    <x v="1"/>
    <s v="February "/>
    <s v="2"/>
    <n v="15"/>
    <n v="9.49"/>
  </r>
  <r>
    <x v="2"/>
    <s v="Cafes, restaurants and catering services"/>
    <s v="2020-03-01"/>
    <x v="1"/>
    <s v="March    "/>
    <s v="3"/>
    <n v="14"/>
    <n v="-14.11"/>
  </r>
  <r>
    <x v="2"/>
    <s v="Cafes, restaurants and catering services"/>
    <s v="2020-04-01"/>
    <x v="1"/>
    <s v="April    "/>
    <s v="4"/>
    <n v="8.9"/>
    <n v="-46.71"/>
  </r>
  <r>
    <x v="2"/>
    <s v="Cafes, restaurants and catering services"/>
    <s v="2020-05-01"/>
    <x v="1"/>
    <s v="May      "/>
    <s v="5"/>
    <n v="11.7"/>
    <n v="-33.9"/>
  </r>
  <r>
    <x v="2"/>
    <s v="Cafes, restaurants and catering services"/>
    <s v="2020-06-01"/>
    <x v="1"/>
    <s v="June     "/>
    <s v="6"/>
    <n v="13"/>
    <n v="-33.33"/>
  </r>
  <r>
    <x v="2"/>
    <s v="Cafes, restaurants and catering services"/>
    <s v="2020-07-01"/>
    <x v="1"/>
    <s v="July     "/>
    <s v="7"/>
    <n v="16.100000000000001"/>
    <n v="-24.41"/>
  </r>
  <r>
    <x v="2"/>
    <s v="Cafes, restaurants and catering services"/>
    <s v="2020-08-01"/>
    <x v="1"/>
    <s v="August   "/>
    <s v="8"/>
    <n v="17.600000000000001"/>
    <n v="-19.27"/>
  </r>
  <r>
    <x v="2"/>
    <s v="Cafes, restaurants and catering services"/>
    <s v="2020-09-01"/>
    <x v="1"/>
    <s v="September"/>
    <s v="9"/>
    <n v="17.399999999999999"/>
    <n v="-2.79"/>
  </r>
  <r>
    <x v="2"/>
    <s v="Cafes, restaurants and catering services"/>
    <s v="2020-10-01"/>
    <x v="1"/>
    <s v="October  "/>
    <s v="10"/>
    <n v="19.100000000000001"/>
    <n v="11.7"/>
  </r>
  <r>
    <x v="2"/>
    <s v="Cafes, restaurants and catering services"/>
    <s v="2020-11-01"/>
    <x v="1"/>
    <s v="November "/>
    <s v="11"/>
    <n v="18.7"/>
    <n v="14.02"/>
  </r>
  <r>
    <x v="2"/>
    <s v="Cafes, restaurants and catering services"/>
    <s v="2020-12-01"/>
    <x v="1"/>
    <s v="December "/>
    <s v="12"/>
    <n v="18.3"/>
    <n v="18.829999999999998"/>
  </r>
  <r>
    <x v="2"/>
    <s v="Cafes, restaurants and catering services"/>
    <s v="2021-01-01"/>
    <x v="2"/>
    <s v="January  "/>
    <s v="1"/>
    <n v="15.8"/>
    <n v="20.61"/>
  </r>
  <r>
    <x v="2"/>
    <s v="Cafes, restaurants and catering services"/>
    <s v="2021-02-01"/>
    <x v="2"/>
    <s v="February "/>
    <s v="2"/>
    <n v="14.4"/>
    <n v="-4"/>
  </r>
  <r>
    <x v="2"/>
    <s v="Cafes, restaurants and catering services"/>
    <s v="2021-03-01"/>
    <x v="2"/>
    <s v="March    "/>
    <s v="3"/>
    <n v="17.399999999999999"/>
    <n v="24.29"/>
  </r>
  <r>
    <x v="2"/>
    <s v="Cafes, restaurants and catering services"/>
    <s v="2021-04-01"/>
    <x v="2"/>
    <s v="April    "/>
    <s v="4"/>
    <n v="16.600000000000001"/>
    <n v="86.52"/>
  </r>
  <r>
    <x v="2"/>
    <s v="Cafes, restaurants and catering services"/>
    <s v="2021-05-01"/>
    <x v="2"/>
    <s v="May      "/>
    <s v="5"/>
    <n v="17.2"/>
    <n v="47.01"/>
  </r>
  <r>
    <x v="2"/>
    <s v="Cafes, restaurants and catering services"/>
    <s v="2021-06-01"/>
    <x v="2"/>
    <s v="June     "/>
    <s v="6"/>
    <n v="18.7"/>
    <n v="43.85"/>
  </r>
  <r>
    <x v="2"/>
    <s v="Cafes, restaurants and catering services"/>
    <s v="2021-07-01"/>
    <x v="2"/>
    <s v="July     "/>
    <s v="7"/>
    <n v="22.3"/>
    <n v="38.51"/>
  </r>
  <r>
    <x v="2"/>
    <s v="Cafes, restaurants and catering services"/>
    <s v="2021-08-01"/>
    <x v="2"/>
    <s v="August   "/>
    <s v="8"/>
    <n v="20.100000000000001"/>
    <n v="14.2"/>
  </r>
  <r>
    <x v="2"/>
    <s v="Cafes, restaurants and catering services"/>
    <s v="2021-09-01"/>
    <x v="2"/>
    <s v="September"/>
    <s v="9"/>
    <n v="20.7"/>
    <n v="18.97"/>
  </r>
  <r>
    <x v="2"/>
    <s v="Cafes, restaurants and catering services"/>
    <s v="2021-10-01"/>
    <x v="2"/>
    <s v="October  "/>
    <s v="10"/>
    <n v="19.5"/>
    <n v="2.09"/>
  </r>
  <r>
    <x v="2"/>
    <s v="Cafes, restaurants and catering services"/>
    <s v="2021-11-01"/>
    <x v="2"/>
    <s v="November "/>
    <s v="11"/>
    <n v="19.600000000000001"/>
    <n v="4.8099999999999996"/>
  </r>
  <r>
    <x v="2"/>
    <s v="Cafes, restaurants and catering services"/>
    <s v="2021-12-01"/>
    <x v="2"/>
    <s v="December "/>
    <s v="12"/>
    <n v="18.5"/>
    <n v="1.0900000000000001"/>
  </r>
  <r>
    <x v="2"/>
    <s v="Cafes, restaurants and catering services"/>
    <s v="2022-01-01"/>
    <x v="3"/>
    <s v="January  "/>
    <s v="1"/>
    <n v="17.899999999999999"/>
    <n v="13.29"/>
  </r>
  <r>
    <x v="2"/>
    <s v="Cafes, restaurants and catering services"/>
    <s v="2022-02-01"/>
    <x v="3"/>
    <s v="February "/>
    <s v="2"/>
    <n v="16.100000000000001"/>
    <n v="11.81"/>
  </r>
  <r>
    <x v="2"/>
    <s v="Cafes, restaurants and catering services"/>
    <s v="2022-03-01"/>
    <x v="3"/>
    <s v="March    "/>
    <s v="3"/>
    <n v="17.8"/>
    <n v="2.2999999999999998"/>
  </r>
  <r>
    <x v="2"/>
    <s v="Cafes, restaurants and catering services"/>
    <s v="2022-04-01"/>
    <x v="3"/>
    <s v="April    "/>
    <s v="4"/>
    <n v="19.7"/>
    <n v="18.670000000000002"/>
  </r>
  <r>
    <x v="2"/>
    <s v="Cafes, restaurants and catering services"/>
    <s v="2022-05-01"/>
    <x v="3"/>
    <s v="May      "/>
    <s v="5"/>
    <n v="20.399999999999999"/>
    <n v="18.600000000000001"/>
  </r>
  <r>
    <x v="2"/>
    <s v="Cafes, restaurants and catering services"/>
    <s v="2022-06-01"/>
    <x v="3"/>
    <s v="June     "/>
    <s v="6"/>
    <n v="24.4"/>
    <n v="30.48"/>
  </r>
  <r>
    <x v="2"/>
    <s v="Cafes, restaurants and catering services"/>
    <s v="2022-07-01"/>
    <x v="3"/>
    <s v="July     "/>
    <s v="7"/>
    <n v="29.3"/>
    <n v="31.39"/>
  </r>
  <r>
    <x v="2"/>
    <s v="Cafes, restaurants and catering services"/>
    <s v="2022-08-01"/>
    <x v="3"/>
    <s v="August   "/>
    <s v="8"/>
    <n v="31"/>
    <n v="54.23"/>
  </r>
  <r>
    <x v="2"/>
    <s v="Cafes, restaurants and catering services"/>
    <s v="2022-09-01"/>
    <x v="3"/>
    <s v="September"/>
    <s v="9"/>
    <n v="28.9"/>
    <n v="39.61"/>
  </r>
  <r>
    <x v="2"/>
    <s v="Cafes, restaurants and catering services"/>
    <s v="2022-10-01"/>
    <x v="3"/>
    <s v="October  "/>
    <s v="10"/>
    <n v="27.7"/>
    <n v="42.05"/>
  </r>
  <r>
    <x v="2"/>
    <s v="Cafes, restaurants and catering services"/>
    <s v="2022-11-01"/>
    <x v="3"/>
    <s v="November "/>
    <s v="11"/>
    <n v="25"/>
    <n v="27.55"/>
  </r>
  <r>
    <x v="2"/>
    <s v="Cafes, restaurants and catering services"/>
    <s v="2022-12-01"/>
    <x v="3"/>
    <s v="December "/>
    <s v="12"/>
    <n v="25.2"/>
    <n v="36.22"/>
  </r>
  <r>
    <x v="2"/>
    <s v="Cafes, restaurants and catering services"/>
    <s v="2023-01-01"/>
    <x v="4"/>
    <s v="January  "/>
    <s v="1"/>
    <n v="20.8"/>
    <n v="16.2"/>
  </r>
  <r>
    <x v="2"/>
    <s v="Cafes, restaurants and catering services"/>
    <s v="2023-02-01"/>
    <x v="4"/>
    <s v="February "/>
    <s v="2"/>
    <n v="21.3"/>
    <n v="32.299999999999997"/>
  </r>
  <r>
    <x v="2"/>
    <s v="Cafes, restaurants and catering services"/>
    <s v="2023-03-01"/>
    <x v="4"/>
    <s v="March    "/>
    <s v="3"/>
    <n v="25.4"/>
    <n v="42.7"/>
  </r>
  <r>
    <x v="2"/>
    <s v="Cafes, restaurants and catering services"/>
    <s v="2023-04-01"/>
    <x v="4"/>
    <s v="April    "/>
    <s v="4"/>
    <n v="25.6"/>
    <n v="29.95"/>
  </r>
  <r>
    <x v="2"/>
    <s v="Cafes, restaurants and catering services"/>
    <s v="2023-05-01"/>
    <x v="4"/>
    <s v="May      "/>
    <s v="5"/>
    <n v="27.3"/>
    <n v="33.82"/>
  </r>
  <r>
    <x v="2"/>
    <s v="Cafes, restaurants and catering services"/>
    <s v="2023-06-01"/>
    <x v="4"/>
    <s v="June     "/>
    <s v="6"/>
    <n v="31.8"/>
    <n v="30.33"/>
  </r>
  <r>
    <x v="2"/>
    <s v="Cafes, restaurants and catering services"/>
    <s v="2023-07-01"/>
    <x v="4"/>
    <s v="July     "/>
    <s v="7"/>
    <n v="32.700000000000003"/>
    <n v="11.6"/>
  </r>
  <r>
    <x v="2"/>
    <s v="Cafes, restaurants and catering services"/>
    <s v="2023-08-01"/>
    <x v="4"/>
    <s v="August   "/>
    <s v="8"/>
    <n v="34.1"/>
    <n v="10"/>
  </r>
  <r>
    <x v="2"/>
    <s v="Cafes, restaurants and catering services"/>
    <s v="2023-09-01"/>
    <x v="4"/>
    <s v="September"/>
    <s v="9"/>
    <n v="33.1"/>
    <n v="14.53"/>
  </r>
  <r>
    <x v="2"/>
    <s v="Cafes, restaurants and catering services"/>
    <s v="2023-10-01"/>
    <x v="4"/>
    <s v="October  "/>
    <s v="10"/>
    <n v="28.8"/>
    <n v="3.97"/>
  </r>
  <r>
    <x v="2"/>
    <s v="Cafes, restaurants and catering services"/>
    <s v="2023-11-01"/>
    <x v="4"/>
    <s v="November "/>
    <s v="11"/>
    <n v="27.9"/>
    <n v="11.6"/>
  </r>
  <r>
    <x v="2"/>
    <s v="Cafes, restaurants and catering services"/>
    <s v="2023-12-01"/>
    <x v="4"/>
    <s v="December "/>
    <s v="12"/>
    <n v="24.1"/>
    <n v="-4.37"/>
  </r>
  <r>
    <x v="2"/>
    <s v="Cafes, restaurants and catering services"/>
    <s v="2024-01-01"/>
    <x v="5"/>
    <s v="January  "/>
    <s v="1"/>
    <n v="21.9"/>
    <n v="5.29"/>
  </r>
  <r>
    <x v="2"/>
    <s v="Cafes, restaurants and catering services"/>
    <s v="2024-02-01"/>
    <x v="5"/>
    <s v="February "/>
    <s v="2"/>
    <n v="21.6"/>
    <n v="1.41"/>
  </r>
  <r>
    <x v="2"/>
    <s v="Cafes, restaurants and catering services"/>
    <s v="2024-03-01"/>
    <x v="5"/>
    <s v="March    "/>
    <s v="3"/>
    <n v="24.6"/>
    <n v="-3.15"/>
  </r>
  <r>
    <x v="2"/>
    <s v="Cafes, restaurants and catering services"/>
    <s v="2024-04-01"/>
    <x v="5"/>
    <s v="April    "/>
    <s v="4"/>
    <n v="25.3"/>
    <n v="-1.17"/>
  </r>
  <r>
    <x v="2"/>
    <s v="Cafes, restaurants and catering services"/>
    <s v="2024-05-01"/>
    <x v="5"/>
    <s v="May      "/>
    <s v="5"/>
    <n v="27.2"/>
    <n v="-0.37"/>
  </r>
  <r>
    <x v="2"/>
    <s v="Cafes, restaurants and catering services"/>
    <s v="2024-06-01"/>
    <x v="5"/>
    <s v="June     "/>
    <s v="6"/>
    <n v="30.7"/>
    <n v="-3.46"/>
  </r>
  <r>
    <x v="2"/>
    <s v="Cafes, restaurants and catering services"/>
    <s v="2024-07-01"/>
    <x v="5"/>
    <s v="July     "/>
    <s v="7"/>
    <n v="32.6"/>
    <n v="-0.31"/>
  </r>
  <r>
    <x v="2"/>
    <s v="Cafes, restaurants and catering services"/>
    <s v="2024-08-01"/>
    <x v="5"/>
    <s v="August   "/>
    <s v="8"/>
    <n v="34.799999999999997"/>
    <n v="2.0499999999999998"/>
  </r>
  <r>
    <x v="2"/>
    <s v="Cafes, restaurants and catering services"/>
    <s v="2024-09-01"/>
    <x v="5"/>
    <s v="September"/>
    <s v="9"/>
    <n v="30.2"/>
    <n v="-8.76"/>
  </r>
  <r>
    <x v="2"/>
    <s v="Cafes, restaurants and catering services"/>
    <s v="2024-10-01"/>
    <x v="5"/>
    <s v="October  "/>
    <s v="10"/>
    <n v="29.7"/>
    <n v="3.13"/>
  </r>
  <r>
    <x v="2"/>
    <s v="Cafes, restaurants and catering services"/>
    <s v="2024-11-01"/>
    <x v="5"/>
    <s v="November "/>
    <s v="11"/>
    <n v="28.6"/>
    <n v="2.5099999999999998"/>
  </r>
  <r>
    <x v="2"/>
    <s v="Cafes, restaurants and catering services"/>
    <s v="2024-12-01"/>
    <x v="5"/>
    <s v="December "/>
    <s v="12"/>
    <n v="23.9"/>
    <n v="-0.83"/>
  </r>
  <r>
    <x v="2"/>
    <s v="Cafes, restaurants and catering services"/>
    <s v="2025-01-01"/>
    <x v="6"/>
    <s v="January  "/>
    <s v="1"/>
    <n v="20.9"/>
    <n v="-4.57"/>
  </r>
  <r>
    <x v="2"/>
    <s v="Cafes, restaurants and catering services"/>
    <s v="2025-02-01"/>
    <x v="6"/>
    <s v="February "/>
    <s v="2"/>
    <n v="20.8"/>
    <n v="-3.7"/>
  </r>
  <r>
    <x v="2"/>
    <s v="Cafes, restaurants and catering services"/>
    <s v="2025-03-01"/>
    <x v="6"/>
    <s v="March    "/>
    <s v="3"/>
    <n v="23.9"/>
    <n v="-2.85"/>
  </r>
  <r>
    <x v="2"/>
    <s v="Cafes, restaurants and catering services"/>
    <s v="2025-04-01"/>
    <x v="6"/>
    <s v="April    "/>
    <s v="4"/>
    <n v="24.9"/>
    <n v="-1.58"/>
  </r>
  <r>
    <x v="2"/>
    <s v="Cafes, restaurants and catering services"/>
    <s v="2025-05-01"/>
    <x v="6"/>
    <s v="May      "/>
    <s v="5"/>
    <n v="26.9"/>
    <n v="-1.1000000000000001"/>
  </r>
  <r>
    <x v="2"/>
    <s v="Cafes, restaurants and catering services"/>
    <s v="2025-06-01"/>
    <x v="6"/>
    <s v="June     "/>
    <s v="6"/>
    <n v="30"/>
    <n v="-2.2799999999999998"/>
  </r>
  <r>
    <x v="2"/>
    <s v="Clothing retailing"/>
    <s v="2019-01-01"/>
    <x v="0"/>
    <s v="January  "/>
    <s v="1"/>
    <n v="7.2"/>
    <m/>
  </r>
  <r>
    <x v="2"/>
    <s v="Clothing retailing"/>
    <s v="2019-02-01"/>
    <x v="0"/>
    <s v="February "/>
    <s v="2"/>
    <n v="6.5"/>
    <m/>
  </r>
  <r>
    <x v="2"/>
    <s v="Clothing retailing"/>
    <s v="2019-03-01"/>
    <x v="0"/>
    <s v="March    "/>
    <s v="3"/>
    <n v="7.6"/>
    <m/>
  </r>
  <r>
    <x v="2"/>
    <s v="Clothing retailing"/>
    <s v="2019-04-01"/>
    <x v="0"/>
    <s v="April    "/>
    <s v="4"/>
    <n v="7.8"/>
    <m/>
  </r>
  <r>
    <x v="2"/>
    <s v="Clothing retailing"/>
    <s v="2019-05-01"/>
    <x v="0"/>
    <s v="May      "/>
    <s v="5"/>
    <n v="8.5"/>
    <m/>
  </r>
  <r>
    <x v="2"/>
    <s v="Clothing retailing"/>
    <s v="2019-06-01"/>
    <x v="0"/>
    <s v="June     "/>
    <s v="6"/>
    <n v="8.9"/>
    <m/>
  </r>
  <r>
    <x v="2"/>
    <s v="Clothing retailing"/>
    <s v="2019-07-01"/>
    <x v="0"/>
    <s v="July     "/>
    <s v="7"/>
    <n v="10.1"/>
    <m/>
  </r>
  <r>
    <x v="2"/>
    <s v="Clothing retailing"/>
    <s v="2019-08-01"/>
    <x v="0"/>
    <s v="August   "/>
    <s v="8"/>
    <n v="9.6999999999999993"/>
    <m/>
  </r>
  <r>
    <x v="2"/>
    <s v="Clothing retailing"/>
    <s v="2019-09-01"/>
    <x v="0"/>
    <s v="September"/>
    <s v="9"/>
    <n v="8.3000000000000007"/>
    <m/>
  </r>
  <r>
    <x v="2"/>
    <s v="Clothing retailing"/>
    <s v="2019-10-01"/>
    <x v="0"/>
    <s v="October  "/>
    <s v="10"/>
    <n v="8.3000000000000007"/>
    <m/>
  </r>
  <r>
    <x v="2"/>
    <s v="Clothing retailing"/>
    <s v="2019-11-01"/>
    <x v="0"/>
    <s v="November "/>
    <s v="11"/>
    <n v="8.8000000000000007"/>
    <m/>
  </r>
  <r>
    <x v="2"/>
    <s v="Clothing retailing"/>
    <s v="2019-12-01"/>
    <x v="0"/>
    <s v="December "/>
    <s v="12"/>
    <n v="11.5"/>
    <m/>
  </r>
  <r>
    <x v="2"/>
    <s v="Clothing retailing"/>
    <s v="2020-01-01"/>
    <x v="1"/>
    <s v="January  "/>
    <s v="1"/>
    <n v="6.7"/>
    <n v="-6.94"/>
  </r>
  <r>
    <x v="2"/>
    <s v="Clothing retailing"/>
    <s v="2020-02-01"/>
    <x v="1"/>
    <s v="February "/>
    <s v="2"/>
    <n v="5.6"/>
    <n v="-13.85"/>
  </r>
  <r>
    <x v="2"/>
    <s v="Clothing retailing"/>
    <s v="2020-03-01"/>
    <x v="1"/>
    <s v="March    "/>
    <s v="3"/>
    <n v="5.0999999999999996"/>
    <n v="-32.89"/>
  </r>
  <r>
    <x v="2"/>
    <s v="Clothing retailing"/>
    <s v="2020-04-01"/>
    <x v="1"/>
    <s v="April    "/>
    <s v="4"/>
    <n v="3.3"/>
    <n v="-57.69"/>
  </r>
  <r>
    <x v="2"/>
    <s v="Clothing retailing"/>
    <s v="2020-05-01"/>
    <x v="1"/>
    <s v="May      "/>
    <s v="5"/>
    <n v="6.8"/>
    <n v="-20"/>
  </r>
  <r>
    <x v="2"/>
    <s v="Clothing retailing"/>
    <s v="2020-06-01"/>
    <x v="1"/>
    <s v="June     "/>
    <s v="6"/>
    <n v="9.1"/>
    <n v="2.25"/>
  </r>
  <r>
    <x v="2"/>
    <s v="Clothing retailing"/>
    <s v="2020-07-01"/>
    <x v="1"/>
    <s v="July     "/>
    <s v="7"/>
    <n v="12.1"/>
    <n v="19.8"/>
  </r>
  <r>
    <x v="2"/>
    <s v="Clothing retailing"/>
    <s v="2020-08-01"/>
    <x v="1"/>
    <s v="August   "/>
    <s v="8"/>
    <n v="9.9"/>
    <n v="2.06"/>
  </r>
  <r>
    <x v="2"/>
    <s v="Clothing retailing"/>
    <s v="2020-09-01"/>
    <x v="1"/>
    <s v="September"/>
    <s v="9"/>
    <n v="9.9"/>
    <n v="19.28"/>
  </r>
  <r>
    <x v="2"/>
    <s v="Clothing retailing"/>
    <s v="2020-10-01"/>
    <x v="1"/>
    <s v="October  "/>
    <s v="10"/>
    <n v="10.1"/>
    <n v="21.69"/>
  </r>
  <r>
    <x v="2"/>
    <s v="Clothing retailing"/>
    <s v="2020-11-01"/>
    <x v="1"/>
    <s v="November "/>
    <s v="11"/>
    <n v="9.8000000000000007"/>
    <n v="11.36"/>
  </r>
  <r>
    <x v="2"/>
    <s v="Clothing retailing"/>
    <s v="2020-12-01"/>
    <x v="1"/>
    <s v="December "/>
    <s v="12"/>
    <n v="13.8"/>
    <n v="20"/>
  </r>
  <r>
    <x v="2"/>
    <s v="Clothing retailing"/>
    <s v="2021-01-01"/>
    <x v="2"/>
    <s v="January  "/>
    <s v="1"/>
    <n v="7.9"/>
    <n v="17.91"/>
  </r>
  <r>
    <x v="2"/>
    <s v="Clothing retailing"/>
    <s v="2021-02-01"/>
    <x v="2"/>
    <s v="February "/>
    <s v="2"/>
    <n v="6.3"/>
    <n v="12.5"/>
  </r>
  <r>
    <x v="2"/>
    <s v="Clothing retailing"/>
    <s v="2021-03-01"/>
    <x v="2"/>
    <s v="March    "/>
    <s v="3"/>
    <n v="7.5"/>
    <n v="47.06"/>
  </r>
  <r>
    <x v="2"/>
    <s v="Clothing retailing"/>
    <s v="2021-04-01"/>
    <x v="2"/>
    <s v="April    "/>
    <s v="4"/>
    <n v="8.3000000000000007"/>
    <n v="151.52000000000001"/>
  </r>
  <r>
    <x v="2"/>
    <s v="Clothing retailing"/>
    <s v="2021-05-01"/>
    <x v="2"/>
    <s v="May      "/>
    <s v="5"/>
    <n v="8.8000000000000007"/>
    <n v="29.41"/>
  </r>
  <r>
    <x v="2"/>
    <s v="Clothing retailing"/>
    <s v="2021-06-01"/>
    <x v="2"/>
    <s v="June     "/>
    <s v="6"/>
    <n v="8.6"/>
    <n v="-5.49"/>
  </r>
  <r>
    <x v="2"/>
    <s v="Clothing retailing"/>
    <s v="2021-07-01"/>
    <x v="2"/>
    <s v="July     "/>
    <s v="7"/>
    <n v="9.5"/>
    <n v="-21.49"/>
  </r>
  <r>
    <x v="2"/>
    <s v="Clothing retailing"/>
    <s v="2021-08-01"/>
    <x v="2"/>
    <s v="August   "/>
    <s v="8"/>
    <n v="9.4"/>
    <n v="-5.05"/>
  </r>
  <r>
    <x v="2"/>
    <s v="Clothing retailing"/>
    <s v="2021-09-01"/>
    <x v="2"/>
    <s v="September"/>
    <s v="9"/>
    <n v="10"/>
    <n v="1.01"/>
  </r>
  <r>
    <x v="2"/>
    <s v="Clothing retailing"/>
    <s v="2021-10-01"/>
    <x v="2"/>
    <s v="October  "/>
    <s v="10"/>
    <n v="10.5"/>
    <n v="3.96"/>
  </r>
  <r>
    <x v="2"/>
    <s v="Clothing retailing"/>
    <s v="2021-11-01"/>
    <x v="2"/>
    <s v="November "/>
    <s v="11"/>
    <n v="9.1999999999999993"/>
    <n v="-6.12"/>
  </r>
  <r>
    <x v="2"/>
    <s v="Clothing retailing"/>
    <s v="2021-12-01"/>
    <x v="2"/>
    <s v="December "/>
    <s v="12"/>
    <n v="14.1"/>
    <n v="2.17"/>
  </r>
  <r>
    <x v="2"/>
    <s v="Clothing retailing"/>
    <s v="2022-01-01"/>
    <x v="3"/>
    <s v="January  "/>
    <s v="1"/>
    <n v="7.4"/>
    <n v="-6.33"/>
  </r>
  <r>
    <x v="2"/>
    <s v="Clothing retailing"/>
    <s v="2022-02-01"/>
    <x v="3"/>
    <s v="February "/>
    <s v="2"/>
    <n v="6.8"/>
    <n v="7.94"/>
  </r>
  <r>
    <x v="2"/>
    <s v="Clothing retailing"/>
    <s v="2022-03-01"/>
    <x v="3"/>
    <s v="March    "/>
    <s v="3"/>
    <n v="8.6999999999999993"/>
    <n v="16"/>
  </r>
  <r>
    <x v="2"/>
    <s v="Clothing retailing"/>
    <s v="2022-04-01"/>
    <x v="3"/>
    <s v="April    "/>
    <s v="4"/>
    <n v="9.9"/>
    <n v="19.28"/>
  </r>
  <r>
    <x v="2"/>
    <s v="Clothing retailing"/>
    <s v="2022-05-01"/>
    <x v="3"/>
    <s v="May      "/>
    <s v="5"/>
    <n v="9.9"/>
    <n v="12.5"/>
  </r>
  <r>
    <x v="2"/>
    <s v="Clothing retailing"/>
    <s v="2022-06-01"/>
    <x v="3"/>
    <s v="June     "/>
    <s v="6"/>
    <n v="10.1"/>
    <n v="17.440000000000001"/>
  </r>
  <r>
    <x v="2"/>
    <s v="Clothing retailing"/>
    <s v="2022-07-01"/>
    <x v="3"/>
    <s v="July     "/>
    <s v="7"/>
    <n v="12.5"/>
    <n v="31.58"/>
  </r>
  <r>
    <x v="2"/>
    <s v="Clothing retailing"/>
    <s v="2022-08-01"/>
    <x v="3"/>
    <s v="August   "/>
    <s v="8"/>
    <n v="10.7"/>
    <n v="13.83"/>
  </r>
  <r>
    <x v="2"/>
    <s v="Clothing retailing"/>
    <s v="2022-09-01"/>
    <x v="3"/>
    <s v="September"/>
    <s v="9"/>
    <n v="10.6"/>
    <n v="6"/>
  </r>
  <r>
    <x v="2"/>
    <s v="Clothing retailing"/>
    <s v="2022-10-01"/>
    <x v="3"/>
    <s v="October  "/>
    <s v="10"/>
    <n v="10.8"/>
    <n v="2.86"/>
  </r>
  <r>
    <x v="2"/>
    <s v="Clothing retailing"/>
    <s v="2022-11-01"/>
    <x v="3"/>
    <s v="November "/>
    <s v="11"/>
    <n v="11.9"/>
    <n v="29.35"/>
  </r>
  <r>
    <x v="2"/>
    <s v="Clothing retailing"/>
    <s v="2022-12-01"/>
    <x v="3"/>
    <s v="December "/>
    <s v="12"/>
    <n v="14.1"/>
    <n v="0"/>
  </r>
  <r>
    <x v="2"/>
    <s v="Clothing retailing"/>
    <s v="2023-01-01"/>
    <x v="4"/>
    <s v="January  "/>
    <s v="1"/>
    <n v="7.7"/>
    <n v="4.05"/>
  </r>
  <r>
    <x v="2"/>
    <s v="Clothing retailing"/>
    <s v="2023-02-01"/>
    <x v="4"/>
    <s v="February "/>
    <s v="2"/>
    <n v="7"/>
    <n v="2.94"/>
  </r>
  <r>
    <x v="2"/>
    <s v="Clothing retailing"/>
    <s v="2023-03-01"/>
    <x v="4"/>
    <s v="March    "/>
    <s v="3"/>
    <n v="8.3000000000000007"/>
    <n v="-4.5999999999999996"/>
  </r>
  <r>
    <x v="2"/>
    <s v="Clothing retailing"/>
    <s v="2023-04-01"/>
    <x v="4"/>
    <s v="April    "/>
    <s v="4"/>
    <n v="8.4"/>
    <n v="-15.15"/>
  </r>
  <r>
    <x v="2"/>
    <s v="Clothing retailing"/>
    <s v="2023-05-01"/>
    <x v="4"/>
    <s v="May      "/>
    <s v="5"/>
    <n v="9.6"/>
    <n v="-3.03"/>
  </r>
  <r>
    <x v="2"/>
    <s v="Clothing retailing"/>
    <s v="2023-06-01"/>
    <x v="4"/>
    <s v="June     "/>
    <s v="6"/>
    <n v="9.6"/>
    <n v="-4.95"/>
  </r>
  <r>
    <x v="2"/>
    <s v="Clothing retailing"/>
    <s v="2023-07-01"/>
    <x v="4"/>
    <s v="July     "/>
    <s v="7"/>
    <n v="11.7"/>
    <n v="-6.4"/>
  </r>
  <r>
    <x v="2"/>
    <s v="Clothing retailing"/>
    <s v="2023-08-01"/>
    <x v="4"/>
    <s v="August   "/>
    <s v="8"/>
    <n v="11.9"/>
    <n v="11.21"/>
  </r>
  <r>
    <x v="2"/>
    <s v="Clothing retailing"/>
    <s v="2023-09-01"/>
    <x v="4"/>
    <s v="September"/>
    <s v="9"/>
    <n v="10.199999999999999"/>
    <n v="-3.77"/>
  </r>
  <r>
    <x v="2"/>
    <s v="Clothing retailing"/>
    <s v="2023-10-01"/>
    <x v="4"/>
    <s v="October  "/>
    <s v="10"/>
    <n v="10.3"/>
    <n v="-4.63"/>
  </r>
  <r>
    <x v="2"/>
    <s v="Clothing retailing"/>
    <s v="2023-11-01"/>
    <x v="4"/>
    <s v="November "/>
    <s v="11"/>
    <n v="12.5"/>
    <n v="5.04"/>
  </r>
  <r>
    <x v="2"/>
    <s v="Clothing retailing"/>
    <s v="2023-12-01"/>
    <x v="4"/>
    <s v="December "/>
    <s v="12"/>
    <n v="14.1"/>
    <n v="0"/>
  </r>
  <r>
    <x v="2"/>
    <s v="Clothing retailing"/>
    <s v="2024-01-01"/>
    <x v="5"/>
    <s v="January  "/>
    <s v="1"/>
    <n v="8.1999999999999993"/>
    <n v="6.49"/>
  </r>
  <r>
    <x v="2"/>
    <s v="Clothing retailing"/>
    <s v="2024-02-01"/>
    <x v="5"/>
    <s v="February "/>
    <s v="2"/>
    <n v="7.5"/>
    <n v="7.14"/>
  </r>
  <r>
    <x v="2"/>
    <s v="Clothing retailing"/>
    <s v="2024-03-01"/>
    <x v="5"/>
    <s v="March    "/>
    <s v="3"/>
    <n v="8.6"/>
    <n v="3.61"/>
  </r>
  <r>
    <x v="2"/>
    <s v="Clothing retailing"/>
    <s v="2024-04-01"/>
    <x v="5"/>
    <s v="April    "/>
    <s v="4"/>
    <n v="8.6"/>
    <n v="2.38"/>
  </r>
  <r>
    <x v="2"/>
    <s v="Clothing retailing"/>
    <s v="2024-05-01"/>
    <x v="5"/>
    <s v="May      "/>
    <s v="5"/>
    <n v="9.6999999999999993"/>
    <n v="1.04"/>
  </r>
  <r>
    <x v="2"/>
    <s v="Clothing retailing"/>
    <s v="2024-06-01"/>
    <x v="5"/>
    <s v="June     "/>
    <s v="6"/>
    <n v="9.9"/>
    <n v="3.13"/>
  </r>
  <r>
    <x v="2"/>
    <s v="Clothing retailing"/>
    <s v="2024-07-01"/>
    <x v="5"/>
    <s v="July     "/>
    <s v="7"/>
    <n v="12.5"/>
    <n v="6.84"/>
  </r>
  <r>
    <x v="2"/>
    <s v="Clothing retailing"/>
    <s v="2024-08-01"/>
    <x v="5"/>
    <s v="August   "/>
    <s v="8"/>
    <n v="12.1"/>
    <n v="1.68"/>
  </r>
  <r>
    <x v="2"/>
    <s v="Clothing retailing"/>
    <s v="2024-09-01"/>
    <x v="5"/>
    <s v="September"/>
    <s v="9"/>
    <n v="10.7"/>
    <n v="4.9000000000000004"/>
  </r>
  <r>
    <x v="2"/>
    <s v="Clothing retailing"/>
    <s v="2024-10-01"/>
    <x v="5"/>
    <s v="October  "/>
    <s v="10"/>
    <n v="10.4"/>
    <n v="0.97"/>
  </r>
  <r>
    <x v="2"/>
    <s v="Clothing retailing"/>
    <s v="2024-11-01"/>
    <x v="5"/>
    <s v="November "/>
    <s v="11"/>
    <n v="12"/>
    <n v="-4"/>
  </r>
  <r>
    <x v="2"/>
    <s v="Clothing retailing"/>
    <s v="2024-12-01"/>
    <x v="5"/>
    <s v="December "/>
    <s v="12"/>
    <n v="14.1"/>
    <n v="0"/>
  </r>
  <r>
    <x v="2"/>
    <s v="Clothing retailing"/>
    <s v="2025-01-01"/>
    <x v="6"/>
    <s v="January  "/>
    <s v="1"/>
    <n v="8.6"/>
    <n v="4.88"/>
  </r>
  <r>
    <x v="2"/>
    <s v="Clothing retailing"/>
    <s v="2025-02-01"/>
    <x v="6"/>
    <s v="February "/>
    <s v="2"/>
    <n v="7.3"/>
    <n v="-2.67"/>
  </r>
  <r>
    <x v="2"/>
    <s v="Clothing retailing"/>
    <s v="2025-03-01"/>
    <x v="6"/>
    <s v="March    "/>
    <s v="3"/>
    <n v="9.1"/>
    <n v="5.81"/>
  </r>
  <r>
    <x v="2"/>
    <s v="Clothing retailing"/>
    <s v="2025-04-01"/>
    <x v="6"/>
    <s v="April    "/>
    <s v="4"/>
    <n v="9.3000000000000007"/>
    <n v="8.14"/>
  </r>
  <r>
    <x v="2"/>
    <s v="Clothing retailing"/>
    <s v="2025-05-01"/>
    <x v="6"/>
    <s v="May      "/>
    <s v="5"/>
    <n v="10.5"/>
    <n v="8.25"/>
  </r>
  <r>
    <x v="2"/>
    <s v="Clothing retailing"/>
    <s v="2025-06-01"/>
    <x v="6"/>
    <s v="June     "/>
    <s v="6"/>
    <n v="11"/>
    <n v="11.11"/>
  </r>
  <r>
    <x v="2"/>
    <s v="Electrical and electronic goods retailing"/>
    <s v="2019-01-01"/>
    <x v="0"/>
    <s v="January  "/>
    <s v="1"/>
    <n v="10.5"/>
    <m/>
  </r>
  <r>
    <x v="2"/>
    <s v="Electrical and electronic goods retailing"/>
    <s v="2019-02-01"/>
    <x v="0"/>
    <s v="February "/>
    <s v="2"/>
    <n v="9.9"/>
    <m/>
  </r>
  <r>
    <x v="2"/>
    <s v="Electrical and electronic goods retailing"/>
    <s v="2019-03-01"/>
    <x v="0"/>
    <s v="March    "/>
    <s v="3"/>
    <n v="10.4"/>
    <m/>
  </r>
  <r>
    <x v="2"/>
    <s v="Electrical and electronic goods retailing"/>
    <s v="2019-04-01"/>
    <x v="0"/>
    <s v="April    "/>
    <s v="4"/>
    <n v="8.6999999999999993"/>
    <m/>
  </r>
  <r>
    <x v="2"/>
    <s v="Electrical and electronic goods retailing"/>
    <s v="2019-05-01"/>
    <x v="0"/>
    <s v="May      "/>
    <s v="5"/>
    <n v="9.4"/>
    <m/>
  </r>
  <r>
    <x v="2"/>
    <s v="Electrical and electronic goods retailing"/>
    <s v="2019-06-01"/>
    <x v="0"/>
    <s v="June     "/>
    <s v="6"/>
    <n v="11.7"/>
    <m/>
  </r>
  <r>
    <x v="2"/>
    <s v="Electrical and electronic goods retailing"/>
    <s v="2019-07-01"/>
    <x v="0"/>
    <s v="July     "/>
    <s v="7"/>
    <n v="10.199999999999999"/>
    <m/>
  </r>
  <r>
    <x v="2"/>
    <s v="Electrical and electronic goods retailing"/>
    <s v="2019-08-01"/>
    <x v="0"/>
    <s v="August   "/>
    <s v="8"/>
    <n v="11.3"/>
    <m/>
  </r>
  <r>
    <x v="2"/>
    <s v="Electrical and electronic goods retailing"/>
    <s v="2019-09-01"/>
    <x v="0"/>
    <s v="September"/>
    <s v="9"/>
    <n v="10.199999999999999"/>
    <m/>
  </r>
  <r>
    <x v="2"/>
    <s v="Electrical and electronic goods retailing"/>
    <s v="2019-10-01"/>
    <x v="0"/>
    <s v="October  "/>
    <s v="10"/>
    <n v="12.4"/>
    <m/>
  </r>
  <r>
    <x v="2"/>
    <s v="Electrical and electronic goods retailing"/>
    <s v="2019-11-01"/>
    <x v="0"/>
    <s v="November "/>
    <s v="11"/>
    <n v="13.3"/>
    <m/>
  </r>
  <r>
    <x v="2"/>
    <s v="Electrical and electronic goods retailing"/>
    <s v="2019-12-01"/>
    <x v="0"/>
    <s v="December "/>
    <s v="12"/>
    <n v="17.399999999999999"/>
    <m/>
  </r>
  <r>
    <x v="2"/>
    <s v="Electrical and electronic goods retailing"/>
    <s v="2020-01-01"/>
    <x v="1"/>
    <s v="January  "/>
    <s v="1"/>
    <n v="10.9"/>
    <n v="3.81"/>
  </r>
  <r>
    <x v="2"/>
    <s v="Electrical and electronic goods retailing"/>
    <s v="2020-02-01"/>
    <x v="1"/>
    <s v="February "/>
    <s v="2"/>
    <n v="11.3"/>
    <n v="14.14"/>
  </r>
  <r>
    <x v="2"/>
    <s v="Electrical and electronic goods retailing"/>
    <s v="2020-03-01"/>
    <x v="1"/>
    <s v="March    "/>
    <s v="3"/>
    <n v="14.5"/>
    <n v="39.42"/>
  </r>
  <r>
    <x v="2"/>
    <s v="Electrical and electronic goods retailing"/>
    <s v="2020-04-01"/>
    <x v="1"/>
    <s v="April    "/>
    <s v="4"/>
    <n v="15"/>
    <n v="72.41"/>
  </r>
  <r>
    <x v="2"/>
    <s v="Electrical and electronic goods retailing"/>
    <s v="2020-05-01"/>
    <x v="1"/>
    <s v="May      "/>
    <s v="5"/>
    <n v="15.6"/>
    <n v="65.959999999999994"/>
  </r>
  <r>
    <x v="2"/>
    <s v="Electrical and electronic goods retailing"/>
    <s v="2020-06-01"/>
    <x v="1"/>
    <s v="June     "/>
    <s v="6"/>
    <n v="16"/>
    <n v="36.75"/>
  </r>
  <r>
    <x v="2"/>
    <s v="Electrical and electronic goods retailing"/>
    <s v="2020-07-01"/>
    <x v="1"/>
    <s v="July     "/>
    <s v="7"/>
    <n v="16.3"/>
    <n v="59.8"/>
  </r>
  <r>
    <x v="2"/>
    <s v="Electrical and electronic goods retailing"/>
    <s v="2020-08-01"/>
    <x v="1"/>
    <s v="August   "/>
    <s v="8"/>
    <n v="16.3"/>
    <n v="44.25"/>
  </r>
  <r>
    <x v="2"/>
    <s v="Electrical and electronic goods retailing"/>
    <s v="2020-09-01"/>
    <x v="1"/>
    <s v="September"/>
    <s v="9"/>
    <n v="15.8"/>
    <n v="54.9"/>
  </r>
  <r>
    <x v="2"/>
    <s v="Electrical and electronic goods retailing"/>
    <s v="2020-10-01"/>
    <x v="1"/>
    <s v="October  "/>
    <s v="10"/>
    <n v="15.6"/>
    <n v="25.81"/>
  </r>
  <r>
    <x v="2"/>
    <s v="Electrical and electronic goods retailing"/>
    <s v="2020-11-01"/>
    <x v="1"/>
    <s v="November "/>
    <s v="11"/>
    <n v="17.899999999999999"/>
    <n v="34.590000000000003"/>
  </r>
  <r>
    <x v="2"/>
    <s v="Electrical and electronic goods retailing"/>
    <s v="2020-12-01"/>
    <x v="1"/>
    <s v="December "/>
    <s v="12"/>
    <n v="21.6"/>
    <n v="24.14"/>
  </r>
  <r>
    <x v="2"/>
    <s v="Electrical and electronic goods retailing"/>
    <s v="2021-01-01"/>
    <x v="2"/>
    <s v="January  "/>
    <s v="1"/>
    <n v="13.5"/>
    <n v="23.85"/>
  </r>
  <r>
    <x v="2"/>
    <s v="Electrical and electronic goods retailing"/>
    <s v="2021-02-01"/>
    <x v="2"/>
    <s v="February "/>
    <s v="2"/>
    <n v="13.5"/>
    <n v="19.47"/>
  </r>
  <r>
    <x v="2"/>
    <s v="Electrical and electronic goods retailing"/>
    <s v="2021-03-01"/>
    <x v="2"/>
    <s v="March    "/>
    <s v="3"/>
    <n v="13.4"/>
    <n v="-7.59"/>
  </r>
  <r>
    <x v="2"/>
    <s v="Electrical and electronic goods retailing"/>
    <s v="2021-04-01"/>
    <x v="2"/>
    <s v="April    "/>
    <s v="4"/>
    <n v="12.6"/>
    <n v="-16"/>
  </r>
  <r>
    <x v="2"/>
    <s v="Electrical and electronic goods retailing"/>
    <s v="2021-05-01"/>
    <x v="2"/>
    <s v="May      "/>
    <s v="5"/>
    <n v="13.4"/>
    <n v="-14.1"/>
  </r>
  <r>
    <x v="2"/>
    <s v="Electrical and electronic goods retailing"/>
    <s v="2021-06-01"/>
    <x v="2"/>
    <s v="June     "/>
    <s v="6"/>
    <n v="14.1"/>
    <n v="-11.88"/>
  </r>
  <r>
    <x v="2"/>
    <s v="Electrical and electronic goods retailing"/>
    <s v="2021-07-01"/>
    <x v="2"/>
    <s v="July     "/>
    <s v="7"/>
    <n v="15.6"/>
    <n v="-4.29"/>
  </r>
  <r>
    <x v="2"/>
    <s v="Electrical and electronic goods retailing"/>
    <s v="2021-08-01"/>
    <x v="2"/>
    <s v="August   "/>
    <s v="8"/>
    <n v="15.7"/>
    <n v="-3.68"/>
  </r>
  <r>
    <x v="2"/>
    <s v="Electrical and electronic goods retailing"/>
    <s v="2021-09-01"/>
    <x v="2"/>
    <s v="September"/>
    <s v="9"/>
    <n v="15.8"/>
    <n v="0"/>
  </r>
  <r>
    <x v="2"/>
    <s v="Electrical and electronic goods retailing"/>
    <s v="2021-10-01"/>
    <x v="2"/>
    <s v="October  "/>
    <s v="10"/>
    <n v="18.3"/>
    <n v="17.309999999999999"/>
  </r>
  <r>
    <x v="2"/>
    <s v="Electrical and electronic goods retailing"/>
    <s v="2021-11-01"/>
    <x v="2"/>
    <s v="November "/>
    <s v="11"/>
    <n v="19.100000000000001"/>
    <n v="6.7"/>
  </r>
  <r>
    <x v="2"/>
    <s v="Electrical and electronic goods retailing"/>
    <s v="2021-12-01"/>
    <x v="2"/>
    <s v="December "/>
    <s v="12"/>
    <n v="23.8"/>
    <n v="10.19"/>
  </r>
  <r>
    <x v="2"/>
    <s v="Electrical and electronic goods retailing"/>
    <s v="2022-01-01"/>
    <x v="3"/>
    <s v="January  "/>
    <s v="1"/>
    <n v="16.5"/>
    <n v="22.22"/>
  </r>
  <r>
    <x v="2"/>
    <s v="Electrical and electronic goods retailing"/>
    <s v="2022-02-01"/>
    <x v="3"/>
    <s v="February "/>
    <s v="2"/>
    <n v="14.7"/>
    <n v="8.89"/>
  </r>
  <r>
    <x v="2"/>
    <s v="Electrical and electronic goods retailing"/>
    <s v="2022-03-01"/>
    <x v="3"/>
    <s v="March    "/>
    <s v="3"/>
    <n v="16.3"/>
    <n v="21.64"/>
  </r>
  <r>
    <x v="2"/>
    <s v="Electrical and electronic goods retailing"/>
    <s v="2022-04-01"/>
    <x v="3"/>
    <s v="April    "/>
    <s v="4"/>
    <n v="14.6"/>
    <n v="15.87"/>
  </r>
  <r>
    <x v="2"/>
    <s v="Electrical and electronic goods retailing"/>
    <s v="2022-05-01"/>
    <x v="3"/>
    <s v="May      "/>
    <s v="5"/>
    <n v="15.5"/>
    <n v="15.67"/>
  </r>
  <r>
    <x v="2"/>
    <s v="Electrical and electronic goods retailing"/>
    <s v="2022-06-01"/>
    <x v="3"/>
    <s v="June     "/>
    <s v="6"/>
    <n v="18.100000000000001"/>
    <n v="28.37"/>
  </r>
  <r>
    <x v="2"/>
    <s v="Electrical and electronic goods retailing"/>
    <s v="2022-07-01"/>
    <x v="3"/>
    <s v="July     "/>
    <s v="7"/>
    <n v="16.2"/>
    <n v="3.85"/>
  </r>
  <r>
    <x v="2"/>
    <s v="Electrical and electronic goods retailing"/>
    <s v="2022-08-01"/>
    <x v="3"/>
    <s v="August   "/>
    <s v="8"/>
    <n v="15.7"/>
    <n v="0"/>
  </r>
  <r>
    <x v="2"/>
    <s v="Electrical and electronic goods retailing"/>
    <s v="2022-09-01"/>
    <x v="3"/>
    <s v="September"/>
    <s v="9"/>
    <n v="16.5"/>
    <n v="4.43"/>
  </r>
  <r>
    <x v="2"/>
    <s v="Electrical and electronic goods retailing"/>
    <s v="2022-10-01"/>
    <x v="3"/>
    <s v="October  "/>
    <s v="10"/>
    <n v="16.899999999999999"/>
    <n v="-7.65"/>
  </r>
  <r>
    <x v="2"/>
    <s v="Electrical and electronic goods retailing"/>
    <s v="2022-11-01"/>
    <x v="3"/>
    <s v="November "/>
    <s v="11"/>
    <n v="20.399999999999999"/>
    <n v="6.81"/>
  </r>
  <r>
    <x v="2"/>
    <s v="Electrical and electronic goods retailing"/>
    <s v="2022-12-01"/>
    <x v="3"/>
    <s v="December "/>
    <s v="12"/>
    <n v="21.5"/>
    <n v="-9.66"/>
  </r>
  <r>
    <x v="2"/>
    <s v="Electrical and electronic goods retailing"/>
    <s v="2023-01-01"/>
    <x v="4"/>
    <s v="January  "/>
    <s v="1"/>
    <n v="15.1"/>
    <n v="-8.48"/>
  </r>
  <r>
    <x v="2"/>
    <s v="Electrical and electronic goods retailing"/>
    <s v="2023-02-01"/>
    <x v="4"/>
    <s v="February "/>
    <s v="2"/>
    <n v="13.9"/>
    <n v="-5.44"/>
  </r>
  <r>
    <x v="2"/>
    <s v="Electrical and electronic goods retailing"/>
    <s v="2023-03-01"/>
    <x v="4"/>
    <s v="March    "/>
    <s v="3"/>
    <n v="15.4"/>
    <n v="-5.52"/>
  </r>
  <r>
    <x v="2"/>
    <s v="Electrical and electronic goods retailing"/>
    <s v="2023-04-01"/>
    <x v="4"/>
    <s v="April    "/>
    <s v="4"/>
    <n v="13.8"/>
    <n v="-5.48"/>
  </r>
  <r>
    <x v="2"/>
    <s v="Electrical and electronic goods retailing"/>
    <s v="2023-05-01"/>
    <x v="4"/>
    <s v="May      "/>
    <s v="5"/>
    <n v="15.3"/>
    <n v="-1.29"/>
  </r>
  <r>
    <x v="2"/>
    <s v="Electrical and electronic goods retailing"/>
    <s v="2023-06-01"/>
    <x v="4"/>
    <s v="June     "/>
    <s v="6"/>
    <n v="17.899999999999999"/>
    <n v="-1.1000000000000001"/>
  </r>
  <r>
    <x v="2"/>
    <s v="Electrical and electronic goods retailing"/>
    <s v="2023-07-01"/>
    <x v="4"/>
    <s v="July     "/>
    <s v="7"/>
    <n v="16.7"/>
    <n v="3.09"/>
  </r>
  <r>
    <x v="2"/>
    <s v="Electrical and electronic goods retailing"/>
    <s v="2023-08-01"/>
    <x v="4"/>
    <s v="August   "/>
    <s v="8"/>
    <n v="15.9"/>
    <n v="1.27"/>
  </r>
  <r>
    <x v="2"/>
    <s v="Electrical and electronic goods retailing"/>
    <s v="2023-09-01"/>
    <x v="4"/>
    <s v="September"/>
    <s v="9"/>
    <n v="15.7"/>
    <n v="-4.8499999999999996"/>
  </r>
  <r>
    <x v="2"/>
    <s v="Electrical and electronic goods retailing"/>
    <s v="2023-10-01"/>
    <x v="4"/>
    <s v="October  "/>
    <s v="10"/>
    <n v="15.5"/>
    <n v="-8.2799999999999994"/>
  </r>
  <r>
    <x v="2"/>
    <s v="Electrical and electronic goods retailing"/>
    <s v="2023-11-01"/>
    <x v="4"/>
    <s v="November "/>
    <s v="11"/>
    <n v="21.1"/>
    <n v="3.43"/>
  </r>
  <r>
    <x v="2"/>
    <s v="Electrical and electronic goods retailing"/>
    <s v="2023-12-01"/>
    <x v="4"/>
    <s v="December "/>
    <s v="12"/>
    <n v="22.3"/>
    <n v="3.72"/>
  </r>
  <r>
    <x v="2"/>
    <s v="Electrical and electronic goods retailing"/>
    <s v="2024-01-01"/>
    <x v="5"/>
    <s v="January  "/>
    <s v="1"/>
    <n v="15.3"/>
    <n v="1.32"/>
  </r>
  <r>
    <x v="2"/>
    <s v="Electrical and electronic goods retailing"/>
    <s v="2024-02-01"/>
    <x v="5"/>
    <s v="February "/>
    <s v="2"/>
    <n v="15"/>
    <n v="7.91"/>
  </r>
  <r>
    <x v="2"/>
    <s v="Electrical and electronic goods retailing"/>
    <s v="2024-03-01"/>
    <x v="5"/>
    <s v="March    "/>
    <s v="3"/>
    <n v="15.8"/>
    <n v="2.6"/>
  </r>
  <r>
    <x v="2"/>
    <s v="Electrical and electronic goods retailing"/>
    <s v="2024-04-01"/>
    <x v="5"/>
    <s v="April    "/>
    <s v="4"/>
    <n v="14.1"/>
    <n v="2.17"/>
  </r>
  <r>
    <x v="2"/>
    <s v="Electrical and electronic goods retailing"/>
    <s v="2024-05-01"/>
    <x v="5"/>
    <s v="May      "/>
    <s v="5"/>
    <n v="15.3"/>
    <n v="0"/>
  </r>
  <r>
    <x v="2"/>
    <s v="Electrical and electronic goods retailing"/>
    <s v="2024-06-01"/>
    <x v="5"/>
    <s v="June     "/>
    <s v="6"/>
    <n v="18.8"/>
    <n v="5.03"/>
  </r>
  <r>
    <x v="2"/>
    <s v="Electrical and electronic goods retailing"/>
    <s v="2024-07-01"/>
    <x v="5"/>
    <s v="July     "/>
    <s v="7"/>
    <n v="17.2"/>
    <n v="2.99"/>
  </r>
  <r>
    <x v="2"/>
    <s v="Electrical and electronic goods retailing"/>
    <s v="2024-08-01"/>
    <x v="5"/>
    <s v="August   "/>
    <s v="8"/>
    <n v="16.7"/>
    <n v="5.03"/>
  </r>
  <r>
    <x v="2"/>
    <s v="Electrical and electronic goods retailing"/>
    <s v="2024-09-01"/>
    <x v="5"/>
    <s v="September"/>
    <s v="9"/>
    <n v="16.7"/>
    <n v="6.37"/>
  </r>
  <r>
    <x v="2"/>
    <s v="Electrical and electronic goods retailing"/>
    <s v="2024-10-01"/>
    <x v="5"/>
    <s v="October  "/>
    <s v="10"/>
    <n v="16.8"/>
    <n v="8.39"/>
  </r>
  <r>
    <x v="2"/>
    <s v="Electrical and electronic goods retailing"/>
    <s v="2024-11-01"/>
    <x v="5"/>
    <s v="November "/>
    <s v="11"/>
    <n v="22"/>
    <n v="4.2699999999999996"/>
  </r>
  <r>
    <x v="2"/>
    <s v="Electrical and electronic goods retailing"/>
    <s v="2024-12-01"/>
    <x v="5"/>
    <s v="December "/>
    <s v="12"/>
    <n v="26.1"/>
    <n v="17.04"/>
  </r>
  <r>
    <x v="2"/>
    <s v="Electrical and electronic goods retailing"/>
    <s v="2025-01-01"/>
    <x v="6"/>
    <s v="January  "/>
    <s v="1"/>
    <n v="16.7"/>
    <n v="9.15"/>
  </r>
  <r>
    <x v="2"/>
    <s v="Electrical and electronic goods retailing"/>
    <s v="2025-02-01"/>
    <x v="6"/>
    <s v="February "/>
    <s v="2"/>
    <n v="15.4"/>
    <n v="2.67"/>
  </r>
  <r>
    <x v="2"/>
    <s v="Electrical and electronic goods retailing"/>
    <s v="2025-03-01"/>
    <x v="6"/>
    <s v="March    "/>
    <s v="3"/>
    <n v="17.600000000000001"/>
    <n v="11.39"/>
  </r>
  <r>
    <x v="2"/>
    <s v="Electrical and electronic goods retailing"/>
    <s v="2025-04-01"/>
    <x v="6"/>
    <s v="April    "/>
    <s v="4"/>
    <n v="16.7"/>
    <n v="18.440000000000001"/>
  </r>
  <r>
    <x v="2"/>
    <s v="Electrical and electronic goods retailing"/>
    <s v="2025-05-01"/>
    <x v="6"/>
    <s v="May      "/>
    <s v="5"/>
    <n v="17.899999999999999"/>
    <n v="16.989999999999998"/>
  </r>
  <r>
    <x v="2"/>
    <s v="Electrical and electronic goods retailing"/>
    <s v="2025-06-01"/>
    <x v="6"/>
    <s v="June     "/>
    <s v="6"/>
    <n v="21.6"/>
    <n v="14.89"/>
  </r>
  <r>
    <x v="2"/>
    <s v="Footwear and other personal accessory retailing"/>
    <s v="2019-01-01"/>
    <x v="0"/>
    <s v="January  "/>
    <s v="1"/>
    <n v="4.5"/>
    <m/>
  </r>
  <r>
    <x v="2"/>
    <s v="Footwear and other personal accessory retailing"/>
    <s v="2019-02-01"/>
    <x v="0"/>
    <s v="February "/>
    <s v="2"/>
    <n v="3.9"/>
    <m/>
  </r>
  <r>
    <x v="2"/>
    <s v="Footwear and other personal accessory retailing"/>
    <s v="2019-03-01"/>
    <x v="0"/>
    <s v="March    "/>
    <s v="3"/>
    <n v="4.3"/>
    <m/>
  </r>
  <r>
    <x v="2"/>
    <s v="Footwear and other personal accessory retailing"/>
    <s v="2019-04-01"/>
    <x v="0"/>
    <s v="April    "/>
    <s v="4"/>
    <n v="4.5"/>
    <m/>
  </r>
  <r>
    <x v="2"/>
    <s v="Footwear and other personal accessory retailing"/>
    <s v="2019-05-01"/>
    <x v="0"/>
    <s v="May      "/>
    <s v="5"/>
    <n v="5.0999999999999996"/>
    <m/>
  </r>
  <r>
    <x v="2"/>
    <s v="Footwear and other personal accessory retailing"/>
    <s v="2019-06-01"/>
    <x v="0"/>
    <s v="June     "/>
    <s v="6"/>
    <n v="5.3"/>
    <m/>
  </r>
  <r>
    <x v="2"/>
    <s v="Footwear and other personal accessory retailing"/>
    <s v="2019-07-01"/>
    <x v="0"/>
    <s v="July     "/>
    <s v="7"/>
    <n v="5.4"/>
    <m/>
  </r>
  <r>
    <x v="2"/>
    <s v="Footwear and other personal accessory retailing"/>
    <s v="2019-08-01"/>
    <x v="0"/>
    <s v="August   "/>
    <s v="8"/>
    <n v="5.8"/>
    <m/>
  </r>
  <r>
    <x v="2"/>
    <s v="Footwear and other personal accessory retailing"/>
    <s v="2019-09-01"/>
    <x v="0"/>
    <s v="September"/>
    <s v="9"/>
    <n v="5.2"/>
    <m/>
  </r>
  <r>
    <x v="2"/>
    <s v="Footwear and other personal accessory retailing"/>
    <s v="2019-10-01"/>
    <x v="0"/>
    <s v="October  "/>
    <s v="10"/>
    <n v="5.2"/>
    <m/>
  </r>
  <r>
    <x v="2"/>
    <s v="Footwear and other personal accessory retailing"/>
    <s v="2019-11-01"/>
    <x v="0"/>
    <s v="November "/>
    <s v="11"/>
    <n v="5.8"/>
    <m/>
  </r>
  <r>
    <x v="2"/>
    <s v="Footwear and other personal accessory retailing"/>
    <s v="2019-12-01"/>
    <x v="0"/>
    <s v="December "/>
    <s v="12"/>
    <n v="8.6"/>
    <m/>
  </r>
  <r>
    <x v="2"/>
    <s v="Footwear and other personal accessory retailing"/>
    <s v="2020-01-01"/>
    <x v="1"/>
    <s v="January  "/>
    <s v="1"/>
    <n v="4.4000000000000004"/>
    <n v="-2.2200000000000002"/>
  </r>
  <r>
    <x v="2"/>
    <s v="Footwear and other personal accessory retailing"/>
    <s v="2020-02-01"/>
    <x v="1"/>
    <s v="February "/>
    <s v="2"/>
    <n v="4.2"/>
    <n v="7.69"/>
  </r>
  <r>
    <x v="2"/>
    <s v="Footwear and other personal accessory retailing"/>
    <s v="2020-03-01"/>
    <x v="1"/>
    <s v="March    "/>
    <s v="3"/>
    <n v="4"/>
    <n v="-6.98"/>
  </r>
  <r>
    <x v="2"/>
    <s v="Footwear and other personal accessory retailing"/>
    <s v="2020-04-01"/>
    <x v="1"/>
    <s v="April    "/>
    <s v="4"/>
    <n v="2.1"/>
    <n v="-53.33"/>
  </r>
  <r>
    <x v="2"/>
    <s v="Footwear and other personal accessory retailing"/>
    <s v="2020-05-01"/>
    <x v="1"/>
    <s v="May      "/>
    <s v="5"/>
    <n v="5"/>
    <n v="-1.96"/>
  </r>
  <r>
    <x v="2"/>
    <s v="Footwear and other personal accessory retailing"/>
    <s v="2020-06-01"/>
    <x v="1"/>
    <s v="June     "/>
    <s v="6"/>
    <n v="5"/>
    <n v="-5.66"/>
  </r>
  <r>
    <x v="2"/>
    <s v="Footwear and other personal accessory retailing"/>
    <s v="2020-07-01"/>
    <x v="1"/>
    <s v="July     "/>
    <s v="7"/>
    <n v="6.5"/>
    <n v="20.37"/>
  </r>
  <r>
    <x v="2"/>
    <s v="Footwear and other personal accessory retailing"/>
    <s v="2020-08-01"/>
    <x v="1"/>
    <s v="August   "/>
    <s v="8"/>
    <n v="6.5"/>
    <n v="12.07"/>
  </r>
  <r>
    <x v="2"/>
    <s v="Footwear and other personal accessory retailing"/>
    <s v="2020-09-01"/>
    <x v="1"/>
    <s v="September"/>
    <s v="9"/>
    <n v="6"/>
    <n v="15.38"/>
  </r>
  <r>
    <x v="2"/>
    <s v="Footwear and other personal accessory retailing"/>
    <s v="2020-10-01"/>
    <x v="1"/>
    <s v="October  "/>
    <s v="10"/>
    <n v="6.2"/>
    <n v="19.23"/>
  </r>
  <r>
    <x v="2"/>
    <s v="Footwear and other personal accessory retailing"/>
    <s v="2020-11-01"/>
    <x v="1"/>
    <s v="November "/>
    <s v="11"/>
    <n v="6.9"/>
    <n v="18.97"/>
  </r>
  <r>
    <x v="2"/>
    <s v="Footwear and other personal accessory retailing"/>
    <s v="2020-12-01"/>
    <x v="1"/>
    <s v="December "/>
    <s v="12"/>
    <n v="11.8"/>
    <n v="37.21"/>
  </r>
  <r>
    <x v="2"/>
    <s v="Footwear and other personal accessory retailing"/>
    <s v="2021-01-01"/>
    <x v="2"/>
    <s v="January  "/>
    <s v="1"/>
    <n v="5.5"/>
    <n v="25"/>
  </r>
  <r>
    <x v="2"/>
    <s v="Footwear and other personal accessory retailing"/>
    <s v="2021-02-01"/>
    <x v="2"/>
    <s v="February "/>
    <s v="2"/>
    <n v="5"/>
    <n v="19.05"/>
  </r>
  <r>
    <x v="2"/>
    <s v="Footwear and other personal accessory retailing"/>
    <s v="2021-03-01"/>
    <x v="2"/>
    <s v="March    "/>
    <s v="3"/>
    <n v="6.1"/>
    <n v="52.5"/>
  </r>
  <r>
    <x v="2"/>
    <s v="Footwear and other personal accessory retailing"/>
    <s v="2021-04-01"/>
    <x v="2"/>
    <s v="April    "/>
    <s v="4"/>
    <n v="6.5"/>
    <n v="209.52"/>
  </r>
  <r>
    <x v="2"/>
    <s v="Footwear and other personal accessory retailing"/>
    <s v="2021-05-01"/>
    <x v="2"/>
    <s v="May      "/>
    <s v="5"/>
    <n v="6.9"/>
    <n v="38"/>
  </r>
  <r>
    <x v="2"/>
    <s v="Footwear and other personal accessory retailing"/>
    <s v="2021-06-01"/>
    <x v="2"/>
    <s v="June     "/>
    <s v="6"/>
    <n v="6.2"/>
    <n v="24"/>
  </r>
  <r>
    <x v="2"/>
    <s v="Footwear and other personal accessory retailing"/>
    <s v="2021-07-01"/>
    <x v="2"/>
    <s v="July     "/>
    <s v="7"/>
    <n v="7"/>
    <n v="7.69"/>
  </r>
  <r>
    <x v="2"/>
    <s v="Footwear and other personal accessory retailing"/>
    <s v="2021-08-01"/>
    <x v="2"/>
    <s v="August   "/>
    <s v="8"/>
    <n v="6.6"/>
    <n v="1.54"/>
  </r>
  <r>
    <x v="2"/>
    <s v="Footwear and other personal accessory retailing"/>
    <s v="2021-09-01"/>
    <x v="2"/>
    <s v="September"/>
    <s v="9"/>
    <n v="7.4"/>
    <n v="23.33"/>
  </r>
  <r>
    <x v="2"/>
    <s v="Furniture, floor coverings, houseware and textile goods retailing"/>
    <s v="2019-01-01"/>
    <x v="0"/>
    <s v="January  "/>
    <s v="1"/>
    <n v="7.4"/>
    <m/>
  </r>
  <r>
    <x v="2"/>
    <s v="Furniture, floor coverings, houseware and textile goods retailing"/>
    <s v="2019-02-01"/>
    <x v="0"/>
    <s v="February "/>
    <s v="2"/>
    <n v="6.5"/>
    <m/>
  </r>
  <r>
    <x v="2"/>
    <s v="Furniture, floor coverings, houseware and textile goods retailing"/>
    <s v="2019-03-01"/>
    <x v="0"/>
    <s v="March    "/>
    <s v="3"/>
    <n v="7.6"/>
    <m/>
  </r>
  <r>
    <x v="2"/>
    <s v="Furniture, floor coverings, houseware and textile goods retailing"/>
    <s v="2019-04-01"/>
    <x v="0"/>
    <s v="April    "/>
    <s v="4"/>
    <n v="6.3"/>
    <m/>
  </r>
  <r>
    <x v="2"/>
    <s v="Furniture, floor coverings, houseware and textile goods retailing"/>
    <s v="2019-05-01"/>
    <x v="0"/>
    <s v="May      "/>
    <s v="5"/>
    <n v="7.6"/>
    <m/>
  </r>
  <r>
    <x v="2"/>
    <s v="Furniture, floor coverings, houseware and textile goods retailing"/>
    <s v="2019-06-01"/>
    <x v="0"/>
    <s v="June     "/>
    <s v="6"/>
    <n v="7.5"/>
    <m/>
  </r>
  <r>
    <x v="2"/>
    <s v="Furniture, floor coverings, houseware and textile goods retailing"/>
    <s v="2019-07-01"/>
    <x v="0"/>
    <s v="July     "/>
    <s v="7"/>
    <n v="7.6"/>
    <m/>
  </r>
  <r>
    <x v="2"/>
    <s v="Furniture, floor coverings, houseware and textile goods retailing"/>
    <s v="2019-08-01"/>
    <x v="0"/>
    <s v="August   "/>
    <s v="8"/>
    <n v="7.4"/>
    <m/>
  </r>
  <r>
    <x v="2"/>
    <s v="Furniture, floor coverings, houseware and textile goods retailing"/>
    <s v="2019-09-01"/>
    <x v="0"/>
    <s v="September"/>
    <s v="9"/>
    <n v="7.1"/>
    <m/>
  </r>
  <r>
    <x v="2"/>
    <s v="Furniture, floor coverings, houseware and textile goods retailing"/>
    <s v="2019-10-01"/>
    <x v="0"/>
    <s v="October  "/>
    <s v="10"/>
    <n v="7.6"/>
    <m/>
  </r>
  <r>
    <x v="2"/>
    <s v="Furniture, floor coverings, houseware and textile goods retailing"/>
    <s v="2019-11-01"/>
    <x v="0"/>
    <s v="November "/>
    <s v="11"/>
    <n v="7.2"/>
    <m/>
  </r>
  <r>
    <x v="2"/>
    <s v="Furniture, floor coverings, houseware and textile goods retailing"/>
    <s v="2019-12-01"/>
    <x v="0"/>
    <s v="December "/>
    <s v="12"/>
    <n v="8"/>
    <m/>
  </r>
  <r>
    <x v="2"/>
    <s v="Furniture, floor coverings, houseware and textile goods retailing"/>
    <s v="2020-01-01"/>
    <x v="1"/>
    <s v="January  "/>
    <s v="1"/>
    <n v="6.5"/>
    <n v="-12.16"/>
  </r>
  <r>
    <x v="2"/>
    <s v="Furniture, floor coverings, houseware and textile goods retailing"/>
    <s v="2020-02-01"/>
    <x v="1"/>
    <s v="February "/>
    <s v="2"/>
    <n v="6"/>
    <n v="-7.69"/>
  </r>
  <r>
    <x v="2"/>
    <s v="Furniture, floor coverings, houseware and textile goods retailing"/>
    <s v="2020-03-01"/>
    <x v="1"/>
    <s v="March    "/>
    <s v="3"/>
    <n v="7.1"/>
    <n v="-6.58"/>
  </r>
  <r>
    <x v="2"/>
    <s v="Furniture, floor coverings, houseware and textile goods retailing"/>
    <s v="2020-04-01"/>
    <x v="1"/>
    <s v="April    "/>
    <s v="4"/>
    <n v="5.8"/>
    <n v="-7.94"/>
  </r>
  <r>
    <x v="2"/>
    <s v="Furniture, floor coverings, houseware and textile goods retailing"/>
    <s v="2020-05-01"/>
    <x v="1"/>
    <s v="May      "/>
    <s v="5"/>
    <n v="8.1999999999999993"/>
    <n v="7.89"/>
  </r>
  <r>
    <x v="2"/>
    <s v="Furniture, floor coverings, houseware and textile goods retailing"/>
    <s v="2020-06-01"/>
    <x v="1"/>
    <s v="June     "/>
    <s v="6"/>
    <n v="9.1999999999999993"/>
    <n v="22.67"/>
  </r>
  <r>
    <x v="2"/>
    <s v="Furniture, floor coverings, houseware and textile goods retailing"/>
    <s v="2020-07-01"/>
    <x v="1"/>
    <s v="July     "/>
    <s v="7"/>
    <n v="9.6"/>
    <n v="26.32"/>
  </r>
  <r>
    <x v="2"/>
    <s v="Furniture, floor coverings, houseware and textile goods retailing"/>
    <s v="2020-08-01"/>
    <x v="1"/>
    <s v="August   "/>
    <s v="8"/>
    <n v="9.3000000000000007"/>
    <n v="25.68"/>
  </r>
  <r>
    <x v="2"/>
    <s v="Furniture, floor coverings, houseware and textile goods retailing"/>
    <s v="2020-09-01"/>
    <x v="1"/>
    <s v="September"/>
    <s v="9"/>
    <n v="9.6"/>
    <n v="35.21"/>
  </r>
  <r>
    <x v="2"/>
    <s v="Furniture, floor coverings, houseware and textile goods retailing"/>
    <s v="2020-10-01"/>
    <x v="1"/>
    <s v="October  "/>
    <s v="10"/>
    <n v="10.3"/>
    <n v="35.53"/>
  </r>
  <r>
    <x v="2"/>
    <s v="Furniture, floor coverings, houseware and textile goods retailing"/>
    <s v="2020-11-01"/>
    <x v="1"/>
    <s v="November "/>
    <s v="11"/>
    <n v="9.6"/>
    <n v="33.33"/>
  </r>
  <r>
    <x v="2"/>
    <s v="Furniture, floor coverings, houseware and textile goods retailing"/>
    <s v="2020-12-01"/>
    <x v="1"/>
    <s v="December "/>
    <s v="12"/>
    <n v="11.6"/>
    <n v="45"/>
  </r>
  <r>
    <x v="2"/>
    <s v="Furniture, floor coverings, houseware and textile goods retailing"/>
    <s v="2021-01-01"/>
    <x v="2"/>
    <s v="January  "/>
    <s v="1"/>
    <n v="8.9"/>
    <n v="36.92"/>
  </r>
  <r>
    <x v="2"/>
    <s v="Furniture, floor coverings, houseware and textile goods retailing"/>
    <s v="2021-02-01"/>
    <x v="2"/>
    <s v="February "/>
    <s v="2"/>
    <n v="7.8"/>
    <n v="30"/>
  </r>
  <r>
    <x v="2"/>
    <s v="Furniture, floor coverings, houseware and textile goods retailing"/>
    <s v="2021-03-01"/>
    <x v="2"/>
    <s v="March    "/>
    <s v="3"/>
    <n v="8.8000000000000007"/>
    <n v="23.94"/>
  </r>
  <r>
    <x v="2"/>
    <s v="Furniture, floor coverings, houseware and textile goods retailing"/>
    <s v="2021-04-01"/>
    <x v="2"/>
    <s v="April    "/>
    <s v="4"/>
    <n v="8.1999999999999993"/>
    <n v="41.38"/>
  </r>
  <r>
    <x v="2"/>
    <s v="Furniture, floor coverings, houseware and textile goods retailing"/>
    <s v="2021-05-01"/>
    <x v="2"/>
    <s v="May      "/>
    <s v="5"/>
    <n v="8.9"/>
    <n v="8.5399999999999991"/>
  </r>
  <r>
    <x v="2"/>
    <s v="Furniture, floor coverings, houseware and textile goods retailing"/>
    <s v="2021-06-01"/>
    <x v="2"/>
    <s v="June     "/>
    <s v="6"/>
    <n v="8.6"/>
    <n v="-6.52"/>
  </r>
  <r>
    <x v="2"/>
    <s v="Furniture, floor coverings, houseware and textile goods retailing"/>
    <s v="2021-07-01"/>
    <x v="2"/>
    <s v="July     "/>
    <s v="7"/>
    <n v="9.9"/>
    <n v="3.13"/>
  </r>
  <r>
    <x v="2"/>
    <s v="Furniture, floor coverings, houseware and textile goods retailing"/>
    <s v="2021-08-01"/>
    <x v="2"/>
    <s v="August   "/>
    <s v="8"/>
    <n v="9.6999999999999993"/>
    <n v="4.3"/>
  </r>
  <r>
    <x v="2"/>
    <s v="Furniture, floor coverings, houseware and textile goods retailing"/>
    <s v="2021-09-01"/>
    <x v="2"/>
    <s v="September"/>
    <s v="9"/>
    <n v="9.1999999999999993"/>
    <n v="-4.17"/>
  </r>
  <r>
    <x v="2"/>
    <s v="Furniture, floor coverings, houseware and textile goods retailing"/>
    <s v="2021-10-01"/>
    <x v="2"/>
    <s v="October  "/>
    <s v="10"/>
    <n v="10.6"/>
    <n v="2.91"/>
  </r>
  <r>
    <x v="2"/>
    <s v="Furniture, floor coverings, houseware and textile goods retailing"/>
    <s v="2021-11-01"/>
    <x v="2"/>
    <s v="November "/>
    <s v="11"/>
    <n v="9.6999999999999993"/>
    <n v="1.04"/>
  </r>
  <r>
    <x v="2"/>
    <s v="Furniture, floor coverings, houseware and textile goods retailing"/>
    <s v="2021-12-01"/>
    <x v="2"/>
    <s v="December "/>
    <s v="12"/>
    <n v="12"/>
    <n v="3.45"/>
  </r>
  <r>
    <x v="2"/>
    <s v="Furniture, floor coverings, houseware and textile goods retailing"/>
    <s v="2022-01-01"/>
    <x v="3"/>
    <s v="January  "/>
    <s v="1"/>
    <n v="8.6"/>
    <n v="-3.37"/>
  </r>
  <r>
    <x v="2"/>
    <s v="Furniture, floor coverings, houseware and textile goods retailing"/>
    <s v="2022-02-01"/>
    <x v="3"/>
    <s v="February "/>
    <s v="2"/>
    <n v="8.5"/>
    <n v="8.9700000000000006"/>
  </r>
  <r>
    <x v="2"/>
    <s v="Furniture, floor coverings, houseware and textile goods retailing"/>
    <s v="2022-03-01"/>
    <x v="3"/>
    <s v="March    "/>
    <s v="3"/>
    <n v="10.4"/>
    <n v="18.18"/>
  </r>
  <r>
    <x v="2"/>
    <s v="Furniture, floor coverings, houseware and textile goods retailing"/>
    <s v="2022-04-01"/>
    <x v="3"/>
    <s v="April    "/>
    <s v="4"/>
    <n v="8.8000000000000007"/>
    <n v="7.32"/>
  </r>
  <r>
    <x v="2"/>
    <s v="Furniture, floor coverings, houseware and textile goods retailing"/>
    <s v="2022-05-01"/>
    <x v="3"/>
    <s v="May      "/>
    <s v="5"/>
    <n v="9.6"/>
    <n v="7.87"/>
  </r>
  <r>
    <x v="2"/>
    <s v="Furniture, floor coverings, houseware and textile goods retailing"/>
    <s v="2022-06-01"/>
    <x v="3"/>
    <s v="June     "/>
    <s v="6"/>
    <n v="10.8"/>
    <n v="25.58"/>
  </r>
  <r>
    <x v="2"/>
    <s v="Furniture, floor coverings, houseware and textile goods retailing"/>
    <s v="2022-07-01"/>
    <x v="3"/>
    <s v="July     "/>
    <s v="7"/>
    <n v="9.5"/>
    <n v="-4.04"/>
  </r>
  <r>
    <x v="2"/>
    <s v="Furniture, floor coverings, houseware and textile goods retailing"/>
    <s v="2022-08-01"/>
    <x v="3"/>
    <s v="August   "/>
    <s v="8"/>
    <n v="10.3"/>
    <n v="6.19"/>
  </r>
  <r>
    <x v="2"/>
    <s v="Furniture, floor coverings, houseware and textile goods retailing"/>
    <s v="2022-09-01"/>
    <x v="3"/>
    <s v="September"/>
    <s v="9"/>
    <n v="9.8000000000000007"/>
    <n v="6.52"/>
  </r>
  <r>
    <x v="2"/>
    <s v="Furniture, floor coverings, houseware and textile goods retailing"/>
    <s v="2022-10-01"/>
    <x v="3"/>
    <s v="October  "/>
    <s v="10"/>
    <n v="9.3000000000000007"/>
    <n v="-12.26"/>
  </r>
  <r>
    <x v="2"/>
    <s v="Furniture, floor coverings, houseware and textile goods retailing"/>
    <s v="2022-11-01"/>
    <x v="3"/>
    <s v="November "/>
    <s v="11"/>
    <n v="10.8"/>
    <n v="11.34"/>
  </r>
  <r>
    <x v="2"/>
    <s v="Furniture, floor coverings, houseware and textile goods retailing"/>
    <s v="2022-12-01"/>
    <x v="3"/>
    <s v="December "/>
    <s v="12"/>
    <n v="10.4"/>
    <n v="-13.33"/>
  </r>
  <r>
    <x v="2"/>
    <s v="Furniture, floor coverings, houseware and textile goods retailing"/>
    <s v="2023-01-01"/>
    <x v="4"/>
    <s v="January  "/>
    <s v="1"/>
    <n v="9.6999999999999993"/>
    <n v="12.79"/>
  </r>
  <r>
    <x v="2"/>
    <s v="Furniture, floor coverings, houseware and textile goods retailing"/>
    <s v="2023-02-01"/>
    <x v="4"/>
    <s v="February "/>
    <s v="2"/>
    <n v="8.6999999999999993"/>
    <n v="2.35"/>
  </r>
  <r>
    <x v="2"/>
    <s v="Furniture, floor coverings, houseware and textile goods retailing"/>
    <s v="2023-03-01"/>
    <x v="4"/>
    <s v="March    "/>
    <s v="3"/>
    <n v="9.3000000000000007"/>
    <n v="-10.58"/>
  </r>
  <r>
    <x v="2"/>
    <s v="Furniture, floor coverings, houseware and textile goods retailing"/>
    <s v="2023-04-01"/>
    <x v="4"/>
    <s v="April    "/>
    <s v="4"/>
    <n v="9"/>
    <n v="2.27"/>
  </r>
  <r>
    <x v="2"/>
    <s v="Furniture, floor coverings, houseware and textile goods retailing"/>
    <s v="2023-05-01"/>
    <x v="4"/>
    <s v="May      "/>
    <s v="5"/>
    <n v="9.9"/>
    <n v="3.13"/>
  </r>
  <r>
    <x v="2"/>
    <s v="Furniture, floor coverings, houseware and textile goods retailing"/>
    <s v="2023-06-01"/>
    <x v="4"/>
    <s v="June     "/>
    <s v="6"/>
    <n v="10.5"/>
    <n v="-2.78"/>
  </r>
  <r>
    <x v="2"/>
    <s v="Furniture, floor coverings, houseware and textile goods retailing"/>
    <s v="2023-07-01"/>
    <x v="4"/>
    <s v="July     "/>
    <s v="7"/>
    <n v="10.3"/>
    <n v="8.42"/>
  </r>
  <r>
    <x v="2"/>
    <s v="Furniture, floor coverings, houseware and textile goods retailing"/>
    <s v="2023-08-01"/>
    <x v="4"/>
    <s v="August   "/>
    <s v="8"/>
    <n v="9.4"/>
    <n v="-8.74"/>
  </r>
  <r>
    <x v="2"/>
    <s v="Furniture, floor coverings, houseware and textile goods retailing"/>
    <s v="2023-09-01"/>
    <x v="4"/>
    <s v="September"/>
    <s v="9"/>
    <n v="9.6"/>
    <n v="-2.04"/>
  </r>
  <r>
    <x v="2"/>
    <s v="Furniture, floor coverings, houseware and textile goods retailing"/>
    <s v="2023-10-01"/>
    <x v="4"/>
    <s v="October  "/>
    <s v="10"/>
    <n v="10.6"/>
    <n v="13.98"/>
  </r>
  <r>
    <x v="2"/>
    <s v="Furniture, floor coverings, houseware and textile goods retailing"/>
    <s v="2023-11-01"/>
    <x v="4"/>
    <s v="November "/>
    <s v="11"/>
    <n v="11.2"/>
    <n v="3.7"/>
  </r>
  <r>
    <x v="2"/>
    <s v="Furniture, floor coverings, houseware and textile goods retailing"/>
    <s v="2023-12-01"/>
    <x v="4"/>
    <s v="December "/>
    <s v="12"/>
    <n v="10.8"/>
    <n v="3.85"/>
  </r>
  <r>
    <x v="2"/>
    <s v="Furniture, floor coverings, houseware and textile goods retailing"/>
    <s v="2024-01-01"/>
    <x v="5"/>
    <s v="January  "/>
    <s v="1"/>
    <n v="9.6"/>
    <n v="-1.03"/>
  </r>
  <r>
    <x v="2"/>
    <s v="Furniture, floor coverings, houseware and textile goods retailing"/>
    <s v="2024-02-01"/>
    <x v="5"/>
    <s v="February "/>
    <s v="2"/>
    <n v="8.9"/>
    <n v="2.2999999999999998"/>
  </r>
  <r>
    <x v="2"/>
    <s v="Furniture, floor coverings, houseware and textile goods retailing"/>
    <s v="2024-03-01"/>
    <x v="5"/>
    <s v="March    "/>
    <s v="3"/>
    <n v="10.5"/>
    <n v="12.9"/>
  </r>
  <r>
    <x v="2"/>
    <s v="Furniture, floor coverings, houseware and textile goods retailing"/>
    <s v="2024-04-01"/>
    <x v="5"/>
    <s v="April    "/>
    <s v="4"/>
    <n v="9.8000000000000007"/>
    <n v="8.89"/>
  </r>
  <r>
    <x v="2"/>
    <s v="Furniture, floor coverings, houseware and textile goods retailing"/>
    <s v="2024-05-01"/>
    <x v="5"/>
    <s v="May      "/>
    <s v="5"/>
    <n v="9.9"/>
    <n v="0"/>
  </r>
  <r>
    <x v="2"/>
    <s v="Furniture, floor coverings, houseware and textile goods retailing"/>
    <s v="2024-06-01"/>
    <x v="5"/>
    <s v="June     "/>
    <s v="6"/>
    <n v="10.8"/>
    <n v="2.86"/>
  </r>
  <r>
    <x v="2"/>
    <s v="Furniture, floor coverings, houseware and textile goods retailing"/>
    <s v="2024-07-01"/>
    <x v="5"/>
    <s v="July     "/>
    <s v="7"/>
    <n v="10.4"/>
    <n v="0.97"/>
  </r>
  <r>
    <x v="2"/>
    <s v="Furniture, floor coverings, houseware and textile goods retailing"/>
    <s v="2024-08-01"/>
    <x v="5"/>
    <s v="August   "/>
    <s v="8"/>
    <n v="9.9"/>
    <n v="5.32"/>
  </r>
  <r>
    <x v="2"/>
    <s v="Furniture, floor coverings, houseware and textile goods retailing"/>
    <s v="2024-09-01"/>
    <x v="5"/>
    <s v="September"/>
    <s v="9"/>
    <n v="9.8000000000000007"/>
    <n v="2.08"/>
  </r>
  <r>
    <x v="2"/>
    <s v="Furniture, floor coverings, houseware and textile goods retailing"/>
    <s v="2024-10-01"/>
    <x v="5"/>
    <s v="October  "/>
    <s v="10"/>
    <n v="9.3000000000000007"/>
    <n v="-12.26"/>
  </r>
  <r>
    <x v="2"/>
    <s v="Furniture, floor coverings, houseware and textile goods retailing"/>
    <s v="2024-11-01"/>
    <x v="5"/>
    <s v="November "/>
    <s v="11"/>
    <n v="11.8"/>
    <n v="5.36"/>
  </r>
  <r>
    <x v="2"/>
    <s v="Furniture, floor coverings, houseware and textile goods retailing"/>
    <s v="2024-12-01"/>
    <x v="5"/>
    <s v="December "/>
    <s v="12"/>
    <n v="12.7"/>
    <n v="17.59"/>
  </r>
  <r>
    <x v="2"/>
    <s v="Furniture, floor coverings, houseware and textile goods retailing"/>
    <s v="2025-01-01"/>
    <x v="6"/>
    <s v="January  "/>
    <s v="1"/>
    <n v="10.3"/>
    <n v="7.29"/>
  </r>
  <r>
    <x v="2"/>
    <s v="Furniture, floor coverings, houseware and textile goods retailing"/>
    <s v="2025-02-01"/>
    <x v="6"/>
    <s v="February "/>
    <s v="2"/>
    <n v="9.1999999999999993"/>
    <n v="3.37"/>
  </r>
  <r>
    <x v="2"/>
    <s v="Furniture, floor coverings, houseware and textile goods retailing"/>
    <s v="2025-03-01"/>
    <x v="6"/>
    <s v="March    "/>
    <s v="3"/>
    <n v="10.3"/>
    <n v="-1.9"/>
  </r>
  <r>
    <x v="2"/>
    <s v="Furniture, floor coverings, houseware and textile goods retailing"/>
    <s v="2025-04-01"/>
    <x v="6"/>
    <s v="April    "/>
    <s v="4"/>
    <n v="9.1"/>
    <n v="-7.14"/>
  </r>
  <r>
    <x v="2"/>
    <s v="Furniture, floor coverings, houseware and textile goods retailing"/>
    <s v="2025-05-01"/>
    <x v="6"/>
    <s v="May      "/>
    <s v="5"/>
    <n v="10.6"/>
    <n v="7.07"/>
  </r>
  <r>
    <x v="2"/>
    <s v="Furniture, floor coverings, houseware and textile goods retailing"/>
    <s v="2025-06-01"/>
    <x v="6"/>
    <s v="June     "/>
    <s v="6"/>
    <n v="12.3"/>
    <n v="13.89"/>
  </r>
  <r>
    <x v="2"/>
    <s v="Hardware, building and garden supplies retailing"/>
    <s v="2019-01-01"/>
    <x v="0"/>
    <s v="January  "/>
    <s v="1"/>
    <n v="16.3"/>
    <m/>
  </r>
  <r>
    <x v="2"/>
    <s v="Hardware, building and garden supplies retailing"/>
    <s v="2019-02-01"/>
    <x v="0"/>
    <s v="February "/>
    <s v="2"/>
    <n v="16.7"/>
    <m/>
  </r>
  <r>
    <x v="2"/>
    <s v="Hardware, building and garden supplies retailing"/>
    <s v="2019-03-01"/>
    <x v="0"/>
    <s v="March    "/>
    <s v="3"/>
    <n v="17.8"/>
    <m/>
  </r>
  <r>
    <x v="2"/>
    <s v="Hardware, building and garden supplies retailing"/>
    <s v="2019-04-01"/>
    <x v="0"/>
    <s v="April    "/>
    <s v="4"/>
    <n v="17.5"/>
    <m/>
  </r>
  <r>
    <x v="2"/>
    <s v="Hardware, building and garden supplies retailing"/>
    <s v="2019-05-01"/>
    <x v="0"/>
    <s v="May      "/>
    <s v="5"/>
    <n v="19.3"/>
    <m/>
  </r>
  <r>
    <x v="2"/>
    <s v="Hardware, building and garden supplies retailing"/>
    <s v="2019-06-01"/>
    <x v="0"/>
    <s v="June     "/>
    <s v="6"/>
    <n v="19.100000000000001"/>
    <m/>
  </r>
  <r>
    <x v="2"/>
    <s v="Hardware, building and garden supplies retailing"/>
    <s v="2019-07-01"/>
    <x v="0"/>
    <s v="July     "/>
    <s v="7"/>
    <n v="20.6"/>
    <m/>
  </r>
  <r>
    <x v="2"/>
    <s v="Hardware, building and garden supplies retailing"/>
    <s v="2019-08-01"/>
    <x v="0"/>
    <s v="August   "/>
    <s v="8"/>
    <n v="20"/>
    <m/>
  </r>
  <r>
    <x v="2"/>
    <s v="Hardware, building and garden supplies retailing"/>
    <s v="2019-09-01"/>
    <x v="0"/>
    <s v="September"/>
    <s v="9"/>
    <n v="19.7"/>
    <m/>
  </r>
  <r>
    <x v="2"/>
    <s v="Hardware, building and garden supplies retailing"/>
    <s v="2019-10-01"/>
    <x v="0"/>
    <s v="October  "/>
    <s v="10"/>
    <n v="20.399999999999999"/>
    <m/>
  </r>
  <r>
    <x v="2"/>
    <s v="Hardware, building and garden supplies retailing"/>
    <s v="2019-11-01"/>
    <x v="0"/>
    <s v="November "/>
    <s v="11"/>
    <n v="20"/>
    <m/>
  </r>
  <r>
    <x v="2"/>
    <s v="Hardware, building and garden supplies retailing"/>
    <s v="2019-12-01"/>
    <x v="0"/>
    <s v="December "/>
    <s v="12"/>
    <n v="19.3"/>
    <m/>
  </r>
  <r>
    <x v="2"/>
    <s v="Hardware, building and garden supplies retailing"/>
    <s v="2021-10-01"/>
    <x v="2"/>
    <s v="October  "/>
    <s v="10"/>
    <n v="22.2"/>
    <n v="36.200000000000003"/>
  </r>
  <r>
    <x v="2"/>
    <s v="Hardware, building and garden supplies retailing"/>
    <s v="2021-11-01"/>
    <x v="2"/>
    <s v="November "/>
    <s v="11"/>
    <n v="20.3"/>
    <n v="21.56"/>
  </r>
  <r>
    <x v="2"/>
    <s v="Hardware, building and garden supplies retailing"/>
    <s v="2021-12-01"/>
    <x v="2"/>
    <s v="December "/>
    <s v="12"/>
    <n v="21.4"/>
    <n v="20.22"/>
  </r>
  <r>
    <x v="2"/>
    <s v="Hardware, building and garden supplies retailing"/>
    <s v="2022-01-01"/>
    <x v="3"/>
    <s v="January  "/>
    <s v="1"/>
    <n v="18.8"/>
    <n v="7.43"/>
  </r>
  <r>
    <x v="2"/>
    <s v="Hardware, building and garden supplies retailing"/>
    <s v="2022-02-01"/>
    <x v="3"/>
    <s v="February "/>
    <s v="2"/>
    <n v="17.600000000000001"/>
    <n v="-8.81"/>
  </r>
  <r>
    <x v="2"/>
    <s v="Hardware, building and garden supplies retailing"/>
    <s v="2022-03-01"/>
    <x v="3"/>
    <s v="March    "/>
    <s v="3"/>
    <n v="21.3"/>
    <n v="11.52"/>
  </r>
  <r>
    <x v="2"/>
    <s v="Hardware, building and garden supplies retailing"/>
    <s v="2022-04-01"/>
    <x v="3"/>
    <s v="April    "/>
    <s v="4"/>
    <n v="20.100000000000001"/>
    <n v="-2.4300000000000002"/>
  </r>
  <r>
    <x v="2"/>
    <s v="Hardware, building and garden supplies retailing"/>
    <s v="2022-05-01"/>
    <x v="3"/>
    <s v="May      "/>
    <s v="5"/>
    <n v="23.8"/>
    <n v="19"/>
  </r>
  <r>
    <x v="2"/>
    <s v="Hardware, building and garden supplies retailing"/>
    <s v="2022-06-01"/>
    <x v="3"/>
    <s v="June     "/>
    <s v="6"/>
    <n v="23.8"/>
    <n v="20.81"/>
  </r>
  <r>
    <x v="2"/>
    <s v="Hardware, building and garden supplies retailing"/>
    <s v="2022-07-01"/>
    <x v="3"/>
    <s v="July     "/>
    <s v="7"/>
    <n v="24.2"/>
    <n v="18.63"/>
  </r>
  <r>
    <x v="2"/>
    <s v="Hardware, building and garden supplies retailing"/>
    <s v="2022-08-01"/>
    <x v="3"/>
    <s v="August   "/>
    <s v="8"/>
    <n v="26"/>
    <n v="30"/>
  </r>
  <r>
    <x v="2"/>
    <s v="Hardware, building and garden supplies retailing"/>
    <s v="2022-09-01"/>
    <x v="3"/>
    <s v="September"/>
    <s v="9"/>
    <n v="26.5"/>
    <n v="37.31"/>
  </r>
  <r>
    <x v="2"/>
    <s v="Hardware, building and garden supplies retailing"/>
    <s v="2022-10-01"/>
    <x v="3"/>
    <s v="October  "/>
    <s v="10"/>
    <n v="25.1"/>
    <n v="13.06"/>
  </r>
  <r>
    <x v="2"/>
    <s v="Hardware, building and garden supplies retailing"/>
    <s v="2022-11-01"/>
    <x v="3"/>
    <s v="November "/>
    <s v="11"/>
    <n v="24.7"/>
    <n v="21.67"/>
  </r>
  <r>
    <x v="2"/>
    <s v="Hardware, building and garden supplies retailing"/>
    <s v="2022-12-01"/>
    <x v="3"/>
    <s v="December "/>
    <s v="12"/>
    <n v="24.3"/>
    <n v="13.55"/>
  </r>
  <r>
    <x v="2"/>
    <s v="Hardware, building and garden supplies retailing"/>
    <s v="2023-01-01"/>
    <x v="4"/>
    <s v="January  "/>
    <s v="1"/>
    <n v="20.2"/>
    <n v="7.45"/>
  </r>
  <r>
    <x v="2"/>
    <s v="Hardware, building and garden supplies retailing"/>
    <s v="2023-02-01"/>
    <x v="4"/>
    <s v="February "/>
    <s v="2"/>
    <n v="19.2"/>
    <n v="9.09"/>
  </r>
  <r>
    <x v="2"/>
    <s v="Hardware, building and garden supplies retailing"/>
    <s v="2023-03-01"/>
    <x v="4"/>
    <s v="March    "/>
    <s v="3"/>
    <n v="22.3"/>
    <n v="4.6900000000000004"/>
  </r>
  <r>
    <x v="2"/>
    <s v="Hardware, building and garden supplies retailing"/>
    <s v="2023-04-01"/>
    <x v="4"/>
    <s v="April    "/>
    <s v="4"/>
    <n v="21.7"/>
    <n v="7.96"/>
  </r>
  <r>
    <x v="2"/>
    <s v="Hardware, building and garden supplies retailing"/>
    <s v="2023-05-01"/>
    <x v="4"/>
    <s v="May      "/>
    <s v="5"/>
    <n v="24.2"/>
    <n v="1.68"/>
  </r>
  <r>
    <x v="2"/>
    <s v="Hardware, building and garden supplies retailing"/>
    <s v="2023-06-01"/>
    <x v="4"/>
    <s v="June     "/>
    <s v="6"/>
    <n v="24.4"/>
    <n v="2.52"/>
  </r>
  <r>
    <x v="2"/>
    <s v="Hardware, building and garden supplies retailing"/>
    <s v="2023-07-01"/>
    <x v="4"/>
    <s v="July     "/>
    <s v="7"/>
    <n v="22.3"/>
    <n v="-7.85"/>
  </r>
  <r>
    <x v="2"/>
    <s v="Hardware, building and garden supplies retailing"/>
    <s v="2023-08-01"/>
    <x v="4"/>
    <s v="August   "/>
    <s v="8"/>
    <n v="23.4"/>
    <n v="-10"/>
  </r>
  <r>
    <x v="2"/>
    <s v="Hardware, building and garden supplies retailing"/>
    <s v="2023-09-01"/>
    <x v="4"/>
    <s v="September"/>
    <s v="9"/>
    <n v="22.3"/>
    <n v="-15.85"/>
  </r>
  <r>
    <x v="2"/>
    <s v="Hardware, building and garden supplies retailing"/>
    <s v="2023-10-01"/>
    <x v="4"/>
    <s v="October  "/>
    <s v="10"/>
    <n v="22"/>
    <n v="-12.35"/>
  </r>
  <r>
    <x v="2"/>
    <s v="Hardware, building and garden supplies retailing"/>
    <s v="2023-11-01"/>
    <x v="4"/>
    <s v="November "/>
    <s v="11"/>
    <n v="21.8"/>
    <n v="-11.74"/>
  </r>
  <r>
    <x v="2"/>
    <s v="Hardware, building and garden supplies retailing"/>
    <s v="2023-12-01"/>
    <x v="4"/>
    <s v="December "/>
    <s v="12"/>
    <n v="20.7"/>
    <n v="-14.81"/>
  </r>
  <r>
    <x v="2"/>
    <s v="Hardware, building and garden supplies retailing"/>
    <s v="2024-01-01"/>
    <x v="5"/>
    <s v="January  "/>
    <s v="1"/>
    <n v="19.100000000000001"/>
    <n v="-5.45"/>
  </r>
  <r>
    <x v="2"/>
    <s v="Hardware, building and garden supplies retailing"/>
    <s v="2024-02-01"/>
    <x v="5"/>
    <s v="February "/>
    <s v="2"/>
    <n v="19"/>
    <n v="-1.04"/>
  </r>
  <r>
    <x v="2"/>
    <s v="Hardware, building and garden supplies retailing"/>
    <s v="2024-03-01"/>
    <x v="5"/>
    <s v="March    "/>
    <s v="3"/>
    <n v="19.2"/>
    <n v="-13.9"/>
  </r>
  <r>
    <x v="2"/>
    <s v="Hardware, building and garden supplies retailing"/>
    <s v="2024-04-01"/>
    <x v="5"/>
    <s v="April    "/>
    <s v="4"/>
    <n v="20.9"/>
    <n v="-3.69"/>
  </r>
  <r>
    <x v="2"/>
    <s v="Hardware, building and garden supplies retailing"/>
    <s v="2024-05-01"/>
    <x v="5"/>
    <s v="May      "/>
    <s v="5"/>
    <n v="22.3"/>
    <n v="-7.85"/>
  </r>
  <r>
    <x v="2"/>
    <s v="Hardware, building and garden supplies retailing"/>
    <s v="2024-06-01"/>
    <x v="5"/>
    <s v="June     "/>
    <s v="6"/>
    <n v="22.7"/>
    <n v="-6.97"/>
  </r>
  <r>
    <x v="2"/>
    <s v="Hardware, building and garden supplies retailing"/>
    <s v="2024-07-01"/>
    <x v="5"/>
    <s v="July     "/>
    <s v="7"/>
    <n v="22.3"/>
    <n v="0"/>
  </r>
  <r>
    <x v="2"/>
    <s v="Hardware, building and garden supplies retailing"/>
    <s v="2024-08-01"/>
    <x v="5"/>
    <s v="August   "/>
    <s v="8"/>
    <n v="23.1"/>
    <n v="-1.28"/>
  </r>
  <r>
    <x v="2"/>
    <s v="Hardware, building and garden supplies retailing"/>
    <s v="2024-09-01"/>
    <x v="5"/>
    <s v="September"/>
    <s v="9"/>
    <n v="21.7"/>
    <n v="-2.69"/>
  </r>
  <r>
    <x v="2"/>
    <s v="Hardware, building and garden supplies retailing"/>
    <s v="2024-10-01"/>
    <x v="5"/>
    <s v="October  "/>
    <s v="10"/>
    <n v="22.3"/>
    <n v="1.36"/>
  </r>
  <r>
    <x v="2"/>
    <s v="Hardware, building and garden supplies retailing"/>
    <s v="2024-11-01"/>
    <x v="5"/>
    <s v="November "/>
    <s v="11"/>
    <n v="21.2"/>
    <n v="-2.75"/>
  </r>
  <r>
    <x v="2"/>
    <s v="Hardware, building and garden supplies retailing"/>
    <s v="2024-12-01"/>
    <x v="5"/>
    <s v="December "/>
    <s v="12"/>
    <n v="21.9"/>
    <n v="5.8"/>
  </r>
  <r>
    <x v="2"/>
    <s v="Hardware, building and garden supplies retailing"/>
    <s v="2025-01-01"/>
    <x v="6"/>
    <s v="January  "/>
    <s v="1"/>
    <n v="20.399999999999999"/>
    <n v="6.81"/>
  </r>
  <r>
    <x v="2"/>
    <s v="Hardware, building and garden supplies retailing"/>
    <s v="2025-02-01"/>
    <x v="6"/>
    <s v="February "/>
    <s v="2"/>
    <n v="18.8"/>
    <n v="-1.05"/>
  </r>
  <r>
    <x v="2"/>
    <s v="Hardware, building and garden supplies retailing"/>
    <s v="2025-03-01"/>
    <x v="6"/>
    <s v="March    "/>
    <s v="3"/>
    <n v="20.399999999999999"/>
    <n v="6.25"/>
  </r>
  <r>
    <x v="2"/>
    <s v="Hardware, building and garden supplies retailing"/>
    <s v="2025-04-01"/>
    <x v="6"/>
    <s v="April    "/>
    <s v="4"/>
    <n v="21.2"/>
    <n v="1.44"/>
  </r>
  <r>
    <x v="2"/>
    <s v="Hardware, building and garden supplies retailing"/>
    <s v="2025-05-01"/>
    <x v="6"/>
    <s v="May      "/>
    <s v="5"/>
    <n v="23.3"/>
    <n v="4.4800000000000004"/>
  </r>
  <r>
    <x v="2"/>
    <s v="Hardware, building and garden supplies retailing"/>
    <s v="2025-06-01"/>
    <x v="6"/>
    <s v="June     "/>
    <s v="6"/>
    <n v="23.5"/>
    <n v="3.52"/>
  </r>
  <r>
    <x v="2"/>
    <s v="Newspaper and book retailing"/>
    <s v="2019-01-01"/>
    <x v="0"/>
    <s v="January  "/>
    <s v="1"/>
    <n v="0.8"/>
    <m/>
  </r>
  <r>
    <x v="2"/>
    <s v="Newspaper and book retailing"/>
    <s v="2019-02-01"/>
    <x v="0"/>
    <s v="February "/>
    <s v="2"/>
    <n v="0.9"/>
    <m/>
  </r>
  <r>
    <x v="2"/>
    <s v="Newspaper and book retailing"/>
    <s v="2019-03-01"/>
    <x v="0"/>
    <s v="March    "/>
    <s v="3"/>
    <n v="0.9"/>
    <m/>
  </r>
  <r>
    <x v="2"/>
    <s v="Newspaper and book retailing"/>
    <s v="2019-04-01"/>
    <x v="0"/>
    <s v="April    "/>
    <s v="4"/>
    <n v="0.9"/>
    <m/>
  </r>
  <r>
    <x v="2"/>
    <s v="Newspaper and book retailing"/>
    <s v="2019-05-01"/>
    <x v="0"/>
    <s v="May      "/>
    <s v="5"/>
    <n v="1.4"/>
    <m/>
  </r>
  <r>
    <x v="2"/>
    <s v="Newspaper and book retailing"/>
    <s v="2019-06-01"/>
    <x v="0"/>
    <s v="June     "/>
    <s v="6"/>
    <n v="1.3"/>
    <m/>
  </r>
  <r>
    <x v="2"/>
    <s v="Newspaper and book retailing"/>
    <s v="2019-07-01"/>
    <x v="0"/>
    <s v="July     "/>
    <s v="7"/>
    <n v="1.6"/>
    <m/>
  </r>
  <r>
    <x v="2"/>
    <s v="Newspaper and book retailing"/>
    <s v="2019-08-01"/>
    <x v="0"/>
    <s v="August   "/>
    <s v="8"/>
    <n v="1.4"/>
    <m/>
  </r>
  <r>
    <x v="2"/>
    <s v="Newspaper and book retailing"/>
    <s v="2019-09-01"/>
    <x v="0"/>
    <s v="September"/>
    <s v="9"/>
    <n v="1.2"/>
    <m/>
  </r>
  <r>
    <x v="2"/>
    <s v="Newspaper and book retailing"/>
    <s v="2019-10-01"/>
    <x v="0"/>
    <s v="October  "/>
    <s v="10"/>
    <n v="1.1000000000000001"/>
    <m/>
  </r>
  <r>
    <x v="2"/>
    <s v="Newspaper and book retailing"/>
    <s v="2019-11-01"/>
    <x v="0"/>
    <s v="November "/>
    <s v="11"/>
    <n v="1.2"/>
    <m/>
  </r>
  <r>
    <x v="2"/>
    <s v="Newspaper and book retailing"/>
    <s v="2019-12-01"/>
    <x v="0"/>
    <s v="December "/>
    <s v="12"/>
    <n v="1.8"/>
    <m/>
  </r>
  <r>
    <x v="2"/>
    <s v="Newspaper and book retailing"/>
    <s v="2020-01-01"/>
    <x v="1"/>
    <s v="January  "/>
    <s v="1"/>
    <n v="0.9"/>
    <n v="12.5"/>
  </r>
  <r>
    <x v="2"/>
    <s v="Newspaper and book retailing"/>
    <s v="2020-02-01"/>
    <x v="1"/>
    <s v="February "/>
    <s v="2"/>
    <n v="1"/>
    <n v="11.11"/>
  </r>
  <r>
    <x v="2"/>
    <s v="Newspaper and book retailing"/>
    <s v="2020-03-01"/>
    <x v="1"/>
    <s v="March    "/>
    <s v="3"/>
    <n v="1.1000000000000001"/>
    <n v="22.22"/>
  </r>
  <r>
    <x v="2"/>
    <s v="Newspaper and book retailing"/>
    <s v="2020-04-01"/>
    <x v="1"/>
    <s v="April    "/>
    <s v="4"/>
    <n v="0.9"/>
    <n v="0"/>
  </r>
  <r>
    <x v="2"/>
    <s v="Newspaper and book retailing"/>
    <s v="2020-05-01"/>
    <x v="1"/>
    <s v="May      "/>
    <s v="5"/>
    <n v="1.2"/>
    <n v="-14.29"/>
  </r>
  <r>
    <x v="2"/>
    <s v="Newspaper and book retailing"/>
    <s v="2020-06-01"/>
    <x v="1"/>
    <s v="June     "/>
    <s v="6"/>
    <n v="1.4"/>
    <n v="7.69"/>
  </r>
  <r>
    <x v="2"/>
    <s v="Newspaper and book retailing"/>
    <s v="2020-07-01"/>
    <x v="1"/>
    <s v="July     "/>
    <s v="7"/>
    <n v="1.3"/>
    <n v="-18.75"/>
  </r>
  <r>
    <x v="2"/>
    <s v="Newspaper and book retailing"/>
    <s v="2020-08-01"/>
    <x v="1"/>
    <s v="August   "/>
    <s v="8"/>
    <n v="1.2"/>
    <n v="-14.29"/>
  </r>
  <r>
    <x v="2"/>
    <s v="Newspaper and book retailing"/>
    <s v="2020-09-01"/>
    <x v="1"/>
    <s v="September"/>
    <s v="9"/>
    <n v="1.3"/>
    <n v="8.33"/>
  </r>
  <r>
    <x v="2"/>
    <s v="Newspaper and book retailing"/>
    <s v="2020-10-01"/>
    <x v="1"/>
    <s v="October  "/>
    <s v="10"/>
    <n v="1.1000000000000001"/>
    <n v="0"/>
  </r>
  <r>
    <x v="2"/>
    <s v="Newspaper and book retailing"/>
    <s v="2020-11-01"/>
    <x v="1"/>
    <s v="November "/>
    <s v="11"/>
    <n v="1.1000000000000001"/>
    <n v="-8.33"/>
  </r>
  <r>
    <x v="2"/>
    <s v="Newspaper and book retailing"/>
    <s v="2020-12-01"/>
    <x v="1"/>
    <s v="December "/>
    <s v="12"/>
    <n v="2.2999999999999998"/>
    <n v="27.78"/>
  </r>
  <r>
    <x v="2"/>
    <s v="Newspaper and book retailing"/>
    <s v="2021-01-01"/>
    <x v="2"/>
    <s v="January  "/>
    <s v="1"/>
    <n v="1"/>
    <n v="11.11"/>
  </r>
  <r>
    <x v="2"/>
    <s v="Newspaper and book retailing"/>
    <s v="2021-02-01"/>
    <x v="2"/>
    <s v="February "/>
    <s v="2"/>
    <n v="1.1000000000000001"/>
    <n v="10"/>
  </r>
  <r>
    <x v="2"/>
    <s v="Newspaper and book retailing"/>
    <s v="2021-03-01"/>
    <x v="2"/>
    <s v="March    "/>
    <s v="3"/>
    <n v="1.1000000000000001"/>
    <n v="0"/>
  </r>
  <r>
    <x v="2"/>
    <s v="Newspaper and book retailing"/>
    <s v="2021-04-01"/>
    <x v="2"/>
    <s v="April    "/>
    <s v="4"/>
    <n v="1.2"/>
    <n v="33.33"/>
  </r>
  <r>
    <x v="2"/>
    <s v="Newspaper and book retailing"/>
    <s v="2021-05-01"/>
    <x v="2"/>
    <s v="May      "/>
    <s v="5"/>
    <n v="1.5"/>
    <n v="25"/>
  </r>
  <r>
    <x v="2"/>
    <s v="Newspaper and book retailing"/>
    <s v="2021-06-01"/>
    <x v="2"/>
    <s v="June     "/>
    <s v="6"/>
    <n v="1.5"/>
    <n v="7.14"/>
  </r>
  <r>
    <x v="2"/>
    <s v="Newspaper and book retailing"/>
    <s v="2021-07-01"/>
    <x v="2"/>
    <s v="July     "/>
    <s v="7"/>
    <n v="1.9"/>
    <n v="46.15"/>
  </r>
  <r>
    <x v="2"/>
    <s v="Newspaper and book retailing"/>
    <s v="2021-08-01"/>
    <x v="2"/>
    <s v="August   "/>
    <s v="8"/>
    <n v="1.5"/>
    <n v="25"/>
  </r>
  <r>
    <x v="2"/>
    <s v="Newspaper and book retailing"/>
    <s v="2021-09-01"/>
    <x v="2"/>
    <s v="September"/>
    <s v="9"/>
    <n v="1.4"/>
    <n v="7.69"/>
  </r>
  <r>
    <x v="2"/>
    <s v="Newspaper and book retailing"/>
    <s v="2021-10-01"/>
    <x v="2"/>
    <s v="October  "/>
    <s v="10"/>
    <n v="1.5"/>
    <n v="36.36"/>
  </r>
  <r>
    <x v="2"/>
    <s v="Newspaper and book retailing"/>
    <s v="2021-11-01"/>
    <x v="2"/>
    <s v="November "/>
    <s v="11"/>
    <n v="1.5"/>
    <n v="36.36"/>
  </r>
  <r>
    <x v="2"/>
    <s v="Newspaper and book retailing"/>
    <s v="2021-12-01"/>
    <x v="2"/>
    <s v="December "/>
    <s v="12"/>
    <n v="2.4"/>
    <n v="4.3499999999999996"/>
  </r>
  <r>
    <x v="2"/>
    <s v="Newspaper and book retailing"/>
    <s v="2022-01-01"/>
    <x v="3"/>
    <s v="January  "/>
    <s v="1"/>
    <n v="1.3"/>
    <n v="30"/>
  </r>
  <r>
    <x v="2"/>
    <s v="Newspaper and book retailing"/>
    <s v="2022-02-01"/>
    <x v="3"/>
    <s v="February "/>
    <s v="2"/>
    <n v="1.1000000000000001"/>
    <n v="0"/>
  </r>
  <r>
    <x v="2"/>
    <s v="Newspaper and book retailing"/>
    <s v="2022-03-01"/>
    <x v="3"/>
    <s v="March    "/>
    <s v="3"/>
    <n v="1.4"/>
    <n v="27.27"/>
  </r>
  <r>
    <x v="2"/>
    <s v="Newspaper and book retailing"/>
    <s v="2022-04-01"/>
    <x v="3"/>
    <s v="April    "/>
    <s v="4"/>
    <n v="1.6"/>
    <n v="33.33"/>
  </r>
  <r>
    <x v="2"/>
    <s v="Newspaper and book retailing"/>
    <s v="2022-05-01"/>
    <x v="3"/>
    <s v="May      "/>
    <s v="5"/>
    <n v="1.8"/>
    <n v="20"/>
  </r>
  <r>
    <x v="2"/>
    <s v="Newspaper and book retailing"/>
    <s v="2022-06-01"/>
    <x v="3"/>
    <s v="June     "/>
    <s v="6"/>
    <n v="1.8"/>
    <n v="20"/>
  </r>
  <r>
    <x v="2"/>
    <s v="Newspaper and book retailing"/>
    <s v="2022-07-01"/>
    <x v="3"/>
    <s v="July     "/>
    <s v="7"/>
    <n v="2.1"/>
    <n v="10.53"/>
  </r>
  <r>
    <x v="2"/>
    <s v="Newspaper and book retailing"/>
    <s v="2022-08-01"/>
    <x v="3"/>
    <s v="August   "/>
    <s v="8"/>
    <n v="1.8"/>
    <n v="20"/>
  </r>
  <r>
    <x v="2"/>
    <s v="Newspaper and book retailing"/>
    <s v="2022-09-01"/>
    <x v="3"/>
    <s v="September"/>
    <s v="9"/>
    <n v="1.7"/>
    <n v="21.43"/>
  </r>
  <r>
    <x v="2"/>
    <s v="Newspaper and book retailing"/>
    <s v="2022-10-01"/>
    <x v="3"/>
    <s v="October  "/>
    <s v="10"/>
    <n v="1.6"/>
    <n v="6.67"/>
  </r>
  <r>
    <x v="2"/>
    <s v="Newspaper and book retailing"/>
    <s v="2022-11-01"/>
    <x v="3"/>
    <s v="November "/>
    <s v="11"/>
    <n v="1.8"/>
    <n v="20"/>
  </r>
  <r>
    <x v="2"/>
    <s v="Newspaper and book retailing"/>
    <s v="2022-12-01"/>
    <x v="3"/>
    <s v="December "/>
    <s v="12"/>
    <n v="2.2999999999999998"/>
    <n v="-4.17"/>
  </r>
  <r>
    <x v="2"/>
    <s v="Newspaper and book retailing"/>
    <s v="2023-01-01"/>
    <x v="4"/>
    <s v="January  "/>
    <s v="1"/>
    <n v="1.1000000000000001"/>
    <n v="-15.38"/>
  </r>
  <r>
    <x v="2"/>
    <s v="Newspaper and book retailing"/>
    <s v="2023-02-01"/>
    <x v="4"/>
    <s v="February "/>
    <s v="2"/>
    <n v="1.1000000000000001"/>
    <n v="0"/>
  </r>
  <r>
    <x v="2"/>
    <s v="Newspaper and book retailing"/>
    <s v="2023-03-01"/>
    <x v="4"/>
    <s v="March    "/>
    <s v="3"/>
    <n v="1.2"/>
    <n v="-14.29"/>
  </r>
  <r>
    <x v="2"/>
    <s v="Newspaper and book retailing"/>
    <s v="2023-04-01"/>
    <x v="4"/>
    <s v="April    "/>
    <s v="4"/>
    <n v="1.3"/>
    <n v="-18.75"/>
  </r>
  <r>
    <x v="2"/>
    <s v="Newspaper and book retailing"/>
    <s v="2023-05-01"/>
    <x v="4"/>
    <s v="May      "/>
    <s v="5"/>
    <n v="1.5"/>
    <n v="-16.670000000000002"/>
  </r>
  <r>
    <x v="2"/>
    <s v="Newspaper and book retailing"/>
    <s v="2023-06-01"/>
    <x v="4"/>
    <s v="June     "/>
    <s v="6"/>
    <n v="1.6"/>
    <n v="-11.11"/>
  </r>
  <r>
    <x v="2"/>
    <s v="Newspaper and book retailing"/>
    <s v="2023-07-01"/>
    <x v="4"/>
    <s v="July     "/>
    <s v="7"/>
    <n v="1.6"/>
    <n v="-23.81"/>
  </r>
  <r>
    <x v="2"/>
    <s v="Newspaper and book retailing"/>
    <s v="2023-08-01"/>
    <x v="4"/>
    <s v="August   "/>
    <s v="8"/>
    <n v="1.5"/>
    <n v="-16.670000000000002"/>
  </r>
  <r>
    <x v="2"/>
    <s v="Newspaper and book retailing"/>
    <s v="2023-09-01"/>
    <x v="4"/>
    <s v="September"/>
    <s v="9"/>
    <n v="1.4"/>
    <n v="-17.649999999999999"/>
  </r>
  <r>
    <x v="2"/>
    <s v="Newspaper and book retailing"/>
    <s v="2023-10-01"/>
    <x v="4"/>
    <s v="October  "/>
    <s v="10"/>
    <n v="1.2"/>
    <n v="-25"/>
  </r>
  <r>
    <x v="2"/>
    <s v="Newspaper and book retailing"/>
    <s v="2023-11-01"/>
    <x v="4"/>
    <s v="November "/>
    <s v="11"/>
    <n v="1.3"/>
    <n v="-27.78"/>
  </r>
  <r>
    <x v="2"/>
    <s v="Newspaper and book retailing"/>
    <s v="2023-12-01"/>
    <x v="4"/>
    <s v="December "/>
    <s v="12"/>
    <n v="1.7"/>
    <n v="-26.09"/>
  </r>
  <r>
    <x v="2"/>
    <s v="Newspaper and book retailing"/>
    <s v="2024-01-01"/>
    <x v="5"/>
    <s v="January  "/>
    <s v="1"/>
    <n v="0.9"/>
    <n v="-18.18"/>
  </r>
  <r>
    <x v="2"/>
    <s v="Newspaper and book retailing"/>
    <s v="2024-02-01"/>
    <x v="5"/>
    <s v="February "/>
    <s v="2"/>
    <n v="0.9"/>
    <n v="-18.18"/>
  </r>
  <r>
    <x v="2"/>
    <s v="Newspaper and book retailing"/>
    <s v="2024-03-01"/>
    <x v="5"/>
    <s v="March    "/>
    <s v="3"/>
    <n v="0.9"/>
    <n v="-25"/>
  </r>
  <r>
    <x v="2"/>
    <s v="Newspaper and book retailing"/>
    <s v="2024-04-01"/>
    <x v="5"/>
    <s v="April    "/>
    <s v="4"/>
    <n v="1"/>
    <n v="-23.08"/>
  </r>
  <r>
    <x v="2"/>
    <s v="Newspaper and book retailing"/>
    <s v="2024-05-01"/>
    <x v="5"/>
    <s v="May      "/>
    <s v="5"/>
    <n v="1.2"/>
    <n v="-20"/>
  </r>
  <r>
    <x v="2"/>
    <s v="Newspaper and book retailing"/>
    <s v="2024-06-01"/>
    <x v="5"/>
    <s v="June     "/>
    <s v="6"/>
    <n v="1.2"/>
    <n v="-25"/>
  </r>
  <r>
    <x v="2"/>
    <s v="Newspaper and book retailing"/>
    <s v="2024-07-01"/>
    <x v="5"/>
    <s v="July     "/>
    <s v="7"/>
    <n v="1.3"/>
    <n v="-18.75"/>
  </r>
  <r>
    <x v="2"/>
    <s v="Newspaper and book retailing"/>
    <s v="2024-08-01"/>
    <x v="5"/>
    <s v="August   "/>
    <s v="8"/>
    <n v="1.4"/>
    <n v="-6.67"/>
  </r>
  <r>
    <x v="2"/>
    <s v="Newspaper and book retailing"/>
    <s v="2024-09-01"/>
    <x v="5"/>
    <s v="September"/>
    <s v="9"/>
    <n v="1.2"/>
    <n v="-14.29"/>
  </r>
  <r>
    <x v="2"/>
    <s v="Newspaper and book retailing"/>
    <s v="2024-10-01"/>
    <x v="5"/>
    <s v="October  "/>
    <s v="10"/>
    <n v="1.1000000000000001"/>
    <n v="-8.33"/>
  </r>
  <r>
    <x v="2"/>
    <s v="Newspaper and book retailing"/>
    <s v="2024-11-01"/>
    <x v="5"/>
    <s v="November "/>
    <s v="11"/>
    <n v="1.2"/>
    <n v="-7.69"/>
  </r>
  <r>
    <x v="2"/>
    <s v="Newspaper and book retailing"/>
    <s v="2024-12-01"/>
    <x v="5"/>
    <s v="December "/>
    <s v="12"/>
    <n v="1.6"/>
    <n v="-5.88"/>
  </r>
  <r>
    <x v="2"/>
    <s v="Newspaper and book retailing"/>
    <s v="2025-01-01"/>
    <x v="6"/>
    <s v="January  "/>
    <s v="1"/>
    <n v="0.9"/>
    <n v="0"/>
  </r>
  <r>
    <x v="2"/>
    <s v="Newspaper and book retailing"/>
    <s v="2025-02-01"/>
    <x v="6"/>
    <s v="February "/>
    <s v="2"/>
    <n v="0.9"/>
    <n v="0"/>
  </r>
  <r>
    <x v="2"/>
    <s v="Newspaper and book retailing"/>
    <s v="2025-03-01"/>
    <x v="6"/>
    <s v="March    "/>
    <s v="3"/>
    <n v="0.9"/>
    <n v="0"/>
  </r>
  <r>
    <x v="2"/>
    <s v="Newspaper and book retailing"/>
    <s v="2025-04-01"/>
    <x v="6"/>
    <s v="April    "/>
    <s v="4"/>
    <n v="1"/>
    <n v="0"/>
  </r>
  <r>
    <x v="2"/>
    <s v="Newspaper and book retailing"/>
    <s v="2025-05-01"/>
    <x v="6"/>
    <s v="May      "/>
    <s v="5"/>
    <n v="1.1000000000000001"/>
    <n v="-8.33"/>
  </r>
  <r>
    <x v="2"/>
    <s v="Newspaper and book retailing"/>
    <s v="2025-06-01"/>
    <x v="6"/>
    <s v="June     "/>
    <s v="6"/>
    <n v="1.1000000000000001"/>
    <n v="-8.33"/>
  </r>
  <r>
    <x v="2"/>
    <s v="Other recreational goods retailing"/>
    <s v="2019-01-01"/>
    <x v="0"/>
    <s v="January  "/>
    <s v="1"/>
    <n v="3.3"/>
    <m/>
  </r>
  <r>
    <x v="2"/>
    <s v="Other recreational goods retailing"/>
    <s v="2019-02-01"/>
    <x v="0"/>
    <s v="February "/>
    <s v="2"/>
    <n v="3.2"/>
    <m/>
  </r>
  <r>
    <x v="2"/>
    <s v="Other recreational goods retailing"/>
    <s v="2019-03-01"/>
    <x v="0"/>
    <s v="March    "/>
    <s v="3"/>
    <n v="4.0999999999999996"/>
    <m/>
  </r>
  <r>
    <x v="2"/>
    <s v="Other recreational goods retailing"/>
    <s v="2019-04-01"/>
    <x v="0"/>
    <s v="April    "/>
    <s v="4"/>
    <n v="5"/>
    <m/>
  </r>
  <r>
    <x v="2"/>
    <s v="Other recreational goods retailing"/>
    <s v="2019-05-01"/>
    <x v="0"/>
    <s v="May      "/>
    <s v="5"/>
    <n v="5.4"/>
    <m/>
  </r>
  <r>
    <x v="2"/>
    <s v="Other recreational goods retailing"/>
    <s v="2019-06-01"/>
    <x v="0"/>
    <s v="June     "/>
    <s v="6"/>
    <n v="5.8"/>
    <m/>
  </r>
  <r>
    <x v="2"/>
    <s v="Other recreational goods retailing"/>
    <s v="2019-07-01"/>
    <x v="0"/>
    <s v="July     "/>
    <s v="7"/>
    <n v="6.4"/>
    <m/>
  </r>
  <r>
    <x v="2"/>
    <s v="Other recreational goods retailing"/>
    <s v="2019-08-01"/>
    <x v="0"/>
    <s v="August   "/>
    <s v="8"/>
    <n v="5.3"/>
    <m/>
  </r>
  <r>
    <x v="2"/>
    <s v="Other recreational goods retailing"/>
    <s v="2019-09-01"/>
    <x v="0"/>
    <s v="September"/>
    <s v="9"/>
    <n v="5"/>
    <m/>
  </r>
  <r>
    <x v="2"/>
    <s v="Other recreational goods retailing"/>
    <s v="2019-10-01"/>
    <x v="0"/>
    <s v="October  "/>
    <s v="10"/>
    <n v="5.2"/>
    <m/>
  </r>
  <r>
    <x v="2"/>
    <s v="Other recreational goods retailing"/>
    <s v="2019-11-01"/>
    <x v="0"/>
    <s v="November "/>
    <s v="11"/>
    <n v="5.0999999999999996"/>
    <m/>
  </r>
  <r>
    <x v="2"/>
    <s v="Other recreational goods retailing"/>
    <s v="2019-12-01"/>
    <x v="0"/>
    <s v="December "/>
    <s v="12"/>
    <n v="6.5"/>
    <m/>
  </r>
  <r>
    <x v="2"/>
    <s v="Other recreational goods retailing"/>
    <s v="2020-01-01"/>
    <x v="1"/>
    <s v="January  "/>
    <s v="1"/>
    <n v="3.7"/>
    <n v="12.12"/>
  </r>
  <r>
    <x v="2"/>
    <s v="Other recreational goods retailing"/>
    <s v="2020-02-01"/>
    <x v="1"/>
    <s v="February "/>
    <s v="2"/>
    <n v="3.3"/>
    <n v="3.13"/>
  </r>
  <r>
    <x v="2"/>
    <s v="Other recreational goods retailing"/>
    <s v="2020-03-01"/>
    <x v="1"/>
    <s v="March    "/>
    <s v="3"/>
    <n v="5.5"/>
    <n v="34.15"/>
  </r>
  <r>
    <x v="2"/>
    <s v="Other recreational goods retailing"/>
    <s v="2020-04-01"/>
    <x v="1"/>
    <s v="April    "/>
    <s v="4"/>
    <n v="5.4"/>
    <n v="8"/>
  </r>
  <r>
    <x v="2"/>
    <s v="Other recreational goods retailing"/>
    <s v="2020-05-01"/>
    <x v="1"/>
    <s v="May      "/>
    <s v="5"/>
    <n v="7.9"/>
    <n v="46.3"/>
  </r>
  <r>
    <x v="2"/>
    <s v="Other recreational goods retailing"/>
    <s v="2020-06-01"/>
    <x v="1"/>
    <s v="June     "/>
    <s v="6"/>
    <n v="8.6"/>
    <n v="48.28"/>
  </r>
  <r>
    <x v="2"/>
    <s v="Other recreational goods retailing"/>
    <s v="2020-07-01"/>
    <x v="1"/>
    <s v="July     "/>
    <s v="7"/>
    <n v="9.6"/>
    <n v="50"/>
  </r>
  <r>
    <x v="2"/>
    <s v="Other recreational goods retailing"/>
    <s v="2020-08-01"/>
    <x v="1"/>
    <s v="August   "/>
    <s v="8"/>
    <n v="8.6"/>
    <n v="62.26"/>
  </r>
  <r>
    <x v="2"/>
    <s v="Other recreational goods retailing"/>
    <s v="2020-09-01"/>
    <x v="1"/>
    <s v="September"/>
    <s v="9"/>
    <n v="7.9"/>
    <n v="58"/>
  </r>
  <r>
    <x v="2"/>
    <s v="Other recreational goods retailing"/>
    <s v="2020-10-01"/>
    <x v="1"/>
    <s v="October  "/>
    <s v="10"/>
    <n v="6.6"/>
    <n v="26.92"/>
  </r>
  <r>
    <x v="2"/>
    <s v="Other recreational goods retailing"/>
    <s v="2020-11-01"/>
    <x v="1"/>
    <s v="November "/>
    <s v="11"/>
    <n v="6.5"/>
    <n v="27.45"/>
  </r>
  <r>
    <x v="2"/>
    <s v="Other recreational goods retailing"/>
    <s v="2020-12-01"/>
    <x v="1"/>
    <s v="December "/>
    <s v="12"/>
    <n v="8"/>
    <n v="23.08"/>
  </r>
  <r>
    <x v="2"/>
    <s v="Other recreational goods retailing"/>
    <s v="2021-01-01"/>
    <x v="2"/>
    <s v="January  "/>
    <s v="1"/>
    <n v="4.9000000000000004"/>
    <n v="32.43"/>
  </r>
  <r>
    <x v="2"/>
    <s v="Other recreational goods retailing"/>
    <s v="2021-02-01"/>
    <x v="2"/>
    <s v="February "/>
    <s v="2"/>
    <n v="5"/>
    <n v="51.52"/>
  </r>
  <r>
    <x v="2"/>
    <s v="Other recreational goods retailing"/>
    <s v="2021-03-01"/>
    <x v="2"/>
    <s v="March    "/>
    <s v="3"/>
    <n v="6.8"/>
    <n v="23.64"/>
  </r>
  <r>
    <x v="2"/>
    <s v="Other recreational goods retailing"/>
    <s v="2021-04-01"/>
    <x v="2"/>
    <s v="April    "/>
    <s v="4"/>
    <n v="7.2"/>
    <n v="33.33"/>
  </r>
  <r>
    <x v="2"/>
    <s v="Other recreational goods retailing"/>
    <s v="2021-05-01"/>
    <x v="2"/>
    <s v="May      "/>
    <s v="5"/>
    <n v="7.8"/>
    <n v="-1.27"/>
  </r>
  <r>
    <x v="2"/>
    <s v="Other recreational goods retailing"/>
    <s v="2021-06-01"/>
    <x v="2"/>
    <s v="June     "/>
    <s v="6"/>
    <n v="8.6"/>
    <n v="0"/>
  </r>
  <r>
    <x v="2"/>
    <s v="Other recreational goods retailing"/>
    <s v="2021-07-01"/>
    <x v="2"/>
    <s v="July     "/>
    <s v="7"/>
    <n v="10"/>
    <n v="4.17"/>
  </r>
  <r>
    <x v="2"/>
    <s v="Other recreational goods retailing"/>
    <s v="2021-08-01"/>
    <x v="2"/>
    <s v="August   "/>
    <s v="8"/>
    <n v="8"/>
    <n v="-6.98"/>
  </r>
  <r>
    <x v="2"/>
    <s v="Other recreational goods retailing"/>
    <s v="2021-09-01"/>
    <x v="2"/>
    <s v="September"/>
    <s v="9"/>
    <n v="7.9"/>
    <n v="0"/>
  </r>
  <r>
    <x v="2"/>
    <s v="Other recreational goods retailing"/>
    <s v="2021-10-01"/>
    <x v="2"/>
    <s v="October  "/>
    <s v="10"/>
    <n v="8.3000000000000007"/>
    <n v="25.76"/>
  </r>
  <r>
    <x v="2"/>
    <s v="Other recreational goods retailing"/>
    <s v="2021-11-01"/>
    <x v="2"/>
    <s v="November "/>
    <s v="11"/>
    <n v="7.6"/>
    <n v="16.920000000000002"/>
  </r>
  <r>
    <x v="2"/>
    <s v="Other recreational goods retailing"/>
    <s v="2021-12-01"/>
    <x v="2"/>
    <s v="December "/>
    <s v="12"/>
    <n v="10"/>
    <n v="25"/>
  </r>
  <r>
    <x v="2"/>
    <s v="Other recreational goods retailing"/>
    <s v="2022-01-01"/>
    <x v="3"/>
    <s v="January  "/>
    <s v="1"/>
    <n v="5.8"/>
    <n v="18.37"/>
  </r>
  <r>
    <x v="2"/>
    <s v="Other recreational goods retailing"/>
    <s v="2022-02-01"/>
    <x v="3"/>
    <s v="February "/>
    <s v="2"/>
    <n v="5.6"/>
    <n v="12"/>
  </r>
  <r>
    <x v="2"/>
    <s v="Other recreational goods retailing"/>
    <s v="2022-03-01"/>
    <x v="3"/>
    <s v="March    "/>
    <s v="3"/>
    <n v="7.3"/>
    <n v="7.35"/>
  </r>
  <r>
    <x v="2"/>
    <s v="Other recreational goods retailing"/>
    <s v="2022-04-01"/>
    <x v="3"/>
    <s v="April    "/>
    <s v="4"/>
    <n v="7.8"/>
    <n v="8.33"/>
  </r>
  <r>
    <x v="2"/>
    <s v="Other recreational goods retailing"/>
    <s v="2022-05-01"/>
    <x v="3"/>
    <s v="May      "/>
    <s v="5"/>
    <n v="8.1"/>
    <n v="3.85"/>
  </r>
  <r>
    <x v="2"/>
    <s v="Other recreational goods retailing"/>
    <s v="2022-06-01"/>
    <x v="3"/>
    <s v="June     "/>
    <s v="6"/>
    <n v="9.5"/>
    <n v="10.47"/>
  </r>
  <r>
    <x v="2"/>
    <s v="Other recreational goods retailing"/>
    <s v="2022-07-01"/>
    <x v="3"/>
    <s v="July     "/>
    <s v="7"/>
    <n v="10.4"/>
    <n v="4"/>
  </r>
  <r>
    <x v="2"/>
    <s v="Other recreational goods retailing"/>
    <s v="2022-08-01"/>
    <x v="3"/>
    <s v="August   "/>
    <s v="8"/>
    <n v="8.6999999999999993"/>
    <n v="8.75"/>
  </r>
  <r>
    <x v="2"/>
    <s v="Other recreational goods retailing"/>
    <s v="2022-09-01"/>
    <x v="3"/>
    <s v="September"/>
    <s v="9"/>
    <n v="8.9"/>
    <n v="12.66"/>
  </r>
  <r>
    <x v="2"/>
    <s v="Other recreational goods retailing"/>
    <s v="2022-10-01"/>
    <x v="3"/>
    <s v="October  "/>
    <s v="10"/>
    <n v="7.1"/>
    <n v="-14.46"/>
  </r>
  <r>
    <x v="2"/>
    <s v="Other recreational goods retailing"/>
    <s v="2022-11-01"/>
    <x v="3"/>
    <s v="November "/>
    <s v="11"/>
    <n v="7.6"/>
    <n v="0"/>
  </r>
  <r>
    <x v="2"/>
    <s v="Other recreational goods retailing"/>
    <s v="2022-12-01"/>
    <x v="3"/>
    <s v="December "/>
    <s v="12"/>
    <n v="9"/>
    <n v="-10"/>
  </r>
  <r>
    <x v="2"/>
    <s v="Other recreational goods retailing"/>
    <s v="2023-01-01"/>
    <x v="4"/>
    <s v="January  "/>
    <s v="1"/>
    <n v="5.3"/>
    <n v="-8.6199999999999992"/>
  </r>
  <r>
    <x v="2"/>
    <s v="Other recreational goods retailing"/>
    <s v="2023-02-01"/>
    <x v="4"/>
    <s v="February "/>
    <s v="2"/>
    <n v="4.9000000000000004"/>
    <n v="-12.5"/>
  </r>
  <r>
    <x v="2"/>
    <s v="Other recreational goods retailing"/>
    <s v="2023-03-01"/>
    <x v="4"/>
    <s v="March    "/>
    <s v="3"/>
    <n v="6.3"/>
    <n v="-13.7"/>
  </r>
  <r>
    <x v="2"/>
    <s v="Other recreational goods retailing"/>
    <s v="2023-04-01"/>
    <x v="4"/>
    <s v="April    "/>
    <s v="4"/>
    <n v="6.6"/>
    <n v="-15.38"/>
  </r>
  <r>
    <x v="2"/>
    <s v="Other recreational goods retailing"/>
    <s v="2023-05-01"/>
    <x v="4"/>
    <s v="May      "/>
    <s v="5"/>
    <n v="7.3"/>
    <n v="-9.8800000000000008"/>
  </r>
  <r>
    <x v="2"/>
    <s v="Other recreational goods retailing"/>
    <s v="2023-06-01"/>
    <x v="4"/>
    <s v="June     "/>
    <s v="6"/>
    <n v="8.6"/>
    <n v="-9.4700000000000006"/>
  </r>
  <r>
    <x v="2"/>
    <s v="Other recreational goods retailing"/>
    <s v="2023-07-01"/>
    <x v="4"/>
    <s v="July     "/>
    <s v="7"/>
    <n v="9.5"/>
    <n v="-8.65"/>
  </r>
  <r>
    <x v="2"/>
    <s v="Other recreational goods retailing"/>
    <s v="2023-08-01"/>
    <x v="4"/>
    <s v="August   "/>
    <s v="8"/>
    <n v="8"/>
    <n v="-8.0500000000000007"/>
  </r>
  <r>
    <x v="2"/>
    <s v="Other recreational goods retailing"/>
    <s v="2023-09-01"/>
    <x v="4"/>
    <s v="September"/>
    <s v="9"/>
    <n v="7.3"/>
    <n v="-17.98"/>
  </r>
  <r>
    <x v="2"/>
    <s v="Other recreational goods retailing"/>
    <s v="2023-10-01"/>
    <x v="4"/>
    <s v="October  "/>
    <s v="10"/>
    <n v="6.6"/>
    <n v="-7.04"/>
  </r>
  <r>
    <x v="2"/>
    <s v="Other recreational goods retailing"/>
    <s v="2023-11-01"/>
    <x v="4"/>
    <s v="November "/>
    <s v="11"/>
    <n v="7.1"/>
    <n v="-6.58"/>
  </r>
  <r>
    <x v="2"/>
    <s v="Other recreational goods retailing"/>
    <s v="2023-12-01"/>
    <x v="4"/>
    <s v="December "/>
    <s v="12"/>
    <n v="8.5"/>
    <n v="-5.56"/>
  </r>
  <r>
    <x v="2"/>
    <s v="Other recreational goods retailing"/>
    <s v="2024-01-01"/>
    <x v="5"/>
    <s v="January  "/>
    <s v="1"/>
    <n v="4.7"/>
    <n v="-11.32"/>
  </r>
  <r>
    <x v="2"/>
    <s v="Other recreational goods retailing"/>
    <s v="2024-02-01"/>
    <x v="5"/>
    <s v="February "/>
    <s v="2"/>
    <n v="4.9000000000000004"/>
    <n v="0"/>
  </r>
  <r>
    <x v="2"/>
    <s v="Other recreational goods retailing"/>
    <s v="2024-03-01"/>
    <x v="5"/>
    <s v="March    "/>
    <s v="3"/>
    <n v="6.3"/>
    <n v="0"/>
  </r>
  <r>
    <x v="2"/>
    <s v="Other recreational goods retailing"/>
    <s v="2024-04-01"/>
    <x v="5"/>
    <s v="April    "/>
    <s v="4"/>
    <n v="7.1"/>
    <n v="7.58"/>
  </r>
  <r>
    <x v="2"/>
    <s v="Other recreational goods retailing"/>
    <s v="2024-05-01"/>
    <x v="5"/>
    <s v="May      "/>
    <s v="5"/>
    <n v="7.2"/>
    <n v="-1.37"/>
  </r>
  <r>
    <x v="2"/>
    <s v="Other recreational goods retailing"/>
    <s v="2024-06-01"/>
    <x v="5"/>
    <s v="June     "/>
    <s v="6"/>
    <n v="8"/>
    <n v="-6.98"/>
  </r>
  <r>
    <x v="2"/>
    <s v="Other recreational goods retailing"/>
    <s v="2024-07-01"/>
    <x v="5"/>
    <s v="July     "/>
    <s v="7"/>
    <n v="8.4"/>
    <n v="-11.58"/>
  </r>
  <r>
    <x v="2"/>
    <s v="Other recreational goods retailing"/>
    <s v="2024-08-01"/>
    <x v="5"/>
    <s v="August   "/>
    <s v="8"/>
    <n v="7.3"/>
    <n v="-8.75"/>
  </r>
  <r>
    <x v="2"/>
    <s v="Other recreational goods retailing"/>
    <s v="2024-09-01"/>
    <x v="5"/>
    <s v="September"/>
    <s v="9"/>
    <n v="7"/>
    <n v="-4.1100000000000003"/>
  </r>
  <r>
    <x v="2"/>
    <s v="Other recreational goods retailing"/>
    <s v="2024-10-01"/>
    <x v="5"/>
    <s v="October  "/>
    <s v="10"/>
    <n v="6.8"/>
    <n v="3.03"/>
  </r>
  <r>
    <x v="2"/>
    <s v="Other recreational goods retailing"/>
    <s v="2024-11-01"/>
    <x v="5"/>
    <s v="November "/>
    <s v="11"/>
    <n v="6.7"/>
    <n v="-5.63"/>
  </r>
  <r>
    <x v="2"/>
    <s v="Other recreational goods retailing"/>
    <s v="2024-12-01"/>
    <x v="5"/>
    <s v="December "/>
    <s v="12"/>
    <n v="8.5"/>
    <n v="0"/>
  </r>
  <r>
    <x v="2"/>
    <s v="Other recreational goods retailing"/>
    <s v="2025-01-01"/>
    <x v="6"/>
    <s v="January  "/>
    <s v="1"/>
    <n v="6.1"/>
    <n v="29.79"/>
  </r>
  <r>
    <x v="2"/>
    <s v="Other recreational goods retailing"/>
    <s v="2025-02-01"/>
    <x v="6"/>
    <s v="February "/>
    <s v="2"/>
    <n v="5.4"/>
    <n v="10.199999999999999"/>
  </r>
  <r>
    <x v="2"/>
    <s v="Other recreational goods retailing"/>
    <s v="2025-03-01"/>
    <x v="6"/>
    <s v="March    "/>
    <s v="3"/>
    <n v="7"/>
    <n v="11.11"/>
  </r>
  <r>
    <x v="2"/>
    <s v="Other recreational goods retailing"/>
    <s v="2025-04-01"/>
    <x v="6"/>
    <s v="April    "/>
    <s v="4"/>
    <n v="8.6"/>
    <n v="21.13"/>
  </r>
  <r>
    <x v="2"/>
    <s v="Other recreational goods retailing"/>
    <s v="2025-05-01"/>
    <x v="6"/>
    <s v="May      "/>
    <s v="5"/>
    <n v="8.1"/>
    <n v="12.5"/>
  </r>
  <r>
    <x v="2"/>
    <s v="Other recreational goods retailing"/>
    <s v="2025-06-01"/>
    <x v="6"/>
    <s v="June     "/>
    <s v="6"/>
    <n v="9.4"/>
    <n v="17.5"/>
  </r>
  <r>
    <x v="2"/>
    <s v="Other retailing n.e.c."/>
    <s v="2020-04-01"/>
    <x v="1"/>
    <s v="April    "/>
    <s v="4"/>
    <n v="15.8"/>
    <m/>
  </r>
  <r>
    <x v="2"/>
    <s v="Other retailing n.e.c."/>
    <s v="2020-05-01"/>
    <x v="1"/>
    <s v="May      "/>
    <s v="5"/>
    <n v="18.5"/>
    <m/>
  </r>
  <r>
    <x v="2"/>
    <s v="Other retailing n.e.c."/>
    <s v="2020-06-01"/>
    <x v="1"/>
    <s v="June     "/>
    <s v="6"/>
    <n v="20.399999999999999"/>
    <m/>
  </r>
  <r>
    <x v="2"/>
    <s v="Other retailing n.e.c."/>
    <s v="2020-07-01"/>
    <x v="1"/>
    <s v="July     "/>
    <s v="7"/>
    <n v="22.1"/>
    <m/>
  </r>
  <r>
    <x v="2"/>
    <s v="Other retailing n.e.c."/>
    <s v="2020-08-01"/>
    <x v="1"/>
    <s v="August   "/>
    <s v="8"/>
    <n v="23.5"/>
    <m/>
  </r>
  <r>
    <x v="2"/>
    <s v="Other retailing n.e.c."/>
    <s v="2020-09-01"/>
    <x v="1"/>
    <s v="September"/>
    <s v="9"/>
    <n v="22.8"/>
    <m/>
  </r>
  <r>
    <x v="2"/>
    <s v="Other retailing n.e.c."/>
    <s v="2020-10-01"/>
    <x v="1"/>
    <s v="October  "/>
    <s v="10"/>
    <n v="22.8"/>
    <m/>
  </r>
  <r>
    <x v="2"/>
    <s v="Other retailing n.e.c."/>
    <s v="2020-11-01"/>
    <x v="1"/>
    <s v="November "/>
    <s v="11"/>
    <n v="24"/>
    <m/>
  </r>
  <r>
    <x v="2"/>
    <s v="Other retailing n.e.c."/>
    <s v="2020-12-01"/>
    <x v="1"/>
    <s v="December "/>
    <s v="12"/>
    <n v="24.2"/>
    <m/>
  </r>
  <r>
    <x v="2"/>
    <s v="Other retailing n.e.c."/>
    <s v="2021-01-01"/>
    <x v="2"/>
    <s v="January  "/>
    <s v="1"/>
    <n v="19.100000000000001"/>
    <m/>
  </r>
  <r>
    <x v="2"/>
    <s v="Other retailing n.e.c."/>
    <s v="2021-02-01"/>
    <x v="2"/>
    <s v="February "/>
    <s v="2"/>
    <n v="18.8"/>
    <m/>
  </r>
  <r>
    <x v="2"/>
    <s v="Other retailing n.e.c."/>
    <s v="2021-03-01"/>
    <x v="2"/>
    <s v="March    "/>
    <s v="3"/>
    <n v="21.8"/>
    <m/>
  </r>
  <r>
    <x v="2"/>
    <s v="Other retailing n.e.c."/>
    <s v="2021-04-01"/>
    <x v="2"/>
    <s v="April    "/>
    <s v="4"/>
    <n v="21.5"/>
    <n v="36.08"/>
  </r>
  <r>
    <x v="2"/>
    <s v="Other retailing n.e.c."/>
    <s v="2021-05-01"/>
    <x v="2"/>
    <s v="May      "/>
    <s v="5"/>
    <n v="22"/>
    <n v="18.920000000000002"/>
  </r>
  <r>
    <x v="2"/>
    <s v="Other retailing n.e.c."/>
    <s v="2021-06-01"/>
    <x v="2"/>
    <s v="June     "/>
    <s v="6"/>
    <n v="23.2"/>
    <n v="13.73"/>
  </r>
  <r>
    <x v="2"/>
    <s v="Other retailing n.e.c."/>
    <s v="2021-07-01"/>
    <x v="2"/>
    <s v="July     "/>
    <s v="7"/>
    <n v="24.4"/>
    <n v="10.41"/>
  </r>
  <r>
    <x v="2"/>
    <s v="Other retailing n.e.c."/>
    <s v="2021-08-01"/>
    <x v="2"/>
    <s v="August   "/>
    <s v="8"/>
    <n v="23.8"/>
    <n v="1.28"/>
  </r>
  <r>
    <x v="2"/>
    <s v="Other retailing n.e.c."/>
    <s v="2021-09-01"/>
    <x v="2"/>
    <s v="September"/>
    <s v="9"/>
    <n v="23.7"/>
    <n v="3.95"/>
  </r>
  <r>
    <x v="2"/>
    <s v="Other retailing n.e.c."/>
    <s v="2021-10-01"/>
    <x v="2"/>
    <s v="October  "/>
    <s v="10"/>
    <n v="23"/>
    <n v="0.88"/>
  </r>
  <r>
    <x v="2"/>
    <s v="Other retailing n.e.c."/>
    <s v="2021-11-01"/>
    <x v="2"/>
    <s v="November "/>
    <s v="11"/>
    <n v="24.4"/>
    <n v="1.67"/>
  </r>
  <r>
    <x v="2"/>
    <s v="Other retailing n.e.c."/>
    <s v="2021-12-01"/>
    <x v="2"/>
    <s v="December "/>
    <s v="12"/>
    <n v="21.4"/>
    <n v="-11.57"/>
  </r>
  <r>
    <x v="2"/>
    <s v="Other retailing n.e.c."/>
    <s v="2022-01-01"/>
    <x v="3"/>
    <s v="January  "/>
    <s v="1"/>
    <n v="18.5"/>
    <n v="-3.14"/>
  </r>
  <r>
    <x v="2"/>
    <s v="Other retailing n.e.c."/>
    <s v="2022-02-01"/>
    <x v="3"/>
    <s v="February "/>
    <s v="2"/>
    <n v="16.399999999999999"/>
    <n v="-12.77"/>
  </r>
  <r>
    <x v="2"/>
    <s v="Other retailing n.e.c."/>
    <s v="2022-03-01"/>
    <x v="3"/>
    <s v="March    "/>
    <s v="3"/>
    <n v="19.100000000000001"/>
    <n v="-12.39"/>
  </r>
  <r>
    <x v="2"/>
    <s v="Other retailing n.e.c."/>
    <s v="2022-04-01"/>
    <x v="3"/>
    <s v="April    "/>
    <s v="4"/>
    <n v="18"/>
    <n v="-16.28"/>
  </r>
  <r>
    <x v="2"/>
    <s v="Other retailing n.e.c."/>
    <s v="2022-05-01"/>
    <x v="3"/>
    <s v="May      "/>
    <s v="5"/>
    <n v="19.399999999999999"/>
    <n v="-11.82"/>
  </r>
  <r>
    <x v="2"/>
    <s v="Other retailing n.e.c."/>
    <s v="2022-06-01"/>
    <x v="3"/>
    <s v="June     "/>
    <s v="6"/>
    <n v="18.600000000000001"/>
    <n v="-19.829999999999998"/>
  </r>
  <r>
    <x v="2"/>
    <s v="Other retailing n.e.c."/>
    <s v="2022-07-01"/>
    <x v="3"/>
    <s v="July     "/>
    <s v="7"/>
    <n v="21.3"/>
    <n v="-12.7"/>
  </r>
  <r>
    <x v="2"/>
    <s v="Other retailing n.e.c."/>
    <s v="2022-08-01"/>
    <x v="3"/>
    <s v="August   "/>
    <s v="8"/>
    <n v="20.5"/>
    <n v="-13.87"/>
  </r>
  <r>
    <x v="2"/>
    <s v="Other retailing n.e.c."/>
    <s v="2022-09-01"/>
    <x v="3"/>
    <s v="September"/>
    <s v="9"/>
    <n v="20.5"/>
    <n v="-13.5"/>
  </r>
  <r>
    <x v="2"/>
    <s v="Other retailing n.e.c."/>
    <s v="2022-10-01"/>
    <x v="3"/>
    <s v="October  "/>
    <s v="10"/>
    <n v="21.3"/>
    <n v="-7.39"/>
  </r>
  <r>
    <x v="2"/>
    <s v="Other retailing n.e.c."/>
    <s v="2022-11-01"/>
    <x v="3"/>
    <s v="November "/>
    <s v="11"/>
    <n v="23.4"/>
    <n v="-4.0999999999999996"/>
  </r>
  <r>
    <x v="2"/>
    <s v="Other retailing n.e.c."/>
    <s v="2022-12-01"/>
    <x v="3"/>
    <s v="December "/>
    <s v="12"/>
    <n v="21"/>
    <n v="-1.87"/>
  </r>
  <r>
    <x v="2"/>
    <s v="Other retailing n.e.c."/>
    <s v="2023-01-01"/>
    <x v="4"/>
    <s v="January  "/>
    <s v="1"/>
    <n v="17.7"/>
    <n v="-4.32"/>
  </r>
  <r>
    <x v="2"/>
    <s v="Other retailing n.e.c."/>
    <s v="2023-02-01"/>
    <x v="4"/>
    <s v="February "/>
    <s v="2"/>
    <n v="16.600000000000001"/>
    <n v="1.22"/>
  </r>
  <r>
    <x v="2"/>
    <s v="Other retailing n.e.c."/>
    <s v="2023-03-01"/>
    <x v="4"/>
    <s v="March    "/>
    <s v="3"/>
    <n v="19.100000000000001"/>
    <n v="0"/>
  </r>
  <r>
    <x v="2"/>
    <s v="Other retailing n.e.c."/>
    <s v="2023-04-01"/>
    <x v="4"/>
    <s v="April    "/>
    <s v="4"/>
    <n v="18.2"/>
    <n v="1.1100000000000001"/>
  </r>
  <r>
    <x v="2"/>
    <s v="Other retailing n.e.c."/>
    <s v="2023-05-01"/>
    <x v="4"/>
    <s v="May      "/>
    <s v="5"/>
    <n v="19.600000000000001"/>
    <n v="1.03"/>
  </r>
  <r>
    <x v="2"/>
    <s v="Other retailing n.e.c."/>
    <s v="2023-06-01"/>
    <x v="4"/>
    <s v="June     "/>
    <s v="6"/>
    <n v="20.2"/>
    <n v="8.6"/>
  </r>
  <r>
    <x v="2"/>
    <s v="Other retailing n.e.c."/>
    <s v="2023-07-01"/>
    <x v="4"/>
    <s v="July     "/>
    <s v="7"/>
    <n v="19.7"/>
    <n v="-7.51"/>
  </r>
  <r>
    <x v="2"/>
    <s v="Other retailing n.e.c."/>
    <s v="2023-08-01"/>
    <x v="4"/>
    <s v="August   "/>
    <s v="8"/>
    <n v="20"/>
    <n v="-2.44"/>
  </r>
  <r>
    <x v="2"/>
    <s v="Other retailing n.e.c."/>
    <s v="2023-09-01"/>
    <x v="4"/>
    <s v="September"/>
    <s v="9"/>
    <n v="21.3"/>
    <n v="3.9"/>
  </r>
  <r>
    <x v="2"/>
    <s v="Other retailing n.e.c."/>
    <s v="2023-10-01"/>
    <x v="4"/>
    <s v="October  "/>
    <s v="10"/>
    <n v="22.6"/>
    <n v="6.1"/>
  </r>
  <r>
    <x v="2"/>
    <s v="Other retailing n.e.c."/>
    <s v="2023-11-01"/>
    <x v="4"/>
    <s v="November "/>
    <s v="11"/>
    <n v="25"/>
    <n v="6.84"/>
  </r>
  <r>
    <x v="2"/>
    <s v="Other retailing n.e.c."/>
    <s v="2023-12-01"/>
    <x v="4"/>
    <s v="December "/>
    <s v="12"/>
    <n v="23.7"/>
    <n v="12.86"/>
  </r>
  <r>
    <x v="2"/>
    <s v="Other retailing n.e.c."/>
    <s v="2024-01-01"/>
    <x v="5"/>
    <s v="January  "/>
    <s v="1"/>
    <n v="18.2"/>
    <n v="2.82"/>
  </r>
  <r>
    <x v="2"/>
    <s v="Other retailing n.e.c."/>
    <s v="2024-02-01"/>
    <x v="5"/>
    <s v="February "/>
    <s v="2"/>
    <n v="18.399999999999999"/>
    <n v="10.84"/>
  </r>
  <r>
    <x v="2"/>
    <s v="Other retailing n.e.c."/>
    <s v="2024-03-01"/>
    <x v="5"/>
    <s v="March    "/>
    <s v="3"/>
    <n v="20.100000000000001"/>
    <n v="5.24"/>
  </r>
  <r>
    <x v="2"/>
    <s v="Other retailing n.e.c."/>
    <s v="2024-04-01"/>
    <x v="5"/>
    <s v="April    "/>
    <s v="4"/>
    <n v="20.5"/>
    <n v="12.64"/>
  </r>
  <r>
    <x v="2"/>
    <s v="Other retailing n.e.c."/>
    <s v="2024-05-01"/>
    <x v="5"/>
    <s v="May      "/>
    <s v="5"/>
    <n v="21.7"/>
    <n v="10.71"/>
  </r>
  <r>
    <x v="2"/>
    <s v="Other retailing n.e.c."/>
    <s v="2024-06-01"/>
    <x v="5"/>
    <s v="June     "/>
    <s v="6"/>
    <n v="20.9"/>
    <n v="3.47"/>
  </r>
  <r>
    <x v="2"/>
    <s v="Other retailing n.e.c."/>
    <s v="2024-07-01"/>
    <x v="5"/>
    <s v="July     "/>
    <s v="7"/>
    <n v="23.1"/>
    <n v="17.260000000000002"/>
  </r>
  <r>
    <x v="2"/>
    <s v="Other retailing n.e.c."/>
    <s v="2024-08-01"/>
    <x v="5"/>
    <s v="August   "/>
    <s v="8"/>
    <n v="21.8"/>
    <n v="9"/>
  </r>
  <r>
    <x v="2"/>
    <s v="Other retailing n.e.c."/>
    <s v="2024-09-01"/>
    <x v="5"/>
    <s v="September"/>
    <s v="9"/>
    <n v="21.6"/>
    <n v="1.41"/>
  </r>
  <r>
    <x v="2"/>
    <s v="Other retailing n.e.c."/>
    <s v="2024-10-01"/>
    <x v="5"/>
    <s v="October  "/>
    <s v="10"/>
    <n v="22.6"/>
    <n v="0"/>
  </r>
  <r>
    <x v="2"/>
    <s v="Other retailing n.e.c."/>
    <s v="2024-11-01"/>
    <x v="5"/>
    <s v="November "/>
    <s v="11"/>
    <n v="23.7"/>
    <n v="-5.2"/>
  </r>
  <r>
    <x v="2"/>
    <s v="Other retailing n.e.c."/>
    <s v="2024-12-01"/>
    <x v="5"/>
    <s v="December "/>
    <s v="12"/>
    <n v="21.7"/>
    <n v="-8.44"/>
  </r>
  <r>
    <x v="2"/>
    <s v="Other retailing n.e.c."/>
    <s v="2025-01-01"/>
    <x v="6"/>
    <s v="January  "/>
    <s v="1"/>
    <n v="15.8"/>
    <n v="-13.19"/>
  </r>
  <r>
    <x v="2"/>
    <s v="Other retailing n.e.c."/>
    <s v="2025-02-01"/>
    <x v="6"/>
    <s v="February "/>
    <s v="2"/>
    <n v="15.6"/>
    <n v="-15.22"/>
  </r>
  <r>
    <x v="2"/>
    <s v="Other retailing n.e.c."/>
    <s v="2025-03-01"/>
    <x v="6"/>
    <s v="March    "/>
    <s v="3"/>
    <n v="17.3"/>
    <n v="-13.93"/>
  </r>
  <r>
    <x v="2"/>
    <s v="Other retailing n.e.c."/>
    <s v="2025-04-01"/>
    <x v="6"/>
    <s v="April    "/>
    <s v="4"/>
    <n v="17.899999999999999"/>
    <n v="-12.68"/>
  </r>
  <r>
    <x v="2"/>
    <s v="Other retailing n.e.c."/>
    <s v="2025-05-01"/>
    <x v="6"/>
    <s v="May      "/>
    <s v="5"/>
    <n v="18.100000000000001"/>
    <n v="-16.59"/>
  </r>
  <r>
    <x v="2"/>
    <s v="Other retailing n.e.c."/>
    <s v="2025-06-01"/>
    <x v="6"/>
    <s v="June     "/>
    <s v="6"/>
    <n v="18.399999999999999"/>
    <n v="-11.96"/>
  </r>
  <r>
    <x v="2"/>
    <s v="Pharmaceutical, cosmetic and toiletry goods retailing"/>
    <s v="2019-01-01"/>
    <x v="0"/>
    <s v="January  "/>
    <s v="1"/>
    <n v="7.5"/>
    <m/>
  </r>
  <r>
    <x v="2"/>
    <s v="Pharmaceutical, cosmetic and toiletry goods retailing"/>
    <s v="2019-02-01"/>
    <x v="0"/>
    <s v="February "/>
    <s v="2"/>
    <n v="6.9"/>
    <m/>
  </r>
  <r>
    <x v="2"/>
    <s v="Pharmaceutical, cosmetic and toiletry goods retailing"/>
    <s v="2019-03-01"/>
    <x v="0"/>
    <s v="March    "/>
    <s v="3"/>
    <n v="7.4"/>
    <m/>
  </r>
  <r>
    <x v="2"/>
    <s v="Pharmaceutical, cosmetic and toiletry goods retailing"/>
    <s v="2019-04-01"/>
    <x v="0"/>
    <s v="April    "/>
    <s v="4"/>
    <n v="8.1"/>
    <m/>
  </r>
  <r>
    <x v="2"/>
    <s v="Pharmaceutical, cosmetic and toiletry goods retailing"/>
    <s v="2019-05-01"/>
    <x v="0"/>
    <s v="May      "/>
    <s v="5"/>
    <n v="8.1999999999999993"/>
    <m/>
  </r>
  <r>
    <x v="2"/>
    <s v="Pharmaceutical, cosmetic and toiletry goods retailing"/>
    <s v="2019-06-01"/>
    <x v="0"/>
    <s v="June     "/>
    <s v="6"/>
    <n v="6.9"/>
    <m/>
  </r>
  <r>
    <x v="2"/>
    <s v="Pharmaceutical, cosmetic and toiletry goods retailing"/>
    <s v="2019-07-01"/>
    <x v="0"/>
    <s v="July     "/>
    <s v="7"/>
    <n v="7.1"/>
    <m/>
  </r>
  <r>
    <x v="2"/>
    <s v="Pharmaceutical, cosmetic and toiletry goods retailing"/>
    <s v="2019-08-01"/>
    <x v="0"/>
    <s v="August   "/>
    <s v="8"/>
    <n v="7.3"/>
    <m/>
  </r>
  <r>
    <x v="2"/>
    <s v="Pharmaceutical, cosmetic and toiletry goods retailing"/>
    <s v="2019-09-01"/>
    <x v="0"/>
    <s v="September"/>
    <s v="9"/>
    <n v="6.2"/>
    <m/>
  </r>
  <r>
    <x v="2"/>
    <s v="Pharmaceutical, cosmetic and toiletry goods retailing"/>
    <s v="2019-10-01"/>
    <x v="0"/>
    <s v="October  "/>
    <s v="10"/>
    <n v="7.1"/>
    <m/>
  </r>
  <r>
    <x v="2"/>
    <s v="Pharmaceutical, cosmetic and toiletry goods retailing"/>
    <s v="2019-11-01"/>
    <x v="0"/>
    <s v="November "/>
    <s v="11"/>
    <n v="7.2"/>
    <m/>
  </r>
  <r>
    <x v="2"/>
    <s v="Pharmaceutical, cosmetic and toiletry goods retailing"/>
    <s v="2019-12-01"/>
    <x v="0"/>
    <s v="December "/>
    <s v="12"/>
    <n v="7.8"/>
    <m/>
  </r>
  <r>
    <x v="2"/>
    <s v="Pharmaceutical, cosmetic and toiletry goods retailing"/>
    <s v="2020-01-01"/>
    <x v="1"/>
    <s v="January  "/>
    <s v="1"/>
    <n v="6.2"/>
    <n v="-17.329999999999998"/>
  </r>
  <r>
    <x v="2"/>
    <s v="Pharmaceutical, cosmetic and toiletry goods retailing"/>
    <s v="2020-02-01"/>
    <x v="1"/>
    <s v="February "/>
    <s v="2"/>
    <n v="6.4"/>
    <n v="-7.25"/>
  </r>
  <r>
    <x v="2"/>
    <s v="Pharmaceutical, cosmetic and toiletry goods retailing"/>
    <s v="2020-03-01"/>
    <x v="1"/>
    <s v="March    "/>
    <s v="3"/>
    <n v="8.4"/>
    <n v="13.51"/>
  </r>
  <r>
    <x v="2"/>
    <s v="Pharmaceutical, cosmetic and toiletry goods retailing"/>
    <s v="2020-04-01"/>
    <x v="1"/>
    <s v="April    "/>
    <s v="4"/>
    <n v="6.3"/>
    <n v="-22.22"/>
  </r>
  <r>
    <x v="2"/>
    <s v="Pharmaceutical, cosmetic and toiletry goods retailing"/>
    <s v="2020-05-01"/>
    <x v="1"/>
    <s v="May      "/>
    <s v="5"/>
    <n v="7.8"/>
    <n v="-4.88"/>
  </r>
  <r>
    <x v="2"/>
    <s v="Pharmaceutical, cosmetic and toiletry goods retailing"/>
    <s v="2020-06-01"/>
    <x v="1"/>
    <s v="June     "/>
    <s v="6"/>
    <n v="8"/>
    <n v="15.94"/>
  </r>
  <r>
    <x v="2"/>
    <s v="Pharmaceutical, cosmetic and toiletry goods retailing"/>
    <s v="2020-07-01"/>
    <x v="1"/>
    <s v="July     "/>
    <s v="7"/>
    <n v="9.1"/>
    <n v="28.17"/>
  </r>
  <r>
    <x v="2"/>
    <s v="Pharmaceutical, cosmetic and toiletry goods retailing"/>
    <s v="2020-08-01"/>
    <x v="1"/>
    <s v="August   "/>
    <s v="8"/>
    <n v="8.4"/>
    <n v="15.07"/>
  </r>
  <r>
    <x v="2"/>
    <s v="Pharmaceutical, cosmetic and toiletry goods retailing"/>
    <s v="2020-09-01"/>
    <x v="1"/>
    <s v="September"/>
    <s v="9"/>
    <n v="8.6"/>
    <n v="38.71"/>
  </r>
  <r>
    <x v="2"/>
    <s v="Pharmaceutical, cosmetic and toiletry goods retailing"/>
    <s v="2020-10-01"/>
    <x v="1"/>
    <s v="October  "/>
    <s v="10"/>
    <n v="8.1"/>
    <n v="14.08"/>
  </r>
  <r>
    <x v="2"/>
    <s v="Pharmaceutical, cosmetic and toiletry goods retailing"/>
    <s v="2020-11-01"/>
    <x v="1"/>
    <s v="November "/>
    <s v="11"/>
    <n v="8.1"/>
    <n v="12.5"/>
  </r>
  <r>
    <x v="2"/>
    <s v="Pharmaceutical, cosmetic and toiletry goods retailing"/>
    <s v="2020-12-01"/>
    <x v="1"/>
    <s v="December "/>
    <s v="12"/>
    <n v="9.9"/>
    <n v="26.92"/>
  </r>
  <r>
    <x v="2"/>
    <s v="Pharmaceutical, cosmetic and toiletry goods retailing"/>
    <s v="2021-01-01"/>
    <x v="2"/>
    <s v="January  "/>
    <s v="1"/>
    <n v="8.6"/>
    <n v="38.71"/>
  </r>
  <r>
    <x v="2"/>
    <s v="Pharmaceutical, cosmetic and toiletry goods retailing"/>
    <s v="2021-02-01"/>
    <x v="2"/>
    <s v="February "/>
    <s v="2"/>
    <n v="8.4"/>
    <n v="31.25"/>
  </r>
  <r>
    <x v="2"/>
    <s v="Pharmaceutical, cosmetic and toiletry goods retailing"/>
    <s v="2021-03-01"/>
    <x v="2"/>
    <s v="March    "/>
    <s v="3"/>
    <n v="9.8000000000000007"/>
    <n v="16.670000000000002"/>
  </r>
  <r>
    <x v="2"/>
    <s v="Pharmaceutical, cosmetic and toiletry goods retailing"/>
    <s v="2021-04-01"/>
    <x v="2"/>
    <s v="April    "/>
    <s v="4"/>
    <n v="9.6"/>
    <n v="52.38"/>
  </r>
  <r>
    <x v="2"/>
    <s v="Pharmaceutical, cosmetic and toiletry goods retailing"/>
    <s v="2021-05-01"/>
    <x v="2"/>
    <s v="May      "/>
    <s v="5"/>
    <n v="9.9"/>
    <n v="26.92"/>
  </r>
  <r>
    <x v="2"/>
    <s v="Pharmaceutical, cosmetic and toiletry goods retailing"/>
    <s v="2021-06-01"/>
    <x v="2"/>
    <s v="June     "/>
    <s v="6"/>
    <n v="9.8000000000000007"/>
    <n v="22.5"/>
  </r>
  <r>
    <x v="2"/>
    <s v="Pharmaceutical, cosmetic and toiletry goods retailing"/>
    <s v="2021-07-01"/>
    <x v="2"/>
    <s v="July     "/>
    <s v="7"/>
    <n v="11"/>
    <n v="20.88"/>
  </r>
  <r>
    <x v="2"/>
    <s v="Pharmaceutical, cosmetic and toiletry goods retailing"/>
    <s v="2021-08-01"/>
    <x v="2"/>
    <s v="August   "/>
    <s v="8"/>
    <n v="11.2"/>
    <n v="33.33"/>
  </r>
  <r>
    <x v="2"/>
    <s v="Pharmaceutical, cosmetic and toiletry goods retailing"/>
    <s v="2021-09-01"/>
    <x v="2"/>
    <s v="September"/>
    <s v="9"/>
    <n v="10.8"/>
    <n v="25.58"/>
  </r>
  <r>
    <x v="2"/>
    <s v="Pharmaceutical, cosmetic and toiletry goods retailing"/>
    <s v="2021-10-01"/>
    <x v="2"/>
    <s v="October  "/>
    <s v="10"/>
    <n v="10"/>
    <n v="23.46"/>
  </r>
  <r>
    <x v="2"/>
    <s v="Pharmaceutical, cosmetic and toiletry goods retailing"/>
    <s v="2021-11-01"/>
    <x v="2"/>
    <s v="November "/>
    <s v="11"/>
    <n v="10.4"/>
    <n v="28.4"/>
  </r>
  <r>
    <x v="2"/>
    <s v="Pharmaceutical, cosmetic and toiletry goods retailing"/>
    <s v="2021-12-01"/>
    <x v="2"/>
    <s v="December "/>
    <s v="12"/>
    <n v="11.8"/>
    <n v="19.190000000000001"/>
  </r>
  <r>
    <x v="2"/>
    <s v="Pharmaceutical, cosmetic and toiletry goods retailing"/>
    <s v="2022-01-01"/>
    <x v="3"/>
    <s v="January  "/>
    <s v="1"/>
    <n v="9.5"/>
    <n v="10.47"/>
  </r>
  <r>
    <x v="2"/>
    <s v="Pharmaceutical, cosmetic and toiletry goods retailing"/>
    <s v="2022-02-01"/>
    <x v="3"/>
    <s v="February "/>
    <s v="2"/>
    <n v="9.4"/>
    <n v="11.9"/>
  </r>
  <r>
    <x v="2"/>
    <s v="Pharmaceutical, cosmetic and toiletry goods retailing"/>
    <s v="2022-03-01"/>
    <x v="3"/>
    <s v="March    "/>
    <s v="3"/>
    <n v="9.3000000000000007"/>
    <n v="-5.0999999999999996"/>
  </r>
  <r>
    <x v="2"/>
    <s v="Pharmaceutical, cosmetic and toiletry goods retailing"/>
    <s v="2022-04-01"/>
    <x v="3"/>
    <s v="April    "/>
    <s v="4"/>
    <n v="10.199999999999999"/>
    <n v="6.25"/>
  </r>
  <r>
    <x v="2"/>
    <s v="Pharmaceutical, cosmetic and toiletry goods retailing"/>
    <s v="2022-05-01"/>
    <x v="3"/>
    <s v="May      "/>
    <s v="5"/>
    <n v="12.6"/>
    <n v="27.27"/>
  </r>
  <r>
    <x v="2"/>
    <s v="Pharmaceutical, cosmetic and toiletry goods retailing"/>
    <s v="2022-06-01"/>
    <x v="3"/>
    <s v="June     "/>
    <s v="6"/>
    <n v="12.5"/>
    <n v="27.55"/>
  </r>
  <r>
    <x v="2"/>
    <s v="Pharmaceutical, cosmetic and toiletry goods retailing"/>
    <s v="2022-07-01"/>
    <x v="3"/>
    <s v="July     "/>
    <s v="7"/>
    <n v="12.9"/>
    <n v="17.27"/>
  </r>
  <r>
    <x v="2"/>
    <s v="Pharmaceutical, cosmetic and toiletry goods retailing"/>
    <s v="2022-08-01"/>
    <x v="3"/>
    <s v="August   "/>
    <s v="8"/>
    <n v="13.2"/>
    <n v="17.86"/>
  </r>
  <r>
    <x v="2"/>
    <s v="Pharmaceutical, cosmetic and toiletry goods retailing"/>
    <s v="2022-09-01"/>
    <x v="3"/>
    <s v="September"/>
    <s v="9"/>
    <n v="12.1"/>
    <n v="12.04"/>
  </r>
  <r>
    <x v="2"/>
    <s v="Pharmaceutical, cosmetic and toiletry goods retailing"/>
    <s v="2022-10-01"/>
    <x v="3"/>
    <s v="October  "/>
    <s v="10"/>
    <n v="11.1"/>
    <n v="11"/>
  </r>
  <r>
    <x v="2"/>
    <s v="Pharmaceutical, cosmetic and toiletry goods retailing"/>
    <s v="2022-11-01"/>
    <x v="3"/>
    <s v="November "/>
    <s v="11"/>
    <n v="11.5"/>
    <n v="10.58"/>
  </r>
  <r>
    <x v="2"/>
    <s v="Pharmaceutical, cosmetic and toiletry goods retailing"/>
    <s v="2022-12-01"/>
    <x v="3"/>
    <s v="December "/>
    <s v="12"/>
    <n v="13"/>
    <n v="10.17"/>
  </r>
  <r>
    <x v="2"/>
    <s v="Pharmaceutical, cosmetic and toiletry goods retailing"/>
    <s v="2023-01-01"/>
    <x v="4"/>
    <s v="January  "/>
    <s v="1"/>
    <n v="10.199999999999999"/>
    <n v="7.37"/>
  </r>
  <r>
    <x v="2"/>
    <s v="Pharmaceutical, cosmetic and toiletry goods retailing"/>
    <s v="2023-02-01"/>
    <x v="4"/>
    <s v="February "/>
    <s v="2"/>
    <n v="9.6999999999999993"/>
    <n v="3.19"/>
  </r>
  <r>
    <x v="2"/>
    <s v="Pharmaceutical, cosmetic and toiletry goods retailing"/>
    <s v="2023-03-01"/>
    <x v="4"/>
    <s v="March    "/>
    <s v="3"/>
    <n v="11.3"/>
    <n v="21.51"/>
  </r>
  <r>
    <x v="2"/>
    <s v="Pharmaceutical, cosmetic and toiletry goods retailing"/>
    <s v="2023-04-01"/>
    <x v="4"/>
    <s v="April    "/>
    <s v="4"/>
    <n v="11.4"/>
    <n v="11.76"/>
  </r>
  <r>
    <x v="2"/>
    <s v="Pharmaceutical, cosmetic and toiletry goods retailing"/>
    <s v="2023-05-01"/>
    <x v="4"/>
    <s v="May      "/>
    <s v="5"/>
    <n v="13.1"/>
    <n v="3.97"/>
  </r>
  <r>
    <x v="2"/>
    <s v="Pharmaceutical, cosmetic and toiletry goods retailing"/>
    <s v="2023-06-01"/>
    <x v="4"/>
    <s v="June     "/>
    <s v="6"/>
    <n v="12.8"/>
    <n v="2.4"/>
  </r>
  <r>
    <x v="2"/>
    <s v="Pharmaceutical, cosmetic and toiletry goods retailing"/>
    <s v="2023-07-01"/>
    <x v="4"/>
    <s v="July     "/>
    <s v="7"/>
    <n v="14.1"/>
    <n v="9.3000000000000007"/>
  </r>
  <r>
    <x v="2"/>
    <s v="Pharmaceutical, cosmetic and toiletry goods retailing"/>
    <s v="2023-08-01"/>
    <x v="4"/>
    <s v="August   "/>
    <s v="8"/>
    <n v="14.6"/>
    <n v="10.61"/>
  </r>
  <r>
    <x v="2"/>
    <s v="Pharmaceutical, cosmetic and toiletry goods retailing"/>
    <s v="2023-09-01"/>
    <x v="4"/>
    <s v="September"/>
    <s v="9"/>
    <n v="14"/>
    <n v="15.7"/>
  </r>
  <r>
    <x v="2"/>
    <s v="Pharmaceutical, cosmetic and toiletry goods retailing"/>
    <s v="2023-10-01"/>
    <x v="4"/>
    <s v="October  "/>
    <s v="10"/>
    <n v="13"/>
    <n v="17.12"/>
  </r>
  <r>
    <x v="2"/>
    <s v="Pharmaceutical, cosmetic and toiletry goods retailing"/>
    <s v="2023-11-01"/>
    <x v="4"/>
    <s v="November "/>
    <s v="11"/>
    <n v="13.9"/>
    <n v="20.87"/>
  </r>
  <r>
    <x v="2"/>
    <s v="Pharmaceutical, cosmetic and toiletry goods retailing"/>
    <s v="2023-12-01"/>
    <x v="4"/>
    <s v="December "/>
    <s v="12"/>
    <n v="15.5"/>
    <n v="19.23"/>
  </r>
  <r>
    <x v="2"/>
    <s v="Pharmaceutical, cosmetic and toiletry goods retailing"/>
    <s v="2024-01-01"/>
    <x v="5"/>
    <s v="January  "/>
    <s v="1"/>
    <n v="11.7"/>
    <n v="14.71"/>
  </r>
  <r>
    <x v="2"/>
    <s v="Pharmaceutical, cosmetic and toiletry goods retailing"/>
    <s v="2024-02-01"/>
    <x v="5"/>
    <s v="February "/>
    <s v="2"/>
    <n v="11.9"/>
    <n v="22.68"/>
  </r>
  <r>
    <x v="2"/>
    <s v="Pharmaceutical, cosmetic and toiletry goods retailing"/>
    <s v="2024-03-01"/>
    <x v="5"/>
    <s v="March    "/>
    <s v="3"/>
    <n v="13.6"/>
    <n v="20.350000000000001"/>
  </r>
  <r>
    <x v="2"/>
    <s v="Pharmaceutical, cosmetic and toiletry goods retailing"/>
    <s v="2024-04-01"/>
    <x v="5"/>
    <s v="April    "/>
    <s v="4"/>
    <n v="13"/>
    <n v="14.04"/>
  </r>
  <r>
    <x v="2"/>
    <s v="Pharmaceutical, cosmetic and toiletry goods retailing"/>
    <s v="2024-05-01"/>
    <x v="5"/>
    <s v="May      "/>
    <s v="5"/>
    <n v="14.1"/>
    <n v="7.63"/>
  </r>
  <r>
    <x v="2"/>
    <s v="Pharmaceutical, cosmetic and toiletry goods retailing"/>
    <s v="2024-06-01"/>
    <x v="5"/>
    <s v="June     "/>
    <s v="6"/>
    <n v="13.9"/>
    <n v="8.59"/>
  </r>
  <r>
    <x v="2"/>
    <s v="Pharmaceutical, cosmetic and toiletry goods retailing"/>
    <s v="2024-07-01"/>
    <x v="5"/>
    <s v="July     "/>
    <s v="7"/>
    <n v="16"/>
    <n v="13.48"/>
  </r>
  <r>
    <x v="2"/>
    <s v="Pharmaceutical, cosmetic and toiletry goods retailing"/>
    <s v="2024-08-01"/>
    <x v="5"/>
    <s v="August   "/>
    <s v="8"/>
    <n v="15.7"/>
    <n v="7.53"/>
  </r>
  <r>
    <x v="2"/>
    <s v="Pharmaceutical, cosmetic and toiletry goods retailing"/>
    <s v="2024-09-01"/>
    <x v="5"/>
    <s v="September"/>
    <s v="9"/>
    <n v="14"/>
    <n v="0"/>
  </r>
  <r>
    <x v="2"/>
    <s v="Pharmaceutical, cosmetic and toiletry goods retailing"/>
    <s v="2024-10-01"/>
    <x v="5"/>
    <s v="October  "/>
    <s v="10"/>
    <n v="14.6"/>
    <n v="12.31"/>
  </r>
  <r>
    <x v="2"/>
    <s v="Pharmaceutical, cosmetic and toiletry goods retailing"/>
    <s v="2024-11-01"/>
    <x v="5"/>
    <s v="November "/>
    <s v="11"/>
    <n v="15.4"/>
    <n v="10.79"/>
  </r>
  <r>
    <x v="2"/>
    <s v="Pharmaceutical, cosmetic and toiletry goods retailing"/>
    <s v="2024-12-01"/>
    <x v="5"/>
    <s v="December "/>
    <s v="12"/>
    <n v="17.3"/>
    <n v="11.61"/>
  </r>
  <r>
    <x v="2"/>
    <s v="Pharmaceutical, cosmetic and toiletry goods retailing"/>
    <s v="2025-01-01"/>
    <x v="6"/>
    <s v="January  "/>
    <s v="1"/>
    <n v="12.8"/>
    <n v="9.4"/>
  </r>
  <r>
    <x v="2"/>
    <s v="Pharmaceutical, cosmetic and toiletry goods retailing"/>
    <s v="2025-02-01"/>
    <x v="6"/>
    <s v="February "/>
    <s v="2"/>
    <n v="13.5"/>
    <n v="13.45"/>
  </r>
  <r>
    <x v="2"/>
    <s v="Pharmaceutical, cosmetic and toiletry goods retailing"/>
    <s v="2025-03-01"/>
    <x v="6"/>
    <s v="March    "/>
    <s v="3"/>
    <n v="13.9"/>
    <n v="2.21"/>
  </r>
  <r>
    <x v="2"/>
    <s v="Pharmaceutical, cosmetic and toiletry goods retailing"/>
    <s v="2025-04-01"/>
    <x v="6"/>
    <s v="April    "/>
    <s v="4"/>
    <n v="14.2"/>
    <n v="9.23"/>
  </r>
  <r>
    <x v="2"/>
    <s v="Pharmaceutical, cosmetic and toiletry goods retailing"/>
    <s v="2025-05-01"/>
    <x v="6"/>
    <s v="May      "/>
    <s v="5"/>
    <n v="15.1"/>
    <n v="7.09"/>
  </r>
  <r>
    <x v="2"/>
    <s v="Pharmaceutical, cosmetic and toiletry goods retailing"/>
    <s v="2025-06-01"/>
    <x v="6"/>
    <s v="June     "/>
    <s v="6"/>
    <n v="15"/>
    <n v="7.91"/>
  </r>
  <r>
    <x v="2"/>
    <s v="Supermarket and grocery stores"/>
    <s v="2019-01-01"/>
    <x v="0"/>
    <s v="January  "/>
    <s v="1"/>
    <n v="109.3"/>
    <m/>
  </r>
  <r>
    <x v="2"/>
    <s v="Supermarket and grocery stores"/>
    <s v="2019-02-01"/>
    <x v="0"/>
    <s v="February "/>
    <s v="2"/>
    <n v="104"/>
    <m/>
  </r>
  <r>
    <x v="2"/>
    <s v="Supermarket and grocery stores"/>
    <s v="2019-03-01"/>
    <x v="0"/>
    <s v="March    "/>
    <s v="3"/>
    <n v="118.1"/>
    <m/>
  </r>
  <r>
    <x v="2"/>
    <s v="Supermarket and grocery stores"/>
    <s v="2019-04-01"/>
    <x v="0"/>
    <s v="April    "/>
    <s v="4"/>
    <n v="114.5"/>
    <m/>
  </r>
  <r>
    <x v="2"/>
    <s v="Supermarket and grocery stores"/>
    <s v="2019-05-01"/>
    <x v="0"/>
    <s v="May      "/>
    <s v="5"/>
    <n v="121"/>
    <m/>
  </r>
  <r>
    <x v="2"/>
    <s v="Supermarket and grocery stores"/>
    <s v="2019-06-01"/>
    <x v="0"/>
    <s v="June     "/>
    <s v="6"/>
    <n v="122.4"/>
    <m/>
  </r>
  <r>
    <x v="2"/>
    <s v="Supermarket and grocery stores"/>
    <s v="2019-07-01"/>
    <x v="0"/>
    <s v="July     "/>
    <s v="7"/>
    <n v="133.4"/>
    <m/>
  </r>
  <r>
    <x v="2"/>
    <s v="Supermarket and grocery stores"/>
    <s v="2019-08-01"/>
    <x v="0"/>
    <s v="August   "/>
    <s v="8"/>
    <n v="130.4"/>
    <m/>
  </r>
  <r>
    <x v="2"/>
    <s v="Supermarket and grocery stores"/>
    <s v="2019-09-01"/>
    <x v="0"/>
    <s v="September"/>
    <s v="9"/>
    <n v="120.6"/>
    <m/>
  </r>
  <r>
    <x v="2"/>
    <s v="Supermarket and grocery stores"/>
    <s v="2019-10-01"/>
    <x v="0"/>
    <s v="October  "/>
    <s v="10"/>
    <n v="124.9"/>
    <m/>
  </r>
  <r>
    <x v="2"/>
    <s v="Supermarket and grocery stores"/>
    <s v="2019-11-01"/>
    <x v="0"/>
    <s v="November "/>
    <s v="11"/>
    <n v="119.7"/>
    <m/>
  </r>
  <r>
    <x v="2"/>
    <s v="Supermarket and grocery stores"/>
    <s v="2019-12-01"/>
    <x v="0"/>
    <s v="December "/>
    <s v="12"/>
    <n v="121.9"/>
    <m/>
  </r>
  <r>
    <x v="2"/>
    <s v="Supermarket and grocery stores"/>
    <s v="2020-01-01"/>
    <x v="1"/>
    <s v="January  "/>
    <s v="1"/>
    <n v="110.8"/>
    <n v="1.37"/>
  </r>
  <r>
    <x v="2"/>
    <s v="Supermarket and grocery stores"/>
    <s v="2020-02-01"/>
    <x v="1"/>
    <s v="February "/>
    <s v="2"/>
    <n v="108.7"/>
    <n v="4.5199999999999996"/>
  </r>
  <r>
    <x v="2"/>
    <s v="Supermarket and grocery stores"/>
    <s v="2020-03-01"/>
    <x v="1"/>
    <s v="March    "/>
    <s v="3"/>
    <n v="135"/>
    <n v="14.31"/>
  </r>
  <r>
    <x v="2"/>
    <s v="Supermarket and grocery stores"/>
    <s v="2020-04-01"/>
    <x v="1"/>
    <s v="April    "/>
    <s v="4"/>
    <n v="131.6"/>
    <n v="14.93"/>
  </r>
  <r>
    <x v="2"/>
    <s v="Supermarket and grocery stores"/>
    <s v="2020-05-01"/>
    <x v="1"/>
    <s v="May      "/>
    <s v="5"/>
    <n v="140.4"/>
    <n v="16.03"/>
  </r>
  <r>
    <x v="2"/>
    <s v="Supermarket and grocery stores"/>
    <s v="2020-06-01"/>
    <x v="1"/>
    <s v="June     "/>
    <s v="6"/>
    <n v="130.4"/>
    <n v="6.54"/>
  </r>
  <r>
    <x v="2"/>
    <s v="Supermarket and grocery stores"/>
    <s v="2020-07-01"/>
    <x v="1"/>
    <s v="July     "/>
    <s v="7"/>
    <n v="141.4"/>
    <n v="6"/>
  </r>
  <r>
    <x v="2"/>
    <s v="Supermarket and grocery stores"/>
    <s v="2020-08-01"/>
    <x v="1"/>
    <s v="August   "/>
    <s v="8"/>
    <n v="141.9"/>
    <n v="8.82"/>
  </r>
  <r>
    <x v="2"/>
    <s v="Supermarket and grocery stores"/>
    <s v="2020-09-01"/>
    <x v="1"/>
    <s v="September"/>
    <s v="9"/>
    <n v="136.30000000000001"/>
    <n v="13.02"/>
  </r>
  <r>
    <x v="2"/>
    <s v="Supermarket and grocery stores"/>
    <s v="2020-10-01"/>
    <x v="1"/>
    <s v="October  "/>
    <s v="10"/>
    <n v="138.4"/>
    <n v="10.81"/>
  </r>
  <r>
    <x v="2"/>
    <s v="Supermarket and grocery stores"/>
    <s v="2020-11-01"/>
    <x v="1"/>
    <s v="November "/>
    <s v="11"/>
    <n v="129.80000000000001"/>
    <n v="8.44"/>
  </r>
  <r>
    <x v="2"/>
    <s v="Supermarket and grocery stores"/>
    <s v="2020-12-01"/>
    <x v="1"/>
    <s v="December "/>
    <s v="12"/>
    <n v="137.4"/>
    <n v="12.72"/>
  </r>
  <r>
    <x v="2"/>
    <s v="Supermarket and grocery stores"/>
    <s v="2021-01-01"/>
    <x v="2"/>
    <s v="January  "/>
    <s v="1"/>
    <n v="128.19999999999999"/>
    <n v="15.7"/>
  </r>
  <r>
    <x v="2"/>
    <s v="Supermarket and grocery stores"/>
    <s v="2021-02-01"/>
    <x v="2"/>
    <s v="February "/>
    <s v="2"/>
    <n v="117.8"/>
    <n v="8.3699999999999992"/>
  </r>
  <r>
    <x v="2"/>
    <s v="Supermarket and grocery stores"/>
    <s v="2021-03-01"/>
    <x v="2"/>
    <s v="March    "/>
    <s v="3"/>
    <n v="130"/>
    <n v="-3.7"/>
  </r>
  <r>
    <x v="2"/>
    <s v="Supermarket and grocery stores"/>
    <s v="2021-04-01"/>
    <x v="2"/>
    <s v="April    "/>
    <s v="4"/>
    <n v="129.1"/>
    <n v="-1.9"/>
  </r>
  <r>
    <x v="2"/>
    <s v="Supermarket and grocery stores"/>
    <s v="2021-05-01"/>
    <x v="2"/>
    <s v="May      "/>
    <s v="5"/>
    <n v="133.19999999999999"/>
    <n v="-5.13"/>
  </r>
  <r>
    <x v="2"/>
    <s v="Supermarket and grocery stores"/>
    <s v="2021-06-01"/>
    <x v="2"/>
    <s v="June     "/>
    <s v="6"/>
    <n v="136.1"/>
    <n v="4.37"/>
  </r>
  <r>
    <x v="2"/>
    <s v="Supermarket and grocery stores"/>
    <s v="2021-07-01"/>
    <x v="2"/>
    <s v="July     "/>
    <s v="7"/>
    <n v="145.30000000000001"/>
    <n v="2.76"/>
  </r>
  <r>
    <x v="2"/>
    <s v="Supermarket and grocery stores"/>
    <s v="2021-08-01"/>
    <x v="2"/>
    <s v="August   "/>
    <s v="8"/>
    <n v="142.30000000000001"/>
    <n v="0.28000000000000003"/>
  </r>
  <r>
    <x v="2"/>
    <s v="Supermarket and grocery stores"/>
    <s v="2021-09-01"/>
    <x v="2"/>
    <s v="September"/>
    <s v="9"/>
    <n v="131.4"/>
    <n v="-3.6"/>
  </r>
  <r>
    <x v="2"/>
    <s v="Supermarket and grocery stores"/>
    <s v="2021-10-01"/>
    <x v="2"/>
    <s v="October  "/>
    <s v="10"/>
    <n v="135.19999999999999"/>
    <n v="-2.31"/>
  </r>
  <r>
    <x v="2"/>
    <s v="Supermarket and grocery stores"/>
    <s v="2021-11-01"/>
    <x v="2"/>
    <s v="November "/>
    <s v="11"/>
    <n v="125.1"/>
    <n v="-3.62"/>
  </r>
  <r>
    <x v="2"/>
    <s v="Supermarket and grocery stores"/>
    <s v="2021-12-01"/>
    <x v="2"/>
    <s v="December "/>
    <s v="12"/>
    <n v="136.9"/>
    <n v="-0.36"/>
  </r>
  <r>
    <x v="2"/>
    <s v="Supermarket and grocery stores"/>
    <s v="2022-01-01"/>
    <x v="3"/>
    <s v="January  "/>
    <s v="1"/>
    <n v="125.8"/>
    <n v="-1.87"/>
  </r>
  <r>
    <x v="2"/>
    <s v="Supermarket and grocery stores"/>
    <s v="2022-02-01"/>
    <x v="3"/>
    <s v="February "/>
    <s v="2"/>
    <n v="113.1"/>
    <n v="-3.99"/>
  </r>
  <r>
    <x v="2"/>
    <s v="Supermarket and grocery stores"/>
    <s v="2022-03-01"/>
    <x v="3"/>
    <s v="March    "/>
    <s v="3"/>
    <n v="126.2"/>
    <n v="-2.92"/>
  </r>
  <r>
    <x v="2"/>
    <s v="Supermarket and grocery stores"/>
    <s v="2022-04-01"/>
    <x v="3"/>
    <s v="April    "/>
    <s v="4"/>
    <n v="128.9"/>
    <n v="-0.15"/>
  </r>
  <r>
    <x v="2"/>
    <s v="Supermarket and grocery stores"/>
    <s v="2022-05-01"/>
    <x v="3"/>
    <s v="May      "/>
    <s v="5"/>
    <n v="130.6"/>
    <n v="-1.95"/>
  </r>
  <r>
    <x v="2"/>
    <s v="Supermarket and grocery stores"/>
    <s v="2022-06-01"/>
    <x v="3"/>
    <s v="June     "/>
    <s v="6"/>
    <n v="131.6"/>
    <n v="-3.31"/>
  </r>
  <r>
    <x v="2"/>
    <s v="Supermarket and grocery stores"/>
    <s v="2022-07-01"/>
    <x v="3"/>
    <s v="July     "/>
    <s v="7"/>
    <n v="143.80000000000001"/>
    <n v="-1.03"/>
  </r>
  <r>
    <x v="2"/>
    <s v="Supermarket and grocery stores"/>
    <s v="2022-08-01"/>
    <x v="3"/>
    <s v="August   "/>
    <s v="8"/>
    <n v="137.69999999999999"/>
    <n v="-3.23"/>
  </r>
  <r>
    <x v="2"/>
    <s v="Supermarket and grocery stores"/>
    <s v="2022-09-01"/>
    <x v="3"/>
    <s v="September"/>
    <s v="9"/>
    <n v="129.69999999999999"/>
    <n v="-1.29"/>
  </r>
  <r>
    <x v="2"/>
    <s v="Supermarket and grocery stores"/>
    <s v="2022-10-01"/>
    <x v="3"/>
    <s v="October  "/>
    <s v="10"/>
    <n v="132"/>
    <n v="-2.37"/>
  </r>
  <r>
    <x v="2"/>
    <s v="Supermarket and grocery stores"/>
    <s v="2022-11-01"/>
    <x v="3"/>
    <s v="November "/>
    <s v="11"/>
    <n v="126.4"/>
    <n v="1.04"/>
  </r>
  <r>
    <x v="2"/>
    <s v="Supermarket and grocery stores"/>
    <s v="2022-12-01"/>
    <x v="3"/>
    <s v="December "/>
    <s v="12"/>
    <n v="134.1"/>
    <n v="-2.0499999999999998"/>
  </r>
  <r>
    <x v="2"/>
    <s v="Supermarket and grocery stores"/>
    <s v="2023-01-01"/>
    <x v="4"/>
    <s v="January  "/>
    <s v="1"/>
    <n v="120.3"/>
    <n v="-4.37"/>
  </r>
  <r>
    <x v="2"/>
    <s v="Supermarket and grocery stores"/>
    <s v="2023-02-01"/>
    <x v="4"/>
    <s v="February "/>
    <s v="2"/>
    <n v="114.2"/>
    <n v="0.97"/>
  </r>
  <r>
    <x v="2"/>
    <s v="Supermarket and grocery stores"/>
    <s v="2023-03-01"/>
    <x v="4"/>
    <s v="March    "/>
    <s v="3"/>
    <n v="128.69999999999999"/>
    <n v="1.98"/>
  </r>
  <r>
    <x v="2"/>
    <s v="Supermarket and grocery stores"/>
    <s v="2023-04-01"/>
    <x v="4"/>
    <s v="April    "/>
    <s v="4"/>
    <n v="129.4"/>
    <n v="0.39"/>
  </r>
  <r>
    <x v="2"/>
    <s v="Supermarket and grocery stores"/>
    <s v="2023-05-01"/>
    <x v="4"/>
    <s v="May      "/>
    <s v="5"/>
    <n v="137.4"/>
    <n v="5.21"/>
  </r>
  <r>
    <x v="2"/>
    <s v="Supermarket and grocery stores"/>
    <s v="2023-06-01"/>
    <x v="4"/>
    <s v="June     "/>
    <s v="6"/>
    <n v="137.9"/>
    <n v="4.79"/>
  </r>
  <r>
    <x v="2"/>
    <s v="Supermarket and grocery stores"/>
    <s v="2023-07-01"/>
    <x v="4"/>
    <s v="July     "/>
    <s v="7"/>
    <n v="149.1"/>
    <n v="3.69"/>
  </r>
  <r>
    <x v="2"/>
    <s v="Supermarket and grocery stores"/>
    <s v="2023-08-01"/>
    <x v="4"/>
    <s v="August   "/>
    <s v="8"/>
    <n v="142.9"/>
    <n v="3.78"/>
  </r>
  <r>
    <x v="2"/>
    <s v="Supermarket and grocery stores"/>
    <s v="2023-09-01"/>
    <x v="4"/>
    <s v="September"/>
    <s v="9"/>
    <n v="138.1"/>
    <n v="6.48"/>
  </r>
  <r>
    <x v="2"/>
    <s v="Supermarket and grocery stores"/>
    <s v="2023-10-01"/>
    <x v="4"/>
    <s v="October  "/>
    <s v="10"/>
    <n v="138.9"/>
    <n v="5.23"/>
  </r>
  <r>
    <x v="2"/>
    <s v="Supermarket and grocery stores"/>
    <s v="2023-11-01"/>
    <x v="4"/>
    <s v="November "/>
    <s v="11"/>
    <n v="132.5"/>
    <n v="4.83"/>
  </r>
  <r>
    <x v="2"/>
    <s v="Supermarket and grocery stores"/>
    <s v="2023-12-01"/>
    <x v="4"/>
    <s v="December "/>
    <s v="12"/>
    <n v="139.4"/>
    <n v="3.95"/>
  </r>
  <r>
    <x v="2"/>
    <s v="Supermarket and grocery stores"/>
    <s v="2024-01-01"/>
    <x v="5"/>
    <s v="January  "/>
    <s v="1"/>
    <n v="127.9"/>
    <n v="6.32"/>
  </r>
  <r>
    <x v="2"/>
    <s v="Supermarket and grocery stores"/>
    <s v="2024-02-01"/>
    <x v="5"/>
    <s v="February "/>
    <s v="2"/>
    <n v="125.2"/>
    <n v="9.6300000000000008"/>
  </r>
  <r>
    <x v="2"/>
    <s v="Supermarket and grocery stores"/>
    <s v="2024-03-01"/>
    <x v="5"/>
    <s v="March    "/>
    <s v="3"/>
    <n v="137.4"/>
    <n v="6.76"/>
  </r>
  <r>
    <x v="2"/>
    <s v="Supermarket and grocery stores"/>
    <s v="2024-04-01"/>
    <x v="5"/>
    <s v="April    "/>
    <s v="4"/>
    <n v="135.19999999999999"/>
    <n v="4.4800000000000004"/>
  </r>
  <r>
    <x v="2"/>
    <s v="Supermarket and grocery stores"/>
    <s v="2024-05-01"/>
    <x v="5"/>
    <s v="May      "/>
    <s v="5"/>
    <n v="145.30000000000001"/>
    <n v="5.75"/>
  </r>
  <r>
    <x v="2"/>
    <s v="Supermarket and grocery stores"/>
    <s v="2024-06-01"/>
    <x v="5"/>
    <s v="June     "/>
    <s v="6"/>
    <n v="146.19999999999999"/>
    <n v="6.02"/>
  </r>
  <r>
    <x v="2"/>
    <s v="Supermarket and grocery stores"/>
    <s v="2024-07-01"/>
    <x v="5"/>
    <s v="July     "/>
    <s v="7"/>
    <n v="159.80000000000001"/>
    <n v="7.18"/>
  </r>
  <r>
    <x v="2"/>
    <s v="Supermarket and grocery stores"/>
    <s v="2024-08-01"/>
    <x v="5"/>
    <s v="August   "/>
    <s v="8"/>
    <n v="155.5"/>
    <n v="8.82"/>
  </r>
  <r>
    <x v="2"/>
    <s v="Supermarket and grocery stores"/>
    <s v="2024-09-01"/>
    <x v="5"/>
    <s v="September"/>
    <s v="9"/>
    <n v="146.9"/>
    <n v="6.37"/>
  </r>
  <r>
    <x v="2"/>
    <s v="Supermarket and grocery stores"/>
    <s v="2024-10-01"/>
    <x v="5"/>
    <s v="October  "/>
    <s v="10"/>
    <n v="146.19999999999999"/>
    <n v="5.26"/>
  </r>
  <r>
    <x v="2"/>
    <s v="Supermarket and grocery stores"/>
    <s v="2024-11-01"/>
    <x v="5"/>
    <s v="November "/>
    <s v="11"/>
    <n v="142.5"/>
    <n v="7.55"/>
  </r>
  <r>
    <x v="2"/>
    <s v="Supermarket and grocery stores"/>
    <s v="2024-12-01"/>
    <x v="5"/>
    <s v="December "/>
    <s v="12"/>
    <n v="146.80000000000001"/>
    <n v="5.31"/>
  </r>
  <r>
    <x v="2"/>
    <s v="Supermarket and grocery stores"/>
    <s v="2025-01-01"/>
    <x v="6"/>
    <s v="January  "/>
    <s v="1"/>
    <n v="136.30000000000001"/>
    <n v="6.57"/>
  </r>
  <r>
    <x v="2"/>
    <s v="Supermarket and grocery stores"/>
    <s v="2025-02-01"/>
    <x v="6"/>
    <s v="February "/>
    <s v="2"/>
    <n v="127.4"/>
    <n v="1.76"/>
  </r>
  <r>
    <x v="2"/>
    <s v="Supermarket and grocery stores"/>
    <s v="2025-03-01"/>
    <x v="6"/>
    <s v="March    "/>
    <s v="3"/>
    <n v="143.9"/>
    <n v="4.7300000000000004"/>
  </r>
  <r>
    <x v="2"/>
    <s v="Supermarket and grocery stores"/>
    <s v="2025-04-01"/>
    <x v="6"/>
    <s v="April    "/>
    <s v="4"/>
    <n v="141.30000000000001"/>
    <n v="4.51"/>
  </r>
  <r>
    <x v="2"/>
    <s v="Supermarket and grocery stores"/>
    <s v="2025-05-01"/>
    <x v="6"/>
    <s v="May      "/>
    <s v="5"/>
    <n v="148"/>
    <n v="1.86"/>
  </r>
  <r>
    <x v="2"/>
    <s v="Supermarket and grocery stores"/>
    <s v="2025-06-01"/>
    <x v="6"/>
    <s v="June     "/>
    <s v="6"/>
    <n v="149"/>
    <n v="1.92"/>
  </r>
  <r>
    <x v="2"/>
    <s v="Takeaway food services"/>
    <s v="2019-01-01"/>
    <x v="0"/>
    <s v="January  "/>
    <s v="1"/>
    <n v="17.399999999999999"/>
    <m/>
  </r>
  <r>
    <x v="2"/>
    <s v="Takeaway food services"/>
    <s v="2019-02-01"/>
    <x v="0"/>
    <s v="February "/>
    <s v="2"/>
    <n v="18.7"/>
    <m/>
  </r>
  <r>
    <x v="2"/>
    <s v="Takeaway food services"/>
    <s v="2019-03-01"/>
    <x v="0"/>
    <s v="March    "/>
    <s v="3"/>
    <n v="20.3"/>
    <m/>
  </r>
  <r>
    <x v="2"/>
    <s v="Takeaway food services"/>
    <s v="2019-04-01"/>
    <x v="0"/>
    <s v="April    "/>
    <s v="4"/>
    <n v="20.100000000000001"/>
    <m/>
  </r>
  <r>
    <x v="2"/>
    <s v="Takeaway food services"/>
    <s v="2019-05-01"/>
    <x v="0"/>
    <s v="May      "/>
    <s v="5"/>
    <n v="20.9"/>
    <m/>
  </r>
  <r>
    <x v="2"/>
    <s v="Takeaway food services"/>
    <s v="2019-06-01"/>
    <x v="0"/>
    <s v="June     "/>
    <s v="6"/>
    <n v="21.4"/>
    <m/>
  </r>
  <r>
    <x v="2"/>
    <s v="Takeaway food services"/>
    <s v="2019-07-01"/>
    <x v="0"/>
    <s v="July     "/>
    <s v="7"/>
    <n v="21"/>
    <m/>
  </r>
  <r>
    <x v="2"/>
    <s v="Takeaway food services"/>
    <s v="2019-08-01"/>
    <x v="0"/>
    <s v="August   "/>
    <s v="8"/>
    <n v="22"/>
    <m/>
  </r>
  <r>
    <x v="2"/>
    <s v="Takeaway food services"/>
    <s v="2019-09-01"/>
    <x v="0"/>
    <s v="September"/>
    <s v="9"/>
    <n v="22.8"/>
    <m/>
  </r>
  <r>
    <x v="2"/>
    <s v="Takeaway food services"/>
    <s v="2019-10-01"/>
    <x v="0"/>
    <s v="October  "/>
    <s v="10"/>
    <n v="21.5"/>
    <m/>
  </r>
  <r>
    <x v="2"/>
    <s v="Takeaway food services"/>
    <s v="2019-11-01"/>
    <x v="0"/>
    <s v="November "/>
    <s v="11"/>
    <n v="20.9"/>
    <m/>
  </r>
  <r>
    <x v="2"/>
    <s v="Takeaway food services"/>
    <s v="2019-12-01"/>
    <x v="0"/>
    <s v="December "/>
    <s v="12"/>
    <n v="20.9"/>
    <m/>
  </r>
  <r>
    <x v="2"/>
    <s v="Takeaway food services"/>
    <s v="2020-01-01"/>
    <x v="1"/>
    <s v="January  "/>
    <s v="1"/>
    <n v="18.8"/>
    <n v="8.0500000000000007"/>
  </r>
  <r>
    <x v="2"/>
    <s v="Takeaway food services"/>
    <s v="2020-02-01"/>
    <x v="1"/>
    <s v="February "/>
    <s v="2"/>
    <n v="18.399999999999999"/>
    <n v="-1.6"/>
  </r>
  <r>
    <x v="2"/>
    <s v="Takeaway food services"/>
    <s v="2020-03-01"/>
    <x v="1"/>
    <s v="March    "/>
    <s v="3"/>
    <n v="18.5"/>
    <n v="-8.8699999999999992"/>
  </r>
  <r>
    <x v="2"/>
    <s v="Takeaway food services"/>
    <s v="2020-04-01"/>
    <x v="1"/>
    <s v="April    "/>
    <s v="4"/>
    <n v="17.899999999999999"/>
    <n v="-10.95"/>
  </r>
  <r>
    <x v="2"/>
    <s v="Takeaway food services"/>
    <s v="2020-05-01"/>
    <x v="1"/>
    <s v="May      "/>
    <s v="5"/>
    <n v="19.899999999999999"/>
    <n v="-4.78"/>
  </r>
  <r>
    <x v="2"/>
    <s v="Takeaway food services"/>
    <s v="2020-06-01"/>
    <x v="1"/>
    <s v="June     "/>
    <s v="6"/>
    <n v="21.5"/>
    <n v="0.47"/>
  </r>
  <r>
    <x v="2"/>
    <s v="Takeaway food services"/>
    <s v="2020-07-01"/>
    <x v="1"/>
    <s v="July     "/>
    <s v="7"/>
    <n v="21.3"/>
    <n v="1.43"/>
  </r>
  <r>
    <x v="2"/>
    <s v="Takeaway food services"/>
    <s v="2020-08-01"/>
    <x v="1"/>
    <s v="August   "/>
    <s v="8"/>
    <n v="21.8"/>
    <n v="-0.91"/>
  </r>
  <r>
    <x v="2"/>
    <s v="Takeaway food services"/>
    <s v="2020-09-01"/>
    <x v="1"/>
    <s v="September"/>
    <s v="9"/>
    <n v="22.4"/>
    <n v="-1.75"/>
  </r>
  <r>
    <x v="2"/>
    <s v="Takeaway food services"/>
    <s v="2020-10-01"/>
    <x v="1"/>
    <s v="October  "/>
    <s v="10"/>
    <n v="22.7"/>
    <n v="5.58"/>
  </r>
  <r>
    <x v="2"/>
    <s v="Takeaway food services"/>
    <s v="2020-11-01"/>
    <x v="1"/>
    <s v="November "/>
    <s v="11"/>
    <n v="24"/>
    <n v="14.83"/>
  </r>
  <r>
    <x v="2"/>
    <s v="Takeaway food services"/>
    <s v="2020-12-01"/>
    <x v="1"/>
    <s v="December "/>
    <s v="12"/>
    <n v="24"/>
    <n v="14.83"/>
  </r>
  <r>
    <x v="2"/>
    <s v="Takeaway food services"/>
    <s v="2021-01-01"/>
    <x v="2"/>
    <s v="January  "/>
    <s v="1"/>
    <n v="21.9"/>
    <n v="16.489999999999998"/>
  </r>
  <r>
    <x v="2"/>
    <s v="Takeaway food services"/>
    <s v="2021-02-01"/>
    <x v="2"/>
    <s v="February "/>
    <s v="2"/>
    <n v="20.9"/>
    <n v="13.59"/>
  </r>
  <r>
    <x v="2"/>
    <s v="Takeaway food services"/>
    <s v="2021-03-01"/>
    <x v="2"/>
    <s v="March    "/>
    <s v="3"/>
    <n v="22.8"/>
    <n v="23.24"/>
  </r>
  <r>
    <x v="2"/>
    <s v="Takeaway food services"/>
    <s v="2021-04-01"/>
    <x v="2"/>
    <s v="April    "/>
    <s v="4"/>
    <n v="21.9"/>
    <n v="22.35"/>
  </r>
  <r>
    <x v="2"/>
    <s v="Takeaway food services"/>
    <s v="2021-05-01"/>
    <x v="2"/>
    <s v="May      "/>
    <s v="5"/>
    <n v="22.4"/>
    <n v="12.56"/>
  </r>
  <r>
    <x v="2"/>
    <s v="Takeaway food services"/>
    <s v="2021-06-01"/>
    <x v="2"/>
    <s v="June     "/>
    <s v="6"/>
    <n v="22.5"/>
    <n v="4.6500000000000004"/>
  </r>
  <r>
    <x v="2"/>
    <s v="Takeaway food services"/>
    <s v="2021-07-01"/>
    <x v="2"/>
    <s v="July     "/>
    <s v="7"/>
    <n v="23.1"/>
    <n v="8.4499999999999993"/>
  </r>
  <r>
    <x v="2"/>
    <s v="Takeaway food services"/>
    <s v="2021-08-01"/>
    <x v="2"/>
    <s v="August   "/>
    <s v="8"/>
    <n v="22.8"/>
    <n v="4.59"/>
  </r>
  <r>
    <x v="2"/>
    <s v="Takeaway food services"/>
    <s v="2021-09-01"/>
    <x v="2"/>
    <s v="September"/>
    <s v="9"/>
    <n v="21.4"/>
    <n v="-4.46"/>
  </r>
  <r>
    <x v="2"/>
    <s v="Takeaway food services"/>
    <s v="2021-10-01"/>
    <x v="2"/>
    <s v="October  "/>
    <s v="10"/>
    <n v="21"/>
    <n v="-7.49"/>
  </r>
  <r>
    <x v="2"/>
    <s v="Takeaway food services"/>
    <s v="2021-11-01"/>
    <x v="2"/>
    <s v="November "/>
    <s v="11"/>
    <n v="19.899999999999999"/>
    <n v="-17.079999999999998"/>
  </r>
  <r>
    <x v="2"/>
    <s v="Takeaway food services"/>
    <s v="2021-12-01"/>
    <x v="2"/>
    <s v="December "/>
    <s v="12"/>
    <n v="20.7"/>
    <n v="-13.75"/>
  </r>
  <r>
    <x v="2"/>
    <s v="Takeaway food services"/>
    <s v="2022-01-01"/>
    <x v="3"/>
    <s v="January  "/>
    <s v="1"/>
    <n v="19"/>
    <n v="-13.24"/>
  </r>
  <r>
    <x v="2"/>
    <s v="Takeaway food services"/>
    <s v="2022-02-01"/>
    <x v="3"/>
    <s v="February "/>
    <s v="2"/>
    <n v="17.8"/>
    <n v="-14.83"/>
  </r>
  <r>
    <x v="2"/>
    <s v="Takeaway food services"/>
    <s v="2022-03-01"/>
    <x v="3"/>
    <s v="March    "/>
    <s v="3"/>
    <n v="19.2"/>
    <n v="-15.79"/>
  </r>
  <r>
    <x v="2"/>
    <s v="Takeaway food services"/>
    <s v="2022-04-01"/>
    <x v="3"/>
    <s v="April    "/>
    <s v="4"/>
    <n v="20.3"/>
    <n v="-7.31"/>
  </r>
  <r>
    <x v="2"/>
    <s v="Takeaway food services"/>
    <s v="2022-05-01"/>
    <x v="3"/>
    <s v="May      "/>
    <s v="5"/>
    <n v="21.3"/>
    <n v="-4.91"/>
  </r>
  <r>
    <x v="2"/>
    <s v="Takeaway food services"/>
    <s v="2022-06-01"/>
    <x v="3"/>
    <s v="June     "/>
    <s v="6"/>
    <n v="21.9"/>
    <n v="-2.67"/>
  </r>
  <r>
    <x v="2"/>
    <s v="Takeaway food services"/>
    <s v="2022-07-01"/>
    <x v="3"/>
    <s v="July     "/>
    <s v="7"/>
    <n v="23.9"/>
    <n v="3.46"/>
  </r>
  <r>
    <x v="2"/>
    <s v="Takeaway food services"/>
    <s v="2022-08-01"/>
    <x v="3"/>
    <s v="August   "/>
    <s v="8"/>
    <n v="22.9"/>
    <n v="0.44"/>
  </r>
  <r>
    <x v="2"/>
    <s v="Takeaway food services"/>
    <s v="2022-09-01"/>
    <x v="3"/>
    <s v="September"/>
    <s v="9"/>
    <n v="21.9"/>
    <n v="2.34"/>
  </r>
  <r>
    <x v="2"/>
    <s v="Takeaway food services"/>
    <s v="2022-10-01"/>
    <x v="3"/>
    <s v="October  "/>
    <s v="10"/>
    <n v="20.8"/>
    <n v="-0.95"/>
  </r>
  <r>
    <x v="2"/>
    <s v="Takeaway food services"/>
    <s v="2022-11-01"/>
    <x v="3"/>
    <s v="November "/>
    <s v="11"/>
    <n v="20.5"/>
    <n v="3.02"/>
  </r>
  <r>
    <x v="2"/>
    <s v="Takeaway food services"/>
    <s v="2022-12-01"/>
    <x v="3"/>
    <s v="December "/>
    <s v="12"/>
    <n v="21.3"/>
    <n v="2.9"/>
  </r>
  <r>
    <x v="2"/>
    <s v="Takeaway food services"/>
    <s v="2023-01-01"/>
    <x v="4"/>
    <s v="January  "/>
    <s v="1"/>
    <n v="18.3"/>
    <n v="-3.68"/>
  </r>
  <r>
    <x v="2"/>
    <s v="Takeaway food services"/>
    <s v="2023-02-01"/>
    <x v="4"/>
    <s v="February "/>
    <s v="2"/>
    <n v="18"/>
    <n v="1.1200000000000001"/>
  </r>
  <r>
    <x v="2"/>
    <s v="Takeaway food services"/>
    <s v="2023-03-01"/>
    <x v="4"/>
    <s v="March    "/>
    <s v="3"/>
    <n v="20.6"/>
    <n v="7.29"/>
  </r>
  <r>
    <x v="2"/>
    <s v="Takeaway food services"/>
    <s v="2023-04-01"/>
    <x v="4"/>
    <s v="April    "/>
    <s v="4"/>
    <n v="20.2"/>
    <n v="-0.49"/>
  </r>
  <r>
    <x v="2"/>
    <s v="Takeaway food services"/>
    <s v="2023-05-01"/>
    <x v="4"/>
    <s v="May      "/>
    <s v="5"/>
    <n v="21.4"/>
    <n v="0.47"/>
  </r>
  <r>
    <x v="2"/>
    <s v="Takeaway food services"/>
    <s v="2023-06-01"/>
    <x v="4"/>
    <s v="June     "/>
    <s v="6"/>
    <n v="22.3"/>
    <n v="1.83"/>
  </r>
  <r>
    <x v="2"/>
    <s v="Takeaway food services"/>
    <s v="2023-07-01"/>
    <x v="4"/>
    <s v="July     "/>
    <s v="7"/>
    <n v="25.1"/>
    <n v="5.0199999999999996"/>
  </r>
  <r>
    <x v="2"/>
    <s v="Takeaway food services"/>
    <s v="2023-08-01"/>
    <x v="4"/>
    <s v="August   "/>
    <s v="8"/>
    <n v="24.2"/>
    <n v="5.68"/>
  </r>
  <r>
    <x v="2"/>
    <s v="Takeaway food services"/>
    <s v="2023-09-01"/>
    <x v="4"/>
    <s v="September"/>
    <s v="9"/>
    <n v="22.8"/>
    <n v="4.1100000000000003"/>
  </r>
  <r>
    <x v="2"/>
    <s v="Takeaway food services"/>
    <s v="2023-10-01"/>
    <x v="4"/>
    <s v="October  "/>
    <s v="10"/>
    <n v="21.8"/>
    <n v="4.8099999999999996"/>
  </r>
  <r>
    <x v="2"/>
    <s v="Takeaway food services"/>
    <s v="2023-11-01"/>
    <x v="4"/>
    <s v="November "/>
    <s v="11"/>
    <n v="21.7"/>
    <n v="5.85"/>
  </r>
  <r>
    <x v="2"/>
    <s v="Takeaway food services"/>
    <s v="2023-12-01"/>
    <x v="4"/>
    <s v="December "/>
    <s v="12"/>
    <n v="21.9"/>
    <n v="2.82"/>
  </r>
  <r>
    <x v="2"/>
    <s v="Takeaway food services"/>
    <s v="2024-01-01"/>
    <x v="5"/>
    <s v="January  "/>
    <s v="1"/>
    <n v="19.5"/>
    <n v="6.56"/>
  </r>
  <r>
    <x v="2"/>
    <s v="Takeaway food services"/>
    <s v="2024-02-01"/>
    <x v="5"/>
    <s v="February "/>
    <s v="2"/>
    <n v="20.100000000000001"/>
    <n v="11.67"/>
  </r>
  <r>
    <x v="2"/>
    <s v="Takeaway food services"/>
    <s v="2024-03-01"/>
    <x v="5"/>
    <s v="March    "/>
    <s v="3"/>
    <n v="21.8"/>
    <n v="5.83"/>
  </r>
  <r>
    <x v="2"/>
    <s v="Takeaway food services"/>
    <s v="2024-04-01"/>
    <x v="5"/>
    <s v="April    "/>
    <s v="4"/>
    <n v="21"/>
    <n v="3.96"/>
  </r>
  <r>
    <x v="2"/>
    <s v="Takeaway food services"/>
    <s v="2024-05-01"/>
    <x v="5"/>
    <s v="May      "/>
    <s v="5"/>
    <n v="22.4"/>
    <n v="4.67"/>
  </r>
  <r>
    <x v="2"/>
    <s v="Takeaway food services"/>
    <s v="2024-06-01"/>
    <x v="5"/>
    <s v="June     "/>
    <s v="6"/>
    <n v="23.3"/>
    <n v="4.4800000000000004"/>
  </r>
  <r>
    <x v="2"/>
    <s v="Takeaway food services"/>
    <s v="2024-07-01"/>
    <x v="5"/>
    <s v="July     "/>
    <s v="7"/>
    <n v="26.6"/>
    <n v="5.98"/>
  </r>
  <r>
    <x v="2"/>
    <s v="Takeaway food services"/>
    <s v="2024-08-01"/>
    <x v="5"/>
    <s v="August   "/>
    <s v="8"/>
    <n v="26.9"/>
    <n v="11.16"/>
  </r>
  <r>
    <x v="2"/>
    <s v="Takeaway food services"/>
    <s v="2024-09-01"/>
    <x v="5"/>
    <s v="September"/>
    <s v="9"/>
    <n v="24.1"/>
    <n v="5.7"/>
  </r>
  <r>
    <x v="2"/>
    <s v="Takeaway food services"/>
    <s v="2024-10-01"/>
    <x v="5"/>
    <s v="October  "/>
    <s v="10"/>
    <n v="23"/>
    <n v="5.5"/>
  </r>
  <r>
    <x v="2"/>
    <s v="Takeaway food services"/>
    <s v="2024-11-01"/>
    <x v="5"/>
    <s v="November "/>
    <s v="11"/>
    <n v="22.7"/>
    <n v="4.6100000000000003"/>
  </r>
  <r>
    <x v="2"/>
    <s v="Takeaway food services"/>
    <s v="2024-12-01"/>
    <x v="5"/>
    <s v="December "/>
    <s v="12"/>
    <n v="22.1"/>
    <n v="0.91"/>
  </r>
  <r>
    <x v="2"/>
    <s v="Takeaway food services"/>
    <s v="2025-01-01"/>
    <x v="6"/>
    <s v="January  "/>
    <s v="1"/>
    <n v="20.5"/>
    <n v="5.13"/>
  </r>
  <r>
    <x v="2"/>
    <s v="Takeaway food services"/>
    <s v="2025-02-01"/>
    <x v="6"/>
    <s v="February "/>
    <s v="2"/>
    <n v="18.899999999999999"/>
    <n v="-5.97"/>
  </r>
  <r>
    <x v="2"/>
    <s v="Takeaway food services"/>
    <s v="2025-03-01"/>
    <x v="6"/>
    <s v="March    "/>
    <s v="3"/>
    <n v="21.1"/>
    <n v="-3.21"/>
  </r>
  <r>
    <x v="2"/>
    <s v="Takeaway food services"/>
    <s v="2025-04-01"/>
    <x v="6"/>
    <s v="April    "/>
    <s v="4"/>
    <n v="22.2"/>
    <n v="5.71"/>
  </r>
  <r>
    <x v="2"/>
    <s v="Takeaway food services"/>
    <s v="2025-05-01"/>
    <x v="6"/>
    <s v="May      "/>
    <s v="5"/>
    <n v="24.3"/>
    <n v="8.48"/>
  </r>
  <r>
    <x v="2"/>
    <s v="Takeaway food services"/>
    <s v="2025-06-01"/>
    <x v="6"/>
    <s v="June     "/>
    <s v="6"/>
    <n v="23.8"/>
    <n v="2.15"/>
  </r>
  <r>
    <x v="3"/>
    <s v="Cafes, restaurants and catering services"/>
    <s v="2019-01-01"/>
    <x v="0"/>
    <s v="January  "/>
    <s v="1"/>
    <n v="387.8"/>
    <m/>
  </r>
  <r>
    <x v="3"/>
    <s v="Cafes, restaurants and catering services"/>
    <s v="2019-02-01"/>
    <x v="0"/>
    <s v="February "/>
    <s v="2"/>
    <n v="355.7"/>
    <m/>
  </r>
  <r>
    <x v="3"/>
    <s v="Cafes, restaurants and catering services"/>
    <s v="2019-03-01"/>
    <x v="0"/>
    <s v="March    "/>
    <s v="3"/>
    <n v="405.7"/>
    <m/>
  </r>
  <r>
    <x v="3"/>
    <s v="Cafes, restaurants and catering services"/>
    <s v="2019-04-01"/>
    <x v="0"/>
    <s v="April    "/>
    <s v="4"/>
    <n v="413.1"/>
    <m/>
  </r>
  <r>
    <x v="3"/>
    <s v="Cafes, restaurants and catering services"/>
    <s v="2019-05-01"/>
    <x v="0"/>
    <s v="May      "/>
    <s v="5"/>
    <n v="426.9"/>
    <m/>
  </r>
  <r>
    <x v="3"/>
    <s v="Cafes, restaurants and catering services"/>
    <s v="2019-06-01"/>
    <x v="0"/>
    <s v="June     "/>
    <s v="6"/>
    <n v="395.8"/>
    <m/>
  </r>
  <r>
    <x v="3"/>
    <s v="Cafes, restaurants and catering services"/>
    <s v="2019-07-01"/>
    <x v="0"/>
    <s v="July     "/>
    <s v="7"/>
    <n v="411.5"/>
    <m/>
  </r>
  <r>
    <x v="3"/>
    <s v="Cafes, restaurants and catering services"/>
    <s v="2019-08-01"/>
    <x v="0"/>
    <s v="August   "/>
    <s v="8"/>
    <n v="426.2"/>
    <m/>
  </r>
  <r>
    <x v="3"/>
    <s v="Cafes, restaurants and catering services"/>
    <s v="2019-09-01"/>
    <x v="0"/>
    <s v="September"/>
    <s v="9"/>
    <n v="414.1"/>
    <m/>
  </r>
  <r>
    <x v="3"/>
    <s v="Cafes, restaurants and catering services"/>
    <s v="2019-10-01"/>
    <x v="0"/>
    <s v="October  "/>
    <s v="10"/>
    <n v="447.3"/>
    <m/>
  </r>
  <r>
    <x v="3"/>
    <s v="Cafes, restaurants and catering services"/>
    <s v="2019-11-01"/>
    <x v="0"/>
    <s v="November "/>
    <s v="11"/>
    <n v="441.7"/>
    <m/>
  </r>
  <r>
    <x v="3"/>
    <s v="Cafes, restaurants and catering services"/>
    <s v="2019-12-01"/>
    <x v="0"/>
    <s v="December "/>
    <s v="12"/>
    <n v="474.7"/>
    <m/>
  </r>
  <r>
    <x v="3"/>
    <s v="Cafes, restaurants and catering services"/>
    <s v="2020-01-01"/>
    <x v="1"/>
    <s v="January  "/>
    <s v="1"/>
    <n v="403.7"/>
    <n v="4.0999999999999996"/>
  </r>
  <r>
    <x v="3"/>
    <s v="Cafes, restaurants and catering services"/>
    <s v="2020-02-01"/>
    <x v="1"/>
    <s v="February "/>
    <s v="2"/>
    <n v="371.3"/>
    <n v="4.3899999999999997"/>
  </r>
  <r>
    <x v="3"/>
    <s v="Cafes, restaurants and catering services"/>
    <s v="2020-03-01"/>
    <x v="1"/>
    <s v="March    "/>
    <s v="3"/>
    <n v="274"/>
    <n v="-32.46"/>
  </r>
  <r>
    <x v="3"/>
    <s v="Cafes, restaurants and catering services"/>
    <s v="2020-04-01"/>
    <x v="1"/>
    <s v="April    "/>
    <s v="4"/>
    <n v="130.5"/>
    <n v="-68.41"/>
  </r>
  <r>
    <x v="3"/>
    <s v="Cafes, restaurants and catering services"/>
    <s v="2020-05-01"/>
    <x v="1"/>
    <s v="May      "/>
    <s v="5"/>
    <n v="193.2"/>
    <n v="-54.74"/>
  </r>
  <r>
    <x v="3"/>
    <s v="Cafes, restaurants and catering services"/>
    <s v="2020-06-01"/>
    <x v="1"/>
    <s v="June     "/>
    <s v="6"/>
    <n v="304.7"/>
    <n v="-23.02"/>
  </r>
  <r>
    <x v="3"/>
    <s v="Cafes, restaurants and catering services"/>
    <s v="2020-07-01"/>
    <x v="1"/>
    <s v="July     "/>
    <s v="7"/>
    <n v="404.8"/>
    <n v="-1.63"/>
  </r>
  <r>
    <x v="3"/>
    <s v="Cafes, restaurants and catering services"/>
    <s v="2020-08-01"/>
    <x v="1"/>
    <s v="August   "/>
    <s v="8"/>
    <n v="411.9"/>
    <n v="-3.36"/>
  </r>
  <r>
    <x v="3"/>
    <s v="Cafes, restaurants and catering services"/>
    <s v="2020-09-01"/>
    <x v="1"/>
    <s v="September"/>
    <s v="9"/>
    <n v="408.4"/>
    <n v="-1.38"/>
  </r>
  <r>
    <x v="3"/>
    <s v="Cafes, restaurants and catering services"/>
    <s v="2020-10-01"/>
    <x v="1"/>
    <s v="October  "/>
    <s v="10"/>
    <n v="442"/>
    <n v="-1.18"/>
  </r>
  <r>
    <x v="3"/>
    <s v="Cafes, restaurants and catering services"/>
    <s v="2020-11-01"/>
    <x v="1"/>
    <s v="November "/>
    <s v="11"/>
    <n v="424.4"/>
    <n v="-3.92"/>
  </r>
  <r>
    <x v="3"/>
    <s v="Cafes, restaurants and catering services"/>
    <s v="2020-12-01"/>
    <x v="1"/>
    <s v="December "/>
    <s v="12"/>
    <n v="498.9"/>
    <n v="5.0999999999999996"/>
  </r>
  <r>
    <x v="3"/>
    <s v="Cafes, restaurants and catering services"/>
    <s v="2021-01-01"/>
    <x v="2"/>
    <s v="January  "/>
    <s v="1"/>
    <n v="422.6"/>
    <n v="4.68"/>
  </r>
  <r>
    <x v="3"/>
    <s v="Cafes, restaurants and catering services"/>
    <s v="2021-02-01"/>
    <x v="2"/>
    <s v="February "/>
    <s v="2"/>
    <n v="383.1"/>
    <n v="3.18"/>
  </r>
  <r>
    <x v="3"/>
    <s v="Cafes, restaurants and catering services"/>
    <s v="2021-03-01"/>
    <x v="2"/>
    <s v="March    "/>
    <s v="3"/>
    <n v="432.4"/>
    <n v="57.81"/>
  </r>
  <r>
    <x v="3"/>
    <s v="Cafes, restaurants and catering services"/>
    <s v="2021-04-01"/>
    <x v="2"/>
    <s v="April    "/>
    <s v="4"/>
    <n v="439.3"/>
    <n v="236.63"/>
  </r>
  <r>
    <x v="3"/>
    <s v="Cafes, restaurants and catering services"/>
    <s v="2021-05-01"/>
    <x v="2"/>
    <s v="May      "/>
    <s v="5"/>
    <n v="453"/>
    <n v="134.47"/>
  </r>
  <r>
    <x v="3"/>
    <s v="Cafes, restaurants and catering services"/>
    <s v="2021-06-01"/>
    <x v="2"/>
    <s v="June     "/>
    <s v="6"/>
    <n v="401"/>
    <n v="31.6"/>
  </r>
  <r>
    <x v="3"/>
    <s v="Cafes, restaurants and catering services"/>
    <s v="2021-07-01"/>
    <x v="2"/>
    <s v="July     "/>
    <s v="7"/>
    <n v="428.2"/>
    <n v="5.78"/>
  </r>
  <r>
    <x v="3"/>
    <s v="Cafes, restaurants and catering services"/>
    <s v="2021-08-01"/>
    <x v="2"/>
    <s v="August   "/>
    <s v="8"/>
    <n v="390.9"/>
    <n v="-5.0999999999999996"/>
  </r>
  <r>
    <x v="3"/>
    <s v="Cafes, restaurants and catering services"/>
    <s v="2021-09-01"/>
    <x v="2"/>
    <s v="September"/>
    <s v="9"/>
    <n v="469.2"/>
    <n v="14.89"/>
  </r>
  <r>
    <x v="3"/>
    <s v="Cafes, restaurants and catering services"/>
    <s v="2021-10-01"/>
    <x v="2"/>
    <s v="October  "/>
    <s v="10"/>
    <n v="501.8"/>
    <n v="13.53"/>
  </r>
  <r>
    <x v="3"/>
    <s v="Cafes, restaurants and catering services"/>
    <s v="2021-11-01"/>
    <x v="2"/>
    <s v="November "/>
    <s v="11"/>
    <n v="481"/>
    <n v="13.34"/>
  </r>
  <r>
    <x v="3"/>
    <s v="Cafes, restaurants and catering services"/>
    <s v="2021-12-01"/>
    <x v="2"/>
    <s v="December "/>
    <s v="12"/>
    <n v="567.70000000000005"/>
    <n v="13.79"/>
  </r>
  <r>
    <x v="3"/>
    <s v="Cafes, restaurants and catering services"/>
    <s v="2022-01-01"/>
    <x v="3"/>
    <s v="January  "/>
    <s v="1"/>
    <n v="490.9"/>
    <n v="16.16"/>
  </r>
  <r>
    <x v="3"/>
    <s v="Cafes, restaurants and catering services"/>
    <s v="2022-02-01"/>
    <x v="3"/>
    <s v="February "/>
    <s v="2"/>
    <n v="460.5"/>
    <n v="20.2"/>
  </r>
  <r>
    <x v="3"/>
    <s v="Cafes, restaurants and catering services"/>
    <s v="2022-03-01"/>
    <x v="3"/>
    <s v="March    "/>
    <s v="3"/>
    <n v="543.79999999999995"/>
    <n v="25.76"/>
  </r>
  <r>
    <x v="3"/>
    <s v="Cafes, restaurants and catering services"/>
    <s v="2022-04-01"/>
    <x v="3"/>
    <s v="April    "/>
    <s v="4"/>
    <n v="571.9"/>
    <n v="30.18"/>
  </r>
  <r>
    <x v="3"/>
    <s v="Cafes, restaurants and catering services"/>
    <s v="2022-05-01"/>
    <x v="3"/>
    <s v="May      "/>
    <s v="5"/>
    <n v="580.6"/>
    <n v="28.17"/>
  </r>
  <r>
    <x v="3"/>
    <s v="Cafes, restaurants and catering services"/>
    <s v="2022-06-01"/>
    <x v="3"/>
    <s v="June     "/>
    <s v="6"/>
    <n v="555.5"/>
    <n v="38.53"/>
  </r>
  <r>
    <x v="3"/>
    <s v="Cafes, restaurants and catering services"/>
    <s v="2022-07-01"/>
    <x v="3"/>
    <s v="July     "/>
    <s v="7"/>
    <n v="623.70000000000005"/>
    <n v="45.66"/>
  </r>
  <r>
    <x v="3"/>
    <s v="Cafes, restaurants and catering services"/>
    <s v="2022-08-01"/>
    <x v="3"/>
    <s v="August   "/>
    <s v="8"/>
    <n v="609.29999999999995"/>
    <n v="55.87"/>
  </r>
  <r>
    <x v="3"/>
    <s v="Cafes, restaurants and catering services"/>
    <s v="2022-09-01"/>
    <x v="3"/>
    <s v="September"/>
    <s v="9"/>
    <n v="642"/>
    <n v="36.83"/>
  </r>
  <r>
    <x v="3"/>
    <s v="Cafes, restaurants and catering services"/>
    <s v="2022-10-01"/>
    <x v="3"/>
    <s v="October  "/>
    <s v="10"/>
    <n v="638.4"/>
    <n v="27.22"/>
  </r>
  <r>
    <x v="3"/>
    <s v="Cafes, restaurants and catering services"/>
    <s v="2022-11-01"/>
    <x v="3"/>
    <s v="November "/>
    <s v="11"/>
    <n v="630"/>
    <n v="30.98"/>
  </r>
  <r>
    <x v="3"/>
    <s v="Cafes, restaurants and catering services"/>
    <s v="2022-12-01"/>
    <x v="3"/>
    <s v="December "/>
    <s v="12"/>
    <n v="692.8"/>
    <n v="22.04"/>
  </r>
  <r>
    <x v="3"/>
    <s v="Cafes, restaurants and catering services"/>
    <s v="2023-01-01"/>
    <x v="4"/>
    <s v="January  "/>
    <s v="1"/>
    <n v="600.1"/>
    <n v="22.24"/>
  </r>
  <r>
    <x v="3"/>
    <s v="Cafes, restaurants and catering services"/>
    <s v="2023-02-01"/>
    <x v="4"/>
    <s v="February "/>
    <s v="2"/>
    <n v="505.9"/>
    <n v="9.86"/>
  </r>
  <r>
    <x v="3"/>
    <s v="Cafes, restaurants and catering services"/>
    <s v="2023-03-01"/>
    <x v="4"/>
    <s v="March    "/>
    <s v="3"/>
    <n v="603.79999999999995"/>
    <n v="11.03"/>
  </r>
  <r>
    <x v="3"/>
    <s v="Cafes, restaurants and catering services"/>
    <s v="2023-04-01"/>
    <x v="4"/>
    <s v="April    "/>
    <s v="4"/>
    <n v="630.6"/>
    <n v="10.26"/>
  </r>
  <r>
    <x v="3"/>
    <s v="Cafes, restaurants and catering services"/>
    <s v="2023-05-01"/>
    <x v="4"/>
    <s v="May      "/>
    <s v="5"/>
    <n v="637.9"/>
    <n v="9.8699999999999992"/>
  </r>
  <r>
    <x v="3"/>
    <s v="Cafes, restaurants and catering services"/>
    <s v="2023-06-01"/>
    <x v="4"/>
    <s v="June     "/>
    <s v="6"/>
    <n v="603.4"/>
    <n v="8.6199999999999992"/>
  </r>
  <r>
    <x v="3"/>
    <s v="Cafes, restaurants and catering services"/>
    <s v="2023-07-01"/>
    <x v="4"/>
    <s v="July     "/>
    <s v="7"/>
    <n v="686.5"/>
    <n v="10.07"/>
  </r>
  <r>
    <x v="3"/>
    <s v="Cafes, restaurants and catering services"/>
    <s v="2023-08-01"/>
    <x v="4"/>
    <s v="August   "/>
    <s v="8"/>
    <n v="691.7"/>
    <n v="13.52"/>
  </r>
  <r>
    <x v="3"/>
    <s v="Cafes, restaurants and catering services"/>
    <s v="2023-09-01"/>
    <x v="4"/>
    <s v="September"/>
    <s v="9"/>
    <n v="703.5"/>
    <n v="9.58"/>
  </r>
  <r>
    <x v="3"/>
    <s v="Cafes, restaurants and catering services"/>
    <s v="2023-10-01"/>
    <x v="4"/>
    <s v="October  "/>
    <s v="10"/>
    <n v="696.4"/>
    <n v="9.09"/>
  </r>
  <r>
    <x v="3"/>
    <s v="Cafes, restaurants and catering services"/>
    <s v="2023-11-01"/>
    <x v="4"/>
    <s v="November "/>
    <s v="11"/>
    <n v="653.70000000000005"/>
    <n v="3.76"/>
  </r>
  <r>
    <x v="3"/>
    <s v="Cafes, restaurants and catering services"/>
    <s v="2023-12-01"/>
    <x v="4"/>
    <s v="December "/>
    <s v="12"/>
    <n v="748.9"/>
    <n v="8.1"/>
  </r>
  <r>
    <x v="3"/>
    <s v="Cafes, restaurants and catering services"/>
    <s v="2024-01-01"/>
    <x v="5"/>
    <s v="January  "/>
    <s v="1"/>
    <n v="655.1"/>
    <n v="9.17"/>
  </r>
  <r>
    <x v="3"/>
    <s v="Cafes, restaurants and catering services"/>
    <s v="2024-02-01"/>
    <x v="5"/>
    <s v="February "/>
    <s v="2"/>
    <n v="575.6"/>
    <n v="13.78"/>
  </r>
  <r>
    <x v="3"/>
    <s v="Cafes, restaurants and catering services"/>
    <s v="2024-03-01"/>
    <x v="5"/>
    <s v="March    "/>
    <s v="3"/>
    <n v="640.1"/>
    <n v="6.01"/>
  </r>
  <r>
    <x v="3"/>
    <s v="Cafes, restaurants and catering services"/>
    <s v="2024-04-01"/>
    <x v="5"/>
    <s v="April    "/>
    <s v="4"/>
    <n v="657.1"/>
    <n v="4.2"/>
  </r>
  <r>
    <x v="3"/>
    <s v="Cafes, restaurants and catering services"/>
    <s v="2024-05-01"/>
    <x v="5"/>
    <s v="May      "/>
    <s v="5"/>
    <n v="643.20000000000005"/>
    <n v="0.83"/>
  </r>
  <r>
    <x v="3"/>
    <s v="Cafes, restaurants and catering services"/>
    <s v="2024-06-01"/>
    <x v="5"/>
    <s v="June     "/>
    <s v="6"/>
    <n v="592.6"/>
    <n v="-1.79"/>
  </r>
  <r>
    <x v="3"/>
    <s v="Cafes, restaurants and catering services"/>
    <s v="2024-07-01"/>
    <x v="5"/>
    <s v="July     "/>
    <s v="7"/>
    <n v="679.2"/>
    <n v="-1.06"/>
  </r>
  <r>
    <x v="3"/>
    <s v="Cafes, restaurants and catering services"/>
    <s v="2024-08-01"/>
    <x v="5"/>
    <s v="August   "/>
    <s v="8"/>
    <n v="686.9"/>
    <n v="-0.69"/>
  </r>
  <r>
    <x v="3"/>
    <s v="Cafes, restaurants and catering services"/>
    <s v="2024-09-01"/>
    <x v="5"/>
    <s v="September"/>
    <s v="9"/>
    <n v="693.3"/>
    <n v="-1.45"/>
  </r>
  <r>
    <x v="3"/>
    <s v="Cafes, restaurants and catering services"/>
    <s v="2024-10-01"/>
    <x v="5"/>
    <s v="October  "/>
    <s v="10"/>
    <n v="680.1"/>
    <n v="-2.34"/>
  </r>
  <r>
    <x v="3"/>
    <s v="Cafes, restaurants and catering services"/>
    <s v="2024-11-01"/>
    <x v="5"/>
    <s v="November "/>
    <s v="11"/>
    <n v="671"/>
    <n v="2.65"/>
  </r>
  <r>
    <x v="3"/>
    <s v="Cafes, restaurants and catering services"/>
    <s v="2024-12-01"/>
    <x v="5"/>
    <s v="December "/>
    <s v="12"/>
    <n v="723.1"/>
    <n v="-3.45"/>
  </r>
  <r>
    <x v="3"/>
    <s v="Cafes, restaurants and catering services"/>
    <s v="2025-01-01"/>
    <x v="6"/>
    <s v="January  "/>
    <s v="1"/>
    <n v="649"/>
    <n v="-0.93"/>
  </r>
  <r>
    <x v="3"/>
    <s v="Cafes, restaurants and catering services"/>
    <s v="2025-02-01"/>
    <x v="6"/>
    <s v="February "/>
    <s v="2"/>
    <n v="559.4"/>
    <n v="-2.81"/>
  </r>
  <r>
    <x v="3"/>
    <s v="Cafes, restaurants and catering services"/>
    <s v="2025-03-01"/>
    <x v="6"/>
    <s v="March    "/>
    <s v="3"/>
    <n v="567.20000000000005"/>
    <n v="-11.39"/>
  </r>
  <r>
    <x v="3"/>
    <s v="Cafes, restaurants and catering services"/>
    <s v="2025-04-01"/>
    <x v="6"/>
    <s v="April    "/>
    <s v="4"/>
    <n v="641.20000000000005"/>
    <n v="-2.42"/>
  </r>
  <r>
    <x v="3"/>
    <s v="Cafes, restaurants and catering services"/>
    <s v="2025-05-01"/>
    <x v="6"/>
    <s v="May      "/>
    <s v="5"/>
    <n v="637.79999999999995"/>
    <n v="-0.84"/>
  </r>
  <r>
    <x v="3"/>
    <s v="Cafes, restaurants and catering services"/>
    <s v="2025-06-01"/>
    <x v="6"/>
    <s v="June     "/>
    <s v="6"/>
    <n v="564.4"/>
    <n v="-4.76"/>
  </r>
  <r>
    <x v="3"/>
    <s v="Clothing retailing"/>
    <s v="2019-01-01"/>
    <x v="0"/>
    <s v="January  "/>
    <s v="1"/>
    <n v="255.5"/>
    <m/>
  </r>
  <r>
    <x v="3"/>
    <s v="Clothing retailing"/>
    <s v="2019-02-01"/>
    <x v="0"/>
    <s v="February "/>
    <s v="2"/>
    <n v="199.8"/>
    <m/>
  </r>
  <r>
    <x v="3"/>
    <s v="Clothing retailing"/>
    <s v="2019-03-01"/>
    <x v="0"/>
    <s v="March    "/>
    <s v="3"/>
    <n v="235.3"/>
    <m/>
  </r>
  <r>
    <x v="3"/>
    <s v="Clothing retailing"/>
    <s v="2019-04-01"/>
    <x v="0"/>
    <s v="April    "/>
    <s v="4"/>
    <n v="249"/>
    <m/>
  </r>
  <r>
    <x v="3"/>
    <s v="Clothing retailing"/>
    <s v="2019-05-01"/>
    <x v="0"/>
    <s v="May      "/>
    <s v="5"/>
    <n v="257"/>
    <m/>
  </r>
  <r>
    <x v="3"/>
    <s v="Clothing retailing"/>
    <s v="2019-06-01"/>
    <x v="0"/>
    <s v="June     "/>
    <s v="6"/>
    <n v="269.7"/>
    <m/>
  </r>
  <r>
    <x v="3"/>
    <s v="Clothing retailing"/>
    <s v="2019-07-01"/>
    <x v="0"/>
    <s v="July     "/>
    <s v="7"/>
    <n v="267.2"/>
    <m/>
  </r>
  <r>
    <x v="3"/>
    <s v="Clothing retailing"/>
    <s v="2019-08-01"/>
    <x v="0"/>
    <s v="August   "/>
    <s v="8"/>
    <n v="258.5"/>
    <m/>
  </r>
  <r>
    <x v="3"/>
    <s v="Clothing retailing"/>
    <s v="2019-09-01"/>
    <x v="0"/>
    <s v="September"/>
    <s v="9"/>
    <n v="269"/>
    <m/>
  </r>
  <r>
    <x v="3"/>
    <s v="Clothing retailing"/>
    <s v="2019-10-01"/>
    <x v="0"/>
    <s v="October  "/>
    <s v="10"/>
    <n v="284.39999999999998"/>
    <m/>
  </r>
  <r>
    <x v="3"/>
    <s v="Clothing retailing"/>
    <s v="2019-11-01"/>
    <x v="0"/>
    <s v="November "/>
    <s v="11"/>
    <n v="322.39999999999998"/>
    <m/>
  </r>
  <r>
    <x v="3"/>
    <s v="Clothing retailing"/>
    <s v="2019-12-01"/>
    <x v="0"/>
    <s v="December "/>
    <s v="12"/>
    <n v="439.6"/>
    <m/>
  </r>
  <r>
    <x v="3"/>
    <s v="Clothing retailing"/>
    <s v="2020-01-01"/>
    <x v="1"/>
    <s v="January  "/>
    <s v="1"/>
    <n v="279.60000000000002"/>
    <n v="9.43"/>
  </r>
  <r>
    <x v="3"/>
    <s v="Clothing retailing"/>
    <s v="2020-02-01"/>
    <x v="1"/>
    <s v="February "/>
    <s v="2"/>
    <n v="210.2"/>
    <n v="5.21"/>
  </r>
  <r>
    <x v="3"/>
    <s v="Clothing retailing"/>
    <s v="2020-03-01"/>
    <x v="1"/>
    <s v="March    "/>
    <s v="3"/>
    <n v="181.7"/>
    <n v="-22.78"/>
  </r>
  <r>
    <x v="3"/>
    <s v="Clothing retailing"/>
    <s v="2020-04-01"/>
    <x v="1"/>
    <s v="April    "/>
    <s v="4"/>
    <n v="87.3"/>
    <n v="-64.94"/>
  </r>
  <r>
    <x v="3"/>
    <s v="Clothing retailing"/>
    <s v="2020-05-01"/>
    <x v="1"/>
    <s v="May      "/>
    <s v="5"/>
    <n v="233.9"/>
    <n v="-8.99"/>
  </r>
  <r>
    <x v="3"/>
    <s v="Clothing retailing"/>
    <s v="2020-06-01"/>
    <x v="1"/>
    <s v="June     "/>
    <s v="6"/>
    <n v="277.10000000000002"/>
    <n v="2.74"/>
  </r>
  <r>
    <x v="3"/>
    <s v="Clothing retailing"/>
    <s v="2020-07-01"/>
    <x v="1"/>
    <s v="July     "/>
    <s v="7"/>
    <n v="318.89999999999998"/>
    <n v="19.350000000000001"/>
  </r>
  <r>
    <x v="3"/>
    <s v="Clothing retailing"/>
    <s v="2020-08-01"/>
    <x v="1"/>
    <s v="August   "/>
    <s v="8"/>
    <n v="279.2"/>
    <n v="8.01"/>
  </r>
  <r>
    <x v="3"/>
    <s v="Clothing retailing"/>
    <s v="2020-09-01"/>
    <x v="1"/>
    <s v="September"/>
    <s v="9"/>
    <n v="296"/>
    <n v="10.039999999999999"/>
  </r>
  <r>
    <x v="3"/>
    <s v="Clothing retailing"/>
    <s v="2020-10-01"/>
    <x v="1"/>
    <s v="October  "/>
    <s v="10"/>
    <n v="310"/>
    <n v="9"/>
  </r>
  <r>
    <x v="3"/>
    <s v="Clothing retailing"/>
    <s v="2020-11-01"/>
    <x v="1"/>
    <s v="November "/>
    <s v="11"/>
    <n v="368.7"/>
    <n v="14.36"/>
  </r>
  <r>
    <x v="3"/>
    <s v="Clothing retailing"/>
    <s v="2020-12-01"/>
    <x v="1"/>
    <s v="December "/>
    <s v="12"/>
    <n v="498.9"/>
    <n v="13.49"/>
  </r>
  <r>
    <x v="3"/>
    <s v="Clothing retailing"/>
    <s v="2021-01-01"/>
    <x v="2"/>
    <s v="January  "/>
    <s v="1"/>
    <n v="282.2"/>
    <n v="0.93"/>
  </r>
  <r>
    <x v="3"/>
    <s v="Clothing retailing"/>
    <s v="2021-02-01"/>
    <x v="2"/>
    <s v="February "/>
    <s v="2"/>
    <n v="235.4"/>
    <n v="11.99"/>
  </r>
  <r>
    <x v="3"/>
    <s v="Clothing retailing"/>
    <s v="2021-03-01"/>
    <x v="2"/>
    <s v="March    "/>
    <s v="3"/>
    <n v="270.7"/>
    <n v="48.98"/>
  </r>
  <r>
    <x v="3"/>
    <s v="Clothing retailing"/>
    <s v="2021-04-01"/>
    <x v="2"/>
    <s v="April    "/>
    <s v="4"/>
    <n v="278.60000000000002"/>
    <n v="219.13"/>
  </r>
  <r>
    <x v="3"/>
    <s v="Clothing retailing"/>
    <s v="2021-05-01"/>
    <x v="2"/>
    <s v="May      "/>
    <s v="5"/>
    <n v="313.60000000000002"/>
    <n v="34.07"/>
  </r>
  <r>
    <x v="3"/>
    <s v="Clothing retailing"/>
    <s v="2021-06-01"/>
    <x v="2"/>
    <s v="June     "/>
    <s v="6"/>
    <n v="311.3"/>
    <n v="12.34"/>
  </r>
  <r>
    <x v="3"/>
    <s v="Clothing retailing"/>
    <s v="2021-07-01"/>
    <x v="2"/>
    <s v="July     "/>
    <s v="7"/>
    <n v="267.2"/>
    <n v="-16.21"/>
  </r>
  <r>
    <x v="3"/>
    <s v="Clothing retailing"/>
    <s v="2021-08-01"/>
    <x v="2"/>
    <s v="August   "/>
    <s v="8"/>
    <n v="238.6"/>
    <n v="-14.54"/>
  </r>
  <r>
    <x v="3"/>
    <s v="Clothing retailing"/>
    <s v="2021-09-01"/>
    <x v="2"/>
    <s v="September"/>
    <s v="9"/>
    <n v="321.8"/>
    <n v="8.7200000000000006"/>
  </r>
  <r>
    <x v="3"/>
    <s v="Clothing retailing"/>
    <s v="2021-10-01"/>
    <x v="2"/>
    <s v="October  "/>
    <s v="10"/>
    <n v="324.39999999999998"/>
    <n v="4.6500000000000004"/>
  </r>
  <r>
    <x v="3"/>
    <s v="Clothing retailing"/>
    <s v="2021-11-01"/>
    <x v="2"/>
    <s v="November "/>
    <s v="11"/>
    <n v="385.5"/>
    <n v="4.5599999999999996"/>
  </r>
  <r>
    <x v="3"/>
    <s v="Clothing retailing"/>
    <s v="2021-12-01"/>
    <x v="2"/>
    <s v="December "/>
    <s v="12"/>
    <n v="475.9"/>
    <n v="-4.6100000000000003"/>
  </r>
  <r>
    <x v="3"/>
    <s v="Clothing retailing"/>
    <s v="2022-01-01"/>
    <x v="3"/>
    <s v="January  "/>
    <s v="1"/>
    <n v="281.5"/>
    <n v="-0.25"/>
  </r>
  <r>
    <x v="3"/>
    <s v="Clothing retailing"/>
    <s v="2022-02-01"/>
    <x v="3"/>
    <s v="February "/>
    <s v="2"/>
    <n v="258.5"/>
    <n v="9.81"/>
  </r>
  <r>
    <x v="3"/>
    <s v="Clothing retailing"/>
    <s v="2022-03-01"/>
    <x v="3"/>
    <s v="March    "/>
    <s v="3"/>
    <n v="306.5"/>
    <n v="13.22"/>
  </r>
  <r>
    <x v="3"/>
    <s v="Clothing retailing"/>
    <s v="2022-04-01"/>
    <x v="3"/>
    <s v="April    "/>
    <s v="4"/>
    <n v="337.2"/>
    <n v="21.03"/>
  </r>
  <r>
    <x v="3"/>
    <s v="Clothing retailing"/>
    <s v="2022-05-01"/>
    <x v="3"/>
    <s v="May      "/>
    <s v="5"/>
    <n v="337.1"/>
    <n v="7.49"/>
  </r>
  <r>
    <x v="3"/>
    <s v="Clothing retailing"/>
    <s v="2022-06-01"/>
    <x v="3"/>
    <s v="June     "/>
    <s v="6"/>
    <n v="372.6"/>
    <n v="19.690000000000001"/>
  </r>
  <r>
    <x v="3"/>
    <s v="Clothing retailing"/>
    <s v="2022-07-01"/>
    <x v="3"/>
    <s v="July     "/>
    <s v="7"/>
    <n v="366.5"/>
    <n v="37.159999999999997"/>
  </r>
  <r>
    <x v="3"/>
    <s v="Clothing retailing"/>
    <s v="2022-08-01"/>
    <x v="3"/>
    <s v="August   "/>
    <s v="8"/>
    <n v="350.5"/>
    <n v="46.9"/>
  </r>
  <r>
    <x v="3"/>
    <s v="Clothing retailing"/>
    <s v="2022-09-01"/>
    <x v="3"/>
    <s v="September"/>
    <s v="9"/>
    <n v="362.6"/>
    <n v="12.68"/>
  </r>
  <r>
    <x v="3"/>
    <s v="Clothing retailing"/>
    <s v="2022-10-01"/>
    <x v="3"/>
    <s v="October  "/>
    <s v="10"/>
    <n v="373.9"/>
    <n v="15.26"/>
  </r>
  <r>
    <x v="3"/>
    <s v="Clothing retailing"/>
    <s v="2022-11-01"/>
    <x v="3"/>
    <s v="November "/>
    <s v="11"/>
    <n v="446.5"/>
    <n v="15.82"/>
  </r>
  <r>
    <x v="3"/>
    <s v="Clothing retailing"/>
    <s v="2022-12-01"/>
    <x v="3"/>
    <s v="December "/>
    <s v="12"/>
    <n v="555.4"/>
    <n v="16.71"/>
  </r>
  <r>
    <x v="3"/>
    <s v="Clothing retailing"/>
    <s v="2023-01-01"/>
    <x v="4"/>
    <s v="January  "/>
    <s v="1"/>
    <n v="333.2"/>
    <n v="18.37"/>
  </r>
  <r>
    <x v="3"/>
    <s v="Clothing retailing"/>
    <s v="2023-02-01"/>
    <x v="4"/>
    <s v="February "/>
    <s v="2"/>
    <n v="268.2"/>
    <n v="3.75"/>
  </r>
  <r>
    <x v="3"/>
    <s v="Clothing retailing"/>
    <s v="2023-03-01"/>
    <x v="4"/>
    <s v="March    "/>
    <s v="3"/>
    <n v="311.60000000000002"/>
    <n v="1.66"/>
  </r>
  <r>
    <x v="3"/>
    <s v="Clothing retailing"/>
    <s v="2023-04-01"/>
    <x v="4"/>
    <s v="April    "/>
    <s v="4"/>
    <n v="336.5"/>
    <n v="-0.21"/>
  </r>
  <r>
    <x v="3"/>
    <s v="Clothing retailing"/>
    <s v="2023-05-01"/>
    <x v="4"/>
    <s v="May      "/>
    <s v="5"/>
    <n v="360.1"/>
    <n v="6.82"/>
  </r>
  <r>
    <x v="3"/>
    <s v="Clothing retailing"/>
    <s v="2023-06-01"/>
    <x v="4"/>
    <s v="June     "/>
    <s v="6"/>
    <n v="348.4"/>
    <n v="-6.49"/>
  </r>
  <r>
    <x v="3"/>
    <s v="Clothing retailing"/>
    <s v="2023-07-01"/>
    <x v="4"/>
    <s v="July     "/>
    <s v="7"/>
    <n v="352.7"/>
    <n v="-3.77"/>
  </r>
  <r>
    <x v="3"/>
    <s v="Clothing retailing"/>
    <s v="2023-08-01"/>
    <x v="4"/>
    <s v="August   "/>
    <s v="8"/>
    <n v="332.6"/>
    <n v="-5.1100000000000003"/>
  </r>
  <r>
    <x v="3"/>
    <s v="Clothing retailing"/>
    <s v="2023-09-01"/>
    <x v="4"/>
    <s v="September"/>
    <s v="9"/>
    <n v="351.4"/>
    <n v="-3.09"/>
  </r>
  <r>
    <x v="3"/>
    <s v="Clothing retailing"/>
    <s v="2023-10-01"/>
    <x v="4"/>
    <s v="October  "/>
    <s v="10"/>
    <n v="347.4"/>
    <n v="-7.09"/>
  </r>
  <r>
    <x v="3"/>
    <s v="Clothing retailing"/>
    <s v="2023-11-01"/>
    <x v="4"/>
    <s v="November "/>
    <s v="11"/>
    <n v="426.3"/>
    <n v="-4.5199999999999996"/>
  </r>
  <r>
    <x v="3"/>
    <s v="Clothing retailing"/>
    <s v="2023-12-01"/>
    <x v="4"/>
    <s v="December "/>
    <s v="12"/>
    <n v="525.4"/>
    <n v="-5.4"/>
  </r>
  <r>
    <x v="3"/>
    <s v="Clothing retailing"/>
    <s v="2024-01-01"/>
    <x v="5"/>
    <s v="January  "/>
    <s v="1"/>
    <n v="336.6"/>
    <n v="1.02"/>
  </r>
  <r>
    <x v="3"/>
    <s v="Clothing retailing"/>
    <s v="2024-02-01"/>
    <x v="5"/>
    <s v="February "/>
    <s v="2"/>
    <n v="278.7"/>
    <n v="3.91"/>
  </r>
  <r>
    <x v="3"/>
    <s v="Clothing retailing"/>
    <s v="2024-03-01"/>
    <x v="5"/>
    <s v="March    "/>
    <s v="3"/>
    <n v="314.89999999999998"/>
    <n v="1.06"/>
  </r>
  <r>
    <x v="3"/>
    <s v="Clothing retailing"/>
    <s v="2024-04-01"/>
    <x v="5"/>
    <s v="April    "/>
    <s v="4"/>
    <n v="322.10000000000002"/>
    <n v="-4.28"/>
  </r>
  <r>
    <x v="3"/>
    <s v="Clothing retailing"/>
    <s v="2024-05-01"/>
    <x v="5"/>
    <s v="May      "/>
    <s v="5"/>
    <n v="347.8"/>
    <n v="-3.42"/>
  </r>
  <r>
    <x v="3"/>
    <s v="Clothing retailing"/>
    <s v="2024-06-01"/>
    <x v="5"/>
    <s v="June     "/>
    <s v="6"/>
    <n v="363.1"/>
    <n v="4.22"/>
  </r>
  <r>
    <x v="3"/>
    <s v="Clothing retailing"/>
    <s v="2024-07-01"/>
    <x v="5"/>
    <s v="July     "/>
    <s v="7"/>
    <n v="350.6"/>
    <n v="-0.6"/>
  </r>
  <r>
    <x v="3"/>
    <s v="Clothing retailing"/>
    <s v="2024-08-01"/>
    <x v="5"/>
    <s v="August   "/>
    <s v="8"/>
    <n v="352.8"/>
    <n v="6.07"/>
  </r>
  <r>
    <x v="3"/>
    <s v="Clothing retailing"/>
    <s v="2024-09-01"/>
    <x v="5"/>
    <s v="September"/>
    <s v="9"/>
    <n v="355.2"/>
    <n v="1.08"/>
  </r>
  <r>
    <x v="3"/>
    <s v="Clothing retailing"/>
    <s v="2024-10-01"/>
    <x v="5"/>
    <s v="October  "/>
    <s v="10"/>
    <n v="364.4"/>
    <n v="4.8899999999999997"/>
  </r>
  <r>
    <x v="3"/>
    <s v="Clothing retailing"/>
    <s v="2024-11-01"/>
    <x v="5"/>
    <s v="November "/>
    <s v="11"/>
    <n v="441.6"/>
    <n v="3.59"/>
  </r>
  <r>
    <x v="3"/>
    <s v="Clothing retailing"/>
    <s v="2024-12-01"/>
    <x v="5"/>
    <s v="December "/>
    <s v="12"/>
    <n v="556.20000000000005"/>
    <n v="5.86"/>
  </r>
  <r>
    <x v="3"/>
    <s v="Clothing retailing"/>
    <s v="2025-01-01"/>
    <x v="6"/>
    <s v="January  "/>
    <s v="1"/>
    <n v="371.8"/>
    <n v="10.46"/>
  </r>
  <r>
    <x v="3"/>
    <s v="Clothing retailing"/>
    <s v="2025-02-01"/>
    <x v="6"/>
    <s v="February "/>
    <s v="2"/>
    <n v="293.60000000000002"/>
    <n v="5.35"/>
  </r>
  <r>
    <x v="3"/>
    <s v="Clothing retailing"/>
    <s v="2025-03-01"/>
    <x v="6"/>
    <s v="March    "/>
    <s v="3"/>
    <n v="320.3"/>
    <n v="1.71"/>
  </r>
  <r>
    <x v="3"/>
    <s v="Clothing retailing"/>
    <s v="2025-04-01"/>
    <x v="6"/>
    <s v="April    "/>
    <s v="4"/>
    <n v="345.3"/>
    <n v="7.2"/>
  </r>
  <r>
    <x v="3"/>
    <s v="Clothing retailing"/>
    <s v="2025-05-01"/>
    <x v="6"/>
    <s v="May      "/>
    <s v="5"/>
    <n v="366.7"/>
    <n v="5.43"/>
  </r>
  <r>
    <x v="3"/>
    <s v="Clothing retailing"/>
    <s v="2025-06-01"/>
    <x v="6"/>
    <s v="June     "/>
    <s v="6"/>
    <n v="392.4"/>
    <n v="8.07"/>
  </r>
  <r>
    <x v="3"/>
    <s v="Department stores"/>
    <s v="2019-01-01"/>
    <x v="0"/>
    <s v="January  "/>
    <s v="1"/>
    <n v="279.39999999999998"/>
    <m/>
  </r>
  <r>
    <x v="3"/>
    <s v="Department stores"/>
    <s v="2019-02-01"/>
    <x v="0"/>
    <s v="February "/>
    <s v="2"/>
    <n v="220.6"/>
    <m/>
  </r>
  <r>
    <x v="3"/>
    <s v="Department stores"/>
    <s v="2019-03-01"/>
    <x v="0"/>
    <s v="March    "/>
    <s v="3"/>
    <n v="260.3"/>
    <m/>
  </r>
  <r>
    <x v="3"/>
    <s v="Department stores"/>
    <s v="2019-04-01"/>
    <x v="0"/>
    <s v="April    "/>
    <s v="4"/>
    <n v="279.2"/>
    <m/>
  </r>
  <r>
    <x v="3"/>
    <s v="Department stores"/>
    <s v="2019-05-01"/>
    <x v="0"/>
    <s v="May      "/>
    <s v="5"/>
    <n v="283.89999999999998"/>
    <m/>
  </r>
  <r>
    <x v="3"/>
    <s v="Department stores"/>
    <s v="2019-06-01"/>
    <x v="0"/>
    <s v="June     "/>
    <s v="6"/>
    <n v="307.7"/>
    <m/>
  </r>
  <r>
    <x v="3"/>
    <s v="Department stores"/>
    <s v="2019-07-01"/>
    <x v="0"/>
    <s v="July     "/>
    <s v="7"/>
    <n v="295.60000000000002"/>
    <m/>
  </r>
  <r>
    <x v="3"/>
    <s v="Department stores"/>
    <s v="2019-08-01"/>
    <x v="0"/>
    <s v="August   "/>
    <s v="8"/>
    <n v="282.10000000000002"/>
    <m/>
  </r>
  <r>
    <x v="3"/>
    <s v="Department stores"/>
    <s v="2019-09-01"/>
    <x v="0"/>
    <s v="September"/>
    <s v="9"/>
    <n v="282.39999999999998"/>
    <m/>
  </r>
  <r>
    <x v="3"/>
    <s v="Department stores"/>
    <s v="2019-10-01"/>
    <x v="0"/>
    <s v="October  "/>
    <s v="10"/>
    <n v="304.3"/>
    <m/>
  </r>
  <r>
    <x v="3"/>
    <s v="Department stores"/>
    <s v="2019-11-01"/>
    <x v="0"/>
    <s v="November "/>
    <s v="11"/>
    <n v="357.7"/>
    <m/>
  </r>
  <r>
    <x v="3"/>
    <s v="Department stores"/>
    <s v="2019-12-01"/>
    <x v="0"/>
    <s v="December "/>
    <s v="12"/>
    <n v="542.70000000000005"/>
    <m/>
  </r>
  <r>
    <x v="3"/>
    <s v="Department stores"/>
    <s v="2020-01-01"/>
    <x v="1"/>
    <s v="January  "/>
    <s v="1"/>
    <n v="286.2"/>
    <n v="2.4300000000000002"/>
  </r>
  <r>
    <x v="3"/>
    <s v="Department stores"/>
    <s v="2020-02-01"/>
    <x v="1"/>
    <s v="February "/>
    <s v="2"/>
    <n v="234.6"/>
    <n v="6.35"/>
  </r>
  <r>
    <x v="3"/>
    <s v="Department stores"/>
    <s v="2020-03-01"/>
    <x v="1"/>
    <s v="March    "/>
    <s v="3"/>
    <n v="239.4"/>
    <n v="-8.0299999999999994"/>
  </r>
  <r>
    <x v="3"/>
    <s v="Department stores"/>
    <s v="2020-04-01"/>
    <x v="1"/>
    <s v="April    "/>
    <s v="4"/>
    <n v="232.5"/>
    <n v="-16.73"/>
  </r>
  <r>
    <x v="3"/>
    <s v="Department stores"/>
    <s v="2020-05-01"/>
    <x v="1"/>
    <s v="May      "/>
    <s v="5"/>
    <n v="349.9"/>
    <n v="23.25"/>
  </r>
  <r>
    <x v="3"/>
    <s v="Department stores"/>
    <s v="2020-06-01"/>
    <x v="1"/>
    <s v="June     "/>
    <s v="6"/>
    <n v="306.10000000000002"/>
    <n v="-0.52"/>
  </r>
  <r>
    <x v="3"/>
    <s v="Department stores"/>
    <s v="2020-07-01"/>
    <x v="1"/>
    <s v="July     "/>
    <s v="7"/>
    <n v="336.3"/>
    <n v="13.77"/>
  </r>
  <r>
    <x v="3"/>
    <s v="Department stores"/>
    <s v="2020-08-01"/>
    <x v="1"/>
    <s v="August   "/>
    <s v="8"/>
    <n v="283.5"/>
    <n v="0.5"/>
  </r>
  <r>
    <x v="3"/>
    <s v="Department stores"/>
    <s v="2020-09-01"/>
    <x v="1"/>
    <s v="September"/>
    <s v="9"/>
    <n v="312.7"/>
    <n v="10.73"/>
  </r>
  <r>
    <x v="3"/>
    <s v="Department stores"/>
    <s v="2020-10-01"/>
    <x v="1"/>
    <s v="October  "/>
    <s v="10"/>
    <n v="336.5"/>
    <n v="10.58"/>
  </r>
  <r>
    <x v="3"/>
    <s v="Department stores"/>
    <s v="2020-11-01"/>
    <x v="1"/>
    <s v="November "/>
    <s v="11"/>
    <n v="397"/>
    <n v="10.99"/>
  </r>
  <r>
    <x v="3"/>
    <s v="Department stores"/>
    <s v="2020-12-01"/>
    <x v="1"/>
    <s v="December "/>
    <s v="12"/>
    <n v="607.4"/>
    <n v="11.92"/>
  </r>
  <r>
    <x v="3"/>
    <s v="Department stores"/>
    <s v="2021-01-01"/>
    <x v="2"/>
    <s v="January  "/>
    <s v="1"/>
    <n v="296.8"/>
    <n v="3.7"/>
  </r>
  <r>
    <x v="3"/>
    <s v="Department stores"/>
    <s v="2021-02-01"/>
    <x v="2"/>
    <s v="February "/>
    <s v="2"/>
    <n v="252.1"/>
    <n v="7.46"/>
  </r>
  <r>
    <x v="3"/>
    <s v="Department stores"/>
    <s v="2021-03-01"/>
    <x v="2"/>
    <s v="March    "/>
    <s v="3"/>
    <n v="303.5"/>
    <n v="26.78"/>
  </r>
  <r>
    <x v="3"/>
    <s v="Department stores"/>
    <s v="2021-04-01"/>
    <x v="2"/>
    <s v="April    "/>
    <s v="4"/>
    <n v="307.39999999999998"/>
    <n v="32.22"/>
  </r>
  <r>
    <x v="3"/>
    <s v="Department stores"/>
    <s v="2021-05-01"/>
    <x v="2"/>
    <s v="May      "/>
    <s v="5"/>
    <n v="325"/>
    <n v="-7.12"/>
  </r>
  <r>
    <x v="3"/>
    <s v="Department stores"/>
    <s v="2021-06-01"/>
    <x v="2"/>
    <s v="June     "/>
    <s v="6"/>
    <n v="341.1"/>
    <n v="11.43"/>
  </r>
  <r>
    <x v="3"/>
    <s v="Department stores"/>
    <s v="2021-07-01"/>
    <x v="2"/>
    <s v="July     "/>
    <s v="7"/>
    <n v="310.2"/>
    <n v="-7.76"/>
  </r>
  <r>
    <x v="3"/>
    <s v="Department stores"/>
    <s v="2021-08-01"/>
    <x v="2"/>
    <s v="August   "/>
    <s v="8"/>
    <n v="283.89999999999998"/>
    <n v="0.14000000000000001"/>
  </r>
  <r>
    <x v="3"/>
    <s v="Department stores"/>
    <s v="2021-09-01"/>
    <x v="2"/>
    <s v="September"/>
    <s v="9"/>
    <n v="329.4"/>
    <n v="5.34"/>
  </r>
  <r>
    <x v="3"/>
    <s v="Department stores"/>
    <s v="2021-10-01"/>
    <x v="2"/>
    <s v="October  "/>
    <s v="10"/>
    <n v="362.3"/>
    <n v="7.67"/>
  </r>
  <r>
    <x v="3"/>
    <s v="Department stores"/>
    <s v="2021-11-01"/>
    <x v="2"/>
    <s v="November "/>
    <s v="11"/>
    <n v="423.7"/>
    <n v="6.73"/>
  </r>
  <r>
    <x v="3"/>
    <s v="Department stores"/>
    <s v="2021-12-01"/>
    <x v="2"/>
    <s v="December "/>
    <s v="12"/>
    <n v="578.29999999999995"/>
    <n v="-4.79"/>
  </r>
  <r>
    <x v="3"/>
    <s v="Department stores"/>
    <s v="2022-01-01"/>
    <x v="3"/>
    <s v="January  "/>
    <s v="1"/>
    <n v="297.39999999999998"/>
    <n v="0.2"/>
  </r>
  <r>
    <x v="3"/>
    <s v="Department stores"/>
    <s v="2022-02-01"/>
    <x v="3"/>
    <s v="February "/>
    <s v="2"/>
    <n v="266.7"/>
    <n v="5.79"/>
  </r>
  <r>
    <x v="3"/>
    <s v="Department stores"/>
    <s v="2022-03-01"/>
    <x v="3"/>
    <s v="March    "/>
    <s v="3"/>
    <n v="340.7"/>
    <n v="12.26"/>
  </r>
  <r>
    <x v="3"/>
    <s v="Department stores"/>
    <s v="2022-04-01"/>
    <x v="3"/>
    <s v="April    "/>
    <s v="4"/>
    <n v="360.4"/>
    <n v="17.239999999999998"/>
  </r>
  <r>
    <x v="3"/>
    <s v="Department stores"/>
    <s v="2022-05-01"/>
    <x v="3"/>
    <s v="May      "/>
    <s v="5"/>
    <n v="369.9"/>
    <n v="13.82"/>
  </r>
  <r>
    <x v="3"/>
    <s v="Department stores"/>
    <s v="2022-06-01"/>
    <x v="3"/>
    <s v="June     "/>
    <s v="6"/>
    <n v="398.7"/>
    <n v="16.89"/>
  </r>
  <r>
    <x v="3"/>
    <s v="Department stores"/>
    <s v="2022-07-01"/>
    <x v="3"/>
    <s v="July     "/>
    <s v="7"/>
    <n v="382.6"/>
    <n v="23.34"/>
  </r>
  <r>
    <x v="3"/>
    <s v="Department stores"/>
    <s v="2022-08-01"/>
    <x v="3"/>
    <s v="August   "/>
    <s v="8"/>
    <n v="352"/>
    <n v="23.99"/>
  </r>
  <r>
    <x v="3"/>
    <s v="Department stores"/>
    <s v="2022-09-01"/>
    <x v="3"/>
    <s v="September"/>
    <s v="9"/>
    <n v="384.1"/>
    <n v="16.61"/>
  </r>
  <r>
    <x v="3"/>
    <s v="Department stores"/>
    <s v="2022-10-01"/>
    <x v="3"/>
    <s v="October  "/>
    <s v="10"/>
    <n v="398.6"/>
    <n v="10.02"/>
  </r>
  <r>
    <x v="3"/>
    <s v="Department stores"/>
    <s v="2022-11-01"/>
    <x v="3"/>
    <s v="November "/>
    <s v="11"/>
    <n v="492"/>
    <n v="16.12"/>
  </r>
  <r>
    <x v="3"/>
    <s v="Department stores"/>
    <s v="2022-12-01"/>
    <x v="3"/>
    <s v="December "/>
    <s v="12"/>
    <n v="653.5"/>
    <n v="13"/>
  </r>
  <r>
    <x v="3"/>
    <s v="Department stores"/>
    <s v="2023-01-01"/>
    <x v="4"/>
    <s v="January  "/>
    <s v="1"/>
    <n v="358.2"/>
    <n v="20.440000000000001"/>
  </r>
  <r>
    <x v="3"/>
    <s v="Department stores"/>
    <s v="2023-02-01"/>
    <x v="4"/>
    <s v="February "/>
    <s v="2"/>
    <n v="293.5"/>
    <n v="10.050000000000001"/>
  </r>
  <r>
    <x v="3"/>
    <s v="Department stores"/>
    <s v="2023-03-01"/>
    <x v="4"/>
    <s v="March    "/>
    <s v="3"/>
    <n v="350.8"/>
    <n v="2.96"/>
  </r>
  <r>
    <x v="3"/>
    <s v="Department stores"/>
    <s v="2023-04-01"/>
    <x v="4"/>
    <s v="April    "/>
    <s v="4"/>
    <n v="367.7"/>
    <n v="2.0299999999999998"/>
  </r>
  <r>
    <x v="3"/>
    <s v="Department stores"/>
    <s v="2023-05-01"/>
    <x v="4"/>
    <s v="May      "/>
    <s v="5"/>
    <n v="389.9"/>
    <n v="5.41"/>
  </r>
  <r>
    <x v="3"/>
    <s v="Department stores"/>
    <s v="2023-06-01"/>
    <x v="4"/>
    <s v="June     "/>
    <s v="6"/>
    <n v="377.2"/>
    <n v="-5.39"/>
  </r>
  <r>
    <x v="3"/>
    <s v="Department stores"/>
    <s v="2023-07-01"/>
    <x v="4"/>
    <s v="July     "/>
    <s v="7"/>
    <n v="386.7"/>
    <n v="1.07"/>
  </r>
  <r>
    <x v="3"/>
    <s v="Department stores"/>
    <s v="2023-08-01"/>
    <x v="4"/>
    <s v="August   "/>
    <s v="8"/>
    <n v="359.5"/>
    <n v="2.13"/>
  </r>
  <r>
    <x v="3"/>
    <s v="Department stores"/>
    <s v="2023-09-01"/>
    <x v="4"/>
    <s v="September"/>
    <s v="9"/>
    <n v="389.5"/>
    <n v="1.41"/>
  </r>
  <r>
    <x v="3"/>
    <s v="Department stores"/>
    <s v="2023-10-01"/>
    <x v="4"/>
    <s v="October  "/>
    <s v="10"/>
    <n v="397.8"/>
    <n v="-0.2"/>
  </r>
  <r>
    <x v="3"/>
    <s v="Department stores"/>
    <s v="2023-11-01"/>
    <x v="4"/>
    <s v="November "/>
    <s v="11"/>
    <n v="506"/>
    <n v="2.85"/>
  </r>
  <r>
    <x v="3"/>
    <s v="Department stores"/>
    <s v="2023-12-01"/>
    <x v="4"/>
    <s v="December "/>
    <s v="12"/>
    <n v="680.4"/>
    <n v="4.12"/>
  </r>
  <r>
    <x v="3"/>
    <s v="Department stores"/>
    <s v="2024-01-01"/>
    <x v="5"/>
    <s v="January  "/>
    <s v="1"/>
    <n v="359.1"/>
    <n v="0.25"/>
  </r>
  <r>
    <x v="3"/>
    <s v="Department stores"/>
    <s v="2024-02-01"/>
    <x v="5"/>
    <s v="February "/>
    <s v="2"/>
    <n v="309.3"/>
    <n v="5.38"/>
  </r>
  <r>
    <x v="3"/>
    <s v="Department stores"/>
    <s v="2024-03-01"/>
    <x v="5"/>
    <s v="March    "/>
    <s v="3"/>
    <n v="374.5"/>
    <n v="6.76"/>
  </r>
  <r>
    <x v="3"/>
    <s v="Department stores"/>
    <s v="2024-04-01"/>
    <x v="5"/>
    <s v="April    "/>
    <s v="4"/>
    <n v="353.9"/>
    <n v="-3.75"/>
  </r>
  <r>
    <x v="3"/>
    <s v="Department stores"/>
    <s v="2024-05-01"/>
    <x v="5"/>
    <s v="May      "/>
    <s v="5"/>
    <n v="384.5"/>
    <n v="-1.38"/>
  </r>
  <r>
    <x v="3"/>
    <s v="Department stores"/>
    <s v="2024-06-01"/>
    <x v="5"/>
    <s v="June     "/>
    <s v="6"/>
    <n v="407.5"/>
    <n v="8.0299999999999994"/>
  </r>
  <r>
    <x v="3"/>
    <s v="Department stores"/>
    <s v="2024-07-01"/>
    <x v="5"/>
    <s v="July     "/>
    <s v="7"/>
    <n v="387.7"/>
    <n v="0.26"/>
  </r>
  <r>
    <x v="3"/>
    <s v="Department stores"/>
    <s v="2024-08-01"/>
    <x v="5"/>
    <s v="August   "/>
    <s v="8"/>
    <n v="389.5"/>
    <n v="8.34"/>
  </r>
  <r>
    <x v="3"/>
    <s v="Department stores"/>
    <s v="2024-09-01"/>
    <x v="5"/>
    <s v="September"/>
    <s v="9"/>
    <n v="389.6"/>
    <n v="0.03"/>
  </r>
  <r>
    <x v="3"/>
    <s v="Department stores"/>
    <s v="2024-10-01"/>
    <x v="5"/>
    <s v="October  "/>
    <s v="10"/>
    <n v="410.5"/>
    <n v="3.19"/>
  </r>
  <r>
    <x v="3"/>
    <s v="Department stores"/>
    <s v="2024-11-01"/>
    <x v="5"/>
    <s v="November "/>
    <s v="11"/>
    <n v="517.29999999999995"/>
    <n v="2.23"/>
  </r>
  <r>
    <x v="3"/>
    <s v="Department stores"/>
    <s v="2024-12-01"/>
    <x v="5"/>
    <s v="December "/>
    <s v="12"/>
    <n v="689.2"/>
    <n v="1.29"/>
  </r>
  <r>
    <x v="3"/>
    <s v="Department stores"/>
    <s v="2025-01-01"/>
    <x v="6"/>
    <s v="January  "/>
    <s v="1"/>
    <n v="382"/>
    <n v="6.38"/>
  </r>
  <r>
    <x v="3"/>
    <s v="Department stores"/>
    <s v="2025-02-01"/>
    <x v="6"/>
    <s v="February "/>
    <s v="2"/>
    <n v="309.2"/>
    <n v="-0.03"/>
  </r>
  <r>
    <x v="3"/>
    <s v="Department stores"/>
    <s v="2025-03-01"/>
    <x v="6"/>
    <s v="March    "/>
    <s v="3"/>
    <n v="368.2"/>
    <n v="-1.68"/>
  </r>
  <r>
    <x v="3"/>
    <s v="Department stores"/>
    <s v="2025-04-01"/>
    <x v="6"/>
    <s v="April    "/>
    <s v="4"/>
    <n v="384.2"/>
    <n v="8.56"/>
  </r>
  <r>
    <x v="3"/>
    <s v="Department stores"/>
    <s v="2025-05-01"/>
    <x v="6"/>
    <s v="May      "/>
    <s v="5"/>
    <n v="400.1"/>
    <n v="4.0599999999999996"/>
  </r>
  <r>
    <x v="3"/>
    <s v="Department stores"/>
    <s v="2025-06-01"/>
    <x v="6"/>
    <s v="June     "/>
    <s v="6"/>
    <n v="439.5"/>
    <n v="7.85"/>
  </r>
  <r>
    <x v="3"/>
    <s v="Electrical and electronic goods retailing"/>
    <s v="2019-01-01"/>
    <x v="0"/>
    <s v="January  "/>
    <s v="1"/>
    <n v="349.5"/>
    <m/>
  </r>
  <r>
    <x v="3"/>
    <s v="Electrical and electronic goods retailing"/>
    <s v="2019-02-01"/>
    <x v="0"/>
    <s v="February "/>
    <s v="2"/>
    <n v="307.10000000000002"/>
    <m/>
  </r>
  <r>
    <x v="3"/>
    <s v="Electrical and electronic goods retailing"/>
    <s v="2019-03-01"/>
    <x v="0"/>
    <s v="March    "/>
    <s v="3"/>
    <n v="330.8"/>
    <m/>
  </r>
  <r>
    <x v="3"/>
    <s v="Electrical and electronic goods retailing"/>
    <s v="2019-04-01"/>
    <x v="0"/>
    <s v="April    "/>
    <s v="4"/>
    <n v="303.8"/>
    <m/>
  </r>
  <r>
    <x v="3"/>
    <s v="Electrical and electronic goods retailing"/>
    <s v="2019-05-01"/>
    <x v="0"/>
    <s v="May      "/>
    <s v="5"/>
    <n v="319.39999999999998"/>
    <m/>
  </r>
  <r>
    <x v="3"/>
    <s v="Electrical and electronic goods retailing"/>
    <s v="2019-06-01"/>
    <x v="0"/>
    <s v="June     "/>
    <s v="6"/>
    <n v="368.4"/>
    <m/>
  </r>
  <r>
    <x v="3"/>
    <s v="Electrical and electronic goods retailing"/>
    <s v="2019-07-01"/>
    <x v="0"/>
    <s v="July     "/>
    <s v="7"/>
    <n v="346"/>
    <m/>
  </r>
  <r>
    <x v="3"/>
    <s v="Electrical and electronic goods retailing"/>
    <s v="2019-08-01"/>
    <x v="0"/>
    <s v="August   "/>
    <s v="8"/>
    <n v="334.7"/>
    <m/>
  </r>
  <r>
    <x v="3"/>
    <s v="Electrical and electronic goods retailing"/>
    <s v="2019-09-01"/>
    <x v="0"/>
    <s v="September"/>
    <s v="9"/>
    <n v="331.1"/>
    <m/>
  </r>
  <r>
    <x v="3"/>
    <s v="Electrical and electronic goods retailing"/>
    <s v="2019-10-01"/>
    <x v="0"/>
    <s v="October  "/>
    <s v="10"/>
    <n v="345.3"/>
    <m/>
  </r>
  <r>
    <x v="3"/>
    <s v="Electrical and electronic goods retailing"/>
    <s v="2019-11-01"/>
    <x v="0"/>
    <s v="November "/>
    <s v="11"/>
    <n v="412"/>
    <m/>
  </r>
  <r>
    <x v="3"/>
    <s v="Electrical and electronic goods retailing"/>
    <s v="2019-12-01"/>
    <x v="0"/>
    <s v="December "/>
    <s v="12"/>
    <n v="547.6"/>
    <m/>
  </r>
  <r>
    <x v="3"/>
    <s v="Electrical and electronic goods retailing"/>
    <s v="2020-01-01"/>
    <x v="1"/>
    <s v="January  "/>
    <s v="1"/>
    <n v="380"/>
    <n v="8.73"/>
  </r>
  <r>
    <x v="3"/>
    <s v="Electrical and electronic goods retailing"/>
    <s v="2020-02-01"/>
    <x v="1"/>
    <s v="February "/>
    <s v="2"/>
    <n v="337.6"/>
    <n v="9.93"/>
  </r>
  <r>
    <x v="3"/>
    <s v="Electrical and electronic goods retailing"/>
    <s v="2020-03-01"/>
    <x v="1"/>
    <s v="March    "/>
    <s v="3"/>
    <n v="362.5"/>
    <n v="9.58"/>
  </r>
  <r>
    <x v="3"/>
    <s v="Electrical and electronic goods retailing"/>
    <s v="2020-04-01"/>
    <x v="1"/>
    <s v="April    "/>
    <s v="4"/>
    <n v="325.3"/>
    <n v="7.08"/>
  </r>
  <r>
    <x v="3"/>
    <s v="Electrical and electronic goods retailing"/>
    <s v="2020-05-01"/>
    <x v="1"/>
    <s v="May      "/>
    <s v="5"/>
    <n v="417.3"/>
    <n v="30.65"/>
  </r>
  <r>
    <x v="3"/>
    <s v="Electrical and electronic goods retailing"/>
    <s v="2020-06-01"/>
    <x v="1"/>
    <s v="June     "/>
    <s v="6"/>
    <n v="454.5"/>
    <n v="23.37"/>
  </r>
  <r>
    <x v="3"/>
    <s v="Electrical and electronic goods retailing"/>
    <s v="2020-07-01"/>
    <x v="1"/>
    <s v="July     "/>
    <s v="7"/>
    <n v="463.8"/>
    <n v="34.049999999999997"/>
  </r>
  <r>
    <x v="3"/>
    <s v="Electrical and electronic goods retailing"/>
    <s v="2020-08-01"/>
    <x v="1"/>
    <s v="August   "/>
    <s v="8"/>
    <n v="439.2"/>
    <n v="31.22"/>
  </r>
  <r>
    <x v="3"/>
    <s v="Electrical and electronic goods retailing"/>
    <s v="2020-09-01"/>
    <x v="1"/>
    <s v="September"/>
    <s v="9"/>
    <n v="391"/>
    <n v="18.09"/>
  </r>
  <r>
    <x v="3"/>
    <s v="Electrical and electronic goods retailing"/>
    <s v="2020-10-01"/>
    <x v="1"/>
    <s v="October  "/>
    <s v="10"/>
    <n v="391.8"/>
    <n v="13.47"/>
  </r>
  <r>
    <x v="3"/>
    <s v="Electrical and electronic goods retailing"/>
    <s v="2020-11-01"/>
    <x v="1"/>
    <s v="November "/>
    <s v="11"/>
    <n v="498"/>
    <n v="20.87"/>
  </r>
  <r>
    <x v="3"/>
    <s v="Electrical and electronic goods retailing"/>
    <s v="2020-12-01"/>
    <x v="1"/>
    <s v="December "/>
    <s v="12"/>
    <n v="618.4"/>
    <n v="12.93"/>
  </r>
  <r>
    <x v="3"/>
    <s v="Electrical and electronic goods retailing"/>
    <s v="2021-01-01"/>
    <x v="2"/>
    <s v="January  "/>
    <s v="1"/>
    <n v="413.6"/>
    <n v="8.84"/>
  </r>
  <r>
    <x v="3"/>
    <s v="Electrical and electronic goods retailing"/>
    <s v="2021-02-01"/>
    <x v="2"/>
    <s v="February "/>
    <s v="2"/>
    <n v="363.6"/>
    <n v="7.7"/>
  </r>
  <r>
    <x v="3"/>
    <s v="Electrical and electronic goods retailing"/>
    <s v="2021-03-01"/>
    <x v="2"/>
    <s v="March    "/>
    <s v="3"/>
    <n v="385.5"/>
    <n v="6.34"/>
  </r>
  <r>
    <x v="3"/>
    <s v="Electrical and electronic goods retailing"/>
    <s v="2021-04-01"/>
    <x v="2"/>
    <s v="April    "/>
    <s v="4"/>
    <n v="331.1"/>
    <n v="1.78"/>
  </r>
  <r>
    <x v="3"/>
    <s v="Electrical and electronic goods retailing"/>
    <s v="2021-05-01"/>
    <x v="2"/>
    <s v="May      "/>
    <s v="5"/>
    <n v="378.2"/>
    <n v="-9.3699999999999992"/>
  </r>
  <r>
    <x v="3"/>
    <s v="Electrical and electronic goods retailing"/>
    <s v="2021-06-01"/>
    <x v="2"/>
    <s v="June     "/>
    <s v="6"/>
    <n v="425.8"/>
    <n v="-6.31"/>
  </r>
  <r>
    <x v="3"/>
    <s v="Electrical and electronic goods retailing"/>
    <s v="2021-07-01"/>
    <x v="2"/>
    <s v="July     "/>
    <s v="7"/>
    <n v="405.2"/>
    <n v="-12.63"/>
  </r>
  <r>
    <x v="3"/>
    <s v="Electrical and electronic goods retailing"/>
    <s v="2021-08-01"/>
    <x v="2"/>
    <s v="August   "/>
    <s v="8"/>
    <n v="384.1"/>
    <n v="-12.55"/>
  </r>
  <r>
    <x v="3"/>
    <s v="Electrical and electronic goods retailing"/>
    <s v="2021-09-01"/>
    <x v="2"/>
    <s v="September"/>
    <s v="9"/>
    <n v="403.6"/>
    <n v="3.22"/>
  </r>
  <r>
    <x v="3"/>
    <s v="Electrical and electronic goods retailing"/>
    <s v="2021-10-01"/>
    <x v="2"/>
    <s v="October  "/>
    <s v="10"/>
    <n v="423.2"/>
    <n v="8.01"/>
  </r>
  <r>
    <x v="3"/>
    <s v="Electrical and electronic goods retailing"/>
    <s v="2021-11-01"/>
    <x v="2"/>
    <s v="November "/>
    <s v="11"/>
    <n v="495.2"/>
    <n v="-0.56000000000000005"/>
  </r>
  <r>
    <x v="3"/>
    <s v="Electrical and electronic goods retailing"/>
    <s v="2021-12-01"/>
    <x v="2"/>
    <s v="December "/>
    <s v="12"/>
    <n v="590.9"/>
    <n v="-4.45"/>
  </r>
  <r>
    <x v="3"/>
    <s v="Electrical and electronic goods retailing"/>
    <s v="2022-01-01"/>
    <x v="3"/>
    <s v="January  "/>
    <s v="1"/>
    <n v="396.5"/>
    <n v="-4.13"/>
  </r>
  <r>
    <x v="3"/>
    <s v="Electrical and electronic goods retailing"/>
    <s v="2022-02-01"/>
    <x v="3"/>
    <s v="February "/>
    <s v="2"/>
    <n v="364.7"/>
    <n v="0.3"/>
  </r>
  <r>
    <x v="3"/>
    <s v="Electrical and electronic goods retailing"/>
    <s v="2022-03-01"/>
    <x v="3"/>
    <s v="March    "/>
    <s v="3"/>
    <n v="423.6"/>
    <n v="9.8800000000000008"/>
  </r>
  <r>
    <x v="3"/>
    <s v="Electrical and electronic goods retailing"/>
    <s v="2022-04-01"/>
    <x v="3"/>
    <s v="April    "/>
    <s v="4"/>
    <n v="381.8"/>
    <n v="15.31"/>
  </r>
  <r>
    <x v="3"/>
    <s v="Electrical and electronic goods retailing"/>
    <s v="2022-05-01"/>
    <x v="3"/>
    <s v="May      "/>
    <s v="5"/>
    <n v="424.9"/>
    <n v="12.35"/>
  </r>
  <r>
    <x v="3"/>
    <s v="Electrical and electronic goods retailing"/>
    <s v="2022-06-01"/>
    <x v="3"/>
    <s v="June     "/>
    <s v="6"/>
    <n v="454.9"/>
    <n v="6.83"/>
  </r>
  <r>
    <x v="3"/>
    <s v="Electrical and electronic goods retailing"/>
    <s v="2022-07-01"/>
    <x v="3"/>
    <s v="July     "/>
    <s v="7"/>
    <n v="425.5"/>
    <n v="5.01"/>
  </r>
  <r>
    <x v="3"/>
    <s v="Electrical and electronic goods retailing"/>
    <s v="2022-08-01"/>
    <x v="3"/>
    <s v="August   "/>
    <s v="8"/>
    <n v="411"/>
    <n v="7"/>
  </r>
  <r>
    <x v="3"/>
    <s v="Electrical and electronic goods retailing"/>
    <s v="2022-09-01"/>
    <x v="3"/>
    <s v="September"/>
    <s v="9"/>
    <n v="423.3"/>
    <n v="4.88"/>
  </r>
  <r>
    <x v="3"/>
    <s v="Electrical and electronic goods retailing"/>
    <s v="2022-10-01"/>
    <x v="3"/>
    <s v="October  "/>
    <s v="10"/>
    <n v="426.5"/>
    <n v="0.78"/>
  </r>
  <r>
    <x v="3"/>
    <s v="Electrical and electronic goods retailing"/>
    <s v="2022-11-01"/>
    <x v="3"/>
    <s v="November "/>
    <s v="11"/>
    <n v="506.9"/>
    <n v="2.36"/>
  </r>
  <r>
    <x v="3"/>
    <s v="Electrical and electronic goods retailing"/>
    <s v="2022-12-01"/>
    <x v="3"/>
    <s v="December "/>
    <s v="12"/>
    <n v="598.20000000000005"/>
    <n v="1.24"/>
  </r>
  <r>
    <x v="3"/>
    <s v="Electrical and electronic goods retailing"/>
    <s v="2023-01-01"/>
    <x v="4"/>
    <s v="January  "/>
    <s v="1"/>
    <n v="405.2"/>
    <n v="2.19"/>
  </r>
  <r>
    <x v="3"/>
    <s v="Electrical and electronic goods retailing"/>
    <s v="2023-02-01"/>
    <x v="4"/>
    <s v="February "/>
    <s v="2"/>
    <n v="356.6"/>
    <n v="-2.2200000000000002"/>
  </r>
  <r>
    <x v="3"/>
    <s v="Electrical and electronic goods retailing"/>
    <s v="2023-03-01"/>
    <x v="4"/>
    <s v="March    "/>
    <s v="3"/>
    <n v="380"/>
    <n v="-10.29"/>
  </r>
  <r>
    <x v="3"/>
    <s v="Electrical and electronic goods retailing"/>
    <s v="2023-04-01"/>
    <x v="4"/>
    <s v="April    "/>
    <s v="4"/>
    <n v="344.3"/>
    <n v="-9.82"/>
  </r>
  <r>
    <x v="3"/>
    <s v="Electrical and electronic goods retailing"/>
    <s v="2023-05-01"/>
    <x v="4"/>
    <s v="May      "/>
    <s v="5"/>
    <n v="370.9"/>
    <n v="-12.71"/>
  </r>
  <r>
    <x v="3"/>
    <s v="Electrical and electronic goods retailing"/>
    <s v="2023-06-01"/>
    <x v="4"/>
    <s v="June     "/>
    <s v="6"/>
    <n v="426.7"/>
    <n v="-6.2"/>
  </r>
  <r>
    <x v="3"/>
    <s v="Electrical and electronic goods retailing"/>
    <s v="2023-07-01"/>
    <x v="4"/>
    <s v="July     "/>
    <s v="7"/>
    <n v="366"/>
    <n v="-13.98"/>
  </r>
  <r>
    <x v="3"/>
    <s v="Electrical and electronic goods retailing"/>
    <s v="2023-08-01"/>
    <x v="4"/>
    <s v="August   "/>
    <s v="8"/>
    <n v="367.9"/>
    <n v="-10.49"/>
  </r>
  <r>
    <x v="3"/>
    <s v="Electrical and electronic goods retailing"/>
    <s v="2023-09-01"/>
    <x v="4"/>
    <s v="September"/>
    <s v="9"/>
    <n v="412.1"/>
    <n v="-2.65"/>
  </r>
  <r>
    <x v="3"/>
    <s v="Electrical and electronic goods retailing"/>
    <s v="2023-10-01"/>
    <x v="4"/>
    <s v="October  "/>
    <s v="10"/>
    <n v="398.1"/>
    <n v="-6.66"/>
  </r>
  <r>
    <x v="3"/>
    <s v="Electrical and electronic goods retailing"/>
    <s v="2023-11-01"/>
    <x v="4"/>
    <s v="November "/>
    <s v="11"/>
    <n v="531.79999999999995"/>
    <n v="4.91"/>
  </r>
  <r>
    <x v="3"/>
    <s v="Electrical and electronic goods retailing"/>
    <s v="2023-12-01"/>
    <x v="4"/>
    <s v="December "/>
    <s v="12"/>
    <n v="564.5"/>
    <n v="-5.63"/>
  </r>
  <r>
    <x v="3"/>
    <s v="Electrical and electronic goods retailing"/>
    <s v="2024-01-01"/>
    <x v="5"/>
    <s v="January  "/>
    <s v="1"/>
    <n v="413.4"/>
    <n v="2.02"/>
  </r>
  <r>
    <x v="3"/>
    <s v="Electrical and electronic goods retailing"/>
    <s v="2024-02-01"/>
    <x v="5"/>
    <s v="February "/>
    <s v="2"/>
    <n v="363.2"/>
    <n v="1.85"/>
  </r>
  <r>
    <x v="3"/>
    <s v="Electrical and electronic goods retailing"/>
    <s v="2024-03-01"/>
    <x v="5"/>
    <s v="March    "/>
    <s v="3"/>
    <n v="360"/>
    <n v="-5.26"/>
  </r>
  <r>
    <x v="3"/>
    <s v="Electrical and electronic goods retailing"/>
    <s v="2024-04-01"/>
    <x v="5"/>
    <s v="April    "/>
    <s v="4"/>
    <n v="350.7"/>
    <n v="1.86"/>
  </r>
  <r>
    <x v="3"/>
    <s v="Electrical and electronic goods retailing"/>
    <s v="2024-05-01"/>
    <x v="5"/>
    <s v="May      "/>
    <s v="5"/>
    <n v="376.9"/>
    <n v="1.62"/>
  </r>
  <r>
    <x v="3"/>
    <s v="Electrical and electronic goods retailing"/>
    <s v="2024-06-01"/>
    <x v="5"/>
    <s v="June     "/>
    <s v="6"/>
    <n v="443"/>
    <n v="3.82"/>
  </r>
  <r>
    <x v="3"/>
    <s v="Electrical and electronic goods retailing"/>
    <s v="2024-07-01"/>
    <x v="5"/>
    <s v="July     "/>
    <s v="7"/>
    <n v="395.3"/>
    <n v="8.01"/>
  </r>
  <r>
    <x v="3"/>
    <s v="Electrical and electronic goods retailing"/>
    <s v="2024-08-01"/>
    <x v="5"/>
    <s v="August   "/>
    <s v="8"/>
    <n v="387.5"/>
    <n v="5.33"/>
  </r>
  <r>
    <x v="3"/>
    <s v="Electrical and electronic goods retailing"/>
    <s v="2024-09-01"/>
    <x v="5"/>
    <s v="September"/>
    <s v="9"/>
    <n v="398.9"/>
    <n v="-3.2"/>
  </r>
  <r>
    <x v="3"/>
    <s v="Electrical and electronic goods retailing"/>
    <s v="2024-10-01"/>
    <x v="5"/>
    <s v="October  "/>
    <s v="10"/>
    <n v="419.8"/>
    <n v="5.45"/>
  </r>
  <r>
    <x v="3"/>
    <s v="Electrical and electronic goods retailing"/>
    <s v="2024-11-01"/>
    <x v="5"/>
    <s v="November "/>
    <s v="11"/>
    <n v="558.4"/>
    <n v="5"/>
  </r>
  <r>
    <x v="3"/>
    <s v="Electrical and electronic goods retailing"/>
    <s v="2024-12-01"/>
    <x v="5"/>
    <s v="December "/>
    <s v="12"/>
    <n v="626.20000000000005"/>
    <n v="10.93"/>
  </r>
  <r>
    <x v="3"/>
    <s v="Electrical and electronic goods retailing"/>
    <s v="2025-01-01"/>
    <x v="6"/>
    <s v="January  "/>
    <s v="1"/>
    <n v="415.7"/>
    <n v="0.56000000000000005"/>
  </r>
  <r>
    <x v="3"/>
    <s v="Electrical and electronic goods retailing"/>
    <s v="2025-02-01"/>
    <x v="6"/>
    <s v="February "/>
    <s v="2"/>
    <n v="359.2"/>
    <n v="-1.1000000000000001"/>
  </r>
  <r>
    <x v="3"/>
    <s v="Electrical and electronic goods retailing"/>
    <s v="2025-03-01"/>
    <x v="6"/>
    <s v="March    "/>
    <s v="3"/>
    <n v="383.8"/>
    <n v="6.61"/>
  </r>
  <r>
    <x v="3"/>
    <s v="Electrical and electronic goods retailing"/>
    <s v="2025-04-01"/>
    <x v="6"/>
    <s v="April    "/>
    <s v="4"/>
    <n v="372.7"/>
    <n v="6.27"/>
  </r>
  <r>
    <x v="3"/>
    <s v="Electrical and electronic goods retailing"/>
    <s v="2025-05-01"/>
    <x v="6"/>
    <s v="May      "/>
    <s v="5"/>
    <n v="390.9"/>
    <n v="3.71"/>
  </r>
  <r>
    <x v="3"/>
    <s v="Electrical and electronic goods retailing"/>
    <s v="2025-06-01"/>
    <x v="6"/>
    <s v="June     "/>
    <s v="6"/>
    <n v="464"/>
    <n v="4.74"/>
  </r>
  <r>
    <x v="3"/>
    <s v="Footwear and other personal accessory retailing"/>
    <s v="2019-01-01"/>
    <x v="0"/>
    <s v="January  "/>
    <s v="1"/>
    <n v="109.1"/>
    <m/>
  </r>
  <r>
    <x v="3"/>
    <s v="Footwear and other personal accessory retailing"/>
    <s v="2019-02-01"/>
    <x v="0"/>
    <s v="February "/>
    <s v="2"/>
    <n v="86.8"/>
    <m/>
  </r>
  <r>
    <x v="3"/>
    <s v="Footwear and other personal accessory retailing"/>
    <s v="2019-03-01"/>
    <x v="0"/>
    <s v="March    "/>
    <s v="3"/>
    <n v="98.3"/>
    <m/>
  </r>
  <r>
    <x v="3"/>
    <s v="Footwear and other personal accessory retailing"/>
    <s v="2019-04-01"/>
    <x v="0"/>
    <s v="April    "/>
    <s v="4"/>
    <n v="93.1"/>
    <m/>
  </r>
  <r>
    <x v="3"/>
    <s v="Footwear and other personal accessory retailing"/>
    <s v="2019-05-01"/>
    <x v="0"/>
    <s v="May      "/>
    <s v="5"/>
    <n v="102"/>
    <m/>
  </r>
  <r>
    <x v="3"/>
    <s v="Footwear and other personal accessory retailing"/>
    <s v="2019-06-01"/>
    <x v="0"/>
    <s v="June     "/>
    <s v="6"/>
    <n v="103.6"/>
    <m/>
  </r>
  <r>
    <x v="3"/>
    <s v="Footwear and other personal accessory retailing"/>
    <s v="2019-07-01"/>
    <x v="0"/>
    <s v="July     "/>
    <s v="7"/>
    <n v="108.5"/>
    <m/>
  </r>
  <r>
    <x v="3"/>
    <s v="Footwear and other personal accessory retailing"/>
    <s v="2019-08-01"/>
    <x v="0"/>
    <s v="August   "/>
    <s v="8"/>
    <n v="117.3"/>
    <m/>
  </r>
  <r>
    <x v="3"/>
    <s v="Footwear and other personal accessory retailing"/>
    <s v="2019-09-01"/>
    <x v="0"/>
    <s v="September"/>
    <s v="9"/>
    <n v="106.7"/>
    <m/>
  </r>
  <r>
    <x v="3"/>
    <s v="Footwear and other personal accessory retailing"/>
    <s v="2019-10-01"/>
    <x v="0"/>
    <s v="October  "/>
    <s v="10"/>
    <n v="108.4"/>
    <m/>
  </r>
  <r>
    <x v="3"/>
    <s v="Footwear and other personal accessory retailing"/>
    <s v="2019-11-01"/>
    <x v="0"/>
    <s v="November "/>
    <s v="11"/>
    <n v="121.5"/>
    <m/>
  </r>
  <r>
    <x v="3"/>
    <s v="Footwear and other personal accessory retailing"/>
    <s v="2019-12-01"/>
    <x v="0"/>
    <s v="December "/>
    <s v="12"/>
    <n v="206.5"/>
    <m/>
  </r>
  <r>
    <x v="3"/>
    <s v="Footwear and other personal accessory retailing"/>
    <s v="2020-01-01"/>
    <x v="1"/>
    <s v="January  "/>
    <s v="1"/>
    <n v="120.5"/>
    <n v="10.45"/>
  </r>
  <r>
    <x v="3"/>
    <s v="Footwear and other personal accessory retailing"/>
    <s v="2020-02-01"/>
    <x v="1"/>
    <s v="February "/>
    <s v="2"/>
    <n v="92.3"/>
    <n v="6.34"/>
  </r>
  <r>
    <x v="3"/>
    <s v="Footwear and other personal accessory retailing"/>
    <s v="2020-03-01"/>
    <x v="1"/>
    <s v="March    "/>
    <s v="3"/>
    <n v="79.599999999999994"/>
    <n v="-19.02"/>
  </r>
  <r>
    <x v="3"/>
    <s v="Footwear and other personal accessory retailing"/>
    <s v="2020-04-01"/>
    <x v="1"/>
    <s v="April    "/>
    <s v="4"/>
    <n v="35.9"/>
    <n v="-61.44"/>
  </r>
  <r>
    <x v="3"/>
    <s v="Footwear and other personal accessory retailing"/>
    <s v="2020-05-01"/>
    <x v="1"/>
    <s v="May      "/>
    <s v="5"/>
    <n v="100.7"/>
    <n v="-1.27"/>
  </r>
  <r>
    <x v="3"/>
    <s v="Footwear and other personal accessory retailing"/>
    <s v="2020-06-01"/>
    <x v="1"/>
    <s v="June     "/>
    <s v="6"/>
    <n v="97.3"/>
    <n v="-6.08"/>
  </r>
  <r>
    <x v="3"/>
    <s v="Footwear and other personal accessory retailing"/>
    <s v="2020-07-01"/>
    <x v="1"/>
    <s v="July     "/>
    <s v="7"/>
    <n v="128.80000000000001"/>
    <n v="18.71"/>
  </r>
  <r>
    <x v="3"/>
    <s v="Footwear and other personal accessory retailing"/>
    <s v="2020-08-01"/>
    <x v="1"/>
    <s v="August   "/>
    <s v="8"/>
    <n v="124.3"/>
    <n v="5.97"/>
  </r>
  <r>
    <x v="3"/>
    <s v="Footwear and other personal accessory retailing"/>
    <s v="2020-09-01"/>
    <x v="1"/>
    <s v="September"/>
    <s v="9"/>
    <n v="117.7"/>
    <n v="10.31"/>
  </r>
  <r>
    <x v="3"/>
    <s v="Footwear and other personal accessory retailing"/>
    <s v="2020-10-01"/>
    <x v="1"/>
    <s v="October  "/>
    <s v="10"/>
    <n v="120.8"/>
    <n v="11.44"/>
  </r>
  <r>
    <x v="3"/>
    <s v="Footwear and other personal accessory retailing"/>
    <s v="2020-11-01"/>
    <x v="1"/>
    <s v="November "/>
    <s v="11"/>
    <n v="140.19999999999999"/>
    <n v="15.39"/>
  </r>
  <r>
    <x v="3"/>
    <s v="Footwear and other personal accessory retailing"/>
    <s v="2020-12-01"/>
    <x v="1"/>
    <s v="December "/>
    <s v="12"/>
    <n v="242.3"/>
    <n v="17.34"/>
  </r>
  <r>
    <x v="3"/>
    <s v="Footwear and other personal accessory retailing"/>
    <s v="2021-01-01"/>
    <x v="2"/>
    <s v="January  "/>
    <s v="1"/>
    <n v="140.30000000000001"/>
    <n v="16.43"/>
  </r>
  <r>
    <x v="3"/>
    <s v="Footwear and other personal accessory retailing"/>
    <s v="2021-02-01"/>
    <x v="2"/>
    <s v="February "/>
    <s v="2"/>
    <n v="122.4"/>
    <n v="32.61"/>
  </r>
  <r>
    <x v="3"/>
    <s v="Footwear and other personal accessory retailing"/>
    <s v="2021-03-01"/>
    <x v="2"/>
    <s v="March    "/>
    <s v="3"/>
    <n v="118.3"/>
    <n v="48.62"/>
  </r>
  <r>
    <x v="3"/>
    <s v="Footwear and other personal accessory retailing"/>
    <s v="2021-04-01"/>
    <x v="2"/>
    <s v="April    "/>
    <s v="4"/>
    <n v="108.9"/>
    <n v="203.34"/>
  </r>
  <r>
    <x v="3"/>
    <s v="Footwear and other personal accessory retailing"/>
    <s v="2021-05-01"/>
    <x v="2"/>
    <s v="May      "/>
    <s v="5"/>
    <n v="129"/>
    <n v="28.1"/>
  </r>
  <r>
    <x v="3"/>
    <s v="Footwear and other personal accessory retailing"/>
    <s v="2021-06-01"/>
    <x v="2"/>
    <s v="June     "/>
    <s v="6"/>
    <n v="124.5"/>
    <n v="27.95"/>
  </r>
  <r>
    <x v="3"/>
    <s v="Footwear and other personal accessory retailing"/>
    <s v="2021-07-01"/>
    <x v="2"/>
    <s v="July     "/>
    <s v="7"/>
    <n v="132.5"/>
    <n v="2.87"/>
  </r>
  <r>
    <x v="3"/>
    <s v="Footwear and other personal accessory retailing"/>
    <s v="2021-08-01"/>
    <x v="2"/>
    <s v="August   "/>
    <s v="8"/>
    <n v="109"/>
    <n v="-12.31"/>
  </r>
  <r>
    <x v="3"/>
    <s v="Footwear and other personal accessory retailing"/>
    <s v="2021-09-01"/>
    <x v="2"/>
    <s v="September"/>
    <s v="9"/>
    <n v="140.19999999999999"/>
    <n v="19.12"/>
  </r>
  <r>
    <x v="3"/>
    <s v="Footwear and other personal accessory retailing"/>
    <s v="2021-10-01"/>
    <x v="2"/>
    <s v="October  "/>
    <s v="10"/>
    <n v="142.19999999999999"/>
    <n v="17.72"/>
  </r>
  <r>
    <x v="3"/>
    <s v="Footwear and other personal accessory retailing"/>
    <s v="2021-11-01"/>
    <x v="2"/>
    <s v="November "/>
    <s v="11"/>
    <n v="167"/>
    <n v="19.12"/>
  </r>
  <r>
    <x v="3"/>
    <s v="Footwear and other personal accessory retailing"/>
    <s v="2021-12-01"/>
    <x v="2"/>
    <s v="December "/>
    <s v="12"/>
    <n v="256.60000000000002"/>
    <n v="5.9"/>
  </r>
  <r>
    <x v="3"/>
    <s v="Footwear and other personal accessory retailing"/>
    <s v="2022-01-01"/>
    <x v="3"/>
    <s v="January  "/>
    <s v="1"/>
    <n v="138.1"/>
    <n v="-1.57"/>
  </r>
  <r>
    <x v="3"/>
    <s v="Footwear and other personal accessory retailing"/>
    <s v="2022-02-01"/>
    <x v="3"/>
    <s v="February "/>
    <s v="2"/>
    <n v="134.6"/>
    <n v="9.9700000000000006"/>
  </r>
  <r>
    <x v="3"/>
    <s v="Footwear and other personal accessory retailing"/>
    <s v="2022-03-01"/>
    <x v="3"/>
    <s v="March    "/>
    <s v="3"/>
    <n v="144.4"/>
    <n v="22.06"/>
  </r>
  <r>
    <x v="3"/>
    <s v="Footwear and other personal accessory retailing"/>
    <s v="2022-04-01"/>
    <x v="3"/>
    <s v="April    "/>
    <s v="4"/>
    <n v="146.30000000000001"/>
    <n v="34.340000000000003"/>
  </r>
  <r>
    <x v="3"/>
    <s v="Footwear and other personal accessory retailing"/>
    <s v="2022-05-01"/>
    <x v="3"/>
    <s v="May      "/>
    <s v="5"/>
    <n v="153.69999999999999"/>
    <n v="19.149999999999999"/>
  </r>
  <r>
    <x v="3"/>
    <s v="Footwear and other personal accessory retailing"/>
    <s v="2022-06-01"/>
    <x v="3"/>
    <s v="June     "/>
    <s v="6"/>
    <n v="156.1"/>
    <n v="25.38"/>
  </r>
  <r>
    <x v="3"/>
    <s v="Footwear and other personal accessory retailing"/>
    <s v="2022-07-01"/>
    <x v="3"/>
    <s v="July     "/>
    <s v="7"/>
    <n v="162.19999999999999"/>
    <n v="22.42"/>
  </r>
  <r>
    <x v="3"/>
    <s v="Footwear and other personal accessory retailing"/>
    <s v="2022-08-01"/>
    <x v="3"/>
    <s v="August   "/>
    <s v="8"/>
    <n v="155.9"/>
    <n v="43.03"/>
  </r>
  <r>
    <x v="3"/>
    <s v="Footwear and other personal accessory retailing"/>
    <s v="2022-09-01"/>
    <x v="3"/>
    <s v="September"/>
    <s v="9"/>
    <n v="163.5"/>
    <n v="16.62"/>
  </r>
  <r>
    <x v="3"/>
    <s v="Footwear and other personal accessory retailing"/>
    <s v="2022-10-01"/>
    <x v="3"/>
    <s v="October  "/>
    <s v="10"/>
    <n v="163.80000000000001"/>
    <n v="15.19"/>
  </r>
  <r>
    <x v="3"/>
    <s v="Footwear and other personal accessory retailing"/>
    <s v="2022-11-01"/>
    <x v="3"/>
    <s v="November "/>
    <s v="11"/>
    <n v="200.7"/>
    <n v="20.18"/>
  </r>
  <r>
    <x v="3"/>
    <s v="Footwear and other personal accessory retailing"/>
    <s v="2022-12-01"/>
    <x v="3"/>
    <s v="December "/>
    <s v="12"/>
    <n v="288.39999999999998"/>
    <n v="12.39"/>
  </r>
  <r>
    <x v="3"/>
    <s v="Footwear and other personal accessory retailing"/>
    <s v="2023-01-01"/>
    <x v="4"/>
    <s v="January  "/>
    <s v="1"/>
    <n v="185"/>
    <n v="33.96"/>
  </r>
  <r>
    <x v="3"/>
    <s v="Footwear and other personal accessory retailing"/>
    <s v="2023-02-01"/>
    <x v="4"/>
    <s v="February "/>
    <s v="2"/>
    <n v="144.30000000000001"/>
    <n v="7.21"/>
  </r>
  <r>
    <x v="3"/>
    <s v="Footwear and other personal accessory retailing"/>
    <s v="2023-03-01"/>
    <x v="4"/>
    <s v="March    "/>
    <s v="3"/>
    <n v="150.1"/>
    <n v="3.95"/>
  </r>
  <r>
    <x v="3"/>
    <s v="Footwear and other personal accessory retailing"/>
    <s v="2023-04-01"/>
    <x v="4"/>
    <s v="April    "/>
    <s v="4"/>
    <n v="144.4"/>
    <n v="-1.3"/>
  </r>
  <r>
    <x v="3"/>
    <s v="Footwear and other personal accessory retailing"/>
    <s v="2023-05-01"/>
    <x v="4"/>
    <s v="May      "/>
    <s v="5"/>
    <n v="162.1"/>
    <n v="5.47"/>
  </r>
  <r>
    <x v="3"/>
    <s v="Footwear and other personal accessory retailing"/>
    <s v="2023-06-01"/>
    <x v="4"/>
    <s v="June     "/>
    <s v="6"/>
    <n v="160.6"/>
    <n v="2.88"/>
  </r>
  <r>
    <x v="3"/>
    <s v="Footwear and other personal accessory retailing"/>
    <s v="2023-07-01"/>
    <x v="4"/>
    <s v="July     "/>
    <s v="7"/>
    <n v="159.9"/>
    <n v="-1.42"/>
  </r>
  <r>
    <x v="3"/>
    <s v="Footwear and other personal accessory retailing"/>
    <s v="2023-08-01"/>
    <x v="4"/>
    <s v="August   "/>
    <s v="8"/>
    <n v="171.2"/>
    <n v="9.81"/>
  </r>
  <r>
    <x v="3"/>
    <s v="Footwear and other personal accessory retailing"/>
    <s v="2023-09-01"/>
    <x v="4"/>
    <s v="September"/>
    <s v="9"/>
    <n v="164.4"/>
    <n v="0.55000000000000004"/>
  </r>
  <r>
    <x v="3"/>
    <s v="Footwear and other personal accessory retailing"/>
    <s v="2023-10-01"/>
    <x v="4"/>
    <s v="October  "/>
    <s v="10"/>
    <n v="168.7"/>
    <n v="2.99"/>
  </r>
  <r>
    <x v="3"/>
    <s v="Footwear and other personal accessory retailing"/>
    <s v="2023-11-01"/>
    <x v="4"/>
    <s v="November "/>
    <s v="11"/>
    <n v="206.6"/>
    <n v="2.94"/>
  </r>
  <r>
    <x v="3"/>
    <s v="Footwear and other personal accessory retailing"/>
    <s v="2023-12-01"/>
    <x v="4"/>
    <s v="December "/>
    <s v="12"/>
    <n v="284.3"/>
    <n v="-1.42"/>
  </r>
  <r>
    <x v="3"/>
    <s v="Footwear and other personal accessory retailing"/>
    <s v="2024-01-01"/>
    <x v="5"/>
    <s v="January  "/>
    <s v="1"/>
    <n v="173.9"/>
    <n v="-6"/>
  </r>
  <r>
    <x v="3"/>
    <s v="Footwear and other personal accessory retailing"/>
    <s v="2024-02-01"/>
    <x v="5"/>
    <s v="February "/>
    <s v="2"/>
    <n v="150"/>
    <n v="3.95"/>
  </r>
  <r>
    <x v="3"/>
    <s v="Footwear and other personal accessory retailing"/>
    <s v="2024-03-01"/>
    <x v="5"/>
    <s v="March    "/>
    <s v="3"/>
    <n v="155.5"/>
    <n v="3.6"/>
  </r>
  <r>
    <x v="3"/>
    <s v="Footwear and other personal accessory retailing"/>
    <s v="2024-04-01"/>
    <x v="5"/>
    <s v="April    "/>
    <s v="4"/>
    <n v="152.9"/>
    <n v="5.89"/>
  </r>
  <r>
    <x v="3"/>
    <s v="Footwear and other personal accessory retailing"/>
    <s v="2024-05-01"/>
    <x v="5"/>
    <s v="May      "/>
    <s v="5"/>
    <n v="171.1"/>
    <n v="5.55"/>
  </r>
  <r>
    <x v="3"/>
    <s v="Footwear and other personal accessory retailing"/>
    <s v="2024-06-01"/>
    <x v="5"/>
    <s v="June     "/>
    <s v="6"/>
    <n v="165.2"/>
    <n v="2.86"/>
  </r>
  <r>
    <x v="3"/>
    <s v="Footwear and other personal accessory retailing"/>
    <s v="2024-07-01"/>
    <x v="5"/>
    <s v="July     "/>
    <s v="7"/>
    <n v="166.8"/>
    <n v="4.32"/>
  </r>
  <r>
    <x v="3"/>
    <s v="Footwear and other personal accessory retailing"/>
    <s v="2024-08-01"/>
    <x v="5"/>
    <s v="August   "/>
    <s v="8"/>
    <n v="170.5"/>
    <n v="-0.41"/>
  </r>
  <r>
    <x v="3"/>
    <s v="Footwear and other personal accessory retailing"/>
    <s v="2024-09-01"/>
    <x v="5"/>
    <s v="September"/>
    <s v="9"/>
    <n v="166.9"/>
    <n v="1.52"/>
  </r>
  <r>
    <x v="3"/>
    <s v="Footwear and other personal accessory retailing"/>
    <s v="2024-10-01"/>
    <x v="5"/>
    <s v="October  "/>
    <s v="10"/>
    <n v="176.8"/>
    <n v="4.8"/>
  </r>
  <r>
    <x v="3"/>
    <s v="Footwear and other personal accessory retailing"/>
    <s v="2024-11-01"/>
    <x v="5"/>
    <s v="November "/>
    <s v="11"/>
    <n v="213.9"/>
    <n v="3.53"/>
  </r>
  <r>
    <x v="3"/>
    <s v="Footwear and other personal accessory retailing"/>
    <s v="2024-12-01"/>
    <x v="5"/>
    <s v="December "/>
    <s v="12"/>
    <n v="304.60000000000002"/>
    <n v="7.14"/>
  </r>
  <r>
    <x v="3"/>
    <s v="Footwear and other personal accessory retailing"/>
    <s v="2025-01-01"/>
    <x v="6"/>
    <s v="January  "/>
    <s v="1"/>
    <n v="191.4"/>
    <n v="10.06"/>
  </r>
  <r>
    <x v="3"/>
    <s v="Footwear and other personal accessory retailing"/>
    <s v="2025-02-01"/>
    <x v="6"/>
    <s v="February "/>
    <s v="2"/>
    <n v="149.19999999999999"/>
    <n v="-0.53"/>
  </r>
  <r>
    <x v="3"/>
    <s v="Footwear and other personal accessory retailing"/>
    <s v="2025-03-01"/>
    <x v="6"/>
    <s v="March    "/>
    <s v="3"/>
    <n v="153.6"/>
    <n v="-1.22"/>
  </r>
  <r>
    <x v="3"/>
    <s v="Footwear and other personal accessory retailing"/>
    <s v="2025-04-01"/>
    <x v="6"/>
    <s v="April    "/>
    <s v="4"/>
    <n v="160.6"/>
    <n v="5.04"/>
  </r>
  <r>
    <x v="3"/>
    <s v="Footwear and other personal accessory retailing"/>
    <s v="2025-05-01"/>
    <x v="6"/>
    <s v="May      "/>
    <s v="5"/>
    <n v="183.8"/>
    <n v="7.42"/>
  </r>
  <r>
    <x v="3"/>
    <s v="Footwear and other personal accessory retailing"/>
    <s v="2025-06-01"/>
    <x v="6"/>
    <s v="June     "/>
    <s v="6"/>
    <n v="170.1"/>
    <n v="2.97"/>
  </r>
  <r>
    <x v="3"/>
    <s v="Furniture, floor coverings, houseware and textile goods retailing"/>
    <s v="2019-01-01"/>
    <x v="0"/>
    <s v="January  "/>
    <s v="1"/>
    <n v="213.5"/>
    <m/>
  </r>
  <r>
    <x v="3"/>
    <s v="Furniture, floor coverings, houseware and textile goods retailing"/>
    <s v="2019-02-01"/>
    <x v="0"/>
    <s v="February "/>
    <s v="2"/>
    <n v="184.4"/>
    <m/>
  </r>
  <r>
    <x v="3"/>
    <s v="Furniture, floor coverings, houseware and textile goods retailing"/>
    <s v="2019-03-01"/>
    <x v="0"/>
    <s v="March    "/>
    <s v="3"/>
    <n v="204.1"/>
    <m/>
  </r>
  <r>
    <x v="3"/>
    <s v="Furniture, floor coverings, houseware and textile goods retailing"/>
    <s v="2019-04-01"/>
    <x v="0"/>
    <s v="April    "/>
    <s v="4"/>
    <n v="192.9"/>
    <m/>
  </r>
  <r>
    <x v="3"/>
    <s v="Furniture, floor coverings, houseware and textile goods retailing"/>
    <s v="2019-05-01"/>
    <x v="0"/>
    <s v="May      "/>
    <s v="5"/>
    <n v="210.6"/>
    <m/>
  </r>
  <r>
    <x v="3"/>
    <s v="Furniture, floor coverings, houseware and textile goods retailing"/>
    <s v="2019-06-01"/>
    <x v="0"/>
    <s v="June     "/>
    <s v="6"/>
    <n v="229.8"/>
    <m/>
  </r>
  <r>
    <x v="3"/>
    <s v="Furniture, floor coverings, houseware and textile goods retailing"/>
    <s v="2019-07-01"/>
    <x v="0"/>
    <s v="July     "/>
    <s v="7"/>
    <n v="221.6"/>
    <m/>
  </r>
  <r>
    <x v="3"/>
    <s v="Furniture, floor coverings, houseware and textile goods retailing"/>
    <s v="2019-08-01"/>
    <x v="0"/>
    <s v="August   "/>
    <s v="8"/>
    <n v="225.7"/>
    <m/>
  </r>
  <r>
    <x v="3"/>
    <s v="Furniture, floor coverings, houseware and textile goods retailing"/>
    <s v="2019-09-01"/>
    <x v="0"/>
    <s v="September"/>
    <s v="9"/>
    <n v="215.2"/>
    <m/>
  </r>
  <r>
    <x v="3"/>
    <s v="Furniture, floor coverings, houseware and textile goods retailing"/>
    <s v="2019-10-01"/>
    <x v="0"/>
    <s v="October  "/>
    <s v="10"/>
    <n v="226.9"/>
    <m/>
  </r>
  <r>
    <x v="3"/>
    <s v="Furniture, floor coverings, houseware and textile goods retailing"/>
    <s v="2019-11-01"/>
    <x v="0"/>
    <s v="November "/>
    <s v="11"/>
    <n v="243.7"/>
    <m/>
  </r>
  <r>
    <x v="3"/>
    <s v="Furniture, floor coverings, houseware and textile goods retailing"/>
    <s v="2019-12-01"/>
    <x v="0"/>
    <s v="December "/>
    <s v="12"/>
    <n v="275"/>
    <m/>
  </r>
  <r>
    <x v="3"/>
    <s v="Furniture, floor coverings, houseware and textile goods retailing"/>
    <s v="2020-01-01"/>
    <x v="1"/>
    <s v="January  "/>
    <s v="1"/>
    <n v="224.8"/>
    <n v="5.29"/>
  </r>
  <r>
    <x v="3"/>
    <s v="Furniture, floor coverings, houseware and textile goods retailing"/>
    <s v="2020-02-01"/>
    <x v="1"/>
    <s v="February "/>
    <s v="2"/>
    <n v="196.3"/>
    <n v="6.45"/>
  </r>
  <r>
    <x v="3"/>
    <s v="Furniture, floor coverings, houseware and textile goods retailing"/>
    <s v="2020-03-01"/>
    <x v="1"/>
    <s v="March    "/>
    <s v="3"/>
    <n v="189.1"/>
    <n v="-7.35"/>
  </r>
  <r>
    <x v="3"/>
    <s v="Furniture, floor coverings, houseware and textile goods retailing"/>
    <s v="2020-04-01"/>
    <x v="1"/>
    <s v="April    "/>
    <s v="4"/>
    <n v="186.2"/>
    <n v="-3.47"/>
  </r>
  <r>
    <x v="3"/>
    <s v="Furniture, floor coverings, houseware and textile goods retailing"/>
    <s v="2020-05-01"/>
    <x v="1"/>
    <s v="May      "/>
    <s v="5"/>
    <n v="278.39999999999998"/>
    <n v="32.19"/>
  </r>
  <r>
    <x v="3"/>
    <s v="Furniture, floor coverings, houseware and textile goods retailing"/>
    <s v="2020-06-01"/>
    <x v="1"/>
    <s v="June     "/>
    <s v="6"/>
    <n v="292.3"/>
    <n v="27.2"/>
  </r>
  <r>
    <x v="3"/>
    <s v="Furniture, floor coverings, houseware and textile goods retailing"/>
    <s v="2020-07-01"/>
    <x v="1"/>
    <s v="July     "/>
    <s v="7"/>
    <n v="320.5"/>
    <n v="44.63"/>
  </r>
  <r>
    <x v="3"/>
    <s v="Furniture, floor coverings, houseware and textile goods retailing"/>
    <s v="2020-08-01"/>
    <x v="1"/>
    <s v="August   "/>
    <s v="8"/>
    <n v="314.2"/>
    <n v="39.21"/>
  </r>
  <r>
    <x v="3"/>
    <s v="Furniture, floor coverings, houseware and textile goods retailing"/>
    <s v="2020-09-01"/>
    <x v="1"/>
    <s v="September"/>
    <s v="9"/>
    <n v="303.60000000000002"/>
    <n v="41.08"/>
  </r>
  <r>
    <x v="3"/>
    <s v="Furniture, floor coverings, houseware and textile goods retailing"/>
    <s v="2020-10-01"/>
    <x v="1"/>
    <s v="October  "/>
    <s v="10"/>
    <n v="310.5"/>
    <n v="36.840000000000003"/>
  </r>
  <r>
    <x v="3"/>
    <s v="Furniture, floor coverings, houseware and textile goods retailing"/>
    <s v="2020-11-01"/>
    <x v="1"/>
    <s v="November "/>
    <s v="11"/>
    <n v="327"/>
    <n v="34.18"/>
  </r>
  <r>
    <x v="3"/>
    <s v="Furniture, floor coverings, houseware and textile goods retailing"/>
    <s v="2020-12-01"/>
    <x v="1"/>
    <s v="December "/>
    <s v="12"/>
    <n v="360.2"/>
    <n v="30.98"/>
  </r>
  <r>
    <x v="3"/>
    <s v="Furniture, floor coverings, houseware and textile goods retailing"/>
    <s v="2021-01-01"/>
    <x v="2"/>
    <s v="January  "/>
    <s v="1"/>
    <n v="291.2"/>
    <n v="29.54"/>
  </r>
  <r>
    <x v="3"/>
    <s v="Furniture, floor coverings, houseware and textile goods retailing"/>
    <s v="2021-02-01"/>
    <x v="2"/>
    <s v="February "/>
    <s v="2"/>
    <n v="270.2"/>
    <n v="37.65"/>
  </r>
  <r>
    <x v="3"/>
    <s v="Furniture, floor coverings, houseware and textile goods retailing"/>
    <s v="2021-03-01"/>
    <x v="2"/>
    <s v="March    "/>
    <s v="3"/>
    <n v="284.39999999999998"/>
    <n v="50.4"/>
  </r>
  <r>
    <x v="3"/>
    <s v="Furniture, floor coverings, houseware and textile goods retailing"/>
    <s v="2021-04-01"/>
    <x v="2"/>
    <s v="April    "/>
    <s v="4"/>
    <n v="275.60000000000002"/>
    <n v="48.01"/>
  </r>
  <r>
    <x v="3"/>
    <s v="Furniture, floor coverings, houseware and textile goods retailing"/>
    <s v="2021-05-01"/>
    <x v="2"/>
    <s v="May      "/>
    <s v="5"/>
    <n v="290.39999999999998"/>
    <n v="4.3099999999999996"/>
  </r>
  <r>
    <x v="3"/>
    <s v="Furniture, floor coverings, houseware and textile goods retailing"/>
    <s v="2021-06-01"/>
    <x v="2"/>
    <s v="June     "/>
    <s v="6"/>
    <n v="315.8"/>
    <n v="8.0399999999999991"/>
  </r>
  <r>
    <x v="3"/>
    <s v="Furniture, floor coverings, houseware and textile goods retailing"/>
    <s v="2021-07-01"/>
    <x v="2"/>
    <s v="July     "/>
    <s v="7"/>
    <n v="309.5"/>
    <n v="-3.43"/>
  </r>
  <r>
    <x v="3"/>
    <s v="Furniture, floor coverings, houseware and textile goods retailing"/>
    <s v="2021-08-01"/>
    <x v="2"/>
    <s v="August   "/>
    <s v="8"/>
    <n v="301.5"/>
    <n v="-4.04"/>
  </r>
  <r>
    <x v="3"/>
    <s v="Furniture, floor coverings, houseware and textile goods retailing"/>
    <s v="2021-09-01"/>
    <x v="2"/>
    <s v="September"/>
    <s v="9"/>
    <n v="325.60000000000002"/>
    <n v="7.25"/>
  </r>
  <r>
    <x v="3"/>
    <s v="Furniture, floor coverings, houseware and textile goods retailing"/>
    <s v="2021-10-01"/>
    <x v="2"/>
    <s v="October  "/>
    <s v="10"/>
    <n v="311.7"/>
    <n v="0.39"/>
  </r>
  <r>
    <x v="3"/>
    <s v="Furniture, floor coverings, houseware and textile goods retailing"/>
    <s v="2021-11-01"/>
    <x v="2"/>
    <s v="November "/>
    <s v="11"/>
    <n v="349"/>
    <n v="6.73"/>
  </r>
  <r>
    <x v="3"/>
    <s v="Furniture, floor coverings, houseware and textile goods retailing"/>
    <s v="2021-12-01"/>
    <x v="2"/>
    <s v="December "/>
    <s v="12"/>
    <n v="360.7"/>
    <n v="0.14000000000000001"/>
  </r>
  <r>
    <x v="3"/>
    <s v="Furniture, floor coverings, houseware and textile goods retailing"/>
    <s v="2022-01-01"/>
    <x v="3"/>
    <s v="January  "/>
    <s v="1"/>
    <n v="311"/>
    <n v="6.8"/>
  </r>
  <r>
    <x v="3"/>
    <s v="Furniture, floor coverings, houseware and textile goods retailing"/>
    <s v="2022-02-01"/>
    <x v="3"/>
    <s v="February "/>
    <s v="2"/>
    <n v="266.10000000000002"/>
    <n v="-1.52"/>
  </r>
  <r>
    <x v="3"/>
    <s v="Furniture, floor coverings, houseware and textile goods retailing"/>
    <s v="2022-03-01"/>
    <x v="3"/>
    <s v="March    "/>
    <s v="3"/>
    <n v="298.10000000000002"/>
    <n v="4.82"/>
  </r>
  <r>
    <x v="3"/>
    <s v="Furniture, floor coverings, houseware and textile goods retailing"/>
    <s v="2022-04-01"/>
    <x v="3"/>
    <s v="April    "/>
    <s v="4"/>
    <n v="278.3"/>
    <n v="0.98"/>
  </r>
  <r>
    <x v="3"/>
    <s v="Furniture, floor coverings, houseware and textile goods retailing"/>
    <s v="2022-05-01"/>
    <x v="3"/>
    <s v="May      "/>
    <s v="5"/>
    <n v="294.2"/>
    <n v="1.31"/>
  </r>
  <r>
    <x v="3"/>
    <s v="Furniture, floor coverings, houseware and textile goods retailing"/>
    <s v="2022-06-01"/>
    <x v="3"/>
    <s v="June     "/>
    <s v="6"/>
    <n v="303.10000000000002"/>
    <n v="-4.0199999999999996"/>
  </r>
  <r>
    <x v="3"/>
    <s v="Furniture, floor coverings, houseware and textile goods retailing"/>
    <s v="2022-07-01"/>
    <x v="3"/>
    <s v="July     "/>
    <s v="7"/>
    <n v="296"/>
    <n v="-4.3600000000000003"/>
  </r>
  <r>
    <x v="3"/>
    <s v="Furniture, floor coverings, houseware and textile goods retailing"/>
    <s v="2022-08-01"/>
    <x v="3"/>
    <s v="August   "/>
    <s v="8"/>
    <n v="309"/>
    <n v="2.4900000000000002"/>
  </r>
  <r>
    <x v="3"/>
    <s v="Furniture, floor coverings, houseware and textile goods retailing"/>
    <s v="2022-09-01"/>
    <x v="3"/>
    <s v="September"/>
    <s v="9"/>
    <n v="306.8"/>
    <n v="-5.77"/>
  </r>
  <r>
    <x v="3"/>
    <s v="Furniture, floor coverings, houseware and textile goods retailing"/>
    <s v="2022-10-01"/>
    <x v="3"/>
    <s v="October  "/>
    <s v="10"/>
    <n v="307.2"/>
    <n v="-1.44"/>
  </r>
  <r>
    <x v="3"/>
    <s v="Furniture, floor coverings, houseware and textile goods retailing"/>
    <s v="2022-11-01"/>
    <x v="3"/>
    <s v="November "/>
    <s v="11"/>
    <n v="329.9"/>
    <n v="-5.47"/>
  </r>
  <r>
    <x v="3"/>
    <s v="Furniture, floor coverings, houseware and textile goods retailing"/>
    <s v="2022-12-01"/>
    <x v="3"/>
    <s v="December "/>
    <s v="12"/>
    <n v="331.4"/>
    <n v="-8.1199999999999992"/>
  </r>
  <r>
    <x v="3"/>
    <s v="Furniture, floor coverings, houseware and textile goods retailing"/>
    <s v="2023-01-01"/>
    <x v="4"/>
    <s v="January  "/>
    <s v="1"/>
    <n v="282.39999999999998"/>
    <n v="-9.1999999999999993"/>
  </r>
  <r>
    <x v="3"/>
    <s v="Furniture, floor coverings, houseware and textile goods retailing"/>
    <s v="2023-02-01"/>
    <x v="4"/>
    <s v="February "/>
    <s v="2"/>
    <n v="244.2"/>
    <n v="-8.23"/>
  </r>
  <r>
    <x v="3"/>
    <s v="Furniture, floor coverings, houseware and textile goods retailing"/>
    <s v="2023-03-01"/>
    <x v="4"/>
    <s v="March    "/>
    <s v="3"/>
    <n v="274.39999999999998"/>
    <n v="-7.95"/>
  </r>
  <r>
    <x v="3"/>
    <s v="Furniture, floor coverings, houseware and textile goods retailing"/>
    <s v="2023-04-01"/>
    <x v="4"/>
    <s v="April    "/>
    <s v="4"/>
    <n v="253"/>
    <n v="-9.09"/>
  </r>
  <r>
    <x v="3"/>
    <s v="Furniture, floor coverings, houseware and textile goods retailing"/>
    <s v="2023-05-01"/>
    <x v="4"/>
    <s v="May      "/>
    <s v="5"/>
    <n v="286.39999999999998"/>
    <n v="-2.65"/>
  </r>
  <r>
    <x v="3"/>
    <s v="Furniture, floor coverings, houseware and textile goods retailing"/>
    <s v="2023-06-01"/>
    <x v="4"/>
    <s v="June     "/>
    <s v="6"/>
    <n v="293.89999999999998"/>
    <n v="-3.04"/>
  </r>
  <r>
    <x v="3"/>
    <s v="Furniture, floor coverings, houseware and textile goods retailing"/>
    <s v="2023-07-01"/>
    <x v="4"/>
    <s v="July     "/>
    <s v="7"/>
    <n v="281"/>
    <n v="-5.07"/>
  </r>
  <r>
    <x v="3"/>
    <s v="Furniture, floor coverings, houseware and textile goods retailing"/>
    <s v="2023-08-01"/>
    <x v="4"/>
    <s v="August   "/>
    <s v="8"/>
    <n v="273.60000000000002"/>
    <n v="-11.46"/>
  </r>
  <r>
    <x v="3"/>
    <s v="Furniture, floor coverings, houseware and textile goods retailing"/>
    <s v="2023-09-01"/>
    <x v="4"/>
    <s v="September"/>
    <s v="9"/>
    <n v="271.3"/>
    <n v="-11.57"/>
  </r>
  <r>
    <x v="3"/>
    <s v="Furniture, floor coverings, houseware and textile goods retailing"/>
    <s v="2023-10-01"/>
    <x v="4"/>
    <s v="October  "/>
    <s v="10"/>
    <n v="285.2"/>
    <n v="-7.16"/>
  </r>
  <r>
    <x v="3"/>
    <s v="Furniture, floor coverings, houseware and textile goods retailing"/>
    <s v="2023-11-01"/>
    <x v="4"/>
    <s v="November "/>
    <s v="11"/>
    <n v="338.6"/>
    <n v="2.64"/>
  </r>
  <r>
    <x v="3"/>
    <s v="Furniture, floor coverings, houseware and textile goods retailing"/>
    <s v="2023-12-01"/>
    <x v="4"/>
    <s v="December "/>
    <s v="12"/>
    <n v="326.60000000000002"/>
    <n v="-1.45"/>
  </r>
  <r>
    <x v="3"/>
    <s v="Furniture, floor coverings, houseware and textile goods retailing"/>
    <s v="2024-01-01"/>
    <x v="5"/>
    <s v="January  "/>
    <s v="1"/>
    <n v="286.2"/>
    <n v="1.35"/>
  </r>
  <r>
    <x v="3"/>
    <s v="Furniture, floor coverings, houseware and textile goods retailing"/>
    <s v="2024-02-01"/>
    <x v="5"/>
    <s v="February "/>
    <s v="2"/>
    <n v="268.10000000000002"/>
    <n v="9.7899999999999991"/>
  </r>
  <r>
    <x v="3"/>
    <s v="Furniture, floor coverings, houseware and textile goods retailing"/>
    <s v="2024-03-01"/>
    <x v="5"/>
    <s v="March    "/>
    <s v="3"/>
    <n v="278"/>
    <n v="1.31"/>
  </r>
  <r>
    <x v="3"/>
    <s v="Furniture, floor coverings, houseware and textile goods retailing"/>
    <s v="2024-04-01"/>
    <x v="5"/>
    <s v="April    "/>
    <s v="4"/>
    <n v="259"/>
    <n v="2.37"/>
  </r>
  <r>
    <x v="3"/>
    <s v="Furniture, floor coverings, houseware and textile goods retailing"/>
    <s v="2024-05-01"/>
    <x v="5"/>
    <s v="May      "/>
    <s v="5"/>
    <n v="289.8"/>
    <n v="1.19"/>
  </r>
  <r>
    <x v="3"/>
    <s v="Furniture, floor coverings, houseware and textile goods retailing"/>
    <s v="2024-06-01"/>
    <x v="5"/>
    <s v="June     "/>
    <s v="6"/>
    <n v="311.3"/>
    <n v="5.92"/>
  </r>
  <r>
    <x v="3"/>
    <s v="Furniture, floor coverings, houseware and textile goods retailing"/>
    <s v="2024-07-01"/>
    <x v="5"/>
    <s v="July     "/>
    <s v="7"/>
    <n v="293.7"/>
    <n v="4.5199999999999996"/>
  </r>
  <r>
    <x v="3"/>
    <s v="Furniture, floor coverings, houseware and textile goods retailing"/>
    <s v="2024-08-01"/>
    <x v="5"/>
    <s v="August   "/>
    <s v="8"/>
    <n v="289.89999999999998"/>
    <n v="5.96"/>
  </r>
  <r>
    <x v="3"/>
    <s v="Furniture, floor coverings, houseware and textile goods retailing"/>
    <s v="2024-09-01"/>
    <x v="5"/>
    <s v="September"/>
    <s v="9"/>
    <n v="282"/>
    <n v="3.94"/>
  </r>
  <r>
    <x v="3"/>
    <s v="Furniture, floor coverings, houseware and textile goods retailing"/>
    <s v="2024-10-01"/>
    <x v="5"/>
    <s v="October  "/>
    <s v="10"/>
    <n v="304.7"/>
    <n v="6.84"/>
  </r>
  <r>
    <x v="3"/>
    <s v="Furniture, floor coverings, houseware and textile goods retailing"/>
    <s v="2024-11-01"/>
    <x v="5"/>
    <s v="November "/>
    <s v="11"/>
    <n v="339.8"/>
    <n v="0.35"/>
  </r>
  <r>
    <x v="3"/>
    <s v="Furniture, floor coverings, houseware and textile goods retailing"/>
    <s v="2024-12-01"/>
    <x v="5"/>
    <s v="December "/>
    <s v="12"/>
    <n v="370.4"/>
    <n v="13.41"/>
  </r>
  <r>
    <x v="3"/>
    <s v="Furniture, floor coverings, houseware and textile goods retailing"/>
    <s v="2025-01-01"/>
    <x v="6"/>
    <s v="January  "/>
    <s v="1"/>
    <n v="299.10000000000002"/>
    <n v="4.51"/>
  </r>
  <r>
    <x v="3"/>
    <s v="Furniture, floor coverings, houseware and textile goods retailing"/>
    <s v="2025-02-01"/>
    <x v="6"/>
    <s v="February "/>
    <s v="2"/>
    <n v="248.3"/>
    <n v="-7.39"/>
  </r>
  <r>
    <x v="3"/>
    <s v="Furniture, floor coverings, houseware and textile goods retailing"/>
    <s v="2025-03-01"/>
    <x v="6"/>
    <s v="March    "/>
    <s v="3"/>
    <n v="255.5"/>
    <n v="-8.09"/>
  </r>
  <r>
    <x v="3"/>
    <s v="Furniture, floor coverings, houseware and textile goods retailing"/>
    <s v="2025-04-01"/>
    <x v="6"/>
    <s v="April    "/>
    <s v="4"/>
    <n v="270.39999999999998"/>
    <n v="4.4000000000000004"/>
  </r>
  <r>
    <x v="3"/>
    <s v="Furniture, floor coverings, houseware and textile goods retailing"/>
    <s v="2025-05-01"/>
    <x v="6"/>
    <s v="May      "/>
    <s v="5"/>
    <n v="297.8"/>
    <n v="2.76"/>
  </r>
  <r>
    <x v="3"/>
    <s v="Furniture, floor coverings, houseware and textile goods retailing"/>
    <s v="2025-06-01"/>
    <x v="6"/>
    <s v="June     "/>
    <s v="6"/>
    <n v="326.60000000000002"/>
    <n v="4.91"/>
  </r>
  <r>
    <x v="3"/>
    <s v="Hardware, building and garden supplies retailing"/>
    <s v="2019-01-01"/>
    <x v="0"/>
    <s v="January  "/>
    <s v="1"/>
    <n v="341"/>
    <m/>
  </r>
  <r>
    <x v="3"/>
    <s v="Hardware, building and garden supplies retailing"/>
    <s v="2019-02-01"/>
    <x v="0"/>
    <s v="February "/>
    <s v="2"/>
    <n v="292.7"/>
    <m/>
  </r>
  <r>
    <x v="3"/>
    <s v="Hardware, building and garden supplies retailing"/>
    <s v="2019-03-01"/>
    <x v="0"/>
    <s v="March    "/>
    <s v="3"/>
    <n v="310.39999999999998"/>
    <m/>
  </r>
  <r>
    <x v="3"/>
    <s v="Hardware, building and garden supplies retailing"/>
    <s v="2019-04-01"/>
    <x v="0"/>
    <s v="April    "/>
    <s v="4"/>
    <n v="316.10000000000002"/>
    <m/>
  </r>
  <r>
    <x v="3"/>
    <s v="Hardware, building and garden supplies retailing"/>
    <s v="2019-05-01"/>
    <x v="0"/>
    <s v="May      "/>
    <s v="5"/>
    <n v="313.39999999999998"/>
    <m/>
  </r>
  <r>
    <x v="3"/>
    <s v="Hardware, building and garden supplies retailing"/>
    <s v="2019-06-01"/>
    <x v="0"/>
    <s v="June     "/>
    <s v="6"/>
    <n v="317.60000000000002"/>
    <m/>
  </r>
  <r>
    <x v="3"/>
    <s v="Hardware, building and garden supplies retailing"/>
    <s v="2019-07-01"/>
    <x v="0"/>
    <s v="July     "/>
    <s v="7"/>
    <n v="335.3"/>
    <m/>
  </r>
  <r>
    <x v="3"/>
    <s v="Hardware, building and garden supplies retailing"/>
    <s v="2019-08-01"/>
    <x v="0"/>
    <s v="August   "/>
    <s v="8"/>
    <n v="354.7"/>
    <m/>
  </r>
  <r>
    <x v="3"/>
    <s v="Hardware, building and garden supplies retailing"/>
    <s v="2019-09-01"/>
    <x v="0"/>
    <s v="September"/>
    <s v="9"/>
    <n v="349.3"/>
    <m/>
  </r>
  <r>
    <x v="3"/>
    <s v="Hardware, building and garden supplies retailing"/>
    <s v="2019-10-01"/>
    <x v="0"/>
    <s v="October  "/>
    <s v="10"/>
    <n v="362.4"/>
    <m/>
  </r>
  <r>
    <x v="3"/>
    <s v="Hardware, building and garden supplies retailing"/>
    <s v="2019-11-01"/>
    <x v="0"/>
    <s v="November "/>
    <s v="11"/>
    <n v="371.4"/>
    <m/>
  </r>
  <r>
    <x v="3"/>
    <s v="Hardware, building and garden supplies retailing"/>
    <s v="2019-12-01"/>
    <x v="0"/>
    <s v="December "/>
    <s v="12"/>
    <n v="369.3"/>
    <m/>
  </r>
  <r>
    <x v="3"/>
    <s v="Hardware, building and garden supplies retailing"/>
    <s v="2020-01-01"/>
    <x v="1"/>
    <s v="January  "/>
    <s v="1"/>
    <n v="327.5"/>
    <n v="-3.96"/>
  </r>
  <r>
    <x v="3"/>
    <s v="Hardware, building and garden supplies retailing"/>
    <s v="2020-02-01"/>
    <x v="1"/>
    <s v="February "/>
    <s v="2"/>
    <n v="310.39999999999998"/>
    <n v="6.05"/>
  </r>
  <r>
    <x v="3"/>
    <s v="Hardware, building and garden supplies retailing"/>
    <s v="2020-03-01"/>
    <x v="1"/>
    <s v="March    "/>
    <s v="3"/>
    <n v="367.7"/>
    <n v="18.46"/>
  </r>
  <r>
    <x v="3"/>
    <s v="Hardware, building and garden supplies retailing"/>
    <s v="2020-04-01"/>
    <x v="1"/>
    <s v="April    "/>
    <s v="4"/>
    <n v="405.3"/>
    <n v="28.22"/>
  </r>
  <r>
    <x v="3"/>
    <s v="Hardware, building and garden supplies retailing"/>
    <s v="2020-05-01"/>
    <x v="1"/>
    <s v="May      "/>
    <s v="5"/>
    <n v="442"/>
    <n v="41.03"/>
  </r>
  <r>
    <x v="3"/>
    <s v="Hardware, building and garden supplies retailing"/>
    <s v="2020-06-01"/>
    <x v="1"/>
    <s v="June     "/>
    <s v="6"/>
    <n v="406.9"/>
    <n v="28.12"/>
  </r>
  <r>
    <x v="3"/>
    <s v="Hardware, building and garden supplies retailing"/>
    <s v="2020-07-01"/>
    <x v="1"/>
    <s v="July     "/>
    <s v="7"/>
    <n v="417.5"/>
    <n v="24.52"/>
  </r>
  <r>
    <x v="3"/>
    <s v="Hardware, building and garden supplies retailing"/>
    <s v="2020-08-01"/>
    <x v="1"/>
    <s v="August   "/>
    <s v="8"/>
    <n v="421.9"/>
    <n v="18.95"/>
  </r>
  <r>
    <x v="3"/>
    <s v="Hardware, building and garden supplies retailing"/>
    <s v="2020-09-01"/>
    <x v="1"/>
    <s v="September"/>
    <s v="9"/>
    <n v="427.6"/>
    <n v="22.42"/>
  </r>
  <r>
    <x v="3"/>
    <s v="Hardware, building and garden supplies retailing"/>
    <s v="2020-10-01"/>
    <x v="1"/>
    <s v="October  "/>
    <s v="10"/>
    <n v="440.2"/>
    <n v="21.47"/>
  </r>
  <r>
    <x v="3"/>
    <s v="Hardware, building and garden supplies retailing"/>
    <s v="2020-11-01"/>
    <x v="1"/>
    <s v="November "/>
    <s v="11"/>
    <n v="464.6"/>
    <n v="25.09"/>
  </r>
  <r>
    <x v="3"/>
    <s v="Hardware, building and garden supplies retailing"/>
    <s v="2020-12-01"/>
    <x v="1"/>
    <s v="December "/>
    <s v="12"/>
    <n v="469.2"/>
    <n v="27.05"/>
  </r>
  <r>
    <x v="3"/>
    <s v="Hardware, building and garden supplies retailing"/>
    <s v="2021-01-01"/>
    <x v="2"/>
    <s v="January  "/>
    <s v="1"/>
    <n v="415.5"/>
    <n v="26.87"/>
  </r>
  <r>
    <x v="3"/>
    <s v="Hardware, building and garden supplies retailing"/>
    <s v="2021-02-01"/>
    <x v="2"/>
    <s v="February "/>
    <s v="2"/>
    <n v="371.7"/>
    <n v="19.75"/>
  </r>
  <r>
    <x v="3"/>
    <s v="Hardware, building and garden supplies retailing"/>
    <s v="2021-03-01"/>
    <x v="2"/>
    <s v="March    "/>
    <s v="3"/>
    <n v="399.3"/>
    <n v="8.59"/>
  </r>
  <r>
    <x v="3"/>
    <s v="Hardware, building and garden supplies retailing"/>
    <s v="2021-04-01"/>
    <x v="2"/>
    <s v="April    "/>
    <s v="4"/>
    <n v="376.8"/>
    <n v="-7.03"/>
  </r>
  <r>
    <x v="3"/>
    <s v="Hardware, building and garden supplies retailing"/>
    <s v="2021-05-01"/>
    <x v="2"/>
    <s v="May      "/>
    <s v="5"/>
    <n v="382.3"/>
    <n v="-13.51"/>
  </r>
  <r>
    <x v="3"/>
    <s v="Hardware, building and garden supplies retailing"/>
    <s v="2021-06-01"/>
    <x v="2"/>
    <s v="June     "/>
    <s v="6"/>
    <n v="387"/>
    <n v="-4.8899999999999997"/>
  </r>
  <r>
    <x v="3"/>
    <s v="Hardware, building and garden supplies retailing"/>
    <s v="2021-07-01"/>
    <x v="2"/>
    <s v="July     "/>
    <s v="7"/>
    <n v="414.6"/>
    <n v="-0.69"/>
  </r>
  <r>
    <x v="3"/>
    <s v="Hardware, building and garden supplies retailing"/>
    <s v="2021-08-01"/>
    <x v="2"/>
    <s v="August   "/>
    <s v="8"/>
    <n v="444.7"/>
    <n v="5.4"/>
  </r>
  <r>
    <x v="3"/>
    <s v="Hardware, building and garden supplies retailing"/>
    <s v="2021-09-01"/>
    <x v="2"/>
    <s v="September"/>
    <s v="9"/>
    <n v="443.8"/>
    <n v="3.79"/>
  </r>
  <r>
    <x v="3"/>
    <s v="Hardware, building and garden supplies retailing"/>
    <s v="2021-10-01"/>
    <x v="2"/>
    <s v="October  "/>
    <s v="10"/>
    <n v="460.5"/>
    <n v="4.6100000000000003"/>
  </r>
  <r>
    <x v="3"/>
    <s v="Hardware, building and garden supplies retailing"/>
    <s v="2021-11-01"/>
    <x v="2"/>
    <s v="November "/>
    <s v="11"/>
    <n v="468.5"/>
    <n v="0.84"/>
  </r>
  <r>
    <x v="3"/>
    <s v="Hardware, building and garden supplies retailing"/>
    <s v="2021-12-01"/>
    <x v="2"/>
    <s v="December "/>
    <s v="12"/>
    <n v="508.9"/>
    <n v="8.4600000000000009"/>
  </r>
  <r>
    <x v="3"/>
    <s v="Hardware, building and garden supplies retailing"/>
    <s v="2022-01-01"/>
    <x v="3"/>
    <s v="January  "/>
    <s v="1"/>
    <n v="434.9"/>
    <n v="4.67"/>
  </r>
  <r>
    <x v="3"/>
    <s v="Hardware, building and garden supplies retailing"/>
    <s v="2022-02-01"/>
    <x v="3"/>
    <s v="February "/>
    <s v="2"/>
    <n v="387.8"/>
    <n v="4.33"/>
  </r>
  <r>
    <x v="3"/>
    <s v="Hardware, building and garden supplies retailing"/>
    <s v="2022-03-01"/>
    <x v="3"/>
    <s v="March    "/>
    <s v="3"/>
    <n v="443.6"/>
    <n v="11.09"/>
  </r>
  <r>
    <x v="3"/>
    <s v="Hardware, building and garden supplies retailing"/>
    <s v="2022-04-01"/>
    <x v="3"/>
    <s v="April    "/>
    <s v="4"/>
    <n v="425.3"/>
    <n v="12.87"/>
  </r>
  <r>
    <x v="3"/>
    <s v="Hardware, building and garden supplies retailing"/>
    <s v="2022-05-01"/>
    <x v="3"/>
    <s v="May      "/>
    <s v="5"/>
    <n v="405.6"/>
    <n v="6.09"/>
  </r>
  <r>
    <x v="3"/>
    <s v="Hardware, building and garden supplies retailing"/>
    <s v="2022-06-01"/>
    <x v="3"/>
    <s v="June     "/>
    <s v="6"/>
    <n v="446.8"/>
    <n v="15.45"/>
  </r>
  <r>
    <x v="3"/>
    <s v="Hardware, building and garden supplies retailing"/>
    <s v="2022-07-01"/>
    <x v="3"/>
    <s v="July     "/>
    <s v="7"/>
    <n v="447.3"/>
    <n v="7.89"/>
  </r>
  <r>
    <x v="3"/>
    <s v="Hardware, building and garden supplies retailing"/>
    <s v="2022-08-01"/>
    <x v="3"/>
    <s v="August   "/>
    <s v="8"/>
    <n v="473.6"/>
    <n v="6.5"/>
  </r>
  <r>
    <x v="3"/>
    <s v="Hardware, building and garden supplies retailing"/>
    <s v="2022-09-01"/>
    <x v="3"/>
    <s v="September"/>
    <s v="9"/>
    <n v="472.4"/>
    <n v="6.44"/>
  </r>
  <r>
    <x v="3"/>
    <s v="Hardware, building and garden supplies retailing"/>
    <s v="2022-10-01"/>
    <x v="3"/>
    <s v="October  "/>
    <s v="10"/>
    <n v="484.5"/>
    <n v="5.21"/>
  </r>
  <r>
    <x v="3"/>
    <s v="Hardware, building and garden supplies retailing"/>
    <s v="2022-11-01"/>
    <x v="3"/>
    <s v="November "/>
    <s v="11"/>
    <n v="487"/>
    <n v="3.95"/>
  </r>
  <r>
    <x v="3"/>
    <s v="Hardware, building and garden supplies retailing"/>
    <s v="2022-12-01"/>
    <x v="3"/>
    <s v="December "/>
    <s v="12"/>
    <n v="488.1"/>
    <n v="-4.09"/>
  </r>
  <r>
    <x v="3"/>
    <s v="Hardware, building and garden supplies retailing"/>
    <s v="2023-01-01"/>
    <x v="4"/>
    <s v="January  "/>
    <s v="1"/>
    <n v="432.3"/>
    <n v="-0.6"/>
  </r>
  <r>
    <x v="3"/>
    <s v="Hardware, building and garden supplies retailing"/>
    <s v="2023-02-01"/>
    <x v="4"/>
    <s v="February "/>
    <s v="2"/>
    <n v="391.1"/>
    <n v="0.85"/>
  </r>
  <r>
    <x v="3"/>
    <s v="Hardware, building and garden supplies retailing"/>
    <s v="2023-03-01"/>
    <x v="4"/>
    <s v="March    "/>
    <s v="3"/>
    <n v="419.9"/>
    <n v="-5.34"/>
  </r>
  <r>
    <x v="3"/>
    <s v="Hardware, building and garden supplies retailing"/>
    <s v="2023-04-01"/>
    <x v="4"/>
    <s v="April    "/>
    <s v="4"/>
    <n v="405.3"/>
    <n v="-4.7"/>
  </r>
  <r>
    <x v="3"/>
    <s v="Hardware, building and garden supplies retailing"/>
    <s v="2023-05-01"/>
    <x v="4"/>
    <s v="May      "/>
    <s v="5"/>
    <n v="412.4"/>
    <n v="1.68"/>
  </r>
  <r>
    <x v="3"/>
    <s v="Hardware, building and garden supplies retailing"/>
    <s v="2023-06-01"/>
    <x v="4"/>
    <s v="June     "/>
    <s v="6"/>
    <n v="419.9"/>
    <n v="-6.02"/>
  </r>
  <r>
    <x v="3"/>
    <s v="Hardware, building and garden supplies retailing"/>
    <s v="2023-07-01"/>
    <x v="4"/>
    <s v="July     "/>
    <s v="7"/>
    <n v="431.8"/>
    <n v="-3.47"/>
  </r>
  <r>
    <x v="3"/>
    <s v="Hardware, building and garden supplies retailing"/>
    <s v="2023-08-01"/>
    <x v="4"/>
    <s v="August   "/>
    <s v="8"/>
    <n v="454"/>
    <n v="-4.1399999999999997"/>
  </r>
  <r>
    <x v="3"/>
    <s v="Hardware, building and garden supplies retailing"/>
    <s v="2023-09-01"/>
    <x v="4"/>
    <s v="September"/>
    <s v="9"/>
    <n v="463.8"/>
    <n v="-1.82"/>
  </r>
  <r>
    <x v="3"/>
    <s v="Hardware, building and garden supplies retailing"/>
    <s v="2023-10-01"/>
    <x v="4"/>
    <s v="October  "/>
    <s v="10"/>
    <n v="481.8"/>
    <n v="-0.56000000000000005"/>
  </r>
  <r>
    <x v="3"/>
    <s v="Hardware, building and garden supplies retailing"/>
    <s v="2023-11-01"/>
    <x v="4"/>
    <s v="November "/>
    <s v="11"/>
    <n v="470.3"/>
    <n v="-3.43"/>
  </r>
  <r>
    <x v="3"/>
    <s v="Hardware, building and garden supplies retailing"/>
    <s v="2023-12-01"/>
    <x v="4"/>
    <s v="December "/>
    <s v="12"/>
    <n v="491"/>
    <n v="0.59"/>
  </r>
  <r>
    <x v="3"/>
    <s v="Hardware, building and garden supplies retailing"/>
    <s v="2024-01-01"/>
    <x v="5"/>
    <s v="January  "/>
    <s v="1"/>
    <n v="436.2"/>
    <n v="0.9"/>
  </r>
  <r>
    <x v="3"/>
    <s v="Hardware, building and garden supplies retailing"/>
    <s v="2024-02-01"/>
    <x v="5"/>
    <s v="February "/>
    <s v="2"/>
    <n v="412"/>
    <n v="5.34"/>
  </r>
  <r>
    <x v="3"/>
    <s v="Hardware, building and garden supplies retailing"/>
    <s v="2024-03-01"/>
    <x v="5"/>
    <s v="March    "/>
    <s v="3"/>
    <n v="423.9"/>
    <n v="0.95"/>
  </r>
  <r>
    <x v="3"/>
    <s v="Hardware, building and garden supplies retailing"/>
    <s v="2024-04-01"/>
    <x v="5"/>
    <s v="April    "/>
    <s v="4"/>
    <n v="426.8"/>
    <n v="5.3"/>
  </r>
  <r>
    <x v="3"/>
    <s v="Hardware, building and garden supplies retailing"/>
    <s v="2024-05-01"/>
    <x v="5"/>
    <s v="May      "/>
    <s v="5"/>
    <n v="431.3"/>
    <n v="4.58"/>
  </r>
  <r>
    <x v="3"/>
    <s v="Hardware, building and garden supplies retailing"/>
    <s v="2024-06-01"/>
    <x v="5"/>
    <s v="June     "/>
    <s v="6"/>
    <n v="434.6"/>
    <n v="3.5"/>
  </r>
  <r>
    <x v="3"/>
    <s v="Hardware, building and garden supplies retailing"/>
    <s v="2024-07-01"/>
    <x v="5"/>
    <s v="July     "/>
    <s v="7"/>
    <n v="450.8"/>
    <n v="4.4000000000000004"/>
  </r>
  <r>
    <x v="3"/>
    <s v="Hardware, building and garden supplies retailing"/>
    <s v="2024-08-01"/>
    <x v="5"/>
    <s v="August   "/>
    <s v="8"/>
    <n v="473.5"/>
    <n v="4.3"/>
  </r>
  <r>
    <x v="3"/>
    <s v="Hardware, building and garden supplies retailing"/>
    <s v="2024-09-01"/>
    <x v="5"/>
    <s v="September"/>
    <s v="9"/>
    <n v="488.6"/>
    <n v="5.35"/>
  </r>
  <r>
    <x v="3"/>
    <s v="Hardware, building and garden supplies retailing"/>
    <s v="2024-10-01"/>
    <x v="5"/>
    <s v="October  "/>
    <s v="10"/>
    <n v="510.3"/>
    <n v="5.92"/>
  </r>
  <r>
    <x v="3"/>
    <s v="Hardware, building and garden supplies retailing"/>
    <s v="2024-11-01"/>
    <x v="5"/>
    <s v="November "/>
    <s v="11"/>
    <n v="509.4"/>
    <n v="8.31"/>
  </r>
  <r>
    <x v="3"/>
    <s v="Hardware, building and garden supplies retailing"/>
    <s v="2024-12-01"/>
    <x v="5"/>
    <s v="December "/>
    <s v="12"/>
    <n v="518"/>
    <n v="5.5"/>
  </r>
  <r>
    <x v="3"/>
    <s v="Hardware, building and garden supplies retailing"/>
    <s v="2025-01-01"/>
    <x v="6"/>
    <s v="January  "/>
    <s v="1"/>
    <n v="457.2"/>
    <n v="4.8099999999999996"/>
  </r>
  <r>
    <x v="3"/>
    <s v="Hardware, building and garden supplies retailing"/>
    <s v="2025-02-01"/>
    <x v="6"/>
    <s v="February "/>
    <s v="2"/>
    <n v="414.3"/>
    <n v="0.56000000000000005"/>
  </r>
  <r>
    <x v="3"/>
    <s v="Hardware, building and garden supplies retailing"/>
    <s v="2025-03-01"/>
    <x v="6"/>
    <s v="March    "/>
    <s v="3"/>
    <n v="450.5"/>
    <n v="6.28"/>
  </r>
  <r>
    <x v="3"/>
    <s v="Hardware, building and garden supplies retailing"/>
    <s v="2025-04-01"/>
    <x v="6"/>
    <s v="April    "/>
    <s v="4"/>
    <n v="447.5"/>
    <n v="4.8499999999999996"/>
  </r>
  <r>
    <x v="3"/>
    <s v="Hardware, building and garden supplies retailing"/>
    <s v="2025-05-01"/>
    <x v="6"/>
    <s v="May      "/>
    <s v="5"/>
    <n v="464.9"/>
    <n v="7.79"/>
  </r>
  <r>
    <x v="3"/>
    <s v="Hardware, building and garden supplies retailing"/>
    <s v="2025-06-01"/>
    <x v="6"/>
    <s v="June     "/>
    <s v="6"/>
    <n v="467.5"/>
    <n v="7.57"/>
  </r>
  <r>
    <x v="3"/>
    <s v="Newspaper and book retailing"/>
    <s v="2019-01-01"/>
    <x v="0"/>
    <s v="January  "/>
    <s v="1"/>
    <n v="58.9"/>
    <m/>
  </r>
  <r>
    <x v="3"/>
    <s v="Newspaper and book retailing"/>
    <s v="2019-02-01"/>
    <x v="0"/>
    <s v="February "/>
    <s v="2"/>
    <n v="49"/>
    <m/>
  </r>
  <r>
    <x v="3"/>
    <s v="Newspaper and book retailing"/>
    <s v="2019-03-01"/>
    <x v="0"/>
    <s v="March    "/>
    <s v="3"/>
    <n v="51.6"/>
    <m/>
  </r>
  <r>
    <x v="3"/>
    <s v="Newspaper and book retailing"/>
    <s v="2019-04-01"/>
    <x v="0"/>
    <s v="April    "/>
    <s v="4"/>
    <n v="47.7"/>
    <m/>
  </r>
  <r>
    <x v="3"/>
    <s v="Newspaper and book retailing"/>
    <s v="2019-05-01"/>
    <x v="0"/>
    <s v="May      "/>
    <s v="5"/>
    <n v="52.3"/>
    <m/>
  </r>
  <r>
    <x v="3"/>
    <s v="Newspaper and book retailing"/>
    <s v="2019-06-01"/>
    <x v="0"/>
    <s v="June     "/>
    <s v="6"/>
    <n v="51.2"/>
    <m/>
  </r>
  <r>
    <x v="3"/>
    <s v="Newspaper and book retailing"/>
    <s v="2019-07-01"/>
    <x v="0"/>
    <s v="July     "/>
    <s v="7"/>
    <n v="55.5"/>
    <m/>
  </r>
  <r>
    <x v="3"/>
    <s v="Newspaper and book retailing"/>
    <s v="2019-08-01"/>
    <x v="0"/>
    <s v="August   "/>
    <s v="8"/>
    <n v="55.5"/>
    <m/>
  </r>
  <r>
    <x v="3"/>
    <s v="Newspaper and book retailing"/>
    <s v="2019-09-01"/>
    <x v="0"/>
    <s v="September"/>
    <s v="9"/>
    <n v="52.3"/>
    <m/>
  </r>
  <r>
    <x v="3"/>
    <s v="Newspaper and book retailing"/>
    <s v="2019-10-01"/>
    <x v="0"/>
    <s v="October  "/>
    <s v="10"/>
    <n v="54.9"/>
    <m/>
  </r>
  <r>
    <x v="3"/>
    <s v="Newspaper and book retailing"/>
    <s v="2019-11-01"/>
    <x v="0"/>
    <s v="November "/>
    <s v="11"/>
    <n v="55.5"/>
    <m/>
  </r>
  <r>
    <x v="3"/>
    <s v="Newspaper and book retailing"/>
    <s v="2019-12-01"/>
    <x v="0"/>
    <s v="December "/>
    <s v="12"/>
    <n v="68.7"/>
    <m/>
  </r>
  <r>
    <x v="3"/>
    <s v="Newspaper and book retailing"/>
    <s v="2020-01-01"/>
    <x v="1"/>
    <s v="January  "/>
    <s v="1"/>
    <n v="60.2"/>
    <n v="2.21"/>
  </r>
  <r>
    <x v="3"/>
    <s v="Newspaper and book retailing"/>
    <s v="2020-02-01"/>
    <x v="1"/>
    <s v="February "/>
    <s v="2"/>
    <n v="53.9"/>
    <n v="10"/>
  </r>
  <r>
    <x v="3"/>
    <s v="Newspaper and book retailing"/>
    <s v="2020-03-01"/>
    <x v="1"/>
    <s v="March    "/>
    <s v="3"/>
    <n v="54"/>
    <n v="4.6500000000000004"/>
  </r>
  <r>
    <x v="3"/>
    <s v="Newspaper and book retailing"/>
    <s v="2020-04-01"/>
    <x v="1"/>
    <s v="April    "/>
    <s v="4"/>
    <n v="47.3"/>
    <n v="-0.84"/>
  </r>
  <r>
    <x v="3"/>
    <s v="Newspaper and book retailing"/>
    <s v="2020-05-01"/>
    <x v="1"/>
    <s v="May      "/>
    <s v="5"/>
    <n v="55.2"/>
    <n v="5.54"/>
  </r>
  <r>
    <x v="3"/>
    <s v="Newspaper and book retailing"/>
    <s v="2020-06-01"/>
    <x v="1"/>
    <s v="June     "/>
    <s v="6"/>
    <n v="54.7"/>
    <n v="6.84"/>
  </r>
  <r>
    <x v="3"/>
    <s v="Newspaper and book retailing"/>
    <s v="2020-07-01"/>
    <x v="1"/>
    <s v="July     "/>
    <s v="7"/>
    <n v="54.7"/>
    <n v="-1.44"/>
  </r>
  <r>
    <x v="3"/>
    <s v="Newspaper and book retailing"/>
    <s v="2020-08-01"/>
    <x v="1"/>
    <s v="August   "/>
    <s v="8"/>
    <n v="52.5"/>
    <n v="-5.41"/>
  </r>
  <r>
    <x v="3"/>
    <s v="Newspaper and book retailing"/>
    <s v="2020-09-01"/>
    <x v="1"/>
    <s v="September"/>
    <s v="9"/>
    <n v="55.8"/>
    <n v="6.69"/>
  </r>
  <r>
    <x v="3"/>
    <s v="Newspaper and book retailing"/>
    <s v="2020-10-01"/>
    <x v="1"/>
    <s v="October  "/>
    <s v="10"/>
    <n v="53.5"/>
    <n v="-2.5499999999999998"/>
  </r>
  <r>
    <x v="3"/>
    <s v="Newspaper and book retailing"/>
    <s v="2020-11-01"/>
    <x v="1"/>
    <s v="November "/>
    <s v="11"/>
    <n v="55.3"/>
    <n v="-0.36"/>
  </r>
  <r>
    <x v="3"/>
    <s v="Newspaper and book retailing"/>
    <s v="2020-12-01"/>
    <x v="1"/>
    <s v="December "/>
    <s v="12"/>
    <n v="75.2"/>
    <n v="9.4600000000000009"/>
  </r>
  <r>
    <x v="3"/>
    <s v="Newspaper and book retailing"/>
    <s v="2021-01-01"/>
    <x v="2"/>
    <s v="January  "/>
    <s v="1"/>
    <n v="58.6"/>
    <n v="-2.66"/>
  </r>
  <r>
    <x v="3"/>
    <s v="Newspaper and book retailing"/>
    <s v="2021-02-01"/>
    <x v="2"/>
    <s v="February "/>
    <s v="2"/>
    <n v="51.8"/>
    <n v="-3.9"/>
  </r>
  <r>
    <x v="3"/>
    <s v="Newspaper and book retailing"/>
    <s v="2021-03-01"/>
    <x v="2"/>
    <s v="March    "/>
    <s v="3"/>
    <n v="53.8"/>
    <n v="-0.37"/>
  </r>
  <r>
    <x v="3"/>
    <s v="Newspaper and book retailing"/>
    <s v="2021-04-01"/>
    <x v="2"/>
    <s v="April    "/>
    <s v="4"/>
    <n v="51.5"/>
    <n v="8.8800000000000008"/>
  </r>
  <r>
    <x v="3"/>
    <s v="Newspaper and book retailing"/>
    <s v="2021-05-01"/>
    <x v="2"/>
    <s v="May      "/>
    <s v="5"/>
    <n v="52.7"/>
    <n v="-4.53"/>
  </r>
  <r>
    <x v="3"/>
    <s v="Newspaper and book retailing"/>
    <s v="2021-06-01"/>
    <x v="2"/>
    <s v="June     "/>
    <s v="6"/>
    <n v="48.9"/>
    <n v="-10.6"/>
  </r>
  <r>
    <x v="3"/>
    <s v="Newspaper and book retailing"/>
    <s v="2021-07-01"/>
    <x v="2"/>
    <s v="July     "/>
    <s v="7"/>
    <n v="51"/>
    <n v="-6.76"/>
  </r>
  <r>
    <x v="3"/>
    <s v="Newspaper and book retailing"/>
    <s v="2021-08-01"/>
    <x v="2"/>
    <s v="August   "/>
    <s v="8"/>
    <n v="50"/>
    <n v="-4.76"/>
  </r>
  <r>
    <x v="3"/>
    <s v="Newspaper and book retailing"/>
    <s v="2021-09-01"/>
    <x v="2"/>
    <s v="September"/>
    <s v="9"/>
    <n v="50.7"/>
    <n v="-9.14"/>
  </r>
  <r>
    <x v="3"/>
    <s v="Newspaper and book retailing"/>
    <s v="2021-10-01"/>
    <x v="2"/>
    <s v="October  "/>
    <s v="10"/>
    <n v="47.5"/>
    <n v="-11.21"/>
  </r>
  <r>
    <x v="3"/>
    <s v="Newspaper and book retailing"/>
    <s v="2021-11-01"/>
    <x v="2"/>
    <s v="November "/>
    <s v="11"/>
    <n v="53.7"/>
    <n v="-2.89"/>
  </r>
  <r>
    <x v="3"/>
    <s v="Newspaper and book retailing"/>
    <s v="2021-12-01"/>
    <x v="2"/>
    <s v="December "/>
    <s v="12"/>
    <n v="71.7"/>
    <n v="-4.6500000000000004"/>
  </r>
  <r>
    <x v="3"/>
    <s v="Newspaper and book retailing"/>
    <s v="2022-01-01"/>
    <x v="3"/>
    <s v="January  "/>
    <s v="1"/>
    <n v="51.2"/>
    <n v="-12.63"/>
  </r>
  <r>
    <x v="3"/>
    <s v="Newspaper and book retailing"/>
    <s v="2022-02-01"/>
    <x v="3"/>
    <s v="February "/>
    <s v="2"/>
    <n v="50.2"/>
    <n v="-3.09"/>
  </r>
  <r>
    <x v="3"/>
    <s v="Newspaper and book retailing"/>
    <s v="2022-03-01"/>
    <x v="3"/>
    <s v="March    "/>
    <s v="3"/>
    <n v="51.5"/>
    <n v="-4.28"/>
  </r>
  <r>
    <x v="3"/>
    <s v="Newspaper and book retailing"/>
    <s v="2022-04-01"/>
    <x v="3"/>
    <s v="April    "/>
    <s v="4"/>
    <n v="51.6"/>
    <n v="0.19"/>
  </r>
  <r>
    <x v="3"/>
    <s v="Newspaper and book retailing"/>
    <s v="2022-05-01"/>
    <x v="3"/>
    <s v="May      "/>
    <s v="5"/>
    <n v="55.7"/>
    <n v="5.69"/>
  </r>
  <r>
    <x v="3"/>
    <s v="Newspaper and book retailing"/>
    <s v="2022-06-01"/>
    <x v="3"/>
    <s v="June     "/>
    <s v="6"/>
    <n v="45.5"/>
    <n v="-6.95"/>
  </r>
  <r>
    <x v="3"/>
    <s v="Newspaper and book retailing"/>
    <s v="2022-07-01"/>
    <x v="3"/>
    <s v="July     "/>
    <s v="7"/>
    <n v="45.8"/>
    <n v="-10.199999999999999"/>
  </r>
  <r>
    <x v="3"/>
    <s v="Newspaper and book retailing"/>
    <s v="2022-08-01"/>
    <x v="3"/>
    <s v="August   "/>
    <s v="8"/>
    <n v="49.6"/>
    <n v="-0.8"/>
  </r>
  <r>
    <x v="3"/>
    <s v="Newspaper and book retailing"/>
    <s v="2022-09-01"/>
    <x v="3"/>
    <s v="September"/>
    <s v="9"/>
    <n v="51.7"/>
    <n v="1.97"/>
  </r>
  <r>
    <x v="3"/>
    <s v="Newspaper and book retailing"/>
    <s v="2022-10-01"/>
    <x v="3"/>
    <s v="October  "/>
    <s v="10"/>
    <n v="52.6"/>
    <n v="10.74"/>
  </r>
  <r>
    <x v="3"/>
    <s v="Newspaper and book retailing"/>
    <s v="2022-11-01"/>
    <x v="3"/>
    <s v="November "/>
    <s v="11"/>
    <n v="54.7"/>
    <n v="1.86"/>
  </r>
  <r>
    <x v="3"/>
    <s v="Newspaper and book retailing"/>
    <s v="2022-12-01"/>
    <x v="3"/>
    <s v="December "/>
    <s v="12"/>
    <n v="76.7"/>
    <n v="6.97"/>
  </r>
  <r>
    <x v="3"/>
    <s v="Newspaper and book retailing"/>
    <s v="2023-01-01"/>
    <x v="4"/>
    <s v="January  "/>
    <s v="1"/>
    <n v="55.7"/>
    <n v="8.7899999999999991"/>
  </r>
  <r>
    <x v="3"/>
    <s v="Newspaper and book retailing"/>
    <s v="2023-02-01"/>
    <x v="4"/>
    <s v="February "/>
    <s v="2"/>
    <n v="46.1"/>
    <n v="-8.17"/>
  </r>
  <r>
    <x v="3"/>
    <s v="Newspaper and book retailing"/>
    <s v="2023-03-01"/>
    <x v="4"/>
    <s v="March    "/>
    <s v="3"/>
    <n v="45.7"/>
    <n v="-11.26"/>
  </r>
  <r>
    <x v="3"/>
    <s v="Newspaper and book retailing"/>
    <s v="2023-04-01"/>
    <x v="4"/>
    <s v="April    "/>
    <s v="4"/>
    <n v="43.6"/>
    <n v="-15.5"/>
  </r>
  <r>
    <x v="3"/>
    <s v="Newspaper and book retailing"/>
    <s v="2023-05-01"/>
    <x v="4"/>
    <s v="May      "/>
    <s v="5"/>
    <n v="41.5"/>
    <n v="-25.49"/>
  </r>
  <r>
    <x v="3"/>
    <s v="Newspaper and book retailing"/>
    <s v="2023-06-01"/>
    <x v="4"/>
    <s v="June     "/>
    <s v="6"/>
    <n v="43.9"/>
    <n v="-3.52"/>
  </r>
  <r>
    <x v="3"/>
    <s v="Newspaper and book retailing"/>
    <s v="2023-07-01"/>
    <x v="4"/>
    <s v="July     "/>
    <s v="7"/>
    <n v="47.1"/>
    <n v="2.84"/>
  </r>
  <r>
    <x v="3"/>
    <s v="Newspaper and book retailing"/>
    <s v="2023-08-01"/>
    <x v="4"/>
    <s v="August   "/>
    <s v="8"/>
    <n v="49"/>
    <n v="-1.21"/>
  </r>
  <r>
    <x v="3"/>
    <s v="Newspaper and book retailing"/>
    <s v="2023-09-01"/>
    <x v="4"/>
    <s v="September"/>
    <s v="9"/>
    <n v="45.3"/>
    <n v="-12.38"/>
  </r>
  <r>
    <x v="3"/>
    <s v="Newspaper and book retailing"/>
    <s v="2023-10-01"/>
    <x v="4"/>
    <s v="October  "/>
    <s v="10"/>
    <n v="44.7"/>
    <n v="-15.02"/>
  </r>
  <r>
    <x v="3"/>
    <s v="Newspaper and book retailing"/>
    <s v="2023-11-01"/>
    <x v="4"/>
    <s v="November "/>
    <s v="11"/>
    <n v="49.7"/>
    <n v="-9.14"/>
  </r>
  <r>
    <x v="3"/>
    <s v="Newspaper and book retailing"/>
    <s v="2023-12-01"/>
    <x v="4"/>
    <s v="December "/>
    <s v="12"/>
    <n v="66"/>
    <n v="-13.95"/>
  </r>
  <r>
    <x v="3"/>
    <s v="Newspaper and book retailing"/>
    <s v="2024-01-01"/>
    <x v="5"/>
    <s v="January  "/>
    <s v="1"/>
    <n v="57.3"/>
    <n v="2.87"/>
  </r>
  <r>
    <x v="3"/>
    <s v="Newspaper and book retailing"/>
    <s v="2024-02-01"/>
    <x v="5"/>
    <s v="February "/>
    <s v="2"/>
    <n v="47.6"/>
    <n v="3.25"/>
  </r>
  <r>
    <x v="3"/>
    <s v="Newspaper and book retailing"/>
    <s v="2024-03-01"/>
    <x v="5"/>
    <s v="March    "/>
    <s v="3"/>
    <n v="46"/>
    <n v="0.66"/>
  </r>
  <r>
    <x v="3"/>
    <s v="Newspaper and book retailing"/>
    <s v="2024-04-01"/>
    <x v="5"/>
    <s v="April    "/>
    <s v="4"/>
    <n v="46.2"/>
    <n v="5.96"/>
  </r>
  <r>
    <x v="3"/>
    <s v="Newspaper and book retailing"/>
    <s v="2024-05-01"/>
    <x v="5"/>
    <s v="May      "/>
    <s v="5"/>
    <n v="50.4"/>
    <n v="21.45"/>
  </r>
  <r>
    <x v="3"/>
    <s v="Newspaper and book retailing"/>
    <s v="2024-06-01"/>
    <x v="5"/>
    <s v="June     "/>
    <s v="6"/>
    <n v="47.6"/>
    <n v="8.43"/>
  </r>
  <r>
    <x v="3"/>
    <s v="Newspaper and book retailing"/>
    <s v="2024-07-01"/>
    <x v="5"/>
    <s v="July     "/>
    <s v="7"/>
    <n v="49.6"/>
    <n v="5.31"/>
  </r>
  <r>
    <x v="3"/>
    <s v="Newspaper and book retailing"/>
    <s v="2024-08-01"/>
    <x v="5"/>
    <s v="August   "/>
    <s v="8"/>
    <n v="48"/>
    <n v="-2.04"/>
  </r>
  <r>
    <x v="3"/>
    <s v="Newspaper and book retailing"/>
    <s v="2024-09-01"/>
    <x v="5"/>
    <s v="September"/>
    <s v="9"/>
    <n v="45.4"/>
    <n v="0.22"/>
  </r>
  <r>
    <x v="3"/>
    <s v="Newspaper and book retailing"/>
    <s v="2024-10-01"/>
    <x v="5"/>
    <s v="October  "/>
    <s v="10"/>
    <n v="46.2"/>
    <n v="3.36"/>
  </r>
  <r>
    <x v="3"/>
    <s v="Newspaper and book retailing"/>
    <s v="2024-11-01"/>
    <x v="5"/>
    <s v="November "/>
    <s v="11"/>
    <n v="50.4"/>
    <n v="1.41"/>
  </r>
  <r>
    <x v="3"/>
    <s v="Newspaper and book retailing"/>
    <s v="2024-12-01"/>
    <x v="5"/>
    <s v="December "/>
    <s v="12"/>
    <n v="62.9"/>
    <n v="-4.7"/>
  </r>
  <r>
    <x v="3"/>
    <s v="Newspaper and book retailing"/>
    <s v="2025-01-01"/>
    <x v="6"/>
    <s v="January  "/>
    <s v="1"/>
    <n v="50.3"/>
    <n v="-12.22"/>
  </r>
  <r>
    <x v="3"/>
    <s v="Newspaper and book retailing"/>
    <s v="2025-02-01"/>
    <x v="6"/>
    <s v="February "/>
    <s v="2"/>
    <n v="42.1"/>
    <n v="-11.55"/>
  </r>
  <r>
    <x v="3"/>
    <s v="Newspaper and book retailing"/>
    <s v="2025-03-01"/>
    <x v="6"/>
    <s v="March    "/>
    <s v="3"/>
    <n v="42.9"/>
    <n v="-6.74"/>
  </r>
  <r>
    <x v="3"/>
    <s v="Newspaper and book retailing"/>
    <s v="2025-04-01"/>
    <x v="6"/>
    <s v="April    "/>
    <s v="4"/>
    <n v="43.5"/>
    <n v="-5.84"/>
  </r>
  <r>
    <x v="3"/>
    <s v="Newspaper and book retailing"/>
    <s v="2025-05-01"/>
    <x v="6"/>
    <s v="May      "/>
    <s v="5"/>
    <n v="46"/>
    <n v="-8.73"/>
  </r>
  <r>
    <x v="3"/>
    <s v="Newspaper and book retailing"/>
    <s v="2025-06-01"/>
    <x v="6"/>
    <s v="June     "/>
    <s v="6"/>
    <n v="44.2"/>
    <n v="-7.14"/>
  </r>
  <r>
    <x v="3"/>
    <s v="Other recreational goods retailing"/>
    <s v="2019-01-01"/>
    <x v="0"/>
    <s v="January  "/>
    <s v="1"/>
    <n v="108.4"/>
    <m/>
  </r>
  <r>
    <x v="3"/>
    <s v="Other recreational goods retailing"/>
    <s v="2019-02-01"/>
    <x v="0"/>
    <s v="February "/>
    <s v="2"/>
    <n v="81.7"/>
    <m/>
  </r>
  <r>
    <x v="3"/>
    <s v="Other recreational goods retailing"/>
    <s v="2019-03-01"/>
    <x v="0"/>
    <s v="March    "/>
    <s v="3"/>
    <n v="98.9"/>
    <m/>
  </r>
  <r>
    <x v="3"/>
    <s v="Other recreational goods retailing"/>
    <s v="2019-04-01"/>
    <x v="0"/>
    <s v="April    "/>
    <s v="4"/>
    <n v="109.7"/>
    <m/>
  </r>
  <r>
    <x v="3"/>
    <s v="Other recreational goods retailing"/>
    <s v="2019-05-01"/>
    <x v="0"/>
    <s v="May      "/>
    <s v="5"/>
    <n v="106.2"/>
    <m/>
  </r>
  <r>
    <x v="3"/>
    <s v="Other recreational goods retailing"/>
    <s v="2019-06-01"/>
    <x v="0"/>
    <s v="June     "/>
    <s v="6"/>
    <n v="107.1"/>
    <m/>
  </r>
  <r>
    <x v="3"/>
    <s v="Other recreational goods retailing"/>
    <s v="2019-07-01"/>
    <x v="0"/>
    <s v="July     "/>
    <s v="7"/>
    <n v="110.6"/>
    <m/>
  </r>
  <r>
    <x v="3"/>
    <s v="Other recreational goods retailing"/>
    <s v="2019-08-01"/>
    <x v="0"/>
    <s v="August   "/>
    <s v="8"/>
    <n v="116.8"/>
    <m/>
  </r>
  <r>
    <x v="3"/>
    <s v="Other recreational goods retailing"/>
    <s v="2019-09-01"/>
    <x v="0"/>
    <s v="September"/>
    <s v="9"/>
    <n v="119.4"/>
    <m/>
  </r>
  <r>
    <x v="3"/>
    <s v="Other recreational goods retailing"/>
    <s v="2019-10-01"/>
    <x v="0"/>
    <s v="October  "/>
    <s v="10"/>
    <n v="114.6"/>
    <m/>
  </r>
  <r>
    <x v="3"/>
    <s v="Other recreational goods retailing"/>
    <s v="2019-11-01"/>
    <x v="0"/>
    <s v="November "/>
    <s v="11"/>
    <n v="129"/>
    <m/>
  </r>
  <r>
    <x v="3"/>
    <s v="Other recreational goods retailing"/>
    <s v="2019-12-01"/>
    <x v="0"/>
    <s v="December "/>
    <s v="12"/>
    <n v="194.6"/>
    <m/>
  </r>
  <r>
    <x v="3"/>
    <s v="Other recreational goods retailing"/>
    <s v="2020-01-01"/>
    <x v="1"/>
    <s v="January  "/>
    <s v="1"/>
    <n v="105.6"/>
    <n v="-2.58"/>
  </r>
  <r>
    <x v="3"/>
    <s v="Other recreational goods retailing"/>
    <s v="2020-02-01"/>
    <x v="1"/>
    <s v="February "/>
    <s v="2"/>
    <n v="83.8"/>
    <n v="2.57"/>
  </r>
  <r>
    <x v="3"/>
    <s v="Other recreational goods retailing"/>
    <s v="2020-03-01"/>
    <x v="1"/>
    <s v="March    "/>
    <s v="3"/>
    <n v="119"/>
    <n v="20.32"/>
  </r>
  <r>
    <x v="3"/>
    <s v="Other recreational goods retailing"/>
    <s v="2020-04-01"/>
    <x v="1"/>
    <s v="April    "/>
    <s v="4"/>
    <n v="98.7"/>
    <n v="-10.029999999999999"/>
  </r>
  <r>
    <x v="3"/>
    <s v="Other recreational goods retailing"/>
    <s v="2020-05-01"/>
    <x v="1"/>
    <s v="May      "/>
    <s v="5"/>
    <n v="118.8"/>
    <n v="11.86"/>
  </r>
  <r>
    <x v="3"/>
    <s v="Other recreational goods retailing"/>
    <s v="2020-06-01"/>
    <x v="1"/>
    <s v="June     "/>
    <s v="6"/>
    <n v="127.7"/>
    <n v="19.23"/>
  </r>
  <r>
    <x v="3"/>
    <s v="Other recreational goods retailing"/>
    <s v="2020-07-01"/>
    <x v="1"/>
    <s v="July     "/>
    <s v="7"/>
    <n v="149.80000000000001"/>
    <n v="35.44"/>
  </r>
  <r>
    <x v="3"/>
    <s v="Other recreational goods retailing"/>
    <s v="2020-08-01"/>
    <x v="1"/>
    <s v="August   "/>
    <s v="8"/>
    <n v="127.8"/>
    <n v="9.42"/>
  </r>
  <r>
    <x v="3"/>
    <s v="Other recreational goods retailing"/>
    <s v="2020-09-01"/>
    <x v="1"/>
    <s v="September"/>
    <s v="9"/>
    <n v="139.19999999999999"/>
    <n v="16.579999999999998"/>
  </r>
  <r>
    <x v="3"/>
    <s v="Other recreational goods retailing"/>
    <s v="2020-10-01"/>
    <x v="1"/>
    <s v="October  "/>
    <s v="10"/>
    <n v="120.9"/>
    <n v="5.5"/>
  </r>
  <r>
    <x v="3"/>
    <s v="Other recreational goods retailing"/>
    <s v="2020-11-01"/>
    <x v="1"/>
    <s v="November "/>
    <s v="11"/>
    <n v="161.1"/>
    <n v="24.88"/>
  </r>
  <r>
    <x v="3"/>
    <s v="Other recreational goods retailing"/>
    <s v="2020-12-01"/>
    <x v="1"/>
    <s v="December "/>
    <s v="12"/>
    <n v="212.7"/>
    <n v="9.3000000000000007"/>
  </r>
  <r>
    <x v="3"/>
    <s v="Other recreational goods retailing"/>
    <s v="2021-01-01"/>
    <x v="2"/>
    <s v="January  "/>
    <s v="1"/>
    <n v="117.8"/>
    <n v="11.55"/>
  </r>
  <r>
    <x v="3"/>
    <s v="Other recreational goods retailing"/>
    <s v="2021-02-01"/>
    <x v="2"/>
    <s v="February "/>
    <s v="2"/>
    <n v="90.1"/>
    <n v="7.52"/>
  </r>
  <r>
    <x v="3"/>
    <s v="Other recreational goods retailing"/>
    <s v="2021-03-01"/>
    <x v="2"/>
    <s v="March    "/>
    <s v="3"/>
    <n v="100.6"/>
    <n v="-15.46"/>
  </r>
  <r>
    <x v="3"/>
    <s v="Other recreational goods retailing"/>
    <s v="2021-04-01"/>
    <x v="2"/>
    <s v="April    "/>
    <s v="4"/>
    <n v="104.2"/>
    <n v="5.57"/>
  </r>
  <r>
    <x v="3"/>
    <s v="Other recreational goods retailing"/>
    <s v="2021-05-01"/>
    <x v="2"/>
    <s v="May      "/>
    <s v="5"/>
    <n v="95.8"/>
    <n v="-19.36"/>
  </r>
  <r>
    <x v="3"/>
    <s v="Other recreational goods retailing"/>
    <s v="2021-06-01"/>
    <x v="2"/>
    <s v="June     "/>
    <s v="6"/>
    <n v="103.3"/>
    <n v="-19.11"/>
  </r>
  <r>
    <x v="3"/>
    <s v="Other recreational goods retailing"/>
    <s v="2021-07-01"/>
    <x v="2"/>
    <s v="July     "/>
    <s v="7"/>
    <n v="103.6"/>
    <n v="-30.84"/>
  </r>
  <r>
    <x v="3"/>
    <s v="Other recreational goods retailing"/>
    <s v="2021-08-01"/>
    <x v="2"/>
    <s v="August   "/>
    <s v="8"/>
    <n v="94.9"/>
    <n v="-25.74"/>
  </r>
  <r>
    <x v="3"/>
    <s v="Other recreational goods retailing"/>
    <s v="2021-09-01"/>
    <x v="2"/>
    <s v="September"/>
    <s v="9"/>
    <n v="128.1"/>
    <n v="-7.97"/>
  </r>
  <r>
    <x v="3"/>
    <s v="Other recreational goods retailing"/>
    <s v="2021-10-01"/>
    <x v="2"/>
    <s v="October  "/>
    <s v="10"/>
    <n v="111.5"/>
    <n v="-7.78"/>
  </r>
  <r>
    <x v="3"/>
    <s v="Other recreational goods retailing"/>
    <s v="2021-11-01"/>
    <x v="2"/>
    <s v="November "/>
    <s v="11"/>
    <n v="129.30000000000001"/>
    <n v="-19.739999999999998"/>
  </r>
  <r>
    <x v="3"/>
    <s v="Other recreational goods retailing"/>
    <s v="2021-12-01"/>
    <x v="2"/>
    <s v="December "/>
    <s v="12"/>
    <n v="184"/>
    <n v="-13.49"/>
  </r>
  <r>
    <x v="3"/>
    <s v="Other recreational goods retailing"/>
    <s v="2022-01-01"/>
    <x v="3"/>
    <s v="January  "/>
    <s v="1"/>
    <n v="117.2"/>
    <n v="-0.51"/>
  </r>
  <r>
    <x v="3"/>
    <s v="Other recreational goods retailing"/>
    <s v="2022-02-01"/>
    <x v="3"/>
    <s v="February "/>
    <s v="2"/>
    <n v="97.7"/>
    <n v="8.44"/>
  </r>
  <r>
    <x v="3"/>
    <s v="Other recreational goods retailing"/>
    <s v="2022-03-01"/>
    <x v="3"/>
    <s v="March    "/>
    <s v="3"/>
    <n v="113.4"/>
    <n v="12.72"/>
  </r>
  <r>
    <x v="3"/>
    <s v="Other recreational goods retailing"/>
    <s v="2022-04-01"/>
    <x v="3"/>
    <s v="April    "/>
    <s v="4"/>
    <n v="129.6"/>
    <n v="24.38"/>
  </r>
  <r>
    <x v="3"/>
    <s v="Other recreational goods retailing"/>
    <s v="2022-05-01"/>
    <x v="3"/>
    <s v="May      "/>
    <s v="5"/>
    <n v="115.1"/>
    <n v="20.149999999999999"/>
  </r>
  <r>
    <x v="3"/>
    <s v="Other recreational goods retailing"/>
    <s v="2022-06-01"/>
    <x v="3"/>
    <s v="June     "/>
    <s v="6"/>
    <n v="129.6"/>
    <n v="25.46"/>
  </r>
  <r>
    <x v="3"/>
    <s v="Other recreational goods retailing"/>
    <s v="2022-07-01"/>
    <x v="3"/>
    <s v="July     "/>
    <s v="7"/>
    <n v="121.3"/>
    <n v="17.079999999999998"/>
  </r>
  <r>
    <x v="3"/>
    <s v="Other recreational goods retailing"/>
    <s v="2022-08-01"/>
    <x v="3"/>
    <s v="August   "/>
    <s v="8"/>
    <n v="124.2"/>
    <n v="30.87"/>
  </r>
  <r>
    <x v="3"/>
    <s v="Other recreational goods retailing"/>
    <s v="2022-09-01"/>
    <x v="3"/>
    <s v="September"/>
    <s v="9"/>
    <n v="144.80000000000001"/>
    <n v="13.04"/>
  </r>
  <r>
    <x v="3"/>
    <s v="Other recreational goods retailing"/>
    <s v="2022-10-01"/>
    <x v="3"/>
    <s v="October  "/>
    <s v="10"/>
    <n v="130.1"/>
    <n v="16.68"/>
  </r>
  <r>
    <x v="3"/>
    <s v="Other recreational goods retailing"/>
    <s v="2022-11-01"/>
    <x v="3"/>
    <s v="November "/>
    <s v="11"/>
    <n v="167.4"/>
    <n v="29.47"/>
  </r>
  <r>
    <x v="3"/>
    <s v="Other recreational goods retailing"/>
    <s v="2022-12-01"/>
    <x v="3"/>
    <s v="December "/>
    <s v="12"/>
    <n v="247.2"/>
    <n v="34.35"/>
  </r>
  <r>
    <x v="3"/>
    <s v="Other recreational goods retailing"/>
    <s v="2023-01-01"/>
    <x v="4"/>
    <s v="January  "/>
    <s v="1"/>
    <n v="145.5"/>
    <n v="24.15"/>
  </r>
  <r>
    <x v="3"/>
    <s v="Other recreational goods retailing"/>
    <s v="2023-02-01"/>
    <x v="4"/>
    <s v="February "/>
    <s v="2"/>
    <n v="109.4"/>
    <n v="11.98"/>
  </r>
  <r>
    <x v="3"/>
    <s v="Other recreational goods retailing"/>
    <s v="2023-03-01"/>
    <x v="4"/>
    <s v="March    "/>
    <s v="3"/>
    <n v="124.8"/>
    <n v="10.050000000000001"/>
  </r>
  <r>
    <x v="3"/>
    <s v="Other recreational goods retailing"/>
    <s v="2023-04-01"/>
    <x v="4"/>
    <s v="April    "/>
    <s v="4"/>
    <n v="129.80000000000001"/>
    <n v="0.15"/>
  </r>
  <r>
    <x v="3"/>
    <s v="Other recreational goods retailing"/>
    <s v="2023-05-01"/>
    <x v="4"/>
    <s v="May      "/>
    <s v="5"/>
    <n v="120"/>
    <n v="4.26"/>
  </r>
  <r>
    <x v="3"/>
    <s v="Other recreational goods retailing"/>
    <s v="2023-06-01"/>
    <x v="4"/>
    <s v="June     "/>
    <s v="6"/>
    <n v="129.69999999999999"/>
    <n v="0.08"/>
  </r>
  <r>
    <x v="3"/>
    <s v="Other recreational goods retailing"/>
    <s v="2023-07-01"/>
    <x v="4"/>
    <s v="July     "/>
    <s v="7"/>
    <n v="128"/>
    <n v="5.52"/>
  </r>
  <r>
    <x v="3"/>
    <s v="Other recreational goods retailing"/>
    <s v="2023-08-01"/>
    <x v="4"/>
    <s v="August   "/>
    <s v="8"/>
    <n v="131.6"/>
    <n v="5.96"/>
  </r>
  <r>
    <x v="3"/>
    <s v="Other recreational goods retailing"/>
    <s v="2023-09-01"/>
    <x v="4"/>
    <s v="September"/>
    <s v="9"/>
    <n v="139.19999999999999"/>
    <n v="-3.87"/>
  </r>
  <r>
    <x v="3"/>
    <s v="Other recreational goods retailing"/>
    <s v="2023-10-01"/>
    <x v="4"/>
    <s v="October  "/>
    <s v="10"/>
    <n v="134.4"/>
    <n v="3.31"/>
  </r>
  <r>
    <x v="3"/>
    <s v="Other recreational goods retailing"/>
    <s v="2023-11-01"/>
    <x v="4"/>
    <s v="November "/>
    <s v="11"/>
    <n v="170.2"/>
    <n v="1.67"/>
  </r>
  <r>
    <x v="3"/>
    <s v="Other recreational goods retailing"/>
    <s v="2023-12-01"/>
    <x v="4"/>
    <s v="December "/>
    <s v="12"/>
    <n v="263"/>
    <n v="6.39"/>
  </r>
  <r>
    <x v="3"/>
    <s v="Other recreational goods retailing"/>
    <s v="2024-01-01"/>
    <x v="5"/>
    <s v="January  "/>
    <s v="1"/>
    <n v="137.4"/>
    <n v="-5.57"/>
  </r>
  <r>
    <x v="3"/>
    <s v="Other recreational goods retailing"/>
    <s v="2024-02-01"/>
    <x v="5"/>
    <s v="February "/>
    <s v="2"/>
    <n v="117.5"/>
    <n v="7.4"/>
  </r>
  <r>
    <x v="3"/>
    <s v="Other recreational goods retailing"/>
    <s v="2024-03-01"/>
    <x v="5"/>
    <s v="March    "/>
    <s v="3"/>
    <n v="126.8"/>
    <n v="1.6"/>
  </r>
  <r>
    <x v="3"/>
    <s v="Other recreational goods retailing"/>
    <s v="2024-04-01"/>
    <x v="5"/>
    <s v="April    "/>
    <s v="4"/>
    <n v="138.4"/>
    <n v="6.63"/>
  </r>
  <r>
    <x v="3"/>
    <s v="Other recreational goods retailing"/>
    <s v="2024-05-01"/>
    <x v="5"/>
    <s v="May      "/>
    <s v="5"/>
    <n v="126"/>
    <n v="5"/>
  </r>
  <r>
    <x v="3"/>
    <s v="Other recreational goods retailing"/>
    <s v="2024-06-01"/>
    <x v="5"/>
    <s v="June     "/>
    <s v="6"/>
    <n v="150.19999999999999"/>
    <n v="15.81"/>
  </r>
  <r>
    <x v="3"/>
    <s v="Other recreational goods retailing"/>
    <s v="2024-07-01"/>
    <x v="5"/>
    <s v="July     "/>
    <s v="7"/>
    <n v="130.30000000000001"/>
    <n v="1.8"/>
  </r>
  <r>
    <x v="3"/>
    <s v="Other recreational goods retailing"/>
    <s v="2024-08-01"/>
    <x v="5"/>
    <s v="August   "/>
    <s v="8"/>
    <n v="139.1"/>
    <n v="5.7"/>
  </r>
  <r>
    <x v="3"/>
    <s v="Other recreational goods retailing"/>
    <s v="2024-09-01"/>
    <x v="5"/>
    <s v="September"/>
    <s v="9"/>
    <n v="154.80000000000001"/>
    <n v="11.21"/>
  </r>
  <r>
    <x v="3"/>
    <s v="Other recreational goods retailing"/>
    <s v="2024-10-01"/>
    <x v="5"/>
    <s v="October  "/>
    <s v="10"/>
    <n v="148.1"/>
    <n v="10.19"/>
  </r>
  <r>
    <x v="3"/>
    <s v="Other recreational goods retailing"/>
    <s v="2024-11-01"/>
    <x v="5"/>
    <s v="November "/>
    <s v="11"/>
    <n v="184.7"/>
    <n v="8.52"/>
  </r>
  <r>
    <x v="3"/>
    <s v="Other recreational goods retailing"/>
    <s v="2024-12-01"/>
    <x v="5"/>
    <s v="December "/>
    <s v="12"/>
    <n v="268"/>
    <n v="1.9"/>
  </r>
  <r>
    <x v="3"/>
    <s v="Other recreational goods retailing"/>
    <s v="2025-01-01"/>
    <x v="6"/>
    <s v="January  "/>
    <s v="1"/>
    <n v="163.5"/>
    <n v="19"/>
  </r>
  <r>
    <x v="3"/>
    <s v="Other recreational goods retailing"/>
    <s v="2025-02-01"/>
    <x v="6"/>
    <s v="February "/>
    <s v="2"/>
    <n v="124.6"/>
    <n v="6.04"/>
  </r>
  <r>
    <x v="3"/>
    <s v="Other recreational goods retailing"/>
    <s v="2025-03-01"/>
    <x v="6"/>
    <s v="March    "/>
    <s v="3"/>
    <n v="147.1"/>
    <n v="16.010000000000002"/>
  </r>
  <r>
    <x v="3"/>
    <s v="Other recreational goods retailing"/>
    <s v="2025-04-01"/>
    <x v="6"/>
    <s v="April    "/>
    <s v="4"/>
    <n v="169.1"/>
    <n v="22.18"/>
  </r>
  <r>
    <x v="3"/>
    <s v="Other recreational goods retailing"/>
    <s v="2025-05-01"/>
    <x v="6"/>
    <s v="May      "/>
    <s v="5"/>
    <n v="146.80000000000001"/>
    <n v="16.510000000000002"/>
  </r>
  <r>
    <x v="3"/>
    <s v="Other recreational goods retailing"/>
    <s v="2025-06-01"/>
    <x v="6"/>
    <s v="June     "/>
    <s v="6"/>
    <n v="176.6"/>
    <n v="17.579999999999998"/>
  </r>
  <r>
    <x v="3"/>
    <s v="Other retailing n.e.c."/>
    <s v="2019-01-01"/>
    <x v="0"/>
    <s v="January  "/>
    <s v="1"/>
    <n v="308.5"/>
    <m/>
  </r>
  <r>
    <x v="3"/>
    <s v="Other retailing n.e.c."/>
    <s v="2019-02-01"/>
    <x v="0"/>
    <s v="February "/>
    <s v="2"/>
    <n v="293.3"/>
    <m/>
  </r>
  <r>
    <x v="3"/>
    <s v="Other retailing n.e.c."/>
    <s v="2019-03-01"/>
    <x v="0"/>
    <s v="March    "/>
    <s v="3"/>
    <n v="288.8"/>
    <m/>
  </r>
  <r>
    <x v="3"/>
    <s v="Other retailing n.e.c."/>
    <s v="2019-04-01"/>
    <x v="0"/>
    <s v="April    "/>
    <s v="4"/>
    <n v="282.7"/>
    <m/>
  </r>
  <r>
    <x v="3"/>
    <s v="Other retailing n.e.c."/>
    <s v="2019-05-01"/>
    <x v="0"/>
    <s v="May      "/>
    <s v="5"/>
    <n v="300.89999999999998"/>
    <m/>
  </r>
  <r>
    <x v="3"/>
    <s v="Other retailing n.e.c."/>
    <s v="2019-06-01"/>
    <x v="0"/>
    <s v="June     "/>
    <s v="6"/>
    <n v="297"/>
    <m/>
  </r>
  <r>
    <x v="3"/>
    <s v="Other retailing n.e.c."/>
    <s v="2019-07-01"/>
    <x v="0"/>
    <s v="July     "/>
    <s v="7"/>
    <n v="312.3"/>
    <m/>
  </r>
  <r>
    <x v="3"/>
    <s v="Other retailing n.e.c."/>
    <s v="2019-08-01"/>
    <x v="0"/>
    <s v="August   "/>
    <s v="8"/>
    <n v="312.39999999999998"/>
    <m/>
  </r>
  <r>
    <x v="3"/>
    <s v="Other retailing n.e.c."/>
    <s v="2019-09-01"/>
    <x v="0"/>
    <s v="September"/>
    <s v="9"/>
    <n v="306.89999999999998"/>
    <m/>
  </r>
  <r>
    <x v="3"/>
    <s v="Other retailing n.e.c."/>
    <s v="2019-10-01"/>
    <x v="0"/>
    <s v="October  "/>
    <s v="10"/>
    <n v="343.8"/>
    <m/>
  </r>
  <r>
    <x v="3"/>
    <s v="Other retailing n.e.c."/>
    <s v="2019-11-01"/>
    <x v="0"/>
    <s v="November "/>
    <s v="11"/>
    <n v="366.9"/>
    <m/>
  </r>
  <r>
    <x v="3"/>
    <s v="Other retailing n.e.c."/>
    <s v="2019-12-01"/>
    <x v="0"/>
    <s v="December "/>
    <s v="12"/>
    <n v="405.4"/>
    <m/>
  </r>
  <r>
    <x v="3"/>
    <s v="Other retailing n.e.c."/>
    <s v="2020-01-01"/>
    <x v="1"/>
    <s v="January  "/>
    <s v="1"/>
    <n v="330.5"/>
    <n v="7.13"/>
  </r>
  <r>
    <x v="3"/>
    <s v="Other retailing n.e.c."/>
    <s v="2020-02-01"/>
    <x v="1"/>
    <s v="February "/>
    <s v="2"/>
    <n v="331.1"/>
    <n v="12.89"/>
  </r>
  <r>
    <x v="3"/>
    <s v="Other retailing n.e.c."/>
    <s v="2020-03-01"/>
    <x v="1"/>
    <s v="March    "/>
    <s v="3"/>
    <n v="363.7"/>
    <n v="25.93"/>
  </r>
  <r>
    <x v="3"/>
    <s v="Other retailing n.e.c."/>
    <s v="2020-04-01"/>
    <x v="1"/>
    <s v="April    "/>
    <s v="4"/>
    <n v="375.9"/>
    <n v="32.97"/>
  </r>
  <r>
    <x v="3"/>
    <s v="Other retailing n.e.c."/>
    <s v="2020-05-01"/>
    <x v="1"/>
    <s v="May      "/>
    <s v="5"/>
    <n v="405.2"/>
    <n v="34.659999999999997"/>
  </r>
  <r>
    <x v="3"/>
    <s v="Other retailing n.e.c."/>
    <s v="2020-06-01"/>
    <x v="1"/>
    <s v="June     "/>
    <s v="6"/>
    <n v="412"/>
    <n v="38.72"/>
  </r>
  <r>
    <x v="3"/>
    <s v="Other retailing n.e.c."/>
    <s v="2020-07-01"/>
    <x v="1"/>
    <s v="July     "/>
    <s v="7"/>
    <n v="413.1"/>
    <n v="32.28"/>
  </r>
  <r>
    <x v="3"/>
    <s v="Other retailing n.e.c."/>
    <s v="2020-08-01"/>
    <x v="1"/>
    <s v="August   "/>
    <s v="8"/>
    <n v="403.8"/>
    <n v="29.26"/>
  </r>
  <r>
    <x v="3"/>
    <s v="Other retailing n.e.c."/>
    <s v="2020-09-01"/>
    <x v="1"/>
    <s v="September"/>
    <s v="9"/>
    <n v="397.4"/>
    <n v="29.49"/>
  </r>
  <r>
    <x v="3"/>
    <s v="Other retailing n.e.c."/>
    <s v="2020-10-01"/>
    <x v="1"/>
    <s v="October  "/>
    <s v="10"/>
    <n v="418.9"/>
    <n v="21.84"/>
  </r>
  <r>
    <x v="3"/>
    <s v="Other retailing n.e.c."/>
    <s v="2020-11-01"/>
    <x v="1"/>
    <s v="November "/>
    <s v="11"/>
    <n v="474.2"/>
    <n v="29.25"/>
  </r>
  <r>
    <x v="3"/>
    <s v="Other retailing n.e.c."/>
    <s v="2020-12-01"/>
    <x v="1"/>
    <s v="December "/>
    <s v="12"/>
    <n v="493.9"/>
    <n v="21.83"/>
  </r>
  <r>
    <x v="3"/>
    <s v="Other retailing n.e.c."/>
    <s v="2021-01-01"/>
    <x v="2"/>
    <s v="January  "/>
    <s v="1"/>
    <n v="409.7"/>
    <n v="23.96"/>
  </r>
  <r>
    <x v="3"/>
    <s v="Other retailing n.e.c."/>
    <s v="2021-02-01"/>
    <x v="2"/>
    <s v="February "/>
    <s v="2"/>
    <n v="393.7"/>
    <n v="18.91"/>
  </r>
  <r>
    <x v="3"/>
    <s v="Other retailing n.e.c."/>
    <s v="2021-03-01"/>
    <x v="2"/>
    <s v="March    "/>
    <s v="3"/>
    <n v="406.2"/>
    <n v="11.69"/>
  </r>
  <r>
    <x v="3"/>
    <s v="Other retailing n.e.c."/>
    <s v="2021-04-01"/>
    <x v="2"/>
    <s v="April    "/>
    <s v="4"/>
    <n v="367.5"/>
    <n v="-2.23"/>
  </r>
  <r>
    <x v="3"/>
    <s v="Other retailing n.e.c."/>
    <s v="2021-05-01"/>
    <x v="2"/>
    <s v="May      "/>
    <s v="5"/>
    <n v="394.2"/>
    <n v="-2.71"/>
  </r>
  <r>
    <x v="3"/>
    <s v="Other retailing n.e.c."/>
    <s v="2021-06-01"/>
    <x v="2"/>
    <s v="June     "/>
    <s v="6"/>
    <n v="406.8"/>
    <n v="-1.26"/>
  </r>
  <r>
    <x v="3"/>
    <s v="Other retailing n.e.c."/>
    <s v="2021-07-01"/>
    <x v="2"/>
    <s v="July     "/>
    <s v="7"/>
    <n v="434.3"/>
    <n v="5.13"/>
  </r>
  <r>
    <x v="3"/>
    <s v="Other retailing n.e.c."/>
    <s v="2021-08-01"/>
    <x v="2"/>
    <s v="August   "/>
    <s v="8"/>
    <n v="453"/>
    <n v="12.18"/>
  </r>
  <r>
    <x v="3"/>
    <s v="Other retailing n.e.c."/>
    <s v="2021-09-01"/>
    <x v="2"/>
    <s v="September"/>
    <s v="9"/>
    <n v="464.6"/>
    <n v="16.91"/>
  </r>
  <r>
    <x v="3"/>
    <s v="Other retailing n.e.c."/>
    <s v="2021-10-01"/>
    <x v="2"/>
    <s v="October  "/>
    <s v="10"/>
    <n v="505.2"/>
    <n v="20.6"/>
  </r>
  <r>
    <x v="3"/>
    <s v="Other retailing n.e.c."/>
    <s v="2021-11-01"/>
    <x v="2"/>
    <s v="November "/>
    <s v="11"/>
    <n v="584"/>
    <n v="23.15"/>
  </r>
  <r>
    <x v="3"/>
    <s v="Other retailing n.e.c."/>
    <s v="2021-12-01"/>
    <x v="2"/>
    <s v="December "/>
    <s v="12"/>
    <n v="598.20000000000005"/>
    <n v="21.12"/>
  </r>
  <r>
    <x v="3"/>
    <s v="Other retailing n.e.c."/>
    <s v="2022-01-01"/>
    <x v="3"/>
    <s v="January  "/>
    <s v="1"/>
    <n v="467"/>
    <n v="13.99"/>
  </r>
  <r>
    <x v="3"/>
    <s v="Other retailing n.e.c."/>
    <s v="2022-02-01"/>
    <x v="3"/>
    <s v="February "/>
    <s v="2"/>
    <n v="429.8"/>
    <n v="9.17"/>
  </r>
  <r>
    <x v="3"/>
    <s v="Other retailing n.e.c."/>
    <s v="2022-03-01"/>
    <x v="3"/>
    <s v="March    "/>
    <s v="3"/>
    <n v="470.6"/>
    <n v="15.85"/>
  </r>
  <r>
    <x v="3"/>
    <s v="Other retailing n.e.c."/>
    <s v="2022-04-01"/>
    <x v="3"/>
    <s v="April    "/>
    <s v="4"/>
    <n v="440.4"/>
    <n v="19.84"/>
  </r>
  <r>
    <x v="3"/>
    <s v="Other retailing n.e.c."/>
    <s v="2022-05-01"/>
    <x v="3"/>
    <s v="May      "/>
    <s v="5"/>
    <n v="472.5"/>
    <n v="19.86"/>
  </r>
  <r>
    <x v="3"/>
    <s v="Other retailing n.e.c."/>
    <s v="2022-06-01"/>
    <x v="3"/>
    <s v="June     "/>
    <s v="6"/>
    <n v="472.9"/>
    <n v="16.25"/>
  </r>
  <r>
    <x v="3"/>
    <s v="Other retailing n.e.c."/>
    <s v="2022-07-01"/>
    <x v="3"/>
    <s v="July     "/>
    <s v="7"/>
    <n v="489.8"/>
    <n v="12.78"/>
  </r>
  <r>
    <x v="3"/>
    <s v="Other retailing n.e.c."/>
    <s v="2022-08-01"/>
    <x v="3"/>
    <s v="August   "/>
    <s v="8"/>
    <n v="488.4"/>
    <n v="7.81"/>
  </r>
  <r>
    <x v="3"/>
    <s v="Other retailing n.e.c."/>
    <s v="2022-09-01"/>
    <x v="3"/>
    <s v="September"/>
    <s v="9"/>
    <n v="483"/>
    <n v="3.96"/>
  </r>
  <r>
    <x v="3"/>
    <s v="Other retailing n.e.c."/>
    <s v="2022-10-01"/>
    <x v="3"/>
    <s v="October  "/>
    <s v="10"/>
    <n v="510.2"/>
    <n v="0.99"/>
  </r>
  <r>
    <x v="3"/>
    <s v="Other retailing n.e.c."/>
    <s v="2022-11-01"/>
    <x v="3"/>
    <s v="November "/>
    <s v="11"/>
    <n v="572.6"/>
    <n v="-1.95"/>
  </r>
  <r>
    <x v="3"/>
    <s v="Other retailing n.e.c."/>
    <s v="2022-12-01"/>
    <x v="3"/>
    <s v="December "/>
    <s v="12"/>
    <n v="554.79999999999995"/>
    <n v="-7.26"/>
  </r>
  <r>
    <x v="3"/>
    <s v="Other retailing n.e.c."/>
    <s v="2023-01-01"/>
    <x v="4"/>
    <s v="January  "/>
    <s v="1"/>
    <n v="472.5"/>
    <n v="1.18"/>
  </r>
  <r>
    <x v="3"/>
    <s v="Other retailing n.e.c."/>
    <s v="2023-02-01"/>
    <x v="4"/>
    <s v="February "/>
    <s v="2"/>
    <n v="435.6"/>
    <n v="1.35"/>
  </r>
  <r>
    <x v="3"/>
    <s v="Other retailing n.e.c."/>
    <s v="2023-03-01"/>
    <x v="4"/>
    <s v="March    "/>
    <s v="3"/>
    <n v="445.6"/>
    <n v="-5.31"/>
  </r>
  <r>
    <x v="3"/>
    <s v="Other retailing n.e.c."/>
    <s v="2023-04-01"/>
    <x v="4"/>
    <s v="April    "/>
    <s v="4"/>
    <n v="394.3"/>
    <n v="-10.47"/>
  </r>
  <r>
    <x v="3"/>
    <s v="Other retailing n.e.c."/>
    <s v="2023-05-01"/>
    <x v="4"/>
    <s v="May      "/>
    <s v="5"/>
    <n v="435.4"/>
    <n v="-7.85"/>
  </r>
  <r>
    <x v="3"/>
    <s v="Other retailing n.e.c."/>
    <s v="2023-06-01"/>
    <x v="4"/>
    <s v="June     "/>
    <s v="6"/>
    <n v="433.1"/>
    <n v="-8.42"/>
  </r>
  <r>
    <x v="3"/>
    <s v="Other retailing n.e.c."/>
    <s v="2023-07-01"/>
    <x v="4"/>
    <s v="July     "/>
    <s v="7"/>
    <n v="439.6"/>
    <n v="-10.25"/>
  </r>
  <r>
    <x v="3"/>
    <s v="Other retailing n.e.c."/>
    <s v="2023-08-01"/>
    <x v="4"/>
    <s v="August   "/>
    <s v="8"/>
    <n v="458.5"/>
    <n v="-6.12"/>
  </r>
  <r>
    <x v="3"/>
    <s v="Other retailing n.e.c."/>
    <s v="2023-09-01"/>
    <x v="4"/>
    <s v="September"/>
    <s v="9"/>
    <n v="445.9"/>
    <n v="-7.68"/>
  </r>
  <r>
    <x v="3"/>
    <s v="Other retailing n.e.c."/>
    <s v="2023-10-01"/>
    <x v="4"/>
    <s v="October  "/>
    <s v="10"/>
    <n v="491.4"/>
    <n v="-3.68"/>
  </r>
  <r>
    <x v="3"/>
    <s v="Other retailing n.e.c."/>
    <s v="2023-11-01"/>
    <x v="4"/>
    <s v="November "/>
    <s v="11"/>
    <n v="553.9"/>
    <n v="-3.27"/>
  </r>
  <r>
    <x v="3"/>
    <s v="Other retailing n.e.c."/>
    <s v="2023-12-01"/>
    <x v="4"/>
    <s v="December "/>
    <s v="12"/>
    <n v="540.1"/>
    <n v="-2.65"/>
  </r>
  <r>
    <x v="3"/>
    <s v="Other retailing n.e.c."/>
    <s v="2024-01-01"/>
    <x v="5"/>
    <s v="January  "/>
    <s v="1"/>
    <n v="463.9"/>
    <n v="-1.82"/>
  </r>
  <r>
    <x v="3"/>
    <s v="Other retailing n.e.c."/>
    <s v="2024-02-01"/>
    <x v="5"/>
    <s v="February "/>
    <s v="2"/>
    <n v="433.2"/>
    <n v="-0.55000000000000004"/>
  </r>
  <r>
    <x v="3"/>
    <s v="Other retailing n.e.c."/>
    <s v="2024-03-01"/>
    <x v="5"/>
    <s v="March    "/>
    <s v="3"/>
    <n v="442"/>
    <n v="-0.81"/>
  </r>
  <r>
    <x v="3"/>
    <s v="Other retailing n.e.c."/>
    <s v="2024-04-01"/>
    <x v="5"/>
    <s v="April    "/>
    <s v="4"/>
    <n v="413.9"/>
    <n v="4.97"/>
  </r>
  <r>
    <x v="3"/>
    <s v="Other retailing n.e.c."/>
    <s v="2024-05-01"/>
    <x v="5"/>
    <s v="May      "/>
    <s v="5"/>
    <n v="443"/>
    <n v="1.75"/>
  </r>
  <r>
    <x v="3"/>
    <s v="Other retailing n.e.c."/>
    <s v="2024-06-01"/>
    <x v="5"/>
    <s v="June     "/>
    <s v="6"/>
    <n v="446.5"/>
    <n v="3.09"/>
  </r>
  <r>
    <x v="3"/>
    <s v="Other retailing n.e.c."/>
    <s v="2024-07-01"/>
    <x v="5"/>
    <s v="July     "/>
    <s v="7"/>
    <n v="473.3"/>
    <n v="7.67"/>
  </r>
  <r>
    <x v="3"/>
    <s v="Other retailing n.e.c."/>
    <s v="2024-08-01"/>
    <x v="5"/>
    <s v="August   "/>
    <s v="8"/>
    <n v="484"/>
    <n v="5.56"/>
  </r>
  <r>
    <x v="3"/>
    <s v="Other retailing n.e.c."/>
    <s v="2024-09-01"/>
    <x v="5"/>
    <s v="September"/>
    <s v="9"/>
    <n v="474.3"/>
    <n v="6.37"/>
  </r>
  <r>
    <x v="3"/>
    <s v="Other retailing n.e.c."/>
    <s v="2024-10-01"/>
    <x v="5"/>
    <s v="October  "/>
    <s v="10"/>
    <n v="537.6"/>
    <n v="9.4"/>
  </r>
  <r>
    <x v="3"/>
    <s v="Other retailing n.e.c."/>
    <s v="2024-11-01"/>
    <x v="5"/>
    <s v="November "/>
    <s v="11"/>
    <n v="615.9"/>
    <n v="11.19"/>
  </r>
  <r>
    <x v="3"/>
    <s v="Other retailing n.e.c."/>
    <s v="2024-12-01"/>
    <x v="5"/>
    <s v="December "/>
    <s v="12"/>
    <n v="599.6"/>
    <n v="11.02"/>
  </r>
  <r>
    <x v="3"/>
    <s v="Other retailing n.e.c."/>
    <s v="2025-01-01"/>
    <x v="6"/>
    <s v="January  "/>
    <s v="1"/>
    <n v="510.3"/>
    <n v="10"/>
  </r>
  <r>
    <x v="3"/>
    <s v="Other retailing n.e.c."/>
    <s v="2025-02-01"/>
    <x v="6"/>
    <s v="February "/>
    <s v="2"/>
    <n v="443.5"/>
    <n v="2.38"/>
  </r>
  <r>
    <x v="3"/>
    <s v="Other retailing n.e.c."/>
    <s v="2025-03-01"/>
    <x v="6"/>
    <s v="March    "/>
    <s v="3"/>
    <n v="453.9"/>
    <n v="2.69"/>
  </r>
  <r>
    <x v="3"/>
    <s v="Other retailing n.e.c."/>
    <s v="2025-04-01"/>
    <x v="6"/>
    <s v="April    "/>
    <s v="4"/>
    <n v="441.6"/>
    <n v="6.69"/>
  </r>
  <r>
    <x v="3"/>
    <s v="Other retailing n.e.c."/>
    <s v="2025-05-01"/>
    <x v="6"/>
    <s v="May      "/>
    <s v="5"/>
    <n v="471.3"/>
    <n v="6.39"/>
  </r>
  <r>
    <x v="3"/>
    <s v="Other retailing n.e.c."/>
    <s v="2025-06-01"/>
    <x v="6"/>
    <s v="June     "/>
    <s v="6"/>
    <n v="477.9"/>
    <n v="7.03"/>
  </r>
  <r>
    <x v="3"/>
    <s v="Pharmaceutical, cosmetic and toiletry goods retailing"/>
    <s v="2019-01-01"/>
    <x v="0"/>
    <s v="January  "/>
    <s v="1"/>
    <n v="266.3"/>
    <m/>
  </r>
  <r>
    <x v="3"/>
    <s v="Pharmaceutical, cosmetic and toiletry goods retailing"/>
    <s v="2019-02-01"/>
    <x v="0"/>
    <s v="February "/>
    <s v="2"/>
    <n v="259"/>
    <m/>
  </r>
  <r>
    <x v="3"/>
    <s v="Pharmaceutical, cosmetic and toiletry goods retailing"/>
    <s v="2019-03-01"/>
    <x v="0"/>
    <s v="March    "/>
    <s v="3"/>
    <n v="290"/>
    <m/>
  </r>
  <r>
    <x v="3"/>
    <s v="Pharmaceutical, cosmetic and toiletry goods retailing"/>
    <s v="2019-04-01"/>
    <x v="0"/>
    <s v="April    "/>
    <s v="4"/>
    <n v="269.8"/>
    <m/>
  </r>
  <r>
    <x v="3"/>
    <s v="Pharmaceutical, cosmetic and toiletry goods retailing"/>
    <s v="2019-05-01"/>
    <x v="0"/>
    <s v="May      "/>
    <s v="5"/>
    <n v="294.5"/>
    <m/>
  </r>
  <r>
    <x v="3"/>
    <s v="Pharmaceutical, cosmetic and toiletry goods retailing"/>
    <s v="2019-06-01"/>
    <x v="0"/>
    <s v="June     "/>
    <s v="6"/>
    <n v="277.8"/>
    <m/>
  </r>
  <r>
    <x v="3"/>
    <s v="Pharmaceutical, cosmetic and toiletry goods retailing"/>
    <s v="2019-07-01"/>
    <x v="0"/>
    <s v="July     "/>
    <s v="7"/>
    <n v="299.3"/>
    <m/>
  </r>
  <r>
    <x v="3"/>
    <s v="Pharmaceutical, cosmetic and toiletry goods retailing"/>
    <s v="2019-08-01"/>
    <x v="0"/>
    <s v="August   "/>
    <s v="8"/>
    <n v="309.8"/>
    <m/>
  </r>
  <r>
    <x v="3"/>
    <s v="Pharmaceutical, cosmetic and toiletry goods retailing"/>
    <s v="2019-09-01"/>
    <x v="0"/>
    <s v="September"/>
    <s v="9"/>
    <n v="299.39999999999998"/>
    <m/>
  </r>
  <r>
    <x v="3"/>
    <s v="Pharmaceutical, cosmetic and toiletry goods retailing"/>
    <s v="2019-10-01"/>
    <x v="0"/>
    <s v="October  "/>
    <s v="10"/>
    <n v="323.60000000000002"/>
    <m/>
  </r>
  <r>
    <x v="3"/>
    <s v="Pharmaceutical, cosmetic and toiletry goods retailing"/>
    <s v="2019-11-01"/>
    <x v="0"/>
    <s v="November "/>
    <s v="11"/>
    <n v="325.39999999999998"/>
    <m/>
  </r>
  <r>
    <x v="3"/>
    <s v="Pharmaceutical, cosmetic and toiletry goods retailing"/>
    <s v="2019-12-01"/>
    <x v="0"/>
    <s v="December "/>
    <s v="12"/>
    <n v="377"/>
    <m/>
  </r>
  <r>
    <x v="3"/>
    <s v="Pharmaceutical, cosmetic and toiletry goods retailing"/>
    <s v="2020-01-01"/>
    <x v="1"/>
    <s v="January  "/>
    <s v="1"/>
    <n v="301.89999999999998"/>
    <n v="13.37"/>
  </r>
  <r>
    <x v="3"/>
    <s v="Pharmaceutical, cosmetic and toiletry goods retailing"/>
    <s v="2020-02-01"/>
    <x v="1"/>
    <s v="February "/>
    <s v="2"/>
    <n v="302.3"/>
    <n v="16.72"/>
  </r>
  <r>
    <x v="3"/>
    <s v="Pharmaceutical, cosmetic and toiletry goods retailing"/>
    <s v="2020-03-01"/>
    <x v="1"/>
    <s v="March    "/>
    <s v="3"/>
    <n v="391.6"/>
    <n v="35.03"/>
  </r>
  <r>
    <x v="3"/>
    <s v="Pharmaceutical, cosmetic and toiletry goods retailing"/>
    <s v="2020-04-01"/>
    <x v="1"/>
    <s v="April    "/>
    <s v="4"/>
    <n v="275"/>
    <n v="1.93"/>
  </r>
  <r>
    <x v="3"/>
    <s v="Pharmaceutical, cosmetic and toiletry goods retailing"/>
    <s v="2020-05-01"/>
    <x v="1"/>
    <s v="May      "/>
    <s v="5"/>
    <n v="305.8"/>
    <n v="3.84"/>
  </r>
  <r>
    <x v="3"/>
    <s v="Pharmaceutical, cosmetic and toiletry goods retailing"/>
    <s v="2020-06-01"/>
    <x v="1"/>
    <s v="June     "/>
    <s v="6"/>
    <n v="309.3"/>
    <n v="11.34"/>
  </r>
  <r>
    <x v="3"/>
    <s v="Pharmaceutical, cosmetic and toiletry goods retailing"/>
    <s v="2020-07-01"/>
    <x v="1"/>
    <s v="July     "/>
    <s v="7"/>
    <n v="345.1"/>
    <n v="15.3"/>
  </r>
  <r>
    <x v="3"/>
    <s v="Pharmaceutical, cosmetic and toiletry goods retailing"/>
    <s v="2020-08-01"/>
    <x v="1"/>
    <s v="August   "/>
    <s v="8"/>
    <n v="339.8"/>
    <n v="9.68"/>
  </r>
  <r>
    <x v="3"/>
    <s v="Pharmaceutical, cosmetic and toiletry goods retailing"/>
    <s v="2020-09-01"/>
    <x v="1"/>
    <s v="September"/>
    <s v="9"/>
    <n v="339.6"/>
    <n v="13.43"/>
  </r>
  <r>
    <x v="3"/>
    <s v="Pharmaceutical, cosmetic and toiletry goods retailing"/>
    <s v="2020-10-01"/>
    <x v="1"/>
    <s v="October  "/>
    <s v="10"/>
    <n v="350"/>
    <n v="8.16"/>
  </r>
  <r>
    <x v="3"/>
    <s v="Pharmaceutical, cosmetic and toiletry goods retailing"/>
    <s v="2020-11-01"/>
    <x v="1"/>
    <s v="November "/>
    <s v="11"/>
    <n v="345.3"/>
    <n v="6.12"/>
  </r>
  <r>
    <x v="3"/>
    <s v="Pharmaceutical, cosmetic and toiletry goods retailing"/>
    <s v="2020-12-01"/>
    <x v="1"/>
    <s v="December "/>
    <s v="12"/>
    <n v="404.3"/>
    <n v="7.24"/>
  </r>
  <r>
    <x v="3"/>
    <s v="Pharmaceutical, cosmetic and toiletry goods retailing"/>
    <s v="2021-01-01"/>
    <x v="2"/>
    <s v="January  "/>
    <s v="1"/>
    <n v="317.3"/>
    <n v="5.0999999999999996"/>
  </r>
  <r>
    <x v="3"/>
    <s v="Pharmaceutical, cosmetic and toiletry goods retailing"/>
    <s v="2021-02-01"/>
    <x v="2"/>
    <s v="February "/>
    <s v="2"/>
    <n v="322.7"/>
    <n v="6.75"/>
  </r>
  <r>
    <x v="3"/>
    <s v="Pharmaceutical, cosmetic and toiletry goods retailing"/>
    <s v="2021-03-01"/>
    <x v="2"/>
    <s v="March    "/>
    <s v="3"/>
    <n v="365.7"/>
    <n v="-6.61"/>
  </r>
  <r>
    <x v="3"/>
    <s v="Pharmaceutical, cosmetic and toiletry goods retailing"/>
    <s v="2021-04-01"/>
    <x v="2"/>
    <s v="April    "/>
    <s v="4"/>
    <n v="335.6"/>
    <n v="22.04"/>
  </r>
  <r>
    <x v="3"/>
    <s v="Pharmaceutical, cosmetic and toiletry goods retailing"/>
    <s v="2021-05-01"/>
    <x v="2"/>
    <s v="May      "/>
    <s v="5"/>
    <n v="356"/>
    <n v="16.420000000000002"/>
  </r>
  <r>
    <x v="3"/>
    <s v="Pharmaceutical, cosmetic and toiletry goods retailing"/>
    <s v="2021-06-01"/>
    <x v="2"/>
    <s v="June     "/>
    <s v="6"/>
    <n v="360.4"/>
    <n v="16.52"/>
  </r>
  <r>
    <x v="3"/>
    <s v="Pharmaceutical, cosmetic and toiletry goods retailing"/>
    <s v="2021-07-01"/>
    <x v="2"/>
    <s v="July     "/>
    <s v="7"/>
    <n v="374.5"/>
    <n v="8.52"/>
  </r>
  <r>
    <x v="3"/>
    <s v="Pharmaceutical, cosmetic and toiletry goods retailing"/>
    <s v="2021-08-01"/>
    <x v="2"/>
    <s v="August   "/>
    <s v="8"/>
    <n v="382.8"/>
    <n v="12.65"/>
  </r>
  <r>
    <x v="3"/>
    <s v="Pharmaceutical, cosmetic and toiletry goods retailing"/>
    <s v="2021-09-01"/>
    <x v="2"/>
    <s v="September"/>
    <s v="9"/>
    <n v="395.8"/>
    <n v="16.55"/>
  </r>
  <r>
    <x v="3"/>
    <s v="Pharmaceutical, cosmetic and toiletry goods retailing"/>
    <s v="2021-10-01"/>
    <x v="2"/>
    <s v="October  "/>
    <s v="10"/>
    <n v="385"/>
    <n v="10"/>
  </r>
  <r>
    <x v="3"/>
    <s v="Pharmaceutical, cosmetic and toiletry goods retailing"/>
    <s v="2021-11-01"/>
    <x v="2"/>
    <s v="November "/>
    <s v="11"/>
    <n v="379"/>
    <n v="9.76"/>
  </r>
  <r>
    <x v="3"/>
    <s v="Pharmaceutical, cosmetic and toiletry goods retailing"/>
    <s v="2021-12-01"/>
    <x v="2"/>
    <s v="December "/>
    <s v="12"/>
    <n v="440.8"/>
    <n v="9.0299999999999994"/>
  </r>
  <r>
    <x v="3"/>
    <s v="Pharmaceutical, cosmetic and toiletry goods retailing"/>
    <s v="2022-01-01"/>
    <x v="3"/>
    <s v="January  "/>
    <s v="1"/>
    <n v="346.6"/>
    <n v="9.23"/>
  </r>
  <r>
    <x v="3"/>
    <s v="Pharmaceutical, cosmetic and toiletry goods retailing"/>
    <s v="2022-02-01"/>
    <x v="3"/>
    <s v="February "/>
    <s v="2"/>
    <n v="354.3"/>
    <n v="9.7899999999999991"/>
  </r>
  <r>
    <x v="3"/>
    <s v="Pharmaceutical, cosmetic and toiletry goods retailing"/>
    <s v="2022-03-01"/>
    <x v="3"/>
    <s v="March    "/>
    <s v="3"/>
    <n v="401.2"/>
    <n v="9.7100000000000009"/>
  </r>
  <r>
    <x v="3"/>
    <s v="Pharmaceutical, cosmetic and toiletry goods retailing"/>
    <s v="2022-04-01"/>
    <x v="3"/>
    <s v="April    "/>
    <s v="4"/>
    <n v="373.4"/>
    <n v="11.26"/>
  </r>
  <r>
    <x v="3"/>
    <s v="Pharmaceutical, cosmetic and toiletry goods retailing"/>
    <s v="2022-05-01"/>
    <x v="3"/>
    <s v="May      "/>
    <s v="5"/>
    <n v="399.7"/>
    <n v="12.28"/>
  </r>
  <r>
    <x v="3"/>
    <s v="Pharmaceutical, cosmetic and toiletry goods retailing"/>
    <s v="2022-06-01"/>
    <x v="3"/>
    <s v="June     "/>
    <s v="6"/>
    <n v="387.1"/>
    <n v="7.41"/>
  </r>
  <r>
    <x v="3"/>
    <s v="Pharmaceutical, cosmetic and toiletry goods retailing"/>
    <s v="2022-07-01"/>
    <x v="3"/>
    <s v="July     "/>
    <s v="7"/>
    <n v="421.9"/>
    <n v="12.66"/>
  </r>
  <r>
    <x v="3"/>
    <s v="Pharmaceutical, cosmetic and toiletry goods retailing"/>
    <s v="2022-08-01"/>
    <x v="3"/>
    <s v="August   "/>
    <s v="8"/>
    <n v="406.9"/>
    <n v="6.3"/>
  </r>
  <r>
    <x v="3"/>
    <s v="Pharmaceutical, cosmetic and toiletry goods retailing"/>
    <s v="2022-09-01"/>
    <x v="3"/>
    <s v="September"/>
    <s v="9"/>
    <n v="381.5"/>
    <n v="-3.61"/>
  </r>
  <r>
    <x v="3"/>
    <s v="Pharmaceutical, cosmetic and toiletry goods retailing"/>
    <s v="2022-10-01"/>
    <x v="3"/>
    <s v="October  "/>
    <s v="10"/>
    <n v="371.9"/>
    <n v="-3.4"/>
  </r>
  <r>
    <x v="3"/>
    <s v="Pharmaceutical, cosmetic and toiletry goods retailing"/>
    <s v="2022-11-01"/>
    <x v="3"/>
    <s v="November "/>
    <s v="11"/>
    <n v="401.9"/>
    <n v="6.04"/>
  </r>
  <r>
    <x v="3"/>
    <s v="Pharmaceutical, cosmetic and toiletry goods retailing"/>
    <s v="2022-12-01"/>
    <x v="3"/>
    <s v="December "/>
    <s v="12"/>
    <n v="472.6"/>
    <n v="7.21"/>
  </r>
  <r>
    <x v="3"/>
    <s v="Pharmaceutical, cosmetic and toiletry goods retailing"/>
    <s v="2023-01-01"/>
    <x v="4"/>
    <s v="January  "/>
    <s v="1"/>
    <n v="356.5"/>
    <n v="2.86"/>
  </r>
  <r>
    <x v="3"/>
    <s v="Pharmaceutical, cosmetic and toiletry goods retailing"/>
    <s v="2023-02-01"/>
    <x v="4"/>
    <s v="February "/>
    <s v="2"/>
    <n v="346.8"/>
    <n v="-2.12"/>
  </r>
  <r>
    <x v="3"/>
    <s v="Pharmaceutical, cosmetic and toiletry goods retailing"/>
    <s v="2023-03-01"/>
    <x v="4"/>
    <s v="March    "/>
    <s v="3"/>
    <n v="391.2"/>
    <n v="-2.4900000000000002"/>
  </r>
  <r>
    <x v="3"/>
    <s v="Pharmaceutical, cosmetic and toiletry goods retailing"/>
    <s v="2023-04-01"/>
    <x v="4"/>
    <s v="April    "/>
    <s v="4"/>
    <n v="363.8"/>
    <n v="-2.57"/>
  </r>
  <r>
    <x v="3"/>
    <s v="Pharmaceutical, cosmetic and toiletry goods retailing"/>
    <s v="2023-05-01"/>
    <x v="4"/>
    <s v="May      "/>
    <s v="5"/>
    <n v="418.2"/>
    <n v="4.63"/>
  </r>
  <r>
    <x v="3"/>
    <s v="Pharmaceutical, cosmetic and toiletry goods retailing"/>
    <s v="2023-06-01"/>
    <x v="4"/>
    <s v="June     "/>
    <s v="6"/>
    <n v="392.7"/>
    <n v="1.45"/>
  </r>
  <r>
    <x v="3"/>
    <s v="Pharmaceutical, cosmetic and toiletry goods retailing"/>
    <s v="2023-07-01"/>
    <x v="4"/>
    <s v="July     "/>
    <s v="7"/>
    <n v="392.2"/>
    <n v="-7.04"/>
  </r>
  <r>
    <x v="3"/>
    <s v="Pharmaceutical, cosmetic and toiletry goods retailing"/>
    <s v="2023-08-01"/>
    <x v="4"/>
    <s v="August   "/>
    <s v="8"/>
    <n v="403.7"/>
    <n v="-0.79"/>
  </r>
  <r>
    <x v="3"/>
    <s v="Pharmaceutical, cosmetic and toiletry goods retailing"/>
    <s v="2023-09-01"/>
    <x v="4"/>
    <s v="September"/>
    <s v="9"/>
    <n v="396"/>
    <n v="3.8"/>
  </r>
  <r>
    <x v="3"/>
    <s v="Pharmaceutical, cosmetic and toiletry goods retailing"/>
    <s v="2023-10-01"/>
    <x v="4"/>
    <s v="October  "/>
    <s v="10"/>
    <n v="407.1"/>
    <n v="9.4600000000000009"/>
  </r>
  <r>
    <x v="3"/>
    <s v="Pharmaceutical, cosmetic and toiletry goods retailing"/>
    <s v="2023-11-01"/>
    <x v="4"/>
    <s v="November "/>
    <s v="11"/>
    <n v="441.6"/>
    <n v="9.8800000000000008"/>
  </r>
  <r>
    <x v="3"/>
    <s v="Pharmaceutical, cosmetic and toiletry goods retailing"/>
    <s v="2023-12-01"/>
    <x v="4"/>
    <s v="December "/>
    <s v="12"/>
    <n v="496.5"/>
    <n v="5.0599999999999996"/>
  </r>
  <r>
    <x v="3"/>
    <s v="Pharmaceutical, cosmetic and toiletry goods retailing"/>
    <s v="2024-01-01"/>
    <x v="5"/>
    <s v="January  "/>
    <s v="1"/>
    <n v="396.1"/>
    <n v="11.11"/>
  </r>
  <r>
    <x v="3"/>
    <s v="Pharmaceutical, cosmetic and toiletry goods retailing"/>
    <s v="2024-02-01"/>
    <x v="5"/>
    <s v="February "/>
    <s v="2"/>
    <n v="392.3"/>
    <n v="13.12"/>
  </r>
  <r>
    <x v="3"/>
    <s v="Pharmaceutical, cosmetic and toiletry goods retailing"/>
    <s v="2024-03-01"/>
    <x v="5"/>
    <s v="March    "/>
    <s v="3"/>
    <n v="417.7"/>
    <n v="6.77"/>
  </r>
  <r>
    <x v="3"/>
    <s v="Pharmaceutical, cosmetic and toiletry goods retailing"/>
    <s v="2024-04-01"/>
    <x v="5"/>
    <s v="April    "/>
    <s v="4"/>
    <n v="416"/>
    <n v="14.35"/>
  </r>
  <r>
    <x v="3"/>
    <s v="Pharmaceutical, cosmetic and toiletry goods retailing"/>
    <s v="2024-05-01"/>
    <x v="5"/>
    <s v="May      "/>
    <s v="5"/>
    <n v="451.8"/>
    <n v="8.0299999999999994"/>
  </r>
  <r>
    <x v="3"/>
    <s v="Pharmaceutical, cosmetic and toiletry goods retailing"/>
    <s v="2024-06-01"/>
    <x v="5"/>
    <s v="June     "/>
    <s v="6"/>
    <n v="419.9"/>
    <n v="6.93"/>
  </r>
  <r>
    <x v="3"/>
    <s v="Pharmaceutical, cosmetic and toiletry goods retailing"/>
    <s v="2024-07-01"/>
    <x v="5"/>
    <s v="July     "/>
    <s v="7"/>
    <n v="455.5"/>
    <n v="16.14"/>
  </r>
  <r>
    <x v="3"/>
    <s v="Pharmaceutical, cosmetic and toiletry goods retailing"/>
    <s v="2024-08-01"/>
    <x v="5"/>
    <s v="August   "/>
    <s v="8"/>
    <n v="454.6"/>
    <n v="12.61"/>
  </r>
  <r>
    <x v="3"/>
    <s v="Pharmaceutical, cosmetic and toiletry goods retailing"/>
    <s v="2024-09-01"/>
    <x v="5"/>
    <s v="September"/>
    <s v="9"/>
    <n v="435"/>
    <n v="9.85"/>
  </r>
  <r>
    <x v="3"/>
    <s v="Pharmaceutical, cosmetic and toiletry goods retailing"/>
    <s v="2024-10-01"/>
    <x v="5"/>
    <s v="October  "/>
    <s v="10"/>
    <n v="468.1"/>
    <n v="14.98"/>
  </r>
  <r>
    <x v="3"/>
    <s v="Pharmaceutical, cosmetic and toiletry goods retailing"/>
    <s v="2024-11-01"/>
    <x v="5"/>
    <s v="November "/>
    <s v="11"/>
    <n v="485.4"/>
    <n v="9.92"/>
  </r>
  <r>
    <x v="3"/>
    <s v="Pharmaceutical, cosmetic and toiletry goods retailing"/>
    <s v="2024-12-01"/>
    <x v="5"/>
    <s v="December "/>
    <s v="12"/>
    <n v="521.4"/>
    <n v="5.0199999999999996"/>
  </r>
  <r>
    <x v="3"/>
    <s v="Pharmaceutical, cosmetic and toiletry goods retailing"/>
    <s v="2025-01-01"/>
    <x v="6"/>
    <s v="January  "/>
    <s v="1"/>
    <n v="427.6"/>
    <n v="7.95"/>
  </r>
  <r>
    <x v="3"/>
    <s v="Pharmaceutical, cosmetic and toiletry goods retailing"/>
    <s v="2025-02-01"/>
    <x v="6"/>
    <s v="February "/>
    <s v="2"/>
    <n v="396.6"/>
    <n v="1.1000000000000001"/>
  </r>
  <r>
    <x v="3"/>
    <s v="Pharmaceutical, cosmetic and toiletry goods retailing"/>
    <s v="2025-03-01"/>
    <x v="6"/>
    <s v="March    "/>
    <s v="3"/>
    <n v="430.5"/>
    <n v="3.06"/>
  </r>
  <r>
    <x v="3"/>
    <s v="Pharmaceutical, cosmetic and toiletry goods retailing"/>
    <s v="2025-04-01"/>
    <x v="6"/>
    <s v="April    "/>
    <s v="4"/>
    <n v="435.7"/>
    <n v="4.74"/>
  </r>
  <r>
    <x v="3"/>
    <s v="Pharmaceutical, cosmetic and toiletry goods retailing"/>
    <s v="2025-05-01"/>
    <x v="6"/>
    <s v="May      "/>
    <s v="5"/>
    <n v="473.1"/>
    <n v="4.71"/>
  </r>
  <r>
    <x v="3"/>
    <s v="Pharmaceutical, cosmetic and toiletry goods retailing"/>
    <s v="2025-06-01"/>
    <x v="6"/>
    <s v="June     "/>
    <s v="6"/>
    <n v="449.5"/>
    <n v="7.05"/>
  </r>
  <r>
    <x v="3"/>
    <s v="Supermarket and grocery stores"/>
    <s v="2019-01-01"/>
    <x v="0"/>
    <s v="January  "/>
    <s v="1"/>
    <n v="1970.5"/>
    <m/>
  </r>
  <r>
    <x v="3"/>
    <s v="Supermarket and grocery stores"/>
    <s v="2019-02-01"/>
    <x v="0"/>
    <s v="February "/>
    <s v="2"/>
    <n v="1795.6"/>
    <m/>
  </r>
  <r>
    <x v="3"/>
    <s v="Supermarket and grocery stores"/>
    <s v="2019-03-01"/>
    <x v="0"/>
    <s v="March    "/>
    <s v="3"/>
    <n v="1979.7"/>
    <m/>
  </r>
  <r>
    <x v="3"/>
    <s v="Supermarket and grocery stores"/>
    <s v="2019-04-01"/>
    <x v="0"/>
    <s v="April    "/>
    <s v="4"/>
    <n v="1908.9"/>
    <m/>
  </r>
  <r>
    <x v="3"/>
    <s v="Supermarket and grocery stores"/>
    <s v="2019-05-01"/>
    <x v="0"/>
    <s v="May      "/>
    <s v="5"/>
    <n v="1956.5"/>
    <m/>
  </r>
  <r>
    <x v="3"/>
    <s v="Supermarket and grocery stores"/>
    <s v="2019-06-01"/>
    <x v="0"/>
    <s v="June     "/>
    <s v="6"/>
    <n v="1883.4"/>
    <m/>
  </r>
  <r>
    <x v="3"/>
    <s v="Supermarket and grocery stores"/>
    <s v="2019-07-01"/>
    <x v="0"/>
    <s v="July     "/>
    <s v="7"/>
    <n v="2001.4"/>
    <m/>
  </r>
  <r>
    <x v="3"/>
    <s v="Supermarket and grocery stores"/>
    <s v="2019-08-01"/>
    <x v="0"/>
    <s v="August   "/>
    <s v="8"/>
    <n v="2028.3"/>
    <m/>
  </r>
  <r>
    <x v="3"/>
    <s v="Supermarket and grocery stores"/>
    <s v="2019-09-01"/>
    <x v="0"/>
    <s v="September"/>
    <s v="9"/>
    <n v="1941"/>
    <m/>
  </r>
  <r>
    <x v="3"/>
    <s v="Supermarket and grocery stores"/>
    <s v="2019-10-01"/>
    <x v="0"/>
    <s v="October  "/>
    <s v="10"/>
    <n v="2038.7"/>
    <m/>
  </r>
  <r>
    <x v="3"/>
    <s v="Supermarket and grocery stores"/>
    <s v="2019-11-01"/>
    <x v="0"/>
    <s v="November "/>
    <s v="11"/>
    <n v="2017.9"/>
    <m/>
  </r>
  <r>
    <x v="3"/>
    <s v="Supermarket and grocery stores"/>
    <s v="2019-12-01"/>
    <x v="0"/>
    <s v="December "/>
    <s v="12"/>
    <n v="2193.3000000000002"/>
    <m/>
  </r>
  <r>
    <x v="3"/>
    <s v="Supermarket and grocery stores"/>
    <s v="2020-01-01"/>
    <x v="1"/>
    <s v="January  "/>
    <s v="1"/>
    <n v="2059.8000000000002"/>
    <n v="4.53"/>
  </r>
  <r>
    <x v="3"/>
    <s v="Supermarket and grocery stores"/>
    <s v="2020-02-01"/>
    <x v="1"/>
    <s v="February "/>
    <s v="2"/>
    <n v="1958.8"/>
    <n v="9.09"/>
  </r>
  <r>
    <x v="3"/>
    <s v="Supermarket and grocery stores"/>
    <s v="2020-03-01"/>
    <x v="1"/>
    <s v="March    "/>
    <s v="3"/>
    <n v="2460.8000000000002"/>
    <n v="24.3"/>
  </r>
  <r>
    <x v="3"/>
    <s v="Supermarket and grocery stores"/>
    <s v="2020-04-01"/>
    <x v="1"/>
    <s v="April    "/>
    <s v="4"/>
    <n v="2011.1"/>
    <n v="5.35"/>
  </r>
  <r>
    <x v="3"/>
    <s v="Supermarket and grocery stores"/>
    <s v="2020-05-01"/>
    <x v="1"/>
    <s v="May      "/>
    <s v="5"/>
    <n v="2152.9"/>
    <n v="10.039999999999999"/>
  </r>
  <r>
    <x v="3"/>
    <s v="Supermarket and grocery stores"/>
    <s v="2020-06-01"/>
    <x v="1"/>
    <s v="June     "/>
    <s v="6"/>
    <n v="2057"/>
    <n v="9.2200000000000006"/>
  </r>
  <r>
    <x v="3"/>
    <s v="Supermarket and grocery stores"/>
    <s v="2020-07-01"/>
    <x v="1"/>
    <s v="July     "/>
    <s v="7"/>
    <n v="2229.1"/>
    <n v="11.38"/>
  </r>
  <r>
    <x v="3"/>
    <s v="Supermarket and grocery stores"/>
    <s v="2020-08-01"/>
    <x v="1"/>
    <s v="August   "/>
    <s v="8"/>
    <n v="2237.6"/>
    <n v="10.32"/>
  </r>
  <r>
    <x v="3"/>
    <s v="Supermarket and grocery stores"/>
    <s v="2020-09-01"/>
    <x v="1"/>
    <s v="September"/>
    <s v="9"/>
    <n v="2140.8000000000002"/>
    <n v="10.29"/>
  </r>
  <r>
    <x v="3"/>
    <s v="Supermarket and grocery stores"/>
    <s v="2020-10-01"/>
    <x v="1"/>
    <s v="October  "/>
    <s v="10"/>
    <n v="2260.8000000000002"/>
    <n v="10.89"/>
  </r>
  <r>
    <x v="3"/>
    <s v="Supermarket and grocery stores"/>
    <s v="2020-11-01"/>
    <x v="1"/>
    <s v="November "/>
    <s v="11"/>
    <n v="2211.3000000000002"/>
    <n v="9.58"/>
  </r>
  <r>
    <x v="3"/>
    <s v="Supermarket and grocery stores"/>
    <s v="2020-12-01"/>
    <x v="1"/>
    <s v="December "/>
    <s v="12"/>
    <n v="2459.6"/>
    <n v="12.14"/>
  </r>
  <r>
    <x v="3"/>
    <s v="Supermarket and grocery stores"/>
    <s v="2021-01-01"/>
    <x v="2"/>
    <s v="January  "/>
    <s v="1"/>
    <n v="2269.5"/>
    <n v="10.18"/>
  </r>
  <r>
    <x v="3"/>
    <s v="Supermarket and grocery stores"/>
    <s v="2021-02-01"/>
    <x v="2"/>
    <s v="February "/>
    <s v="2"/>
    <n v="1994.9"/>
    <n v="1.84"/>
  </r>
  <r>
    <x v="3"/>
    <s v="Supermarket and grocery stores"/>
    <s v="2021-03-01"/>
    <x v="2"/>
    <s v="March    "/>
    <s v="3"/>
    <n v="2228.1999999999998"/>
    <n v="-9.4499999999999993"/>
  </r>
  <r>
    <x v="3"/>
    <s v="Supermarket and grocery stores"/>
    <s v="2021-04-01"/>
    <x v="2"/>
    <s v="April    "/>
    <s v="4"/>
    <n v="2114"/>
    <n v="5.12"/>
  </r>
  <r>
    <x v="3"/>
    <s v="Supermarket and grocery stores"/>
    <s v="2021-05-01"/>
    <x v="2"/>
    <s v="May      "/>
    <s v="5"/>
    <n v="2187.8000000000002"/>
    <n v="1.62"/>
  </r>
  <r>
    <x v="3"/>
    <s v="Supermarket and grocery stores"/>
    <s v="2021-06-01"/>
    <x v="2"/>
    <s v="June     "/>
    <s v="6"/>
    <n v="2132"/>
    <n v="3.65"/>
  </r>
  <r>
    <x v="3"/>
    <s v="Supermarket and grocery stores"/>
    <s v="2021-07-01"/>
    <x v="2"/>
    <s v="July     "/>
    <s v="7"/>
    <n v="2289.6"/>
    <n v="2.71"/>
  </r>
  <r>
    <x v="3"/>
    <s v="Supermarket and grocery stores"/>
    <s v="2021-08-01"/>
    <x v="2"/>
    <s v="August   "/>
    <s v="8"/>
    <n v="2261"/>
    <n v="1.05"/>
  </r>
  <r>
    <x v="3"/>
    <s v="Supermarket and grocery stores"/>
    <s v="2021-09-01"/>
    <x v="2"/>
    <s v="September"/>
    <s v="9"/>
    <n v="2168.6999999999998"/>
    <n v="1.3"/>
  </r>
  <r>
    <x v="3"/>
    <s v="Supermarket and grocery stores"/>
    <s v="2021-10-01"/>
    <x v="2"/>
    <s v="October  "/>
    <s v="10"/>
    <n v="2298"/>
    <n v="1.65"/>
  </r>
  <r>
    <x v="3"/>
    <s v="Supermarket and grocery stores"/>
    <s v="2021-11-01"/>
    <x v="2"/>
    <s v="November "/>
    <s v="11"/>
    <n v="2227.9"/>
    <n v="0.75"/>
  </r>
  <r>
    <x v="3"/>
    <s v="Supermarket and grocery stores"/>
    <s v="2021-12-01"/>
    <x v="2"/>
    <s v="December "/>
    <s v="12"/>
    <n v="2557.4"/>
    <n v="3.98"/>
  </r>
  <r>
    <x v="3"/>
    <s v="Supermarket and grocery stores"/>
    <s v="2022-01-01"/>
    <x v="3"/>
    <s v="January  "/>
    <s v="1"/>
    <n v="2394.6999999999998"/>
    <n v="5.52"/>
  </r>
  <r>
    <x v="3"/>
    <s v="Supermarket and grocery stores"/>
    <s v="2022-02-01"/>
    <x v="3"/>
    <s v="February "/>
    <s v="2"/>
    <n v="2131.1"/>
    <n v="6.83"/>
  </r>
  <r>
    <x v="3"/>
    <s v="Supermarket and grocery stores"/>
    <s v="2022-03-01"/>
    <x v="3"/>
    <s v="March    "/>
    <s v="3"/>
    <n v="2364.5"/>
    <n v="6.12"/>
  </r>
  <r>
    <x v="3"/>
    <s v="Supermarket and grocery stores"/>
    <s v="2022-04-01"/>
    <x v="3"/>
    <s v="April    "/>
    <s v="4"/>
    <n v="2349.8000000000002"/>
    <n v="11.15"/>
  </r>
  <r>
    <x v="3"/>
    <s v="Supermarket and grocery stores"/>
    <s v="2022-05-01"/>
    <x v="3"/>
    <s v="May      "/>
    <s v="5"/>
    <n v="2358.6"/>
    <n v="7.81"/>
  </r>
  <r>
    <x v="3"/>
    <s v="Supermarket and grocery stores"/>
    <s v="2022-06-01"/>
    <x v="3"/>
    <s v="June     "/>
    <s v="6"/>
    <n v="2270"/>
    <n v="6.47"/>
  </r>
  <r>
    <x v="3"/>
    <s v="Supermarket and grocery stores"/>
    <s v="2022-07-01"/>
    <x v="3"/>
    <s v="July     "/>
    <s v="7"/>
    <n v="2424.3000000000002"/>
    <n v="5.88"/>
  </r>
  <r>
    <x v="3"/>
    <s v="Supermarket and grocery stores"/>
    <s v="2022-08-01"/>
    <x v="3"/>
    <s v="August   "/>
    <s v="8"/>
    <n v="2427.1"/>
    <n v="7.35"/>
  </r>
  <r>
    <x v="3"/>
    <s v="Supermarket and grocery stores"/>
    <s v="2022-09-01"/>
    <x v="3"/>
    <s v="September"/>
    <s v="9"/>
    <n v="2385.8000000000002"/>
    <n v="10.01"/>
  </r>
  <r>
    <x v="3"/>
    <s v="Supermarket and grocery stores"/>
    <s v="2022-10-01"/>
    <x v="3"/>
    <s v="October  "/>
    <s v="10"/>
    <n v="2511.1999999999998"/>
    <n v="9.2799999999999994"/>
  </r>
  <r>
    <x v="3"/>
    <s v="Supermarket and grocery stores"/>
    <s v="2022-11-01"/>
    <x v="3"/>
    <s v="November "/>
    <s v="11"/>
    <n v="2449.9"/>
    <n v="9.9600000000000009"/>
  </r>
  <r>
    <x v="3"/>
    <s v="Supermarket and grocery stores"/>
    <s v="2022-12-01"/>
    <x v="3"/>
    <s v="December "/>
    <s v="12"/>
    <n v="2738.7"/>
    <n v="7.09"/>
  </r>
  <r>
    <x v="3"/>
    <s v="Supermarket and grocery stores"/>
    <s v="2023-01-01"/>
    <x v="4"/>
    <s v="January  "/>
    <s v="1"/>
    <n v="2490.9"/>
    <n v="4.0199999999999996"/>
  </r>
  <r>
    <x v="3"/>
    <s v="Supermarket and grocery stores"/>
    <s v="2023-02-01"/>
    <x v="4"/>
    <s v="February "/>
    <s v="2"/>
    <n v="2283.1"/>
    <n v="7.13"/>
  </r>
  <r>
    <x v="3"/>
    <s v="Supermarket and grocery stores"/>
    <s v="2023-03-01"/>
    <x v="4"/>
    <s v="March    "/>
    <s v="3"/>
    <n v="2512.1999999999998"/>
    <n v="6.25"/>
  </r>
  <r>
    <x v="3"/>
    <s v="Supermarket and grocery stores"/>
    <s v="2023-04-01"/>
    <x v="4"/>
    <s v="April    "/>
    <s v="4"/>
    <n v="2465.9"/>
    <n v="4.9400000000000004"/>
  </r>
  <r>
    <x v="3"/>
    <s v="Supermarket and grocery stores"/>
    <s v="2023-05-01"/>
    <x v="4"/>
    <s v="May      "/>
    <s v="5"/>
    <n v="2454.9"/>
    <n v="4.08"/>
  </r>
  <r>
    <x v="3"/>
    <s v="Supermarket and grocery stores"/>
    <s v="2023-06-01"/>
    <x v="4"/>
    <s v="June     "/>
    <s v="6"/>
    <n v="2382.4"/>
    <n v="4.95"/>
  </r>
  <r>
    <x v="3"/>
    <s v="Supermarket and grocery stores"/>
    <s v="2023-07-01"/>
    <x v="4"/>
    <s v="July     "/>
    <s v="7"/>
    <n v="2533.6999999999998"/>
    <n v="4.51"/>
  </r>
  <r>
    <x v="3"/>
    <s v="Supermarket and grocery stores"/>
    <s v="2023-08-01"/>
    <x v="4"/>
    <s v="August   "/>
    <s v="8"/>
    <n v="2509.9"/>
    <n v="3.41"/>
  </r>
  <r>
    <x v="3"/>
    <s v="Supermarket and grocery stores"/>
    <s v="2023-09-01"/>
    <x v="4"/>
    <s v="September"/>
    <s v="9"/>
    <n v="2450.8000000000002"/>
    <n v="2.72"/>
  </r>
  <r>
    <x v="3"/>
    <s v="Supermarket and grocery stores"/>
    <s v="2023-10-01"/>
    <x v="4"/>
    <s v="October  "/>
    <s v="10"/>
    <n v="2563.5"/>
    <n v="2.08"/>
  </r>
  <r>
    <x v="3"/>
    <s v="Supermarket and grocery stores"/>
    <s v="2023-11-01"/>
    <x v="4"/>
    <s v="November "/>
    <s v="11"/>
    <n v="2514.9"/>
    <n v="2.65"/>
  </r>
  <r>
    <x v="3"/>
    <s v="Supermarket and grocery stores"/>
    <s v="2023-12-01"/>
    <x v="4"/>
    <s v="December "/>
    <s v="12"/>
    <n v="2801.9"/>
    <n v="2.31"/>
  </r>
  <r>
    <x v="3"/>
    <s v="Supermarket and grocery stores"/>
    <s v="2024-01-01"/>
    <x v="5"/>
    <s v="January  "/>
    <s v="1"/>
    <n v="2586.4"/>
    <n v="3.83"/>
  </r>
  <r>
    <x v="3"/>
    <s v="Supermarket and grocery stores"/>
    <s v="2024-02-01"/>
    <x v="5"/>
    <s v="February "/>
    <s v="2"/>
    <n v="2414"/>
    <n v="5.73"/>
  </r>
  <r>
    <x v="3"/>
    <s v="Supermarket and grocery stores"/>
    <s v="2024-03-01"/>
    <x v="5"/>
    <s v="March    "/>
    <s v="3"/>
    <n v="2630.8"/>
    <n v="4.72"/>
  </r>
  <r>
    <x v="3"/>
    <s v="Supermarket and grocery stores"/>
    <s v="2024-04-01"/>
    <x v="5"/>
    <s v="April    "/>
    <s v="4"/>
    <n v="2455.8000000000002"/>
    <n v="-0.41"/>
  </r>
  <r>
    <x v="3"/>
    <s v="Supermarket and grocery stores"/>
    <s v="2024-05-01"/>
    <x v="5"/>
    <s v="May      "/>
    <s v="5"/>
    <n v="2547.4"/>
    <n v="3.77"/>
  </r>
  <r>
    <x v="3"/>
    <s v="Supermarket and grocery stores"/>
    <s v="2024-06-01"/>
    <x v="5"/>
    <s v="June     "/>
    <s v="6"/>
    <n v="2476.1"/>
    <n v="3.93"/>
  </r>
  <r>
    <x v="3"/>
    <s v="Supermarket and grocery stores"/>
    <s v="2024-07-01"/>
    <x v="5"/>
    <s v="July     "/>
    <s v="7"/>
    <n v="2622"/>
    <n v="3.49"/>
  </r>
  <r>
    <x v="3"/>
    <s v="Supermarket and grocery stores"/>
    <s v="2024-08-01"/>
    <x v="5"/>
    <s v="August   "/>
    <s v="8"/>
    <n v="2637.1"/>
    <n v="5.07"/>
  </r>
  <r>
    <x v="3"/>
    <s v="Supermarket and grocery stores"/>
    <s v="2024-09-01"/>
    <x v="5"/>
    <s v="September"/>
    <s v="9"/>
    <n v="2532.1999999999998"/>
    <n v="3.32"/>
  </r>
  <r>
    <x v="3"/>
    <s v="Supermarket and grocery stores"/>
    <s v="2024-10-01"/>
    <x v="5"/>
    <s v="October  "/>
    <s v="10"/>
    <n v="2637.9"/>
    <n v="2.9"/>
  </r>
  <r>
    <x v="3"/>
    <s v="Supermarket and grocery stores"/>
    <s v="2024-11-01"/>
    <x v="5"/>
    <s v="November "/>
    <s v="11"/>
    <n v="2614.4"/>
    <n v="3.96"/>
  </r>
  <r>
    <x v="3"/>
    <s v="Supermarket and grocery stores"/>
    <s v="2024-12-01"/>
    <x v="5"/>
    <s v="December "/>
    <s v="12"/>
    <n v="2837.4"/>
    <n v="1.27"/>
  </r>
  <r>
    <x v="3"/>
    <s v="Supermarket and grocery stores"/>
    <s v="2025-01-01"/>
    <x v="6"/>
    <s v="January  "/>
    <s v="1"/>
    <n v="2661.9"/>
    <n v="2.92"/>
  </r>
  <r>
    <x v="3"/>
    <s v="Supermarket and grocery stores"/>
    <s v="2025-02-01"/>
    <x v="6"/>
    <s v="February "/>
    <s v="2"/>
    <n v="2420.3000000000002"/>
    <n v="0.26"/>
  </r>
  <r>
    <x v="3"/>
    <s v="Supermarket and grocery stores"/>
    <s v="2025-03-01"/>
    <x v="6"/>
    <s v="March    "/>
    <s v="3"/>
    <n v="2722.5"/>
    <n v="3.49"/>
  </r>
  <r>
    <x v="3"/>
    <s v="Supermarket and grocery stores"/>
    <s v="2025-04-01"/>
    <x v="6"/>
    <s v="April    "/>
    <s v="4"/>
    <n v="2589.6999999999998"/>
    <n v="5.45"/>
  </r>
  <r>
    <x v="3"/>
    <s v="Supermarket and grocery stores"/>
    <s v="2025-05-01"/>
    <x v="6"/>
    <s v="May      "/>
    <s v="5"/>
    <n v="2652.8"/>
    <n v="4.1399999999999997"/>
  </r>
  <r>
    <x v="3"/>
    <s v="Supermarket and grocery stores"/>
    <s v="2025-06-01"/>
    <x v="6"/>
    <s v="June     "/>
    <s v="6"/>
    <n v="2562.6999999999998"/>
    <n v="3.5"/>
  </r>
  <r>
    <x v="3"/>
    <s v="Takeaway food services"/>
    <s v="2019-01-01"/>
    <x v="0"/>
    <s v="January  "/>
    <s v="1"/>
    <n v="306"/>
    <m/>
  </r>
  <r>
    <x v="3"/>
    <s v="Takeaway food services"/>
    <s v="2019-02-01"/>
    <x v="0"/>
    <s v="February "/>
    <s v="2"/>
    <n v="271.8"/>
    <m/>
  </r>
  <r>
    <x v="3"/>
    <s v="Takeaway food services"/>
    <s v="2019-03-01"/>
    <x v="0"/>
    <s v="March    "/>
    <s v="3"/>
    <n v="316.39999999999998"/>
    <m/>
  </r>
  <r>
    <x v="3"/>
    <s v="Takeaway food services"/>
    <s v="2019-04-01"/>
    <x v="0"/>
    <s v="April    "/>
    <s v="4"/>
    <n v="306.7"/>
    <m/>
  </r>
  <r>
    <x v="3"/>
    <s v="Takeaway food services"/>
    <s v="2019-05-01"/>
    <x v="0"/>
    <s v="May      "/>
    <s v="5"/>
    <n v="300.2"/>
    <m/>
  </r>
  <r>
    <x v="3"/>
    <s v="Takeaway food services"/>
    <s v="2019-06-01"/>
    <x v="0"/>
    <s v="June     "/>
    <s v="6"/>
    <n v="307.60000000000002"/>
    <m/>
  </r>
  <r>
    <x v="3"/>
    <s v="Takeaway food services"/>
    <s v="2019-07-01"/>
    <x v="0"/>
    <s v="July     "/>
    <s v="7"/>
    <n v="332"/>
    <m/>
  </r>
  <r>
    <x v="3"/>
    <s v="Takeaway food services"/>
    <s v="2019-08-01"/>
    <x v="0"/>
    <s v="August   "/>
    <s v="8"/>
    <n v="334.5"/>
    <m/>
  </r>
  <r>
    <x v="3"/>
    <s v="Takeaway food services"/>
    <s v="2019-09-01"/>
    <x v="0"/>
    <s v="September"/>
    <s v="9"/>
    <n v="315.39999999999998"/>
    <m/>
  </r>
  <r>
    <x v="3"/>
    <s v="Takeaway food services"/>
    <s v="2019-10-01"/>
    <x v="0"/>
    <s v="October  "/>
    <s v="10"/>
    <n v="321.5"/>
    <m/>
  </r>
  <r>
    <x v="3"/>
    <s v="Takeaway food services"/>
    <s v="2019-11-01"/>
    <x v="0"/>
    <s v="November "/>
    <s v="11"/>
    <n v="327.8"/>
    <m/>
  </r>
  <r>
    <x v="3"/>
    <s v="Takeaway food services"/>
    <s v="2019-12-01"/>
    <x v="0"/>
    <s v="December "/>
    <s v="12"/>
    <n v="344.5"/>
    <m/>
  </r>
  <r>
    <x v="3"/>
    <s v="Takeaway food services"/>
    <s v="2020-01-01"/>
    <x v="1"/>
    <s v="January  "/>
    <s v="1"/>
    <n v="320.8"/>
    <n v="4.84"/>
  </r>
  <r>
    <x v="3"/>
    <s v="Takeaway food services"/>
    <s v="2020-02-01"/>
    <x v="1"/>
    <s v="February "/>
    <s v="2"/>
    <n v="298.3"/>
    <n v="9.75"/>
  </r>
  <r>
    <x v="3"/>
    <s v="Takeaway food services"/>
    <s v="2020-03-01"/>
    <x v="1"/>
    <s v="March    "/>
    <s v="3"/>
    <n v="297.10000000000002"/>
    <n v="-6.1"/>
  </r>
  <r>
    <x v="3"/>
    <s v="Takeaway food services"/>
    <s v="2020-04-01"/>
    <x v="1"/>
    <s v="April    "/>
    <s v="4"/>
    <n v="254.7"/>
    <n v="-16.95"/>
  </r>
  <r>
    <x v="3"/>
    <s v="Takeaway food services"/>
    <s v="2020-05-01"/>
    <x v="1"/>
    <s v="May      "/>
    <s v="5"/>
    <n v="306.2"/>
    <n v="2"/>
  </r>
  <r>
    <x v="3"/>
    <s v="Takeaway food services"/>
    <s v="2020-06-01"/>
    <x v="1"/>
    <s v="June     "/>
    <s v="6"/>
    <n v="314.8"/>
    <n v="2.34"/>
  </r>
  <r>
    <x v="3"/>
    <s v="Takeaway food services"/>
    <s v="2020-07-01"/>
    <x v="1"/>
    <s v="July     "/>
    <s v="7"/>
    <n v="368.5"/>
    <n v="10.99"/>
  </r>
  <r>
    <x v="3"/>
    <s v="Takeaway food services"/>
    <s v="2020-08-01"/>
    <x v="1"/>
    <s v="August   "/>
    <s v="8"/>
    <n v="346.1"/>
    <n v="3.47"/>
  </r>
  <r>
    <x v="3"/>
    <s v="Takeaway food services"/>
    <s v="2020-09-01"/>
    <x v="1"/>
    <s v="September"/>
    <s v="9"/>
    <n v="349.6"/>
    <n v="10.84"/>
  </r>
  <r>
    <x v="3"/>
    <s v="Takeaway food services"/>
    <s v="2020-10-01"/>
    <x v="1"/>
    <s v="October  "/>
    <s v="10"/>
    <n v="367.7"/>
    <n v="14.37"/>
  </r>
  <r>
    <x v="3"/>
    <s v="Takeaway food services"/>
    <s v="2020-11-01"/>
    <x v="1"/>
    <s v="November "/>
    <s v="11"/>
    <n v="360.4"/>
    <n v="9.9499999999999993"/>
  </r>
  <r>
    <x v="3"/>
    <s v="Takeaway food services"/>
    <s v="2020-12-01"/>
    <x v="1"/>
    <s v="December "/>
    <s v="12"/>
    <n v="409.9"/>
    <n v="18.98"/>
  </r>
  <r>
    <x v="3"/>
    <s v="Takeaway food services"/>
    <s v="2021-01-01"/>
    <x v="2"/>
    <s v="January  "/>
    <s v="1"/>
    <n v="357.8"/>
    <n v="11.53"/>
  </r>
  <r>
    <x v="3"/>
    <s v="Takeaway food services"/>
    <s v="2021-02-01"/>
    <x v="2"/>
    <s v="February "/>
    <s v="2"/>
    <n v="316.3"/>
    <n v="6.03"/>
  </r>
  <r>
    <x v="3"/>
    <s v="Takeaway food services"/>
    <s v="2021-03-01"/>
    <x v="2"/>
    <s v="March    "/>
    <s v="3"/>
    <n v="372.2"/>
    <n v="25.28"/>
  </r>
  <r>
    <x v="3"/>
    <s v="Takeaway food services"/>
    <s v="2021-04-01"/>
    <x v="2"/>
    <s v="April    "/>
    <s v="4"/>
    <n v="377.2"/>
    <n v="48.1"/>
  </r>
  <r>
    <x v="3"/>
    <s v="Takeaway food services"/>
    <s v="2021-05-01"/>
    <x v="2"/>
    <s v="May      "/>
    <s v="5"/>
    <n v="372.4"/>
    <n v="21.62"/>
  </r>
  <r>
    <x v="3"/>
    <s v="Takeaway food services"/>
    <s v="2021-06-01"/>
    <x v="2"/>
    <s v="June     "/>
    <s v="6"/>
    <n v="339.1"/>
    <n v="7.72"/>
  </r>
  <r>
    <x v="3"/>
    <s v="Takeaway food services"/>
    <s v="2021-07-01"/>
    <x v="2"/>
    <s v="July     "/>
    <s v="7"/>
    <n v="346.7"/>
    <n v="-5.92"/>
  </r>
  <r>
    <x v="3"/>
    <s v="Takeaway food services"/>
    <s v="2021-08-01"/>
    <x v="2"/>
    <s v="August   "/>
    <s v="8"/>
    <n v="332.7"/>
    <n v="-3.87"/>
  </r>
  <r>
    <x v="3"/>
    <s v="Takeaway food services"/>
    <s v="2021-09-01"/>
    <x v="2"/>
    <s v="September"/>
    <s v="9"/>
    <n v="361.6"/>
    <n v="3.43"/>
  </r>
  <r>
    <x v="3"/>
    <s v="Takeaway food services"/>
    <s v="2021-10-01"/>
    <x v="2"/>
    <s v="October  "/>
    <s v="10"/>
    <n v="363.3"/>
    <n v="-1.2"/>
  </r>
  <r>
    <x v="3"/>
    <s v="Takeaway food services"/>
    <s v="2021-11-01"/>
    <x v="2"/>
    <s v="November "/>
    <s v="11"/>
    <n v="335.6"/>
    <n v="-6.88"/>
  </r>
  <r>
    <x v="3"/>
    <s v="Takeaway food services"/>
    <s v="2021-12-01"/>
    <x v="2"/>
    <s v="December "/>
    <s v="12"/>
    <n v="399.9"/>
    <n v="-2.44"/>
  </r>
  <r>
    <x v="3"/>
    <s v="Takeaway food services"/>
    <s v="2022-01-01"/>
    <x v="3"/>
    <s v="January  "/>
    <s v="1"/>
    <n v="365.4"/>
    <n v="2.12"/>
  </r>
  <r>
    <x v="3"/>
    <s v="Takeaway food services"/>
    <s v="2022-02-01"/>
    <x v="3"/>
    <s v="February "/>
    <s v="2"/>
    <n v="320"/>
    <n v="1.17"/>
  </r>
  <r>
    <x v="3"/>
    <s v="Takeaway food services"/>
    <s v="2022-03-01"/>
    <x v="3"/>
    <s v="March    "/>
    <s v="3"/>
    <n v="363.1"/>
    <n v="-2.44"/>
  </r>
  <r>
    <x v="3"/>
    <s v="Takeaway food services"/>
    <s v="2022-04-01"/>
    <x v="3"/>
    <s v="April    "/>
    <s v="4"/>
    <n v="401.3"/>
    <n v="6.39"/>
  </r>
  <r>
    <x v="3"/>
    <s v="Takeaway food services"/>
    <s v="2022-05-01"/>
    <x v="3"/>
    <s v="May      "/>
    <s v="5"/>
    <n v="400.4"/>
    <n v="7.52"/>
  </r>
  <r>
    <x v="3"/>
    <s v="Takeaway food services"/>
    <s v="2022-06-01"/>
    <x v="3"/>
    <s v="June     "/>
    <s v="6"/>
    <n v="404.4"/>
    <n v="19.260000000000002"/>
  </r>
  <r>
    <x v="3"/>
    <s v="Takeaway food services"/>
    <s v="2022-07-01"/>
    <x v="3"/>
    <s v="July     "/>
    <s v="7"/>
    <n v="454.2"/>
    <n v="31.01"/>
  </r>
  <r>
    <x v="3"/>
    <s v="Takeaway food services"/>
    <s v="2022-08-01"/>
    <x v="3"/>
    <s v="August   "/>
    <s v="8"/>
    <n v="459.3"/>
    <n v="38.049999999999997"/>
  </r>
  <r>
    <x v="3"/>
    <s v="Takeaway food services"/>
    <s v="2022-09-01"/>
    <x v="3"/>
    <s v="September"/>
    <s v="9"/>
    <n v="450.4"/>
    <n v="24.56"/>
  </r>
  <r>
    <x v="3"/>
    <s v="Takeaway food services"/>
    <s v="2022-10-01"/>
    <x v="3"/>
    <s v="October  "/>
    <s v="10"/>
    <n v="458.7"/>
    <n v="26.26"/>
  </r>
  <r>
    <x v="3"/>
    <s v="Takeaway food services"/>
    <s v="2022-11-01"/>
    <x v="3"/>
    <s v="November "/>
    <s v="11"/>
    <n v="436.3"/>
    <n v="30.01"/>
  </r>
  <r>
    <x v="3"/>
    <s v="Takeaway food services"/>
    <s v="2022-12-01"/>
    <x v="3"/>
    <s v="December "/>
    <s v="12"/>
    <n v="506.1"/>
    <n v="26.56"/>
  </r>
  <r>
    <x v="3"/>
    <s v="Takeaway food services"/>
    <s v="2023-01-01"/>
    <x v="4"/>
    <s v="January  "/>
    <s v="1"/>
    <n v="422.4"/>
    <n v="15.6"/>
  </r>
  <r>
    <x v="3"/>
    <s v="Takeaway food services"/>
    <s v="2023-02-01"/>
    <x v="4"/>
    <s v="February "/>
    <s v="2"/>
    <n v="383.5"/>
    <n v="19.84"/>
  </r>
  <r>
    <x v="3"/>
    <s v="Takeaway food services"/>
    <s v="2023-03-01"/>
    <x v="4"/>
    <s v="March    "/>
    <s v="3"/>
    <n v="439.1"/>
    <n v="20.93"/>
  </r>
  <r>
    <x v="3"/>
    <s v="Takeaway food services"/>
    <s v="2023-04-01"/>
    <x v="4"/>
    <s v="April    "/>
    <s v="4"/>
    <n v="432.3"/>
    <n v="7.72"/>
  </r>
  <r>
    <x v="3"/>
    <s v="Takeaway food services"/>
    <s v="2023-05-01"/>
    <x v="4"/>
    <s v="May      "/>
    <s v="5"/>
    <n v="425.5"/>
    <n v="6.27"/>
  </r>
  <r>
    <x v="3"/>
    <s v="Takeaway food services"/>
    <s v="2023-06-01"/>
    <x v="4"/>
    <s v="June     "/>
    <s v="6"/>
    <n v="417.2"/>
    <n v="3.17"/>
  </r>
  <r>
    <x v="3"/>
    <s v="Takeaway food services"/>
    <s v="2023-07-01"/>
    <x v="4"/>
    <s v="July     "/>
    <s v="7"/>
    <n v="474.8"/>
    <n v="4.54"/>
  </r>
  <r>
    <x v="3"/>
    <s v="Takeaway food services"/>
    <s v="2023-08-01"/>
    <x v="4"/>
    <s v="August   "/>
    <s v="8"/>
    <n v="471.1"/>
    <n v="2.57"/>
  </r>
  <r>
    <x v="3"/>
    <s v="Takeaway food services"/>
    <s v="2023-09-01"/>
    <x v="4"/>
    <s v="September"/>
    <s v="9"/>
    <n v="465.1"/>
    <n v="3.26"/>
  </r>
  <r>
    <x v="3"/>
    <s v="Takeaway food services"/>
    <s v="2023-10-01"/>
    <x v="4"/>
    <s v="October  "/>
    <s v="10"/>
    <n v="467.1"/>
    <n v="1.83"/>
  </r>
  <r>
    <x v="3"/>
    <s v="Takeaway food services"/>
    <s v="2023-11-01"/>
    <x v="4"/>
    <s v="November "/>
    <s v="11"/>
    <n v="462.3"/>
    <n v="5.96"/>
  </r>
  <r>
    <x v="3"/>
    <s v="Takeaway food services"/>
    <s v="2023-12-01"/>
    <x v="4"/>
    <s v="December "/>
    <s v="12"/>
    <n v="518.1"/>
    <n v="2.37"/>
  </r>
  <r>
    <x v="3"/>
    <s v="Takeaway food services"/>
    <s v="2024-01-01"/>
    <x v="5"/>
    <s v="January  "/>
    <s v="1"/>
    <n v="445.9"/>
    <n v="5.56"/>
  </r>
  <r>
    <x v="3"/>
    <s v="Takeaway food services"/>
    <s v="2024-02-01"/>
    <x v="5"/>
    <s v="February "/>
    <s v="2"/>
    <n v="407.1"/>
    <n v="6.15"/>
  </r>
  <r>
    <x v="3"/>
    <s v="Takeaway food services"/>
    <s v="2024-03-01"/>
    <x v="5"/>
    <s v="March    "/>
    <s v="3"/>
    <n v="451.8"/>
    <n v="2.89"/>
  </r>
  <r>
    <x v="3"/>
    <s v="Takeaway food services"/>
    <s v="2024-04-01"/>
    <x v="5"/>
    <s v="April    "/>
    <s v="4"/>
    <n v="435.5"/>
    <n v="0.74"/>
  </r>
  <r>
    <x v="3"/>
    <s v="Takeaway food services"/>
    <s v="2024-05-01"/>
    <x v="5"/>
    <s v="May      "/>
    <s v="5"/>
    <n v="447.7"/>
    <n v="5.22"/>
  </r>
  <r>
    <x v="3"/>
    <s v="Takeaway food services"/>
    <s v="2024-06-01"/>
    <x v="5"/>
    <s v="June     "/>
    <s v="6"/>
    <n v="424.4"/>
    <n v="1.73"/>
  </r>
  <r>
    <x v="3"/>
    <s v="Takeaway food services"/>
    <s v="2024-07-01"/>
    <x v="5"/>
    <s v="July     "/>
    <s v="7"/>
    <n v="479.9"/>
    <n v="1.07"/>
  </r>
  <r>
    <x v="3"/>
    <s v="Takeaway food services"/>
    <s v="2024-08-01"/>
    <x v="5"/>
    <s v="August   "/>
    <s v="8"/>
    <n v="488.6"/>
    <n v="3.71"/>
  </r>
  <r>
    <x v="3"/>
    <s v="Takeaway food services"/>
    <s v="2024-09-01"/>
    <x v="5"/>
    <s v="September"/>
    <s v="9"/>
    <n v="477.2"/>
    <n v="2.6"/>
  </r>
  <r>
    <x v="3"/>
    <s v="Takeaway food services"/>
    <s v="2024-10-01"/>
    <x v="5"/>
    <s v="October  "/>
    <s v="10"/>
    <n v="491.2"/>
    <n v="5.16"/>
  </r>
  <r>
    <x v="3"/>
    <s v="Takeaway food services"/>
    <s v="2024-11-01"/>
    <x v="5"/>
    <s v="November "/>
    <s v="11"/>
    <n v="491.8"/>
    <n v="6.38"/>
  </r>
  <r>
    <x v="3"/>
    <s v="Takeaway food services"/>
    <s v="2024-12-01"/>
    <x v="5"/>
    <s v="December "/>
    <s v="12"/>
    <n v="537.6"/>
    <n v="3.76"/>
  </r>
  <r>
    <x v="3"/>
    <s v="Takeaway food services"/>
    <s v="2025-01-01"/>
    <x v="6"/>
    <s v="January  "/>
    <s v="1"/>
    <n v="465.1"/>
    <n v="4.3099999999999996"/>
  </r>
  <r>
    <x v="3"/>
    <s v="Takeaway food services"/>
    <s v="2025-02-01"/>
    <x v="6"/>
    <s v="February "/>
    <s v="2"/>
    <n v="413.7"/>
    <n v="1.62"/>
  </r>
  <r>
    <x v="3"/>
    <s v="Takeaway food services"/>
    <s v="2025-03-01"/>
    <x v="6"/>
    <s v="March    "/>
    <s v="3"/>
    <n v="453.5"/>
    <n v="0.38"/>
  </r>
  <r>
    <x v="3"/>
    <s v="Takeaway food services"/>
    <s v="2025-04-01"/>
    <x v="6"/>
    <s v="April    "/>
    <s v="4"/>
    <n v="467.7"/>
    <n v="7.39"/>
  </r>
  <r>
    <x v="3"/>
    <s v="Takeaway food services"/>
    <s v="2025-05-01"/>
    <x v="6"/>
    <s v="May      "/>
    <s v="5"/>
    <n v="476.7"/>
    <n v="6.48"/>
  </r>
  <r>
    <x v="3"/>
    <s v="Takeaway food services"/>
    <s v="2025-06-01"/>
    <x v="6"/>
    <s v="June     "/>
    <s v="6"/>
    <n v="454.1"/>
    <n v="7"/>
  </r>
  <r>
    <x v="4"/>
    <s v="Cafes, restaurants and catering services"/>
    <s v="2019-01-01"/>
    <x v="0"/>
    <s v="January  "/>
    <s v="1"/>
    <n v="118"/>
    <m/>
  </r>
  <r>
    <x v="4"/>
    <s v="Cafes, restaurants and catering services"/>
    <s v="2019-02-01"/>
    <x v="0"/>
    <s v="February "/>
    <s v="2"/>
    <n v="118.9"/>
    <m/>
  </r>
  <r>
    <x v="4"/>
    <s v="Cafes, restaurants and catering services"/>
    <s v="2019-03-01"/>
    <x v="0"/>
    <s v="March    "/>
    <s v="3"/>
    <n v="139.80000000000001"/>
    <m/>
  </r>
  <r>
    <x v="4"/>
    <s v="Cafes, restaurants and catering services"/>
    <s v="2019-04-01"/>
    <x v="0"/>
    <s v="April    "/>
    <s v="4"/>
    <n v="123.3"/>
    <m/>
  </r>
  <r>
    <x v="4"/>
    <s v="Cafes, restaurants and catering services"/>
    <s v="2019-05-01"/>
    <x v="0"/>
    <s v="May      "/>
    <s v="5"/>
    <n v="127.9"/>
    <m/>
  </r>
  <r>
    <x v="4"/>
    <s v="Cafes, restaurants and catering services"/>
    <s v="2019-06-01"/>
    <x v="0"/>
    <s v="June     "/>
    <s v="6"/>
    <n v="125.4"/>
    <m/>
  </r>
  <r>
    <x v="4"/>
    <s v="Cafes, restaurants and catering services"/>
    <s v="2019-07-01"/>
    <x v="0"/>
    <s v="July     "/>
    <s v="7"/>
    <n v="117.5"/>
    <m/>
  </r>
  <r>
    <x v="4"/>
    <s v="Cafes, restaurants and catering services"/>
    <s v="2019-08-01"/>
    <x v="0"/>
    <s v="August   "/>
    <s v="8"/>
    <n v="124"/>
    <m/>
  </r>
  <r>
    <x v="4"/>
    <s v="Cafes, restaurants and catering services"/>
    <s v="2019-09-01"/>
    <x v="0"/>
    <s v="September"/>
    <s v="9"/>
    <n v="128.80000000000001"/>
    <m/>
  </r>
  <r>
    <x v="4"/>
    <s v="Cafes, restaurants and catering services"/>
    <s v="2019-10-01"/>
    <x v="0"/>
    <s v="October  "/>
    <s v="10"/>
    <n v="126.9"/>
    <m/>
  </r>
  <r>
    <x v="4"/>
    <s v="Cafes, restaurants and catering services"/>
    <s v="2019-11-01"/>
    <x v="0"/>
    <s v="November "/>
    <s v="11"/>
    <n v="129.6"/>
    <m/>
  </r>
  <r>
    <x v="4"/>
    <s v="Cafes, restaurants and catering services"/>
    <s v="2019-12-01"/>
    <x v="0"/>
    <s v="December "/>
    <s v="12"/>
    <n v="127.5"/>
    <m/>
  </r>
  <r>
    <x v="4"/>
    <s v="Cafes, restaurants and catering services"/>
    <s v="2020-01-01"/>
    <x v="1"/>
    <s v="January  "/>
    <s v="1"/>
    <n v="120.1"/>
    <n v="1.78"/>
  </r>
  <r>
    <x v="4"/>
    <s v="Cafes, restaurants and catering services"/>
    <s v="2020-02-01"/>
    <x v="1"/>
    <s v="February "/>
    <s v="2"/>
    <n v="108.4"/>
    <n v="-8.83"/>
  </r>
  <r>
    <x v="4"/>
    <s v="Cafes, restaurants and catering services"/>
    <s v="2020-03-01"/>
    <x v="1"/>
    <s v="March    "/>
    <s v="3"/>
    <n v="86.8"/>
    <n v="-37.909999999999997"/>
  </r>
  <r>
    <x v="4"/>
    <s v="Cafes, restaurants and catering services"/>
    <s v="2020-04-01"/>
    <x v="1"/>
    <s v="April    "/>
    <s v="4"/>
    <n v="48.3"/>
    <n v="-60.83"/>
  </r>
  <r>
    <x v="4"/>
    <s v="Cafes, restaurants and catering services"/>
    <s v="2020-05-01"/>
    <x v="1"/>
    <s v="May      "/>
    <s v="5"/>
    <n v="71.099999999999994"/>
    <n v="-44.41"/>
  </r>
  <r>
    <x v="4"/>
    <s v="Cafes, restaurants and catering services"/>
    <s v="2020-06-01"/>
    <x v="1"/>
    <s v="June     "/>
    <s v="6"/>
    <n v="86"/>
    <n v="-31.42"/>
  </r>
  <r>
    <x v="4"/>
    <s v="Cafes, restaurants and catering services"/>
    <s v="2020-07-01"/>
    <x v="1"/>
    <s v="July     "/>
    <s v="7"/>
    <n v="101.2"/>
    <n v="-13.87"/>
  </r>
  <r>
    <x v="4"/>
    <s v="Cafes, restaurants and catering services"/>
    <s v="2020-08-01"/>
    <x v="1"/>
    <s v="August   "/>
    <s v="8"/>
    <n v="100"/>
    <n v="-19.350000000000001"/>
  </r>
  <r>
    <x v="4"/>
    <s v="Cafes, restaurants and catering services"/>
    <s v="2020-09-01"/>
    <x v="1"/>
    <s v="September"/>
    <s v="9"/>
    <n v="103.8"/>
    <n v="-19.41"/>
  </r>
  <r>
    <x v="4"/>
    <s v="Cafes, restaurants and catering services"/>
    <s v="2020-10-01"/>
    <x v="1"/>
    <s v="October  "/>
    <s v="10"/>
    <n v="109.2"/>
    <n v="-13.95"/>
  </r>
  <r>
    <x v="4"/>
    <s v="Cafes, restaurants and catering services"/>
    <s v="2020-11-01"/>
    <x v="1"/>
    <s v="November "/>
    <s v="11"/>
    <n v="85.7"/>
    <n v="-33.869999999999997"/>
  </r>
  <r>
    <x v="4"/>
    <s v="Cafes, restaurants and catering services"/>
    <s v="2020-12-01"/>
    <x v="1"/>
    <s v="December "/>
    <s v="12"/>
    <n v="108.6"/>
    <n v="-14.82"/>
  </r>
  <r>
    <x v="4"/>
    <s v="Cafes, restaurants and catering services"/>
    <s v="2021-01-01"/>
    <x v="2"/>
    <s v="January  "/>
    <s v="1"/>
    <n v="108.1"/>
    <n v="-9.99"/>
  </r>
  <r>
    <x v="4"/>
    <s v="Cafes, restaurants and catering services"/>
    <s v="2021-02-01"/>
    <x v="2"/>
    <s v="February "/>
    <s v="2"/>
    <n v="101.6"/>
    <n v="-6.27"/>
  </r>
  <r>
    <x v="4"/>
    <s v="Cafes, restaurants and catering services"/>
    <s v="2021-03-01"/>
    <x v="2"/>
    <s v="March    "/>
    <s v="3"/>
    <n v="113.5"/>
    <n v="30.76"/>
  </r>
  <r>
    <x v="4"/>
    <s v="Cafes, restaurants and catering services"/>
    <s v="2021-04-01"/>
    <x v="2"/>
    <s v="April    "/>
    <s v="4"/>
    <n v="108.4"/>
    <n v="124.43"/>
  </r>
  <r>
    <x v="4"/>
    <s v="Cafes, restaurants and catering services"/>
    <s v="2021-05-01"/>
    <x v="2"/>
    <s v="May      "/>
    <s v="5"/>
    <n v="114.3"/>
    <n v="60.76"/>
  </r>
  <r>
    <x v="4"/>
    <s v="Cafes, restaurants and catering services"/>
    <s v="2021-06-01"/>
    <x v="2"/>
    <s v="June     "/>
    <s v="6"/>
    <n v="103.2"/>
    <n v="20"/>
  </r>
  <r>
    <x v="4"/>
    <s v="Cafes, restaurants and catering services"/>
    <s v="2021-07-01"/>
    <x v="2"/>
    <s v="July     "/>
    <s v="7"/>
    <n v="100.6"/>
    <n v="-0.59"/>
  </r>
  <r>
    <x v="4"/>
    <s v="Cafes, restaurants and catering services"/>
    <s v="2021-08-01"/>
    <x v="2"/>
    <s v="August   "/>
    <s v="8"/>
    <n v="110.8"/>
    <n v="10.8"/>
  </r>
  <r>
    <x v="4"/>
    <s v="Cafes, restaurants and catering services"/>
    <s v="2021-09-01"/>
    <x v="2"/>
    <s v="September"/>
    <s v="9"/>
    <n v="110.8"/>
    <n v="6.74"/>
  </r>
  <r>
    <x v="4"/>
    <s v="Cafes, restaurants and catering services"/>
    <s v="2021-10-01"/>
    <x v="2"/>
    <s v="October  "/>
    <s v="10"/>
    <n v="107"/>
    <n v="-2.0099999999999998"/>
  </r>
  <r>
    <x v="4"/>
    <s v="Cafes, restaurants and catering services"/>
    <s v="2021-11-01"/>
    <x v="2"/>
    <s v="November "/>
    <s v="11"/>
    <n v="103.7"/>
    <n v="21"/>
  </r>
  <r>
    <x v="4"/>
    <s v="Cafes, restaurants and catering services"/>
    <s v="2021-12-01"/>
    <x v="2"/>
    <s v="December "/>
    <s v="12"/>
    <n v="93.6"/>
    <n v="-13.81"/>
  </r>
  <r>
    <x v="4"/>
    <s v="Cafes, restaurants and catering services"/>
    <s v="2022-01-01"/>
    <x v="3"/>
    <s v="January  "/>
    <s v="1"/>
    <n v="83.5"/>
    <n v="-22.76"/>
  </r>
  <r>
    <x v="4"/>
    <s v="Cafes, restaurants and catering services"/>
    <s v="2022-02-01"/>
    <x v="3"/>
    <s v="February "/>
    <s v="2"/>
    <n v="96.9"/>
    <n v="-4.63"/>
  </r>
  <r>
    <x v="4"/>
    <s v="Cafes, restaurants and catering services"/>
    <s v="2022-03-01"/>
    <x v="3"/>
    <s v="March    "/>
    <s v="3"/>
    <n v="108.9"/>
    <n v="-4.05"/>
  </r>
  <r>
    <x v="4"/>
    <s v="Cafes, restaurants and catering services"/>
    <s v="2022-04-01"/>
    <x v="3"/>
    <s v="April    "/>
    <s v="4"/>
    <n v="110.9"/>
    <n v="2.31"/>
  </r>
  <r>
    <x v="4"/>
    <s v="Cafes, restaurants and catering services"/>
    <s v="2022-05-01"/>
    <x v="3"/>
    <s v="May      "/>
    <s v="5"/>
    <n v="123.4"/>
    <n v="7.96"/>
  </r>
  <r>
    <x v="4"/>
    <s v="Cafes, restaurants and catering services"/>
    <s v="2022-06-01"/>
    <x v="3"/>
    <s v="June     "/>
    <s v="6"/>
    <n v="117.7"/>
    <n v="14.05"/>
  </r>
  <r>
    <x v="4"/>
    <s v="Cafes, restaurants and catering services"/>
    <s v="2022-07-01"/>
    <x v="3"/>
    <s v="July     "/>
    <s v="7"/>
    <n v="119.1"/>
    <n v="18.39"/>
  </r>
  <r>
    <x v="4"/>
    <s v="Cafes, restaurants and catering services"/>
    <s v="2022-08-01"/>
    <x v="3"/>
    <s v="August   "/>
    <s v="8"/>
    <n v="123"/>
    <n v="11.01"/>
  </r>
  <r>
    <x v="4"/>
    <s v="Cafes, restaurants and catering services"/>
    <s v="2022-09-01"/>
    <x v="3"/>
    <s v="September"/>
    <s v="9"/>
    <n v="125.1"/>
    <n v="12.91"/>
  </r>
  <r>
    <x v="4"/>
    <s v="Cafes, restaurants and catering services"/>
    <s v="2022-10-01"/>
    <x v="3"/>
    <s v="October  "/>
    <s v="10"/>
    <n v="127.3"/>
    <n v="18.97"/>
  </r>
  <r>
    <x v="4"/>
    <s v="Cafes, restaurants and catering services"/>
    <s v="2022-11-01"/>
    <x v="3"/>
    <s v="November "/>
    <s v="11"/>
    <n v="127.6"/>
    <n v="23.05"/>
  </r>
  <r>
    <x v="4"/>
    <s v="Cafes, restaurants and catering services"/>
    <s v="2022-12-01"/>
    <x v="3"/>
    <s v="December "/>
    <s v="12"/>
    <n v="142.19999999999999"/>
    <n v="51.92"/>
  </r>
  <r>
    <x v="4"/>
    <s v="Cafes, restaurants and catering services"/>
    <s v="2023-01-01"/>
    <x v="4"/>
    <s v="January  "/>
    <s v="1"/>
    <n v="123.4"/>
    <n v="47.78"/>
  </r>
  <r>
    <x v="4"/>
    <s v="Cafes, restaurants and catering services"/>
    <s v="2023-02-01"/>
    <x v="4"/>
    <s v="February "/>
    <s v="2"/>
    <n v="122.9"/>
    <n v="26.83"/>
  </r>
  <r>
    <x v="4"/>
    <s v="Cafes, restaurants and catering services"/>
    <s v="2023-03-01"/>
    <x v="4"/>
    <s v="March    "/>
    <s v="3"/>
    <n v="148.5"/>
    <n v="36.36"/>
  </r>
  <r>
    <x v="4"/>
    <s v="Cafes, restaurants and catering services"/>
    <s v="2023-04-01"/>
    <x v="4"/>
    <s v="April    "/>
    <s v="4"/>
    <n v="152.19999999999999"/>
    <n v="37.24"/>
  </r>
  <r>
    <x v="4"/>
    <s v="Cafes, restaurants and catering services"/>
    <s v="2023-05-01"/>
    <x v="4"/>
    <s v="May      "/>
    <s v="5"/>
    <n v="149.30000000000001"/>
    <n v="20.99"/>
  </r>
  <r>
    <x v="4"/>
    <s v="Cafes, restaurants and catering services"/>
    <s v="2023-06-01"/>
    <x v="4"/>
    <s v="June     "/>
    <s v="6"/>
    <n v="147.5"/>
    <n v="25.32"/>
  </r>
  <r>
    <x v="4"/>
    <s v="Cafes, restaurants and catering services"/>
    <s v="2023-07-01"/>
    <x v="4"/>
    <s v="July     "/>
    <s v="7"/>
    <n v="137.30000000000001"/>
    <n v="15.28"/>
  </r>
  <r>
    <x v="4"/>
    <s v="Cafes, restaurants and catering services"/>
    <s v="2023-08-01"/>
    <x v="4"/>
    <s v="August   "/>
    <s v="8"/>
    <n v="146.1"/>
    <n v="18.78"/>
  </r>
  <r>
    <x v="4"/>
    <s v="Cafes, restaurants and catering services"/>
    <s v="2023-09-01"/>
    <x v="4"/>
    <s v="September"/>
    <s v="9"/>
    <n v="140.4"/>
    <n v="12.23"/>
  </r>
  <r>
    <x v="4"/>
    <s v="Cafes, restaurants and catering services"/>
    <s v="2023-10-01"/>
    <x v="4"/>
    <s v="October  "/>
    <s v="10"/>
    <n v="138.80000000000001"/>
    <n v="9.0299999999999994"/>
  </r>
  <r>
    <x v="4"/>
    <s v="Cafes, restaurants and catering services"/>
    <s v="2023-11-01"/>
    <x v="4"/>
    <s v="November "/>
    <s v="11"/>
    <n v="138.30000000000001"/>
    <n v="8.39"/>
  </r>
  <r>
    <x v="4"/>
    <s v="Cafes, restaurants and catering services"/>
    <s v="2023-12-01"/>
    <x v="4"/>
    <s v="December "/>
    <s v="12"/>
    <n v="141.5"/>
    <n v="-0.49"/>
  </r>
  <r>
    <x v="4"/>
    <s v="Cafes, restaurants and catering services"/>
    <s v="2024-01-01"/>
    <x v="5"/>
    <s v="January  "/>
    <s v="1"/>
    <n v="126"/>
    <n v="2.11"/>
  </r>
  <r>
    <x v="4"/>
    <s v="Cafes, restaurants and catering services"/>
    <s v="2024-02-01"/>
    <x v="5"/>
    <s v="February "/>
    <s v="2"/>
    <n v="132.19999999999999"/>
    <n v="7.57"/>
  </r>
  <r>
    <x v="4"/>
    <s v="Cafes, restaurants and catering services"/>
    <s v="2024-03-01"/>
    <x v="5"/>
    <s v="March    "/>
    <s v="3"/>
    <n v="146.30000000000001"/>
    <n v="-1.48"/>
  </r>
  <r>
    <x v="4"/>
    <s v="Cafes, restaurants and catering services"/>
    <s v="2024-04-01"/>
    <x v="5"/>
    <s v="April    "/>
    <s v="4"/>
    <n v="153.6"/>
    <n v="0.92"/>
  </r>
  <r>
    <x v="4"/>
    <s v="Cafes, restaurants and catering services"/>
    <s v="2024-05-01"/>
    <x v="5"/>
    <s v="May      "/>
    <s v="5"/>
    <n v="144.5"/>
    <n v="-3.22"/>
  </r>
  <r>
    <x v="4"/>
    <s v="Cafes, restaurants and catering services"/>
    <s v="2024-06-01"/>
    <x v="5"/>
    <s v="June     "/>
    <s v="6"/>
    <n v="134.80000000000001"/>
    <n v="-8.61"/>
  </r>
  <r>
    <x v="4"/>
    <s v="Cafes, restaurants and catering services"/>
    <s v="2024-07-01"/>
    <x v="5"/>
    <s v="July     "/>
    <s v="7"/>
    <n v="137.19999999999999"/>
    <n v="-7.0000000000000007E-2"/>
  </r>
  <r>
    <x v="4"/>
    <s v="Cafes, restaurants and catering services"/>
    <s v="2024-08-01"/>
    <x v="5"/>
    <s v="August   "/>
    <s v="8"/>
    <n v="142.9"/>
    <n v="-2.19"/>
  </r>
  <r>
    <x v="4"/>
    <s v="Cafes, restaurants and catering services"/>
    <s v="2024-09-01"/>
    <x v="5"/>
    <s v="September"/>
    <s v="9"/>
    <n v="146.9"/>
    <n v="4.63"/>
  </r>
  <r>
    <x v="4"/>
    <s v="Cafes, restaurants and catering services"/>
    <s v="2024-10-01"/>
    <x v="5"/>
    <s v="October  "/>
    <s v="10"/>
    <n v="149"/>
    <n v="7.35"/>
  </r>
  <r>
    <x v="4"/>
    <s v="Cafes, restaurants and catering services"/>
    <s v="2024-11-01"/>
    <x v="5"/>
    <s v="November "/>
    <s v="11"/>
    <n v="155"/>
    <n v="12.08"/>
  </r>
  <r>
    <x v="4"/>
    <s v="Cafes, restaurants and catering services"/>
    <s v="2024-12-01"/>
    <x v="5"/>
    <s v="December "/>
    <s v="12"/>
    <n v="155"/>
    <n v="9.5399999999999991"/>
  </r>
  <r>
    <x v="4"/>
    <s v="Cafes, restaurants and catering services"/>
    <s v="2025-01-01"/>
    <x v="6"/>
    <s v="January  "/>
    <s v="1"/>
    <n v="138.80000000000001"/>
    <n v="10.16"/>
  </r>
  <r>
    <x v="4"/>
    <s v="Cafes, restaurants and catering services"/>
    <s v="2025-02-01"/>
    <x v="6"/>
    <s v="February "/>
    <s v="2"/>
    <n v="143.4"/>
    <n v="8.4700000000000006"/>
  </r>
  <r>
    <x v="4"/>
    <s v="Cafes, restaurants and catering services"/>
    <s v="2025-03-01"/>
    <x v="6"/>
    <s v="March    "/>
    <s v="3"/>
    <n v="163.69999999999999"/>
    <n v="11.89"/>
  </r>
  <r>
    <x v="4"/>
    <s v="Cafes, restaurants and catering services"/>
    <s v="2025-04-01"/>
    <x v="6"/>
    <s v="April    "/>
    <s v="4"/>
    <n v="152"/>
    <n v="-1.04"/>
  </r>
  <r>
    <x v="4"/>
    <s v="Cafes, restaurants and catering services"/>
    <s v="2025-05-01"/>
    <x v="6"/>
    <s v="May      "/>
    <s v="5"/>
    <n v="152.80000000000001"/>
    <n v="5.74"/>
  </r>
  <r>
    <x v="4"/>
    <s v="Cafes, restaurants and catering services"/>
    <s v="2025-06-01"/>
    <x v="6"/>
    <s v="June     "/>
    <s v="6"/>
    <n v="139.69999999999999"/>
    <n v="3.64"/>
  </r>
  <r>
    <x v="4"/>
    <s v="Clothing retailing"/>
    <s v="2019-01-01"/>
    <x v="0"/>
    <s v="January  "/>
    <s v="1"/>
    <n v="57.1"/>
    <m/>
  </r>
  <r>
    <x v="4"/>
    <s v="Clothing retailing"/>
    <s v="2019-02-01"/>
    <x v="0"/>
    <s v="February "/>
    <s v="2"/>
    <n v="44.5"/>
    <m/>
  </r>
  <r>
    <x v="4"/>
    <s v="Clothing retailing"/>
    <s v="2019-03-01"/>
    <x v="0"/>
    <s v="March    "/>
    <s v="3"/>
    <n v="56.8"/>
    <m/>
  </r>
  <r>
    <x v="4"/>
    <s v="Clothing retailing"/>
    <s v="2019-04-01"/>
    <x v="0"/>
    <s v="April    "/>
    <s v="4"/>
    <n v="60.3"/>
    <m/>
  </r>
  <r>
    <x v="4"/>
    <s v="Clothing retailing"/>
    <s v="2019-05-01"/>
    <x v="0"/>
    <s v="May      "/>
    <s v="5"/>
    <n v="66.099999999999994"/>
    <m/>
  </r>
  <r>
    <x v="4"/>
    <s v="Clothing retailing"/>
    <s v="2019-06-01"/>
    <x v="0"/>
    <s v="June     "/>
    <s v="6"/>
    <n v="62.3"/>
    <m/>
  </r>
  <r>
    <x v="4"/>
    <s v="Clothing retailing"/>
    <s v="2019-07-01"/>
    <x v="0"/>
    <s v="July     "/>
    <s v="7"/>
    <n v="58.8"/>
    <m/>
  </r>
  <r>
    <x v="4"/>
    <s v="Clothing retailing"/>
    <s v="2019-08-01"/>
    <x v="0"/>
    <s v="August   "/>
    <s v="8"/>
    <n v="53"/>
    <m/>
  </r>
  <r>
    <x v="4"/>
    <s v="Clothing retailing"/>
    <s v="2019-09-01"/>
    <x v="0"/>
    <s v="September"/>
    <s v="9"/>
    <n v="54.2"/>
    <m/>
  </r>
  <r>
    <x v="4"/>
    <s v="Clothing retailing"/>
    <s v="2019-10-01"/>
    <x v="0"/>
    <s v="October  "/>
    <s v="10"/>
    <n v="60"/>
    <m/>
  </r>
  <r>
    <x v="4"/>
    <s v="Clothing retailing"/>
    <s v="2019-11-01"/>
    <x v="0"/>
    <s v="November "/>
    <s v="11"/>
    <n v="63.1"/>
    <m/>
  </r>
  <r>
    <x v="4"/>
    <s v="Clothing retailing"/>
    <s v="2019-12-01"/>
    <x v="0"/>
    <s v="December "/>
    <s v="12"/>
    <n v="90.7"/>
    <m/>
  </r>
  <r>
    <x v="4"/>
    <s v="Clothing retailing"/>
    <s v="2020-01-01"/>
    <x v="1"/>
    <s v="January  "/>
    <s v="1"/>
    <n v="54.1"/>
    <n v="-5.25"/>
  </r>
  <r>
    <x v="4"/>
    <s v="Clothing retailing"/>
    <s v="2020-02-01"/>
    <x v="1"/>
    <s v="February "/>
    <s v="2"/>
    <n v="44.6"/>
    <n v="0.22"/>
  </r>
  <r>
    <x v="4"/>
    <s v="Clothing retailing"/>
    <s v="2020-03-01"/>
    <x v="1"/>
    <s v="March    "/>
    <s v="3"/>
    <n v="38.299999999999997"/>
    <n v="-32.57"/>
  </r>
  <r>
    <x v="4"/>
    <s v="Clothing retailing"/>
    <s v="2020-04-01"/>
    <x v="1"/>
    <s v="April    "/>
    <s v="4"/>
    <n v="14.3"/>
    <n v="-76.290000000000006"/>
  </r>
  <r>
    <x v="4"/>
    <s v="Clothing retailing"/>
    <s v="2020-05-01"/>
    <x v="1"/>
    <s v="May      "/>
    <s v="5"/>
    <n v="44.4"/>
    <n v="-32.83"/>
  </r>
  <r>
    <x v="4"/>
    <s v="Clothing retailing"/>
    <s v="2020-06-01"/>
    <x v="1"/>
    <s v="June     "/>
    <s v="6"/>
    <n v="65.099999999999994"/>
    <n v="4.49"/>
  </r>
  <r>
    <x v="4"/>
    <s v="Clothing retailing"/>
    <s v="2020-07-01"/>
    <x v="1"/>
    <s v="July     "/>
    <s v="7"/>
    <n v="73.8"/>
    <n v="25.51"/>
  </r>
  <r>
    <x v="4"/>
    <s v="Clothing retailing"/>
    <s v="2020-08-01"/>
    <x v="1"/>
    <s v="August   "/>
    <s v="8"/>
    <n v="61.7"/>
    <n v="16.420000000000002"/>
  </r>
  <r>
    <x v="4"/>
    <s v="Clothing retailing"/>
    <s v="2020-09-01"/>
    <x v="1"/>
    <s v="September"/>
    <s v="9"/>
    <n v="62.8"/>
    <n v="15.87"/>
  </r>
  <r>
    <x v="4"/>
    <s v="Clothing retailing"/>
    <s v="2020-10-01"/>
    <x v="1"/>
    <s v="October  "/>
    <s v="10"/>
    <n v="70"/>
    <n v="16.670000000000002"/>
  </r>
  <r>
    <x v="4"/>
    <s v="Clothing retailing"/>
    <s v="2020-11-01"/>
    <x v="1"/>
    <s v="November "/>
    <s v="11"/>
    <n v="67.099999999999994"/>
    <n v="6.34"/>
  </r>
  <r>
    <x v="4"/>
    <s v="Clothing retailing"/>
    <s v="2020-12-01"/>
    <x v="1"/>
    <s v="December "/>
    <s v="12"/>
    <n v="111.4"/>
    <n v="22.82"/>
  </r>
  <r>
    <x v="4"/>
    <s v="Clothing retailing"/>
    <s v="2021-01-01"/>
    <x v="2"/>
    <s v="January  "/>
    <s v="1"/>
    <n v="67.2"/>
    <n v="24.21"/>
  </r>
  <r>
    <x v="4"/>
    <s v="Clothing retailing"/>
    <s v="2021-02-01"/>
    <x v="2"/>
    <s v="February "/>
    <s v="2"/>
    <n v="57.3"/>
    <n v="28.48"/>
  </r>
  <r>
    <x v="4"/>
    <s v="Clothing retailing"/>
    <s v="2021-03-01"/>
    <x v="2"/>
    <s v="March    "/>
    <s v="3"/>
    <n v="72.599999999999994"/>
    <n v="89.56"/>
  </r>
  <r>
    <x v="4"/>
    <s v="Clothing retailing"/>
    <s v="2021-04-01"/>
    <x v="2"/>
    <s v="April    "/>
    <s v="4"/>
    <n v="79.3"/>
    <n v="454.55"/>
  </r>
  <r>
    <x v="4"/>
    <s v="Clothing retailing"/>
    <s v="2021-05-01"/>
    <x v="2"/>
    <s v="May      "/>
    <s v="5"/>
    <n v="78.8"/>
    <n v="77.48"/>
  </r>
  <r>
    <x v="4"/>
    <s v="Clothing retailing"/>
    <s v="2021-06-01"/>
    <x v="2"/>
    <s v="June     "/>
    <s v="6"/>
    <n v="78.400000000000006"/>
    <n v="20.43"/>
  </r>
  <r>
    <x v="4"/>
    <s v="Clothing retailing"/>
    <s v="2021-07-01"/>
    <x v="2"/>
    <s v="July     "/>
    <s v="7"/>
    <n v="66.7"/>
    <n v="-9.6199999999999992"/>
  </r>
  <r>
    <x v="4"/>
    <s v="Clothing retailing"/>
    <s v="2021-08-01"/>
    <x v="2"/>
    <s v="August   "/>
    <s v="8"/>
    <n v="69.3"/>
    <n v="12.32"/>
  </r>
  <r>
    <x v="4"/>
    <s v="Clothing retailing"/>
    <s v="2021-09-01"/>
    <x v="2"/>
    <s v="September"/>
    <s v="9"/>
    <n v="75.900000000000006"/>
    <n v="20.86"/>
  </r>
  <r>
    <x v="4"/>
    <s v="Clothing retailing"/>
    <s v="2021-10-01"/>
    <x v="2"/>
    <s v="October  "/>
    <s v="10"/>
    <n v="77.8"/>
    <n v="11.14"/>
  </r>
  <r>
    <x v="4"/>
    <s v="Clothing retailing"/>
    <s v="2021-11-01"/>
    <x v="2"/>
    <s v="November "/>
    <s v="11"/>
    <n v="88.7"/>
    <n v="32.19"/>
  </r>
  <r>
    <x v="4"/>
    <s v="Clothing retailing"/>
    <s v="2021-12-01"/>
    <x v="2"/>
    <s v="December "/>
    <s v="12"/>
    <n v="113.7"/>
    <n v="2.06"/>
  </r>
  <r>
    <x v="4"/>
    <s v="Clothing retailing"/>
    <s v="2022-01-01"/>
    <x v="3"/>
    <s v="January  "/>
    <s v="1"/>
    <n v="60.1"/>
    <n v="-10.57"/>
  </r>
  <r>
    <x v="4"/>
    <s v="Clothing retailing"/>
    <s v="2022-02-01"/>
    <x v="3"/>
    <s v="February "/>
    <s v="2"/>
    <n v="60.7"/>
    <n v="5.93"/>
  </r>
  <r>
    <x v="4"/>
    <s v="Clothing retailing"/>
    <s v="2022-03-01"/>
    <x v="3"/>
    <s v="March    "/>
    <s v="3"/>
    <n v="74.3"/>
    <n v="2.34"/>
  </r>
  <r>
    <x v="4"/>
    <s v="Clothing retailing"/>
    <s v="2022-04-01"/>
    <x v="3"/>
    <s v="April    "/>
    <s v="4"/>
    <n v="85.6"/>
    <n v="7.94"/>
  </r>
  <r>
    <x v="4"/>
    <s v="Clothing retailing"/>
    <s v="2022-05-01"/>
    <x v="3"/>
    <s v="May      "/>
    <s v="5"/>
    <n v="90.1"/>
    <n v="14.34"/>
  </r>
  <r>
    <x v="4"/>
    <s v="Clothing retailing"/>
    <s v="2022-06-01"/>
    <x v="3"/>
    <s v="June     "/>
    <s v="6"/>
    <n v="87.1"/>
    <n v="11.1"/>
  </r>
  <r>
    <x v="4"/>
    <s v="Clothing retailing"/>
    <s v="2022-07-01"/>
    <x v="3"/>
    <s v="July     "/>
    <s v="7"/>
    <n v="89"/>
    <n v="33.43"/>
  </r>
  <r>
    <x v="4"/>
    <s v="Clothing retailing"/>
    <s v="2022-08-01"/>
    <x v="3"/>
    <s v="August   "/>
    <s v="8"/>
    <n v="84.6"/>
    <n v="22.08"/>
  </r>
  <r>
    <x v="4"/>
    <s v="Clothing retailing"/>
    <s v="2022-09-01"/>
    <x v="3"/>
    <s v="September"/>
    <s v="9"/>
    <n v="86.7"/>
    <n v="14.23"/>
  </r>
  <r>
    <x v="4"/>
    <s v="Clothing retailing"/>
    <s v="2022-10-01"/>
    <x v="3"/>
    <s v="October  "/>
    <s v="10"/>
    <n v="96.6"/>
    <n v="24.16"/>
  </r>
  <r>
    <x v="4"/>
    <s v="Clothing retailing"/>
    <s v="2022-11-01"/>
    <x v="3"/>
    <s v="November "/>
    <s v="11"/>
    <n v="106.6"/>
    <n v="20.18"/>
  </r>
  <r>
    <x v="4"/>
    <s v="Clothing retailing"/>
    <s v="2022-12-01"/>
    <x v="3"/>
    <s v="December "/>
    <s v="12"/>
    <n v="132.80000000000001"/>
    <n v="16.8"/>
  </r>
  <r>
    <x v="4"/>
    <s v="Clothing retailing"/>
    <s v="2023-01-01"/>
    <x v="4"/>
    <s v="January  "/>
    <s v="1"/>
    <n v="87.2"/>
    <n v="45.09"/>
  </r>
  <r>
    <x v="4"/>
    <s v="Clothing retailing"/>
    <s v="2023-02-01"/>
    <x v="4"/>
    <s v="February "/>
    <s v="2"/>
    <n v="73.8"/>
    <n v="21.58"/>
  </r>
  <r>
    <x v="4"/>
    <s v="Clothing retailing"/>
    <s v="2023-03-01"/>
    <x v="4"/>
    <s v="March    "/>
    <s v="3"/>
    <n v="94.1"/>
    <n v="26.65"/>
  </r>
  <r>
    <x v="4"/>
    <s v="Clothing retailing"/>
    <s v="2023-04-01"/>
    <x v="4"/>
    <s v="April    "/>
    <s v="4"/>
    <n v="97"/>
    <n v="13.32"/>
  </r>
  <r>
    <x v="4"/>
    <s v="Clothing retailing"/>
    <s v="2023-05-01"/>
    <x v="4"/>
    <s v="May      "/>
    <s v="5"/>
    <n v="101.8"/>
    <n v="12.99"/>
  </r>
  <r>
    <x v="4"/>
    <s v="Clothing retailing"/>
    <s v="2023-06-01"/>
    <x v="4"/>
    <s v="June     "/>
    <s v="6"/>
    <n v="94.1"/>
    <n v="8.0399999999999991"/>
  </r>
  <r>
    <x v="4"/>
    <s v="Clothing retailing"/>
    <s v="2023-07-01"/>
    <x v="4"/>
    <s v="July     "/>
    <s v="7"/>
    <n v="92.3"/>
    <n v="3.71"/>
  </r>
  <r>
    <x v="4"/>
    <s v="Clothing retailing"/>
    <s v="2023-08-01"/>
    <x v="4"/>
    <s v="August   "/>
    <s v="8"/>
    <n v="85.5"/>
    <n v="1.06"/>
  </r>
  <r>
    <x v="4"/>
    <s v="Clothing retailing"/>
    <s v="2023-09-01"/>
    <x v="4"/>
    <s v="September"/>
    <s v="9"/>
    <n v="88.9"/>
    <n v="2.54"/>
  </r>
  <r>
    <x v="4"/>
    <s v="Clothing retailing"/>
    <s v="2023-10-01"/>
    <x v="4"/>
    <s v="October  "/>
    <s v="10"/>
    <n v="91.4"/>
    <n v="-5.38"/>
  </r>
  <r>
    <x v="4"/>
    <s v="Clothing retailing"/>
    <s v="2023-11-01"/>
    <x v="4"/>
    <s v="November "/>
    <s v="11"/>
    <n v="103.2"/>
    <n v="-3.19"/>
  </r>
  <r>
    <x v="4"/>
    <s v="Clothing retailing"/>
    <s v="2023-12-01"/>
    <x v="4"/>
    <s v="December "/>
    <s v="12"/>
    <n v="132"/>
    <n v="-0.6"/>
  </r>
  <r>
    <x v="4"/>
    <s v="Clothing retailing"/>
    <s v="2024-01-01"/>
    <x v="5"/>
    <s v="January  "/>
    <s v="1"/>
    <n v="87"/>
    <n v="-0.23"/>
  </r>
  <r>
    <x v="4"/>
    <s v="Clothing retailing"/>
    <s v="2024-02-01"/>
    <x v="5"/>
    <s v="February "/>
    <s v="2"/>
    <n v="74.599999999999994"/>
    <n v="1.08"/>
  </r>
  <r>
    <x v="4"/>
    <s v="Clothing retailing"/>
    <s v="2024-03-01"/>
    <x v="5"/>
    <s v="March    "/>
    <s v="3"/>
    <n v="81.2"/>
    <n v="-13.71"/>
  </r>
  <r>
    <x v="4"/>
    <s v="Clothing retailing"/>
    <s v="2024-04-01"/>
    <x v="5"/>
    <s v="April    "/>
    <s v="4"/>
    <n v="95.1"/>
    <n v="-1.96"/>
  </r>
  <r>
    <x v="4"/>
    <s v="Clothing retailing"/>
    <s v="2024-05-01"/>
    <x v="5"/>
    <s v="May      "/>
    <s v="5"/>
    <n v="92.3"/>
    <n v="-9.33"/>
  </r>
  <r>
    <x v="4"/>
    <s v="Clothing retailing"/>
    <s v="2024-06-01"/>
    <x v="5"/>
    <s v="June     "/>
    <s v="6"/>
    <n v="90.2"/>
    <n v="-4.1399999999999997"/>
  </r>
  <r>
    <x v="4"/>
    <s v="Clothing retailing"/>
    <s v="2024-07-01"/>
    <x v="5"/>
    <s v="July     "/>
    <s v="7"/>
    <n v="86.2"/>
    <n v="-6.61"/>
  </r>
  <r>
    <x v="4"/>
    <s v="Clothing retailing"/>
    <s v="2024-08-01"/>
    <x v="5"/>
    <s v="August   "/>
    <s v="8"/>
    <n v="79"/>
    <n v="-7.6"/>
  </r>
  <r>
    <x v="4"/>
    <s v="Clothing retailing"/>
    <s v="2024-09-01"/>
    <x v="5"/>
    <s v="September"/>
    <s v="9"/>
    <n v="80"/>
    <n v="-10.01"/>
  </r>
  <r>
    <x v="4"/>
    <s v="Clothing retailing"/>
    <s v="2024-10-01"/>
    <x v="5"/>
    <s v="October  "/>
    <s v="10"/>
    <n v="88.3"/>
    <n v="-3.39"/>
  </r>
  <r>
    <x v="4"/>
    <s v="Clothing retailing"/>
    <s v="2024-11-01"/>
    <x v="5"/>
    <s v="November "/>
    <s v="11"/>
    <n v="103.9"/>
    <n v="0.68"/>
  </r>
  <r>
    <x v="4"/>
    <s v="Clothing retailing"/>
    <s v="2024-12-01"/>
    <x v="5"/>
    <s v="December "/>
    <s v="12"/>
    <n v="128.4"/>
    <n v="-2.73"/>
  </r>
  <r>
    <x v="4"/>
    <s v="Clothing retailing"/>
    <s v="2025-01-01"/>
    <x v="6"/>
    <s v="January  "/>
    <s v="1"/>
    <n v="85.8"/>
    <n v="-1.38"/>
  </r>
  <r>
    <x v="4"/>
    <s v="Clothing retailing"/>
    <s v="2025-02-01"/>
    <x v="6"/>
    <s v="February "/>
    <s v="2"/>
    <n v="70.8"/>
    <n v="-5.09"/>
  </r>
  <r>
    <x v="4"/>
    <s v="Clothing retailing"/>
    <s v="2025-03-01"/>
    <x v="6"/>
    <s v="March    "/>
    <s v="3"/>
    <n v="83.5"/>
    <n v="2.83"/>
  </r>
  <r>
    <x v="4"/>
    <s v="Clothing retailing"/>
    <s v="2025-04-01"/>
    <x v="6"/>
    <s v="April    "/>
    <s v="4"/>
    <n v="89.7"/>
    <n v="-5.68"/>
  </r>
  <r>
    <x v="4"/>
    <s v="Clothing retailing"/>
    <s v="2025-05-01"/>
    <x v="6"/>
    <s v="May      "/>
    <s v="5"/>
    <n v="99.5"/>
    <n v="7.8"/>
  </r>
  <r>
    <x v="4"/>
    <s v="Clothing retailing"/>
    <s v="2025-06-01"/>
    <x v="6"/>
    <s v="June     "/>
    <s v="6"/>
    <n v="99.6"/>
    <n v="10.42"/>
  </r>
  <r>
    <x v="4"/>
    <s v="Department stores"/>
    <s v="2019-01-01"/>
    <x v="0"/>
    <s v="January  "/>
    <s v="1"/>
    <n v="98.9"/>
    <m/>
  </r>
  <r>
    <x v="4"/>
    <s v="Department stores"/>
    <s v="2019-02-01"/>
    <x v="0"/>
    <s v="February "/>
    <s v="2"/>
    <n v="78.7"/>
    <m/>
  </r>
  <r>
    <x v="4"/>
    <s v="Department stores"/>
    <s v="2019-03-01"/>
    <x v="0"/>
    <s v="March    "/>
    <s v="3"/>
    <n v="93.7"/>
    <m/>
  </r>
  <r>
    <x v="4"/>
    <s v="Department stores"/>
    <s v="2019-04-01"/>
    <x v="0"/>
    <s v="April    "/>
    <s v="4"/>
    <n v="103.9"/>
    <m/>
  </r>
  <r>
    <x v="4"/>
    <s v="Department stores"/>
    <s v="2019-05-01"/>
    <x v="0"/>
    <s v="May      "/>
    <s v="5"/>
    <n v="111.6"/>
    <m/>
  </r>
  <r>
    <x v="4"/>
    <s v="Department stores"/>
    <s v="2019-06-01"/>
    <x v="0"/>
    <s v="June     "/>
    <s v="6"/>
    <n v="108.2"/>
    <m/>
  </r>
  <r>
    <x v="4"/>
    <s v="Department stores"/>
    <s v="2019-07-01"/>
    <x v="0"/>
    <s v="July     "/>
    <s v="7"/>
    <n v="102.7"/>
    <m/>
  </r>
  <r>
    <x v="4"/>
    <s v="Department stores"/>
    <s v="2019-08-01"/>
    <x v="0"/>
    <s v="August   "/>
    <s v="8"/>
    <n v="95.5"/>
    <m/>
  </r>
  <r>
    <x v="4"/>
    <s v="Department stores"/>
    <s v="2019-09-01"/>
    <x v="0"/>
    <s v="September"/>
    <s v="9"/>
    <n v="94.2"/>
    <m/>
  </r>
  <r>
    <x v="4"/>
    <s v="Department stores"/>
    <s v="2019-10-01"/>
    <x v="0"/>
    <s v="October  "/>
    <s v="10"/>
    <n v="107.1"/>
    <m/>
  </r>
  <r>
    <x v="4"/>
    <s v="Department stores"/>
    <s v="2019-11-01"/>
    <x v="0"/>
    <s v="November "/>
    <s v="11"/>
    <n v="127.5"/>
    <m/>
  </r>
  <r>
    <x v="4"/>
    <s v="Department stores"/>
    <s v="2019-12-01"/>
    <x v="0"/>
    <s v="December "/>
    <s v="12"/>
    <n v="194.3"/>
    <m/>
  </r>
  <r>
    <x v="4"/>
    <s v="Department stores"/>
    <s v="2020-01-01"/>
    <x v="1"/>
    <s v="January  "/>
    <s v="1"/>
    <n v="99"/>
    <n v="0.1"/>
  </r>
  <r>
    <x v="4"/>
    <s v="Department stores"/>
    <s v="2020-02-01"/>
    <x v="1"/>
    <s v="February "/>
    <s v="2"/>
    <n v="82.3"/>
    <n v="4.57"/>
  </r>
  <r>
    <x v="4"/>
    <s v="Department stores"/>
    <s v="2020-03-01"/>
    <x v="1"/>
    <s v="March    "/>
    <s v="3"/>
    <n v="87"/>
    <n v="-7.15"/>
  </r>
  <r>
    <x v="4"/>
    <s v="Department stores"/>
    <s v="2020-04-01"/>
    <x v="1"/>
    <s v="April    "/>
    <s v="4"/>
    <n v="90.1"/>
    <n v="-13.28"/>
  </r>
  <r>
    <x v="4"/>
    <s v="Department stores"/>
    <s v="2020-05-01"/>
    <x v="1"/>
    <s v="May      "/>
    <s v="5"/>
    <n v="129.6"/>
    <n v="16.13"/>
  </r>
  <r>
    <x v="4"/>
    <s v="Department stores"/>
    <s v="2020-06-01"/>
    <x v="1"/>
    <s v="June     "/>
    <s v="6"/>
    <n v="116.1"/>
    <n v="7.3"/>
  </r>
  <r>
    <x v="4"/>
    <s v="Department stores"/>
    <s v="2020-07-01"/>
    <x v="1"/>
    <s v="July     "/>
    <s v="7"/>
    <n v="121.9"/>
    <n v="18.7"/>
  </r>
  <r>
    <x v="4"/>
    <s v="Department stores"/>
    <s v="2020-08-01"/>
    <x v="1"/>
    <s v="August   "/>
    <s v="8"/>
    <n v="104.4"/>
    <n v="9.32"/>
  </r>
  <r>
    <x v="4"/>
    <s v="Department stores"/>
    <s v="2020-09-01"/>
    <x v="1"/>
    <s v="September"/>
    <s v="9"/>
    <n v="111.5"/>
    <n v="18.37"/>
  </r>
  <r>
    <x v="4"/>
    <s v="Department stores"/>
    <s v="2020-10-01"/>
    <x v="1"/>
    <s v="October  "/>
    <s v="10"/>
    <n v="121"/>
    <n v="12.98"/>
  </r>
  <r>
    <x v="4"/>
    <s v="Department stores"/>
    <s v="2020-11-01"/>
    <x v="1"/>
    <s v="November "/>
    <s v="11"/>
    <n v="128.4"/>
    <n v="0.71"/>
  </r>
  <r>
    <x v="4"/>
    <s v="Department stores"/>
    <s v="2020-12-01"/>
    <x v="1"/>
    <s v="December "/>
    <s v="12"/>
    <n v="207.8"/>
    <n v="6.95"/>
  </r>
  <r>
    <x v="4"/>
    <s v="Department stores"/>
    <s v="2021-01-01"/>
    <x v="2"/>
    <s v="January  "/>
    <s v="1"/>
    <n v="109.6"/>
    <n v="10.71"/>
  </r>
  <r>
    <x v="4"/>
    <s v="Department stores"/>
    <s v="2021-02-01"/>
    <x v="2"/>
    <s v="February "/>
    <s v="2"/>
    <n v="88.5"/>
    <n v="7.53"/>
  </r>
  <r>
    <x v="4"/>
    <s v="Department stores"/>
    <s v="2021-03-01"/>
    <x v="2"/>
    <s v="March    "/>
    <s v="3"/>
    <n v="115.5"/>
    <n v="32.76"/>
  </r>
  <r>
    <x v="4"/>
    <s v="Department stores"/>
    <s v="2021-04-01"/>
    <x v="2"/>
    <s v="April    "/>
    <s v="4"/>
    <n v="117.3"/>
    <n v="30.19"/>
  </r>
  <r>
    <x v="4"/>
    <s v="Department stores"/>
    <s v="2021-05-01"/>
    <x v="2"/>
    <s v="May      "/>
    <s v="5"/>
    <n v="116.5"/>
    <n v="-10.11"/>
  </r>
  <r>
    <x v="4"/>
    <s v="Department stores"/>
    <s v="2021-06-01"/>
    <x v="2"/>
    <s v="June     "/>
    <s v="6"/>
    <n v="116.9"/>
    <n v="0.69"/>
  </r>
  <r>
    <x v="4"/>
    <s v="Department stores"/>
    <s v="2021-07-01"/>
    <x v="2"/>
    <s v="July     "/>
    <s v="7"/>
    <n v="100.3"/>
    <n v="-17.72"/>
  </r>
  <r>
    <x v="4"/>
    <s v="Department stores"/>
    <s v="2021-08-01"/>
    <x v="2"/>
    <s v="August   "/>
    <s v="8"/>
    <n v="105.4"/>
    <n v="0.96"/>
  </r>
  <r>
    <x v="4"/>
    <s v="Department stores"/>
    <s v="2021-09-01"/>
    <x v="2"/>
    <s v="September"/>
    <s v="9"/>
    <n v="112.5"/>
    <n v="0.9"/>
  </r>
  <r>
    <x v="4"/>
    <s v="Department stores"/>
    <s v="2021-10-01"/>
    <x v="2"/>
    <s v="October  "/>
    <s v="10"/>
    <n v="117"/>
    <n v="-3.31"/>
  </r>
  <r>
    <x v="4"/>
    <s v="Department stores"/>
    <s v="2021-11-01"/>
    <x v="2"/>
    <s v="November "/>
    <s v="11"/>
    <n v="141.5"/>
    <n v="10.199999999999999"/>
  </r>
  <r>
    <x v="4"/>
    <s v="Department stores"/>
    <s v="2021-12-01"/>
    <x v="2"/>
    <s v="December "/>
    <s v="12"/>
    <n v="189.5"/>
    <n v="-8.81"/>
  </r>
  <r>
    <x v="4"/>
    <s v="Department stores"/>
    <s v="2022-01-01"/>
    <x v="3"/>
    <s v="January  "/>
    <s v="1"/>
    <n v="99.1"/>
    <n v="-9.58"/>
  </r>
  <r>
    <x v="4"/>
    <s v="Department stores"/>
    <s v="2022-02-01"/>
    <x v="3"/>
    <s v="February "/>
    <s v="2"/>
    <n v="89"/>
    <n v="0.56000000000000005"/>
  </r>
  <r>
    <x v="4"/>
    <s v="Department stores"/>
    <s v="2022-03-01"/>
    <x v="3"/>
    <s v="March    "/>
    <s v="3"/>
    <n v="107.1"/>
    <n v="-7.27"/>
  </r>
  <r>
    <x v="4"/>
    <s v="Department stores"/>
    <s v="2022-04-01"/>
    <x v="3"/>
    <s v="April    "/>
    <s v="4"/>
    <n v="119.7"/>
    <n v="2.0499999999999998"/>
  </r>
  <r>
    <x v="4"/>
    <s v="Department stores"/>
    <s v="2022-05-01"/>
    <x v="3"/>
    <s v="May      "/>
    <s v="5"/>
    <n v="130.30000000000001"/>
    <n v="11.85"/>
  </r>
  <r>
    <x v="4"/>
    <s v="Department stores"/>
    <s v="2022-06-01"/>
    <x v="3"/>
    <s v="June     "/>
    <s v="6"/>
    <n v="126.9"/>
    <n v="8.5500000000000007"/>
  </r>
  <r>
    <x v="4"/>
    <s v="Department stores"/>
    <s v="2022-07-01"/>
    <x v="3"/>
    <s v="July     "/>
    <s v="7"/>
    <n v="126.2"/>
    <n v="25.82"/>
  </r>
  <r>
    <x v="4"/>
    <s v="Department stores"/>
    <s v="2022-08-01"/>
    <x v="3"/>
    <s v="August   "/>
    <s v="8"/>
    <n v="114.6"/>
    <n v="8.73"/>
  </r>
  <r>
    <x v="4"/>
    <s v="Department stores"/>
    <s v="2022-09-01"/>
    <x v="3"/>
    <s v="September"/>
    <s v="9"/>
    <n v="119.7"/>
    <n v="6.4"/>
  </r>
  <r>
    <x v="4"/>
    <s v="Department stores"/>
    <s v="2022-10-01"/>
    <x v="3"/>
    <s v="October  "/>
    <s v="10"/>
    <n v="129.5"/>
    <n v="10.68"/>
  </r>
  <r>
    <x v="4"/>
    <s v="Department stores"/>
    <s v="2022-11-01"/>
    <x v="3"/>
    <s v="November "/>
    <s v="11"/>
    <n v="163.19999999999999"/>
    <n v="15.34"/>
  </r>
  <r>
    <x v="4"/>
    <s v="Department stores"/>
    <s v="2022-12-01"/>
    <x v="3"/>
    <s v="December "/>
    <s v="12"/>
    <n v="219.7"/>
    <n v="15.94"/>
  </r>
  <r>
    <x v="4"/>
    <s v="Department stores"/>
    <s v="2023-01-01"/>
    <x v="4"/>
    <s v="January  "/>
    <s v="1"/>
    <n v="119"/>
    <n v="20.079999999999998"/>
  </r>
  <r>
    <x v="4"/>
    <s v="Department stores"/>
    <s v="2023-02-01"/>
    <x v="4"/>
    <s v="February "/>
    <s v="2"/>
    <n v="95.3"/>
    <n v="7.08"/>
  </r>
  <r>
    <x v="4"/>
    <s v="Department stores"/>
    <s v="2023-03-01"/>
    <x v="4"/>
    <s v="March    "/>
    <s v="3"/>
    <n v="121.3"/>
    <n v="13.26"/>
  </r>
  <r>
    <x v="4"/>
    <s v="Department stores"/>
    <s v="2023-04-01"/>
    <x v="4"/>
    <s v="April    "/>
    <s v="4"/>
    <n v="128.6"/>
    <n v="7.44"/>
  </r>
  <r>
    <x v="4"/>
    <s v="Department stores"/>
    <s v="2023-05-01"/>
    <x v="4"/>
    <s v="May      "/>
    <s v="5"/>
    <n v="132"/>
    <n v="1.3"/>
  </r>
  <r>
    <x v="4"/>
    <s v="Department stores"/>
    <s v="2023-06-01"/>
    <x v="4"/>
    <s v="June     "/>
    <s v="6"/>
    <n v="125.3"/>
    <n v="-1.26"/>
  </r>
  <r>
    <x v="4"/>
    <s v="Department stores"/>
    <s v="2023-07-01"/>
    <x v="4"/>
    <s v="July     "/>
    <s v="7"/>
    <n v="127.2"/>
    <n v="0.79"/>
  </r>
  <r>
    <x v="4"/>
    <s v="Department stores"/>
    <s v="2023-08-01"/>
    <x v="4"/>
    <s v="August   "/>
    <s v="8"/>
    <n v="115.1"/>
    <n v="0.44"/>
  </r>
  <r>
    <x v="4"/>
    <s v="Department stores"/>
    <s v="2023-09-01"/>
    <x v="4"/>
    <s v="September"/>
    <s v="9"/>
    <n v="124"/>
    <n v="3.59"/>
  </r>
  <r>
    <x v="4"/>
    <s v="Department stores"/>
    <s v="2023-10-01"/>
    <x v="4"/>
    <s v="October  "/>
    <s v="10"/>
    <n v="130.9"/>
    <n v="1.08"/>
  </r>
  <r>
    <x v="4"/>
    <s v="Department stores"/>
    <s v="2023-11-01"/>
    <x v="4"/>
    <s v="November "/>
    <s v="11"/>
    <n v="170.1"/>
    <n v="4.2300000000000004"/>
  </r>
  <r>
    <x v="4"/>
    <s v="Department stores"/>
    <s v="2023-12-01"/>
    <x v="4"/>
    <s v="December "/>
    <s v="12"/>
    <n v="224.4"/>
    <n v="2.14"/>
  </r>
  <r>
    <x v="4"/>
    <s v="Department stores"/>
    <s v="2024-01-01"/>
    <x v="5"/>
    <s v="January  "/>
    <s v="1"/>
    <n v="120.2"/>
    <n v="1.01"/>
  </r>
  <r>
    <x v="4"/>
    <s v="Department stores"/>
    <s v="2024-02-01"/>
    <x v="5"/>
    <s v="February "/>
    <s v="2"/>
    <n v="102.7"/>
    <n v="7.76"/>
  </r>
  <r>
    <x v="4"/>
    <s v="Department stores"/>
    <s v="2024-03-01"/>
    <x v="5"/>
    <s v="March    "/>
    <s v="3"/>
    <n v="123.5"/>
    <n v="1.81"/>
  </r>
  <r>
    <x v="4"/>
    <s v="Department stores"/>
    <s v="2024-04-01"/>
    <x v="5"/>
    <s v="April    "/>
    <s v="4"/>
    <n v="129.9"/>
    <n v="1.01"/>
  </r>
  <r>
    <x v="4"/>
    <s v="Department stores"/>
    <s v="2024-05-01"/>
    <x v="5"/>
    <s v="May      "/>
    <s v="5"/>
    <n v="130"/>
    <n v="-1.52"/>
  </r>
  <r>
    <x v="4"/>
    <s v="Department stores"/>
    <s v="2024-06-01"/>
    <x v="5"/>
    <s v="June     "/>
    <s v="6"/>
    <n v="133.6"/>
    <n v="6.62"/>
  </r>
  <r>
    <x v="4"/>
    <s v="Department stores"/>
    <s v="2024-07-01"/>
    <x v="5"/>
    <s v="July     "/>
    <s v="7"/>
    <n v="127.8"/>
    <n v="0.47"/>
  </r>
  <r>
    <x v="4"/>
    <s v="Department stores"/>
    <s v="2024-08-01"/>
    <x v="5"/>
    <s v="August   "/>
    <s v="8"/>
    <n v="119.7"/>
    <n v="4"/>
  </r>
  <r>
    <x v="4"/>
    <s v="Department stores"/>
    <s v="2024-09-01"/>
    <x v="5"/>
    <s v="September"/>
    <s v="9"/>
    <n v="119.5"/>
    <n v="-3.63"/>
  </r>
  <r>
    <x v="4"/>
    <s v="Department stores"/>
    <s v="2024-10-01"/>
    <x v="5"/>
    <s v="October  "/>
    <s v="10"/>
    <n v="134.6"/>
    <n v="2.83"/>
  </r>
  <r>
    <x v="4"/>
    <s v="Department stores"/>
    <s v="2024-11-01"/>
    <x v="5"/>
    <s v="November "/>
    <s v="11"/>
    <n v="171.5"/>
    <n v="0.82"/>
  </r>
  <r>
    <x v="4"/>
    <s v="Department stores"/>
    <s v="2024-12-01"/>
    <x v="5"/>
    <s v="December "/>
    <s v="12"/>
    <n v="228.3"/>
    <n v="1.74"/>
  </r>
  <r>
    <x v="4"/>
    <s v="Department stores"/>
    <s v="2025-01-01"/>
    <x v="6"/>
    <s v="January  "/>
    <s v="1"/>
    <n v="123.2"/>
    <n v="2.5"/>
  </r>
  <r>
    <x v="4"/>
    <s v="Department stores"/>
    <s v="2025-02-01"/>
    <x v="6"/>
    <s v="February "/>
    <s v="2"/>
    <n v="102"/>
    <n v="-0.68"/>
  </r>
  <r>
    <x v="4"/>
    <s v="Department stores"/>
    <s v="2025-03-01"/>
    <x v="6"/>
    <s v="March    "/>
    <s v="3"/>
    <n v="122.6"/>
    <n v="-0.73"/>
  </r>
  <r>
    <x v="4"/>
    <s v="Department stores"/>
    <s v="2025-04-01"/>
    <x v="6"/>
    <s v="April    "/>
    <s v="4"/>
    <n v="129.1"/>
    <n v="-0.62"/>
  </r>
  <r>
    <x v="4"/>
    <s v="Department stores"/>
    <s v="2025-05-01"/>
    <x v="6"/>
    <s v="May      "/>
    <s v="5"/>
    <n v="139.69999999999999"/>
    <n v="7.46"/>
  </r>
  <r>
    <x v="4"/>
    <s v="Department stores"/>
    <s v="2025-06-01"/>
    <x v="6"/>
    <s v="June     "/>
    <s v="6"/>
    <n v="138.9"/>
    <n v="3.97"/>
  </r>
  <r>
    <x v="4"/>
    <s v="Electrical and electronic goods retailing"/>
    <s v="2019-01-01"/>
    <x v="0"/>
    <s v="January  "/>
    <s v="1"/>
    <n v="107.6"/>
    <m/>
  </r>
  <r>
    <x v="4"/>
    <s v="Electrical and electronic goods retailing"/>
    <s v="2019-02-01"/>
    <x v="0"/>
    <s v="February "/>
    <s v="2"/>
    <n v="92"/>
    <m/>
  </r>
  <r>
    <x v="4"/>
    <s v="Electrical and electronic goods retailing"/>
    <s v="2019-03-01"/>
    <x v="0"/>
    <s v="March    "/>
    <s v="3"/>
    <n v="98.8"/>
    <m/>
  </r>
  <r>
    <x v="4"/>
    <s v="Electrical and electronic goods retailing"/>
    <s v="2019-04-01"/>
    <x v="0"/>
    <s v="April    "/>
    <s v="4"/>
    <n v="91.6"/>
    <m/>
  </r>
  <r>
    <x v="4"/>
    <s v="Electrical and electronic goods retailing"/>
    <s v="2019-05-01"/>
    <x v="0"/>
    <s v="May      "/>
    <s v="5"/>
    <n v="107.6"/>
    <m/>
  </r>
  <r>
    <x v="4"/>
    <s v="Electrical and electronic goods retailing"/>
    <s v="2019-06-01"/>
    <x v="0"/>
    <s v="June     "/>
    <s v="6"/>
    <n v="115"/>
    <m/>
  </r>
  <r>
    <x v="4"/>
    <s v="Electrical and electronic goods retailing"/>
    <s v="2019-07-01"/>
    <x v="0"/>
    <s v="July     "/>
    <s v="7"/>
    <n v="105.9"/>
    <m/>
  </r>
  <r>
    <x v="4"/>
    <s v="Electrical and electronic goods retailing"/>
    <s v="2019-08-01"/>
    <x v="0"/>
    <s v="August   "/>
    <s v="8"/>
    <n v="103.4"/>
    <m/>
  </r>
  <r>
    <x v="4"/>
    <s v="Electrical and electronic goods retailing"/>
    <s v="2019-09-01"/>
    <x v="0"/>
    <s v="September"/>
    <s v="9"/>
    <n v="98.5"/>
    <m/>
  </r>
  <r>
    <x v="4"/>
    <s v="Electrical and electronic goods retailing"/>
    <s v="2019-10-01"/>
    <x v="0"/>
    <s v="October  "/>
    <s v="10"/>
    <n v="100.8"/>
    <m/>
  </r>
  <r>
    <x v="4"/>
    <s v="Electrical and electronic goods retailing"/>
    <s v="2019-11-01"/>
    <x v="0"/>
    <s v="November "/>
    <s v="11"/>
    <n v="119.2"/>
    <m/>
  </r>
  <r>
    <x v="4"/>
    <s v="Electrical and electronic goods retailing"/>
    <s v="2019-12-01"/>
    <x v="0"/>
    <s v="December "/>
    <s v="12"/>
    <n v="152"/>
    <m/>
  </r>
  <r>
    <x v="4"/>
    <s v="Electrical and electronic goods retailing"/>
    <s v="2020-01-01"/>
    <x v="1"/>
    <s v="January  "/>
    <s v="1"/>
    <n v="106"/>
    <n v="-1.49"/>
  </r>
  <r>
    <x v="4"/>
    <s v="Electrical and electronic goods retailing"/>
    <s v="2020-02-01"/>
    <x v="1"/>
    <s v="February "/>
    <s v="2"/>
    <n v="95"/>
    <n v="3.26"/>
  </r>
  <r>
    <x v="4"/>
    <s v="Electrical and electronic goods retailing"/>
    <s v="2020-03-01"/>
    <x v="1"/>
    <s v="March    "/>
    <s v="3"/>
    <n v="107.6"/>
    <n v="8.91"/>
  </r>
  <r>
    <x v="4"/>
    <s v="Electrical and electronic goods retailing"/>
    <s v="2020-04-01"/>
    <x v="1"/>
    <s v="April    "/>
    <s v="4"/>
    <n v="102.2"/>
    <n v="11.57"/>
  </r>
  <r>
    <x v="4"/>
    <s v="Electrical and electronic goods retailing"/>
    <s v="2020-05-01"/>
    <x v="1"/>
    <s v="May      "/>
    <s v="5"/>
    <n v="132.9"/>
    <n v="23.51"/>
  </r>
  <r>
    <x v="4"/>
    <s v="Electrical and electronic goods retailing"/>
    <s v="2020-06-01"/>
    <x v="1"/>
    <s v="June     "/>
    <s v="6"/>
    <n v="147"/>
    <n v="27.83"/>
  </r>
  <r>
    <x v="4"/>
    <s v="Electrical and electronic goods retailing"/>
    <s v="2020-07-01"/>
    <x v="1"/>
    <s v="July     "/>
    <s v="7"/>
    <n v="143.4"/>
    <n v="35.409999999999997"/>
  </r>
  <r>
    <x v="4"/>
    <s v="Electrical and electronic goods retailing"/>
    <s v="2020-08-01"/>
    <x v="1"/>
    <s v="August   "/>
    <s v="8"/>
    <n v="138.19999999999999"/>
    <n v="33.659999999999997"/>
  </r>
  <r>
    <x v="4"/>
    <s v="Electrical and electronic goods retailing"/>
    <s v="2020-09-01"/>
    <x v="1"/>
    <s v="September"/>
    <s v="9"/>
    <n v="123.7"/>
    <n v="25.58"/>
  </r>
  <r>
    <x v="4"/>
    <s v="Electrical and electronic goods retailing"/>
    <s v="2020-10-01"/>
    <x v="1"/>
    <s v="October  "/>
    <s v="10"/>
    <n v="130.9"/>
    <n v="29.86"/>
  </r>
  <r>
    <x v="4"/>
    <s v="Electrical and electronic goods retailing"/>
    <s v="2020-11-01"/>
    <x v="1"/>
    <s v="November "/>
    <s v="11"/>
    <n v="153"/>
    <n v="28.36"/>
  </r>
  <r>
    <x v="4"/>
    <s v="Electrical and electronic goods retailing"/>
    <s v="2020-12-01"/>
    <x v="1"/>
    <s v="December "/>
    <s v="12"/>
    <n v="189"/>
    <n v="24.34"/>
  </r>
  <r>
    <x v="4"/>
    <s v="Electrical and electronic goods retailing"/>
    <s v="2021-01-01"/>
    <x v="2"/>
    <s v="January  "/>
    <s v="1"/>
    <n v="128.1"/>
    <n v="20.85"/>
  </r>
  <r>
    <x v="4"/>
    <s v="Electrical and electronic goods retailing"/>
    <s v="2021-02-01"/>
    <x v="2"/>
    <s v="February "/>
    <s v="2"/>
    <n v="118.4"/>
    <n v="24.63"/>
  </r>
  <r>
    <x v="4"/>
    <s v="Electrical and electronic goods retailing"/>
    <s v="2021-03-01"/>
    <x v="2"/>
    <s v="March    "/>
    <s v="3"/>
    <n v="119.4"/>
    <n v="10.97"/>
  </r>
  <r>
    <x v="4"/>
    <s v="Electrical and electronic goods retailing"/>
    <s v="2021-04-01"/>
    <x v="2"/>
    <s v="April    "/>
    <s v="4"/>
    <n v="111"/>
    <n v="8.61"/>
  </r>
  <r>
    <x v="4"/>
    <s v="Electrical and electronic goods retailing"/>
    <s v="2021-05-01"/>
    <x v="2"/>
    <s v="May      "/>
    <s v="5"/>
    <n v="124.2"/>
    <n v="-6.55"/>
  </r>
  <r>
    <x v="4"/>
    <s v="Electrical and electronic goods retailing"/>
    <s v="2021-06-01"/>
    <x v="2"/>
    <s v="June     "/>
    <s v="6"/>
    <n v="142"/>
    <n v="-3.4"/>
  </r>
  <r>
    <x v="4"/>
    <s v="Electrical and electronic goods retailing"/>
    <s v="2021-07-01"/>
    <x v="2"/>
    <s v="July     "/>
    <s v="7"/>
    <n v="128.30000000000001"/>
    <n v="-10.53"/>
  </r>
  <r>
    <x v="4"/>
    <s v="Electrical and electronic goods retailing"/>
    <s v="2021-08-01"/>
    <x v="2"/>
    <s v="August   "/>
    <s v="8"/>
    <n v="142.1"/>
    <n v="2.82"/>
  </r>
  <r>
    <x v="4"/>
    <s v="Electrical and electronic goods retailing"/>
    <s v="2021-09-01"/>
    <x v="2"/>
    <s v="September"/>
    <s v="9"/>
    <n v="141.5"/>
    <n v="14.39"/>
  </r>
  <r>
    <x v="4"/>
    <s v="Electrical and electronic goods retailing"/>
    <s v="2021-10-01"/>
    <x v="2"/>
    <s v="October  "/>
    <s v="10"/>
    <n v="142.19999999999999"/>
    <n v="8.6300000000000008"/>
  </r>
  <r>
    <x v="4"/>
    <s v="Electrical and electronic goods retailing"/>
    <s v="2021-11-01"/>
    <x v="2"/>
    <s v="November "/>
    <s v="11"/>
    <n v="168.2"/>
    <n v="9.93"/>
  </r>
  <r>
    <x v="4"/>
    <s v="Electrical and electronic goods retailing"/>
    <s v="2021-12-01"/>
    <x v="2"/>
    <s v="December "/>
    <s v="12"/>
    <n v="182.8"/>
    <n v="-3.28"/>
  </r>
  <r>
    <x v="4"/>
    <s v="Electrical and electronic goods retailing"/>
    <s v="2022-01-01"/>
    <x v="3"/>
    <s v="January  "/>
    <s v="1"/>
    <n v="128.5"/>
    <n v="0.31"/>
  </r>
  <r>
    <x v="4"/>
    <s v="Electrical and electronic goods retailing"/>
    <s v="2022-02-01"/>
    <x v="3"/>
    <s v="February "/>
    <s v="2"/>
    <n v="123.1"/>
    <n v="3.97"/>
  </r>
  <r>
    <x v="4"/>
    <s v="Electrical and electronic goods retailing"/>
    <s v="2022-03-01"/>
    <x v="3"/>
    <s v="March    "/>
    <s v="3"/>
    <n v="126.3"/>
    <n v="5.78"/>
  </r>
  <r>
    <x v="4"/>
    <s v="Electrical and electronic goods retailing"/>
    <s v="2022-04-01"/>
    <x v="3"/>
    <s v="April    "/>
    <s v="4"/>
    <n v="107.4"/>
    <n v="-3.24"/>
  </r>
  <r>
    <x v="4"/>
    <s v="Electrical and electronic goods retailing"/>
    <s v="2022-05-01"/>
    <x v="3"/>
    <s v="May      "/>
    <s v="5"/>
    <n v="119.7"/>
    <n v="-3.62"/>
  </r>
  <r>
    <x v="4"/>
    <s v="Electrical and electronic goods retailing"/>
    <s v="2022-06-01"/>
    <x v="3"/>
    <s v="June     "/>
    <s v="6"/>
    <n v="130.80000000000001"/>
    <n v="-7.89"/>
  </r>
  <r>
    <x v="4"/>
    <s v="Electrical and electronic goods retailing"/>
    <s v="2022-07-01"/>
    <x v="3"/>
    <s v="July     "/>
    <s v="7"/>
    <n v="125.9"/>
    <n v="-1.87"/>
  </r>
  <r>
    <x v="4"/>
    <s v="Electrical and electronic goods retailing"/>
    <s v="2022-08-01"/>
    <x v="3"/>
    <s v="August   "/>
    <s v="8"/>
    <n v="125.1"/>
    <n v="-11.96"/>
  </r>
  <r>
    <x v="4"/>
    <s v="Electrical and electronic goods retailing"/>
    <s v="2022-09-01"/>
    <x v="3"/>
    <s v="September"/>
    <s v="9"/>
    <n v="126.9"/>
    <n v="-10.32"/>
  </r>
  <r>
    <x v="4"/>
    <s v="Electrical and electronic goods retailing"/>
    <s v="2022-10-01"/>
    <x v="3"/>
    <s v="October  "/>
    <s v="10"/>
    <n v="123.4"/>
    <n v="-13.22"/>
  </r>
  <r>
    <x v="4"/>
    <s v="Electrical and electronic goods retailing"/>
    <s v="2022-11-01"/>
    <x v="3"/>
    <s v="November "/>
    <s v="11"/>
    <n v="156.80000000000001"/>
    <n v="-6.78"/>
  </r>
  <r>
    <x v="4"/>
    <s v="Electrical and electronic goods retailing"/>
    <s v="2022-12-01"/>
    <x v="3"/>
    <s v="December "/>
    <s v="12"/>
    <n v="172.3"/>
    <n v="-5.74"/>
  </r>
  <r>
    <x v="4"/>
    <s v="Electrical and electronic goods retailing"/>
    <s v="2023-01-01"/>
    <x v="4"/>
    <s v="January  "/>
    <s v="1"/>
    <n v="126.7"/>
    <n v="-1.4"/>
  </r>
  <r>
    <x v="4"/>
    <s v="Electrical and electronic goods retailing"/>
    <s v="2023-02-01"/>
    <x v="4"/>
    <s v="February "/>
    <s v="2"/>
    <n v="116.4"/>
    <n v="-5.44"/>
  </r>
  <r>
    <x v="4"/>
    <s v="Electrical and electronic goods retailing"/>
    <s v="2023-03-01"/>
    <x v="4"/>
    <s v="March    "/>
    <s v="3"/>
    <n v="117.9"/>
    <n v="-6.65"/>
  </r>
  <r>
    <x v="4"/>
    <s v="Electrical and electronic goods retailing"/>
    <s v="2023-04-01"/>
    <x v="4"/>
    <s v="April    "/>
    <s v="4"/>
    <n v="106.3"/>
    <n v="-1.02"/>
  </r>
  <r>
    <x v="4"/>
    <s v="Electrical and electronic goods retailing"/>
    <s v="2023-05-01"/>
    <x v="4"/>
    <s v="May      "/>
    <s v="5"/>
    <n v="122.2"/>
    <n v="2.09"/>
  </r>
  <r>
    <x v="4"/>
    <s v="Electrical and electronic goods retailing"/>
    <s v="2023-06-01"/>
    <x v="4"/>
    <s v="June     "/>
    <s v="6"/>
    <n v="142.1"/>
    <n v="8.64"/>
  </r>
  <r>
    <x v="4"/>
    <s v="Electrical and electronic goods retailing"/>
    <s v="2023-07-01"/>
    <x v="4"/>
    <s v="July     "/>
    <s v="7"/>
    <n v="125.9"/>
    <n v="0"/>
  </r>
  <r>
    <x v="4"/>
    <s v="Electrical and electronic goods retailing"/>
    <s v="2023-08-01"/>
    <x v="4"/>
    <s v="August   "/>
    <s v="8"/>
    <n v="122.8"/>
    <n v="-1.84"/>
  </r>
  <r>
    <x v="4"/>
    <s v="Electrical and electronic goods retailing"/>
    <s v="2023-09-01"/>
    <x v="4"/>
    <s v="September"/>
    <s v="9"/>
    <n v="122.4"/>
    <n v="-3.55"/>
  </r>
  <r>
    <x v="4"/>
    <s v="Electrical and electronic goods retailing"/>
    <s v="2023-10-01"/>
    <x v="4"/>
    <s v="October  "/>
    <s v="10"/>
    <n v="125.8"/>
    <n v="1.94"/>
  </r>
  <r>
    <x v="4"/>
    <s v="Electrical and electronic goods retailing"/>
    <s v="2023-11-01"/>
    <x v="4"/>
    <s v="November "/>
    <s v="11"/>
    <n v="170.4"/>
    <n v="8.67"/>
  </r>
  <r>
    <x v="4"/>
    <s v="Electrical and electronic goods retailing"/>
    <s v="2023-12-01"/>
    <x v="4"/>
    <s v="December "/>
    <s v="12"/>
    <n v="173.7"/>
    <n v="0.81"/>
  </r>
  <r>
    <x v="4"/>
    <s v="Electrical and electronic goods retailing"/>
    <s v="2024-01-01"/>
    <x v="5"/>
    <s v="January  "/>
    <s v="1"/>
    <n v="130.9"/>
    <n v="3.31"/>
  </r>
  <r>
    <x v="4"/>
    <s v="Electrical and electronic goods retailing"/>
    <s v="2024-02-01"/>
    <x v="5"/>
    <s v="February "/>
    <s v="2"/>
    <n v="120.8"/>
    <n v="3.78"/>
  </r>
  <r>
    <x v="4"/>
    <s v="Electrical and electronic goods retailing"/>
    <s v="2024-03-01"/>
    <x v="5"/>
    <s v="March    "/>
    <s v="3"/>
    <n v="123.1"/>
    <n v="4.41"/>
  </r>
  <r>
    <x v="4"/>
    <s v="Electrical and electronic goods retailing"/>
    <s v="2024-04-01"/>
    <x v="5"/>
    <s v="April    "/>
    <s v="4"/>
    <n v="113.5"/>
    <n v="6.77"/>
  </r>
  <r>
    <x v="4"/>
    <s v="Electrical and electronic goods retailing"/>
    <s v="2024-05-01"/>
    <x v="5"/>
    <s v="May      "/>
    <s v="5"/>
    <n v="128.9"/>
    <n v="5.48"/>
  </r>
  <r>
    <x v="4"/>
    <s v="Electrical and electronic goods retailing"/>
    <s v="2024-06-01"/>
    <x v="5"/>
    <s v="June     "/>
    <s v="6"/>
    <n v="145.9"/>
    <n v="2.67"/>
  </r>
  <r>
    <x v="4"/>
    <s v="Electrical and electronic goods retailing"/>
    <s v="2024-07-01"/>
    <x v="5"/>
    <s v="July     "/>
    <s v="7"/>
    <n v="130.30000000000001"/>
    <n v="3.49"/>
  </r>
  <r>
    <x v="4"/>
    <s v="Electrical and electronic goods retailing"/>
    <s v="2024-08-01"/>
    <x v="5"/>
    <s v="August   "/>
    <s v="8"/>
    <n v="128.9"/>
    <n v="4.97"/>
  </r>
  <r>
    <x v="4"/>
    <s v="Electrical and electronic goods retailing"/>
    <s v="2024-09-01"/>
    <x v="5"/>
    <s v="September"/>
    <s v="9"/>
    <n v="130.4"/>
    <n v="6.54"/>
  </r>
  <r>
    <x v="4"/>
    <s v="Electrical and electronic goods retailing"/>
    <s v="2024-10-01"/>
    <x v="5"/>
    <s v="October  "/>
    <s v="10"/>
    <n v="138"/>
    <n v="9.6999999999999993"/>
  </r>
  <r>
    <x v="4"/>
    <s v="Electrical and electronic goods retailing"/>
    <s v="2024-11-01"/>
    <x v="5"/>
    <s v="November "/>
    <s v="11"/>
    <n v="173.6"/>
    <n v="1.88"/>
  </r>
  <r>
    <x v="4"/>
    <s v="Electrical and electronic goods retailing"/>
    <s v="2024-12-01"/>
    <x v="5"/>
    <s v="December "/>
    <s v="12"/>
    <n v="191.8"/>
    <n v="10.42"/>
  </r>
  <r>
    <x v="4"/>
    <s v="Electrical and electronic goods retailing"/>
    <s v="2025-01-01"/>
    <x v="6"/>
    <s v="January  "/>
    <s v="1"/>
    <n v="132.19999999999999"/>
    <n v="0.99"/>
  </r>
  <r>
    <x v="4"/>
    <s v="Electrical and electronic goods retailing"/>
    <s v="2025-02-01"/>
    <x v="6"/>
    <s v="February "/>
    <s v="2"/>
    <n v="126.6"/>
    <n v="4.8"/>
  </r>
  <r>
    <x v="4"/>
    <s v="Electrical and electronic goods retailing"/>
    <s v="2025-03-01"/>
    <x v="6"/>
    <s v="March    "/>
    <s v="3"/>
    <n v="128.69999999999999"/>
    <n v="4.55"/>
  </r>
  <r>
    <x v="4"/>
    <s v="Electrical and electronic goods retailing"/>
    <s v="2025-04-01"/>
    <x v="6"/>
    <s v="April    "/>
    <s v="4"/>
    <n v="117.8"/>
    <n v="3.79"/>
  </r>
  <r>
    <x v="4"/>
    <s v="Electrical and electronic goods retailing"/>
    <s v="2025-05-01"/>
    <x v="6"/>
    <s v="May      "/>
    <s v="5"/>
    <n v="129.5"/>
    <n v="0.47"/>
  </r>
  <r>
    <x v="4"/>
    <s v="Electrical and electronic goods retailing"/>
    <s v="2025-06-01"/>
    <x v="6"/>
    <s v="June     "/>
    <s v="6"/>
    <n v="152.4"/>
    <n v="4.46"/>
  </r>
  <r>
    <x v="4"/>
    <s v="Footwear and other personal accessory retailing"/>
    <s v="2019-01-01"/>
    <x v="0"/>
    <s v="January  "/>
    <s v="1"/>
    <n v="40.6"/>
    <m/>
  </r>
  <r>
    <x v="4"/>
    <s v="Footwear and other personal accessory retailing"/>
    <s v="2019-02-01"/>
    <x v="0"/>
    <s v="February "/>
    <s v="2"/>
    <n v="34.799999999999997"/>
    <m/>
  </r>
  <r>
    <x v="4"/>
    <s v="Footwear and other personal accessory retailing"/>
    <s v="2019-03-01"/>
    <x v="0"/>
    <s v="March    "/>
    <s v="3"/>
    <n v="38.799999999999997"/>
    <m/>
  </r>
  <r>
    <x v="4"/>
    <s v="Footwear and other personal accessory retailing"/>
    <s v="2019-04-01"/>
    <x v="0"/>
    <s v="April    "/>
    <s v="4"/>
    <n v="35"/>
    <m/>
  </r>
  <r>
    <x v="4"/>
    <s v="Footwear and other personal accessory retailing"/>
    <s v="2019-05-01"/>
    <x v="0"/>
    <s v="May      "/>
    <s v="5"/>
    <n v="40.5"/>
    <m/>
  </r>
  <r>
    <x v="4"/>
    <s v="Footwear and other personal accessory retailing"/>
    <s v="2019-06-01"/>
    <x v="0"/>
    <s v="June     "/>
    <s v="6"/>
    <n v="37.799999999999997"/>
    <m/>
  </r>
  <r>
    <x v="4"/>
    <s v="Footwear and other personal accessory retailing"/>
    <s v="2019-07-01"/>
    <x v="0"/>
    <s v="July     "/>
    <s v="7"/>
    <n v="38.1"/>
    <m/>
  </r>
  <r>
    <x v="4"/>
    <s v="Footwear and other personal accessory retailing"/>
    <s v="2019-08-01"/>
    <x v="0"/>
    <s v="August   "/>
    <s v="8"/>
    <n v="39.799999999999997"/>
    <m/>
  </r>
  <r>
    <x v="4"/>
    <s v="Footwear and other personal accessory retailing"/>
    <s v="2019-09-01"/>
    <x v="0"/>
    <s v="September"/>
    <s v="9"/>
    <n v="37.5"/>
    <m/>
  </r>
  <r>
    <x v="4"/>
    <s v="Footwear and other personal accessory retailing"/>
    <s v="2019-10-01"/>
    <x v="0"/>
    <s v="October  "/>
    <s v="10"/>
    <n v="40.1"/>
    <m/>
  </r>
  <r>
    <x v="4"/>
    <s v="Footwear and other personal accessory retailing"/>
    <s v="2019-11-01"/>
    <x v="0"/>
    <s v="November "/>
    <s v="11"/>
    <n v="46.2"/>
    <m/>
  </r>
  <r>
    <x v="4"/>
    <s v="Footwear and other personal accessory retailing"/>
    <s v="2019-12-01"/>
    <x v="0"/>
    <s v="December "/>
    <s v="12"/>
    <n v="72.099999999999994"/>
    <m/>
  </r>
  <r>
    <x v="4"/>
    <s v="Footwear and other personal accessory retailing"/>
    <s v="2020-01-01"/>
    <x v="1"/>
    <s v="January  "/>
    <s v="1"/>
    <n v="40.9"/>
    <n v="0.74"/>
  </r>
  <r>
    <x v="4"/>
    <s v="Footwear and other personal accessory retailing"/>
    <s v="2020-02-01"/>
    <x v="1"/>
    <s v="February "/>
    <s v="2"/>
    <n v="37.200000000000003"/>
    <n v="6.9"/>
  </r>
  <r>
    <x v="4"/>
    <s v="Footwear and other personal accessory retailing"/>
    <s v="2020-03-01"/>
    <x v="1"/>
    <s v="March    "/>
    <s v="3"/>
    <n v="34.4"/>
    <n v="-11.34"/>
  </r>
  <r>
    <x v="4"/>
    <s v="Footwear and other personal accessory retailing"/>
    <s v="2020-04-01"/>
    <x v="1"/>
    <s v="April    "/>
    <s v="4"/>
    <n v="17.899999999999999"/>
    <n v="-48.86"/>
  </r>
  <r>
    <x v="4"/>
    <s v="Footwear and other personal accessory retailing"/>
    <s v="2020-05-01"/>
    <x v="1"/>
    <s v="May      "/>
    <s v="5"/>
    <n v="38.6"/>
    <n v="-4.6900000000000004"/>
  </r>
  <r>
    <x v="4"/>
    <s v="Footwear and other personal accessory retailing"/>
    <s v="2020-06-01"/>
    <x v="1"/>
    <s v="June     "/>
    <s v="6"/>
    <n v="39.1"/>
    <n v="3.44"/>
  </r>
  <r>
    <x v="4"/>
    <s v="Footwear and other personal accessory retailing"/>
    <s v="2020-07-01"/>
    <x v="1"/>
    <s v="July     "/>
    <s v="7"/>
    <n v="50.8"/>
    <n v="33.33"/>
  </r>
  <r>
    <x v="4"/>
    <s v="Footwear and other personal accessory retailing"/>
    <s v="2020-08-01"/>
    <x v="1"/>
    <s v="August   "/>
    <s v="8"/>
    <n v="52.7"/>
    <n v="32.409999999999997"/>
  </r>
  <r>
    <x v="4"/>
    <s v="Footwear and other personal accessory retailing"/>
    <s v="2020-09-01"/>
    <x v="1"/>
    <s v="September"/>
    <s v="9"/>
    <n v="47.6"/>
    <n v="26.93"/>
  </r>
  <r>
    <x v="4"/>
    <s v="Footwear and other personal accessory retailing"/>
    <s v="2020-10-01"/>
    <x v="1"/>
    <s v="October  "/>
    <s v="10"/>
    <n v="49.3"/>
    <n v="22.94"/>
  </r>
  <r>
    <x v="4"/>
    <s v="Footwear and other personal accessory retailing"/>
    <s v="2020-11-01"/>
    <x v="1"/>
    <s v="November "/>
    <s v="11"/>
    <n v="50.3"/>
    <n v="8.8699999999999992"/>
  </r>
  <r>
    <x v="4"/>
    <s v="Footwear and other personal accessory retailing"/>
    <s v="2020-12-01"/>
    <x v="1"/>
    <s v="December "/>
    <s v="12"/>
    <n v="85.7"/>
    <n v="18.86"/>
  </r>
  <r>
    <x v="4"/>
    <s v="Footwear and other personal accessory retailing"/>
    <s v="2021-01-01"/>
    <x v="2"/>
    <s v="January  "/>
    <s v="1"/>
    <n v="50.2"/>
    <n v="22.74"/>
  </r>
  <r>
    <x v="4"/>
    <s v="Footwear and other personal accessory retailing"/>
    <s v="2021-02-01"/>
    <x v="2"/>
    <s v="February "/>
    <s v="2"/>
    <n v="46.4"/>
    <n v="24.73"/>
  </r>
  <r>
    <x v="4"/>
    <s v="Footwear and other personal accessory retailing"/>
    <s v="2021-03-01"/>
    <x v="2"/>
    <s v="March    "/>
    <s v="3"/>
    <n v="49.4"/>
    <n v="43.6"/>
  </r>
  <r>
    <x v="4"/>
    <s v="Footwear and other personal accessory retailing"/>
    <s v="2021-04-01"/>
    <x v="2"/>
    <s v="April    "/>
    <s v="4"/>
    <n v="45.3"/>
    <n v="153.07"/>
  </r>
  <r>
    <x v="4"/>
    <s v="Footwear and other personal accessory retailing"/>
    <s v="2021-05-01"/>
    <x v="2"/>
    <s v="May      "/>
    <s v="5"/>
    <n v="48.8"/>
    <n v="26.42"/>
  </r>
  <r>
    <x v="4"/>
    <s v="Footwear and other personal accessory retailing"/>
    <s v="2021-06-01"/>
    <x v="2"/>
    <s v="June     "/>
    <s v="6"/>
    <n v="46.6"/>
    <n v="19.18"/>
  </r>
  <r>
    <x v="4"/>
    <s v="Footwear and other personal accessory retailing"/>
    <s v="2021-07-01"/>
    <x v="2"/>
    <s v="July     "/>
    <s v="7"/>
    <n v="45.3"/>
    <n v="-10.83"/>
  </r>
  <r>
    <x v="4"/>
    <s v="Footwear and other personal accessory retailing"/>
    <s v="2021-08-01"/>
    <x v="2"/>
    <s v="August   "/>
    <s v="8"/>
    <n v="47"/>
    <n v="-10.82"/>
  </r>
  <r>
    <x v="4"/>
    <s v="Footwear and other personal accessory retailing"/>
    <s v="2021-09-01"/>
    <x v="2"/>
    <s v="September"/>
    <s v="9"/>
    <n v="52.2"/>
    <n v="9.66"/>
  </r>
  <r>
    <x v="4"/>
    <s v="Footwear and other personal accessory retailing"/>
    <s v="2021-10-01"/>
    <x v="2"/>
    <s v="October  "/>
    <s v="10"/>
    <n v="52.5"/>
    <n v="6.49"/>
  </r>
  <r>
    <x v="4"/>
    <s v="Footwear and other personal accessory retailing"/>
    <s v="2021-11-01"/>
    <x v="2"/>
    <s v="November "/>
    <s v="11"/>
    <n v="60.4"/>
    <n v="20.079999999999998"/>
  </r>
  <r>
    <x v="4"/>
    <s v="Footwear and other personal accessory retailing"/>
    <s v="2021-12-01"/>
    <x v="2"/>
    <s v="December "/>
    <s v="12"/>
    <n v="79.2"/>
    <n v="-7.58"/>
  </r>
  <r>
    <x v="4"/>
    <s v="Footwear and other personal accessory retailing"/>
    <s v="2022-01-01"/>
    <x v="3"/>
    <s v="January  "/>
    <s v="1"/>
    <n v="44.2"/>
    <n v="-11.95"/>
  </r>
  <r>
    <x v="4"/>
    <s v="Footwear and other personal accessory retailing"/>
    <s v="2022-02-01"/>
    <x v="3"/>
    <s v="February "/>
    <s v="2"/>
    <n v="47.2"/>
    <n v="1.72"/>
  </r>
  <r>
    <x v="4"/>
    <s v="Footwear and other personal accessory retailing"/>
    <s v="2022-03-01"/>
    <x v="3"/>
    <s v="March    "/>
    <s v="3"/>
    <n v="50.9"/>
    <n v="3.04"/>
  </r>
  <r>
    <x v="4"/>
    <s v="Footwear and other personal accessory retailing"/>
    <s v="2022-04-01"/>
    <x v="3"/>
    <s v="April    "/>
    <s v="4"/>
    <n v="51.5"/>
    <n v="13.69"/>
  </r>
  <r>
    <x v="4"/>
    <s v="Footwear and other personal accessory retailing"/>
    <s v="2022-05-01"/>
    <x v="3"/>
    <s v="May      "/>
    <s v="5"/>
    <n v="58.9"/>
    <n v="20.7"/>
  </r>
  <r>
    <x v="4"/>
    <s v="Footwear and other personal accessory retailing"/>
    <s v="2022-06-01"/>
    <x v="3"/>
    <s v="June     "/>
    <s v="6"/>
    <n v="54.1"/>
    <n v="16.09"/>
  </r>
  <r>
    <x v="4"/>
    <s v="Footwear and other personal accessory retailing"/>
    <s v="2022-07-01"/>
    <x v="3"/>
    <s v="July     "/>
    <s v="7"/>
    <n v="56.9"/>
    <n v="25.61"/>
  </r>
  <r>
    <x v="4"/>
    <s v="Footwear and other personal accessory retailing"/>
    <s v="2022-08-01"/>
    <x v="3"/>
    <s v="August   "/>
    <s v="8"/>
    <n v="56.2"/>
    <n v="19.57"/>
  </r>
  <r>
    <x v="4"/>
    <s v="Footwear and other personal accessory retailing"/>
    <s v="2022-09-01"/>
    <x v="3"/>
    <s v="September"/>
    <s v="9"/>
    <n v="62.9"/>
    <n v="20.5"/>
  </r>
  <r>
    <x v="4"/>
    <s v="Footwear and other personal accessory retailing"/>
    <s v="2022-10-01"/>
    <x v="3"/>
    <s v="October  "/>
    <s v="10"/>
    <n v="64.400000000000006"/>
    <n v="22.67"/>
  </r>
  <r>
    <x v="4"/>
    <s v="Footwear and other personal accessory retailing"/>
    <s v="2022-11-01"/>
    <x v="3"/>
    <s v="November "/>
    <s v="11"/>
    <n v="70.400000000000006"/>
    <n v="16.559999999999999"/>
  </r>
  <r>
    <x v="4"/>
    <s v="Footwear and other personal accessory retailing"/>
    <s v="2022-12-01"/>
    <x v="3"/>
    <s v="December "/>
    <s v="12"/>
    <n v="95.3"/>
    <n v="20.329999999999998"/>
  </r>
  <r>
    <x v="4"/>
    <s v="Footwear and other personal accessory retailing"/>
    <s v="2023-01-01"/>
    <x v="4"/>
    <s v="January  "/>
    <s v="1"/>
    <n v="64.5"/>
    <n v="45.93"/>
  </r>
  <r>
    <x v="4"/>
    <s v="Footwear and other personal accessory retailing"/>
    <s v="2023-02-01"/>
    <x v="4"/>
    <s v="February "/>
    <s v="2"/>
    <n v="51.3"/>
    <n v="8.69"/>
  </r>
  <r>
    <x v="4"/>
    <s v="Footwear and other personal accessory retailing"/>
    <s v="2023-03-01"/>
    <x v="4"/>
    <s v="March    "/>
    <s v="3"/>
    <n v="60.1"/>
    <n v="18.07"/>
  </r>
  <r>
    <x v="4"/>
    <s v="Footwear and other personal accessory retailing"/>
    <s v="2023-04-01"/>
    <x v="4"/>
    <s v="April    "/>
    <s v="4"/>
    <n v="58.4"/>
    <n v="13.4"/>
  </r>
  <r>
    <x v="4"/>
    <s v="Footwear and other personal accessory retailing"/>
    <s v="2023-05-01"/>
    <x v="4"/>
    <s v="May      "/>
    <s v="5"/>
    <n v="64.900000000000006"/>
    <n v="10.19"/>
  </r>
  <r>
    <x v="4"/>
    <s v="Footwear and other personal accessory retailing"/>
    <s v="2023-06-01"/>
    <x v="4"/>
    <s v="June     "/>
    <s v="6"/>
    <n v="55.8"/>
    <n v="3.14"/>
  </r>
  <r>
    <x v="4"/>
    <s v="Footwear and other personal accessory retailing"/>
    <s v="2023-07-01"/>
    <x v="4"/>
    <s v="July     "/>
    <s v="7"/>
    <n v="59.2"/>
    <n v="4.04"/>
  </r>
  <r>
    <x v="4"/>
    <s v="Footwear and other personal accessory retailing"/>
    <s v="2023-08-01"/>
    <x v="4"/>
    <s v="August   "/>
    <s v="8"/>
    <n v="57.3"/>
    <n v="1.96"/>
  </r>
  <r>
    <x v="4"/>
    <s v="Footwear and other personal accessory retailing"/>
    <s v="2023-09-01"/>
    <x v="4"/>
    <s v="September"/>
    <s v="9"/>
    <n v="62.3"/>
    <n v="-0.95"/>
  </r>
  <r>
    <x v="4"/>
    <s v="Footwear and other personal accessory retailing"/>
    <s v="2023-10-01"/>
    <x v="4"/>
    <s v="October  "/>
    <s v="10"/>
    <n v="67.099999999999994"/>
    <n v="4.1900000000000004"/>
  </r>
  <r>
    <x v="4"/>
    <s v="Footwear and other personal accessory retailing"/>
    <s v="2023-11-01"/>
    <x v="4"/>
    <s v="November "/>
    <s v="11"/>
    <n v="77.3"/>
    <n v="9.8000000000000007"/>
  </r>
  <r>
    <x v="4"/>
    <s v="Footwear and other personal accessory retailing"/>
    <s v="2023-12-01"/>
    <x v="4"/>
    <s v="December "/>
    <s v="12"/>
    <n v="107.9"/>
    <n v="13.22"/>
  </r>
  <r>
    <x v="4"/>
    <s v="Footwear and other personal accessory retailing"/>
    <s v="2024-01-01"/>
    <x v="5"/>
    <s v="January  "/>
    <s v="1"/>
    <n v="64.900000000000006"/>
    <n v="0.62"/>
  </r>
  <r>
    <x v="4"/>
    <s v="Footwear and other personal accessory retailing"/>
    <s v="2024-02-01"/>
    <x v="5"/>
    <s v="February "/>
    <s v="2"/>
    <n v="54.3"/>
    <n v="5.85"/>
  </r>
  <r>
    <x v="4"/>
    <s v="Footwear and other personal accessory retailing"/>
    <s v="2024-03-01"/>
    <x v="5"/>
    <s v="March    "/>
    <s v="3"/>
    <n v="55.8"/>
    <n v="-7.15"/>
  </r>
  <r>
    <x v="4"/>
    <s v="Footwear and other personal accessory retailing"/>
    <s v="2024-04-01"/>
    <x v="5"/>
    <s v="April    "/>
    <s v="4"/>
    <n v="57.8"/>
    <n v="-1.03"/>
  </r>
  <r>
    <x v="4"/>
    <s v="Footwear and other personal accessory retailing"/>
    <s v="2024-05-01"/>
    <x v="5"/>
    <s v="May      "/>
    <s v="5"/>
    <n v="59.2"/>
    <n v="-8.7799999999999994"/>
  </r>
  <r>
    <x v="4"/>
    <s v="Footwear and other personal accessory retailing"/>
    <s v="2024-06-01"/>
    <x v="5"/>
    <s v="June     "/>
    <s v="6"/>
    <n v="56.5"/>
    <n v="1.25"/>
  </r>
  <r>
    <x v="4"/>
    <s v="Footwear and other personal accessory retailing"/>
    <s v="2024-07-01"/>
    <x v="5"/>
    <s v="July     "/>
    <s v="7"/>
    <n v="58.7"/>
    <n v="-0.84"/>
  </r>
  <r>
    <x v="4"/>
    <s v="Footwear and other personal accessory retailing"/>
    <s v="2024-08-01"/>
    <x v="5"/>
    <s v="August   "/>
    <s v="8"/>
    <n v="57.7"/>
    <n v="0.7"/>
  </r>
  <r>
    <x v="4"/>
    <s v="Footwear and other personal accessory retailing"/>
    <s v="2024-09-01"/>
    <x v="5"/>
    <s v="September"/>
    <s v="9"/>
    <n v="57.1"/>
    <n v="-8.35"/>
  </r>
  <r>
    <x v="4"/>
    <s v="Footwear and other personal accessory retailing"/>
    <s v="2024-10-01"/>
    <x v="5"/>
    <s v="October  "/>
    <s v="10"/>
    <n v="63.7"/>
    <n v="-5.07"/>
  </r>
  <r>
    <x v="4"/>
    <s v="Footwear and other personal accessory retailing"/>
    <s v="2024-11-01"/>
    <x v="5"/>
    <s v="November "/>
    <s v="11"/>
    <n v="74.3"/>
    <n v="-3.88"/>
  </r>
  <r>
    <x v="4"/>
    <s v="Footwear and other personal accessory retailing"/>
    <s v="2024-12-01"/>
    <x v="5"/>
    <s v="December "/>
    <s v="12"/>
    <n v="98.9"/>
    <n v="-8.34"/>
  </r>
  <r>
    <x v="4"/>
    <s v="Footwear and other personal accessory retailing"/>
    <s v="2025-01-01"/>
    <x v="6"/>
    <s v="January  "/>
    <s v="1"/>
    <n v="62.8"/>
    <n v="-3.24"/>
  </r>
  <r>
    <x v="4"/>
    <s v="Footwear and other personal accessory retailing"/>
    <s v="2025-02-01"/>
    <x v="6"/>
    <s v="February "/>
    <s v="2"/>
    <n v="52.6"/>
    <n v="-3.13"/>
  </r>
  <r>
    <x v="4"/>
    <s v="Footwear and other personal accessory retailing"/>
    <s v="2025-03-01"/>
    <x v="6"/>
    <s v="March    "/>
    <s v="3"/>
    <n v="57.8"/>
    <n v="3.58"/>
  </r>
  <r>
    <x v="4"/>
    <s v="Footwear and other personal accessory retailing"/>
    <s v="2025-04-01"/>
    <x v="6"/>
    <s v="April    "/>
    <s v="4"/>
    <n v="60.7"/>
    <n v="5.0199999999999996"/>
  </r>
  <r>
    <x v="4"/>
    <s v="Footwear and other personal accessory retailing"/>
    <s v="2025-05-01"/>
    <x v="6"/>
    <s v="May      "/>
    <s v="5"/>
    <n v="64.099999999999994"/>
    <n v="8.2799999999999994"/>
  </r>
  <r>
    <x v="4"/>
    <s v="Footwear and other personal accessory retailing"/>
    <s v="2025-06-01"/>
    <x v="6"/>
    <s v="June     "/>
    <s v="6"/>
    <n v="56.4"/>
    <n v="-0.18"/>
  </r>
  <r>
    <x v="4"/>
    <s v="Furniture, floor coverings, houseware and textile goods retailing"/>
    <s v="2019-01-01"/>
    <x v="0"/>
    <s v="January  "/>
    <s v="1"/>
    <n v="71"/>
    <m/>
  </r>
  <r>
    <x v="4"/>
    <s v="Furniture, floor coverings, houseware and textile goods retailing"/>
    <s v="2019-02-01"/>
    <x v="0"/>
    <s v="February "/>
    <s v="2"/>
    <n v="62.3"/>
    <m/>
  </r>
  <r>
    <x v="4"/>
    <s v="Furniture, floor coverings, houseware and textile goods retailing"/>
    <s v="2019-03-01"/>
    <x v="0"/>
    <s v="March    "/>
    <s v="3"/>
    <n v="68"/>
    <m/>
  </r>
  <r>
    <x v="4"/>
    <s v="Furniture, floor coverings, houseware and textile goods retailing"/>
    <s v="2019-04-01"/>
    <x v="0"/>
    <s v="April    "/>
    <s v="4"/>
    <n v="63"/>
    <m/>
  </r>
  <r>
    <x v="4"/>
    <s v="Furniture, floor coverings, houseware and textile goods retailing"/>
    <s v="2019-05-01"/>
    <x v="0"/>
    <s v="May      "/>
    <s v="5"/>
    <n v="73.599999999999994"/>
    <m/>
  </r>
  <r>
    <x v="4"/>
    <s v="Furniture, floor coverings, houseware and textile goods retailing"/>
    <s v="2019-06-01"/>
    <x v="0"/>
    <s v="June     "/>
    <s v="6"/>
    <n v="75.099999999999994"/>
    <m/>
  </r>
  <r>
    <x v="4"/>
    <s v="Furniture, floor coverings, houseware and textile goods retailing"/>
    <s v="2019-07-01"/>
    <x v="0"/>
    <s v="July     "/>
    <s v="7"/>
    <n v="77.7"/>
    <m/>
  </r>
  <r>
    <x v="4"/>
    <s v="Furniture, floor coverings, houseware and textile goods retailing"/>
    <s v="2019-08-01"/>
    <x v="0"/>
    <s v="August   "/>
    <s v="8"/>
    <n v="70.099999999999994"/>
    <m/>
  </r>
  <r>
    <x v="4"/>
    <s v="Furniture, floor coverings, houseware and textile goods retailing"/>
    <s v="2019-09-01"/>
    <x v="0"/>
    <s v="September"/>
    <s v="9"/>
    <n v="67.7"/>
    <m/>
  </r>
  <r>
    <x v="4"/>
    <s v="Furniture, floor coverings, houseware and textile goods retailing"/>
    <s v="2019-10-01"/>
    <x v="0"/>
    <s v="October  "/>
    <s v="10"/>
    <n v="75.5"/>
    <m/>
  </r>
  <r>
    <x v="4"/>
    <s v="Furniture, floor coverings, houseware and textile goods retailing"/>
    <s v="2019-11-01"/>
    <x v="0"/>
    <s v="November "/>
    <s v="11"/>
    <n v="80.900000000000006"/>
    <m/>
  </r>
  <r>
    <x v="4"/>
    <s v="Furniture, floor coverings, houseware and textile goods retailing"/>
    <s v="2019-12-01"/>
    <x v="0"/>
    <s v="December "/>
    <s v="12"/>
    <n v="82.2"/>
    <m/>
  </r>
  <r>
    <x v="4"/>
    <s v="Furniture, floor coverings, houseware and textile goods retailing"/>
    <s v="2020-01-01"/>
    <x v="1"/>
    <s v="January  "/>
    <s v="1"/>
    <n v="70.8"/>
    <n v="-0.28000000000000003"/>
  </r>
  <r>
    <x v="4"/>
    <s v="Furniture, floor coverings, houseware and textile goods retailing"/>
    <s v="2020-02-01"/>
    <x v="1"/>
    <s v="February "/>
    <s v="2"/>
    <n v="63"/>
    <n v="1.1200000000000001"/>
  </r>
  <r>
    <x v="4"/>
    <s v="Furniture, floor coverings, houseware and textile goods retailing"/>
    <s v="2020-03-01"/>
    <x v="1"/>
    <s v="March    "/>
    <s v="3"/>
    <n v="62"/>
    <n v="-8.82"/>
  </r>
  <r>
    <x v="4"/>
    <s v="Furniture, floor coverings, houseware and textile goods retailing"/>
    <s v="2020-04-01"/>
    <x v="1"/>
    <s v="April    "/>
    <s v="4"/>
    <n v="55.6"/>
    <n v="-11.75"/>
  </r>
  <r>
    <x v="4"/>
    <s v="Furniture, floor coverings, houseware and textile goods retailing"/>
    <s v="2020-05-01"/>
    <x v="1"/>
    <s v="May      "/>
    <s v="5"/>
    <n v="91.9"/>
    <n v="24.86"/>
  </r>
  <r>
    <x v="4"/>
    <s v="Furniture, floor coverings, houseware and textile goods retailing"/>
    <s v="2020-06-01"/>
    <x v="1"/>
    <s v="June     "/>
    <s v="6"/>
    <n v="96.7"/>
    <n v="28.76"/>
  </r>
  <r>
    <x v="4"/>
    <s v="Furniture, floor coverings, houseware and textile goods retailing"/>
    <s v="2020-07-01"/>
    <x v="1"/>
    <s v="July     "/>
    <s v="7"/>
    <n v="92.9"/>
    <n v="19.559999999999999"/>
  </r>
  <r>
    <x v="4"/>
    <s v="Furniture, floor coverings, houseware and textile goods retailing"/>
    <s v="2020-08-01"/>
    <x v="1"/>
    <s v="August   "/>
    <s v="8"/>
    <n v="89.9"/>
    <n v="28.25"/>
  </r>
  <r>
    <x v="4"/>
    <s v="Furniture, floor coverings, houseware and textile goods retailing"/>
    <s v="2020-09-01"/>
    <x v="1"/>
    <s v="September"/>
    <s v="9"/>
    <n v="82.7"/>
    <n v="22.16"/>
  </r>
  <r>
    <x v="4"/>
    <s v="Furniture, floor coverings, houseware and textile goods retailing"/>
    <s v="2020-10-01"/>
    <x v="1"/>
    <s v="October  "/>
    <s v="10"/>
    <n v="99"/>
    <n v="31.13"/>
  </r>
  <r>
    <x v="4"/>
    <s v="Furniture, floor coverings, houseware and textile goods retailing"/>
    <s v="2020-11-01"/>
    <x v="1"/>
    <s v="November "/>
    <s v="11"/>
    <n v="91.3"/>
    <n v="12.86"/>
  </r>
  <r>
    <x v="4"/>
    <s v="Furniture, floor coverings, houseware and textile goods retailing"/>
    <s v="2020-12-01"/>
    <x v="1"/>
    <s v="December "/>
    <s v="12"/>
    <n v="104.7"/>
    <n v="27.37"/>
  </r>
  <r>
    <x v="4"/>
    <s v="Furniture, floor coverings, houseware and textile goods retailing"/>
    <s v="2021-01-01"/>
    <x v="2"/>
    <s v="January  "/>
    <s v="1"/>
    <n v="84.5"/>
    <n v="19.350000000000001"/>
  </r>
  <r>
    <x v="4"/>
    <s v="Furniture, floor coverings, houseware and textile goods retailing"/>
    <s v="2021-02-01"/>
    <x v="2"/>
    <s v="February "/>
    <s v="2"/>
    <n v="79"/>
    <n v="25.4"/>
  </r>
  <r>
    <x v="4"/>
    <s v="Furniture, floor coverings, houseware and textile goods retailing"/>
    <s v="2021-03-01"/>
    <x v="2"/>
    <s v="March    "/>
    <s v="3"/>
    <n v="82.3"/>
    <n v="32.74"/>
  </r>
  <r>
    <x v="4"/>
    <s v="Furniture, floor coverings, houseware and textile goods retailing"/>
    <s v="2021-04-01"/>
    <x v="2"/>
    <s v="April    "/>
    <s v="4"/>
    <n v="80.400000000000006"/>
    <n v="44.6"/>
  </r>
  <r>
    <x v="4"/>
    <s v="Furniture, floor coverings, houseware and textile goods retailing"/>
    <s v="2021-05-01"/>
    <x v="2"/>
    <s v="May      "/>
    <s v="5"/>
    <n v="85.3"/>
    <n v="-7.18"/>
  </r>
  <r>
    <x v="4"/>
    <s v="Furniture, floor coverings, houseware and textile goods retailing"/>
    <s v="2021-06-01"/>
    <x v="2"/>
    <s v="June     "/>
    <s v="6"/>
    <n v="95"/>
    <n v="-1.76"/>
  </r>
  <r>
    <x v="4"/>
    <s v="Furniture, floor coverings, houseware and textile goods retailing"/>
    <s v="2021-07-01"/>
    <x v="2"/>
    <s v="July     "/>
    <s v="7"/>
    <n v="82.1"/>
    <n v="-11.63"/>
  </r>
  <r>
    <x v="4"/>
    <s v="Furniture, floor coverings, houseware and textile goods retailing"/>
    <s v="2021-08-01"/>
    <x v="2"/>
    <s v="August   "/>
    <s v="8"/>
    <n v="92.9"/>
    <n v="3.34"/>
  </r>
  <r>
    <x v="4"/>
    <s v="Furniture, floor coverings, houseware and textile goods retailing"/>
    <s v="2021-09-01"/>
    <x v="2"/>
    <s v="September"/>
    <s v="9"/>
    <n v="93.4"/>
    <n v="12.94"/>
  </r>
  <r>
    <x v="4"/>
    <s v="Furniture, floor coverings, houseware and textile goods retailing"/>
    <s v="2021-10-01"/>
    <x v="2"/>
    <s v="October  "/>
    <s v="10"/>
    <n v="98.7"/>
    <n v="-0.3"/>
  </r>
  <r>
    <x v="4"/>
    <s v="Furniture, floor coverings, houseware and textile goods retailing"/>
    <s v="2021-11-01"/>
    <x v="2"/>
    <s v="November "/>
    <s v="11"/>
    <n v="112.3"/>
    <n v="23"/>
  </r>
  <r>
    <x v="4"/>
    <s v="Furniture, floor coverings, houseware and textile goods retailing"/>
    <s v="2021-12-01"/>
    <x v="2"/>
    <s v="December "/>
    <s v="12"/>
    <n v="116.6"/>
    <n v="11.37"/>
  </r>
  <r>
    <x v="4"/>
    <s v="Furniture, floor coverings, houseware and textile goods retailing"/>
    <s v="2022-01-01"/>
    <x v="3"/>
    <s v="January  "/>
    <s v="1"/>
    <n v="98.1"/>
    <n v="16.09"/>
  </r>
  <r>
    <x v="4"/>
    <s v="Furniture, floor coverings, houseware and textile goods retailing"/>
    <s v="2022-02-01"/>
    <x v="3"/>
    <s v="February "/>
    <s v="2"/>
    <n v="96.7"/>
    <n v="22.41"/>
  </r>
  <r>
    <x v="4"/>
    <s v="Furniture, floor coverings, houseware and textile goods retailing"/>
    <s v="2022-03-01"/>
    <x v="3"/>
    <s v="March    "/>
    <s v="3"/>
    <n v="100.3"/>
    <n v="21.87"/>
  </r>
  <r>
    <x v="4"/>
    <s v="Furniture, floor coverings, houseware and textile goods retailing"/>
    <s v="2022-04-01"/>
    <x v="3"/>
    <s v="April    "/>
    <s v="4"/>
    <n v="96"/>
    <n v="19.399999999999999"/>
  </r>
  <r>
    <x v="4"/>
    <s v="Furniture, floor coverings, houseware and textile goods retailing"/>
    <s v="2022-05-01"/>
    <x v="3"/>
    <s v="May      "/>
    <s v="5"/>
    <n v="105.4"/>
    <n v="23.56"/>
  </r>
  <r>
    <x v="4"/>
    <s v="Furniture, floor coverings, houseware and textile goods retailing"/>
    <s v="2022-06-01"/>
    <x v="3"/>
    <s v="June     "/>
    <s v="6"/>
    <n v="109.9"/>
    <n v="15.68"/>
  </r>
  <r>
    <x v="4"/>
    <s v="Furniture, floor coverings, houseware and textile goods retailing"/>
    <s v="2022-07-01"/>
    <x v="3"/>
    <s v="July     "/>
    <s v="7"/>
    <n v="103.4"/>
    <n v="25.94"/>
  </r>
  <r>
    <x v="4"/>
    <s v="Furniture, floor coverings, houseware and textile goods retailing"/>
    <s v="2022-08-01"/>
    <x v="3"/>
    <s v="August   "/>
    <s v="8"/>
    <n v="103.6"/>
    <n v="11.52"/>
  </r>
  <r>
    <x v="4"/>
    <s v="Furniture, floor coverings, houseware and textile goods retailing"/>
    <s v="2022-09-01"/>
    <x v="3"/>
    <s v="September"/>
    <s v="9"/>
    <n v="95.5"/>
    <n v="2.25"/>
  </r>
  <r>
    <x v="4"/>
    <s v="Furniture, floor coverings, houseware and textile goods retailing"/>
    <s v="2022-10-01"/>
    <x v="3"/>
    <s v="October  "/>
    <s v="10"/>
    <n v="104.4"/>
    <n v="5.78"/>
  </r>
  <r>
    <x v="4"/>
    <s v="Furniture, floor coverings, houseware and textile goods retailing"/>
    <s v="2022-11-01"/>
    <x v="3"/>
    <s v="November "/>
    <s v="11"/>
    <n v="110.9"/>
    <n v="-1.25"/>
  </r>
  <r>
    <x v="4"/>
    <s v="Furniture, floor coverings, houseware and textile goods retailing"/>
    <s v="2022-12-01"/>
    <x v="3"/>
    <s v="December "/>
    <s v="12"/>
    <n v="111.3"/>
    <n v="-4.55"/>
  </r>
  <r>
    <x v="4"/>
    <s v="Furniture, floor coverings, houseware and textile goods retailing"/>
    <s v="2023-01-01"/>
    <x v="4"/>
    <s v="January  "/>
    <s v="1"/>
    <n v="95.3"/>
    <n v="-2.85"/>
  </r>
  <r>
    <x v="4"/>
    <s v="Furniture, floor coverings, houseware and textile goods retailing"/>
    <s v="2023-02-01"/>
    <x v="4"/>
    <s v="February "/>
    <s v="2"/>
    <n v="84"/>
    <n v="-13.13"/>
  </r>
  <r>
    <x v="4"/>
    <s v="Furniture, floor coverings, houseware and textile goods retailing"/>
    <s v="2023-03-01"/>
    <x v="4"/>
    <s v="March    "/>
    <s v="3"/>
    <n v="90.4"/>
    <n v="-9.8699999999999992"/>
  </r>
  <r>
    <x v="4"/>
    <s v="Furniture, floor coverings, houseware and textile goods retailing"/>
    <s v="2023-04-01"/>
    <x v="4"/>
    <s v="April    "/>
    <s v="4"/>
    <n v="83.4"/>
    <n v="-13.13"/>
  </r>
  <r>
    <x v="4"/>
    <s v="Furniture, floor coverings, houseware and textile goods retailing"/>
    <s v="2023-05-01"/>
    <x v="4"/>
    <s v="May      "/>
    <s v="5"/>
    <n v="100.2"/>
    <n v="-4.93"/>
  </r>
  <r>
    <x v="4"/>
    <s v="Furniture, floor coverings, houseware and textile goods retailing"/>
    <s v="2023-06-01"/>
    <x v="4"/>
    <s v="June     "/>
    <s v="6"/>
    <n v="103.6"/>
    <n v="-5.73"/>
  </r>
  <r>
    <x v="4"/>
    <s v="Furniture, floor coverings, houseware and textile goods retailing"/>
    <s v="2023-07-01"/>
    <x v="4"/>
    <s v="July     "/>
    <s v="7"/>
    <n v="98.9"/>
    <n v="-4.3499999999999996"/>
  </r>
  <r>
    <x v="4"/>
    <s v="Furniture, floor coverings, houseware and textile goods retailing"/>
    <s v="2023-08-01"/>
    <x v="4"/>
    <s v="August   "/>
    <s v="8"/>
    <n v="97.9"/>
    <n v="-5.5"/>
  </r>
  <r>
    <x v="4"/>
    <s v="Furniture, floor coverings, houseware and textile goods retailing"/>
    <s v="2023-09-01"/>
    <x v="4"/>
    <s v="September"/>
    <s v="9"/>
    <n v="91"/>
    <n v="-4.71"/>
  </r>
  <r>
    <x v="4"/>
    <s v="Furniture, floor coverings, houseware and textile goods retailing"/>
    <s v="2023-10-01"/>
    <x v="4"/>
    <s v="October  "/>
    <s v="10"/>
    <n v="100.1"/>
    <n v="-4.12"/>
  </r>
  <r>
    <x v="4"/>
    <s v="Furniture, floor coverings, houseware and textile goods retailing"/>
    <s v="2023-11-01"/>
    <x v="4"/>
    <s v="November "/>
    <s v="11"/>
    <n v="113"/>
    <n v="1.89"/>
  </r>
  <r>
    <x v="4"/>
    <s v="Furniture, floor coverings, houseware and textile goods retailing"/>
    <s v="2023-12-01"/>
    <x v="4"/>
    <s v="December "/>
    <s v="12"/>
    <n v="107.8"/>
    <n v="-3.14"/>
  </r>
  <r>
    <x v="4"/>
    <s v="Furniture, floor coverings, houseware and textile goods retailing"/>
    <s v="2024-01-01"/>
    <x v="5"/>
    <s v="January  "/>
    <s v="1"/>
    <n v="91.9"/>
    <n v="-3.57"/>
  </r>
  <r>
    <x v="4"/>
    <s v="Furniture, floor coverings, houseware and textile goods retailing"/>
    <s v="2024-02-01"/>
    <x v="5"/>
    <s v="February "/>
    <s v="2"/>
    <n v="85.8"/>
    <n v="2.14"/>
  </r>
  <r>
    <x v="4"/>
    <s v="Furniture, floor coverings, houseware and textile goods retailing"/>
    <s v="2024-03-01"/>
    <x v="5"/>
    <s v="March    "/>
    <s v="3"/>
    <n v="88.5"/>
    <n v="-2.1"/>
  </r>
  <r>
    <x v="4"/>
    <s v="Furniture, floor coverings, houseware and textile goods retailing"/>
    <s v="2024-04-01"/>
    <x v="5"/>
    <s v="April    "/>
    <s v="4"/>
    <n v="93"/>
    <n v="11.51"/>
  </r>
  <r>
    <x v="4"/>
    <s v="Furniture, floor coverings, houseware and textile goods retailing"/>
    <s v="2024-05-01"/>
    <x v="5"/>
    <s v="May      "/>
    <s v="5"/>
    <n v="96.7"/>
    <n v="-3.49"/>
  </r>
  <r>
    <x v="4"/>
    <s v="Furniture, floor coverings, houseware and textile goods retailing"/>
    <s v="2024-06-01"/>
    <x v="5"/>
    <s v="June     "/>
    <s v="6"/>
    <n v="99.4"/>
    <n v="-4.05"/>
  </r>
  <r>
    <x v="4"/>
    <s v="Furniture, floor coverings, houseware and textile goods retailing"/>
    <s v="2024-07-01"/>
    <x v="5"/>
    <s v="July     "/>
    <s v="7"/>
    <n v="99.7"/>
    <n v="0.81"/>
  </r>
  <r>
    <x v="4"/>
    <s v="Furniture, floor coverings, houseware and textile goods retailing"/>
    <s v="2024-08-01"/>
    <x v="5"/>
    <s v="August   "/>
    <s v="8"/>
    <n v="97.7"/>
    <n v="-0.2"/>
  </r>
  <r>
    <x v="4"/>
    <s v="Furniture, floor coverings, houseware and textile goods retailing"/>
    <s v="2024-09-01"/>
    <x v="5"/>
    <s v="September"/>
    <s v="9"/>
    <n v="93.9"/>
    <n v="3.19"/>
  </r>
  <r>
    <x v="4"/>
    <s v="Furniture, floor coverings, houseware and textile goods retailing"/>
    <s v="2024-10-01"/>
    <x v="5"/>
    <s v="October  "/>
    <s v="10"/>
    <n v="100.5"/>
    <n v="0.4"/>
  </r>
  <r>
    <x v="4"/>
    <s v="Furniture, floor coverings, houseware and textile goods retailing"/>
    <s v="2024-11-01"/>
    <x v="5"/>
    <s v="November "/>
    <s v="11"/>
    <n v="120"/>
    <n v="6.19"/>
  </r>
  <r>
    <x v="4"/>
    <s v="Furniture, floor coverings, houseware and textile goods retailing"/>
    <s v="2024-12-01"/>
    <x v="5"/>
    <s v="December "/>
    <s v="12"/>
    <n v="122"/>
    <n v="13.17"/>
  </r>
  <r>
    <x v="4"/>
    <s v="Furniture, floor coverings, houseware and textile goods retailing"/>
    <s v="2025-01-01"/>
    <x v="6"/>
    <s v="January  "/>
    <s v="1"/>
    <n v="107.3"/>
    <n v="16.760000000000002"/>
  </r>
  <r>
    <x v="4"/>
    <s v="Furniture, floor coverings, houseware and textile goods retailing"/>
    <s v="2025-02-01"/>
    <x v="6"/>
    <s v="February "/>
    <s v="2"/>
    <n v="89.8"/>
    <n v="4.66"/>
  </r>
  <r>
    <x v="4"/>
    <s v="Furniture, floor coverings, houseware and textile goods retailing"/>
    <s v="2025-03-01"/>
    <x v="6"/>
    <s v="March    "/>
    <s v="3"/>
    <n v="94.4"/>
    <n v="6.67"/>
  </r>
  <r>
    <x v="4"/>
    <s v="Furniture, floor coverings, houseware and textile goods retailing"/>
    <s v="2025-04-01"/>
    <x v="6"/>
    <s v="April    "/>
    <s v="4"/>
    <n v="84.6"/>
    <n v="-9.0299999999999994"/>
  </r>
  <r>
    <x v="4"/>
    <s v="Furniture, floor coverings, houseware and textile goods retailing"/>
    <s v="2025-05-01"/>
    <x v="6"/>
    <s v="May      "/>
    <s v="5"/>
    <n v="100.1"/>
    <n v="3.52"/>
  </r>
  <r>
    <x v="4"/>
    <s v="Furniture, floor coverings, houseware and textile goods retailing"/>
    <s v="2025-06-01"/>
    <x v="6"/>
    <s v="June     "/>
    <s v="6"/>
    <n v="110.7"/>
    <n v="11.37"/>
  </r>
  <r>
    <x v="4"/>
    <s v="Hardware, building and garden supplies retailing"/>
    <s v="2019-01-01"/>
    <x v="0"/>
    <s v="January  "/>
    <s v="1"/>
    <n v="92.9"/>
    <m/>
  </r>
  <r>
    <x v="4"/>
    <s v="Hardware, building and garden supplies retailing"/>
    <s v="2019-02-01"/>
    <x v="0"/>
    <s v="February "/>
    <s v="2"/>
    <n v="81.099999999999994"/>
    <m/>
  </r>
  <r>
    <x v="4"/>
    <s v="Hardware, building and garden supplies retailing"/>
    <s v="2019-03-01"/>
    <x v="0"/>
    <s v="March    "/>
    <s v="3"/>
    <n v="92.3"/>
    <m/>
  </r>
  <r>
    <x v="4"/>
    <s v="Hardware, building and garden supplies retailing"/>
    <s v="2019-04-01"/>
    <x v="0"/>
    <s v="April    "/>
    <s v="4"/>
    <n v="95.9"/>
    <m/>
  </r>
  <r>
    <x v="4"/>
    <s v="Hardware, building and garden supplies retailing"/>
    <s v="2019-05-01"/>
    <x v="0"/>
    <s v="May      "/>
    <s v="5"/>
    <n v="95.9"/>
    <m/>
  </r>
  <r>
    <x v="4"/>
    <s v="Hardware, building and garden supplies retailing"/>
    <s v="2019-06-01"/>
    <x v="0"/>
    <s v="June     "/>
    <s v="6"/>
    <n v="84.6"/>
    <m/>
  </r>
  <r>
    <x v="4"/>
    <s v="Hardware, building and garden supplies retailing"/>
    <s v="2019-07-01"/>
    <x v="0"/>
    <s v="July     "/>
    <s v="7"/>
    <n v="89.6"/>
    <m/>
  </r>
  <r>
    <x v="4"/>
    <s v="Hardware, building and garden supplies retailing"/>
    <s v="2019-08-01"/>
    <x v="0"/>
    <s v="August   "/>
    <s v="8"/>
    <n v="92.8"/>
    <m/>
  </r>
  <r>
    <x v="4"/>
    <s v="Hardware, building and garden supplies retailing"/>
    <s v="2019-09-01"/>
    <x v="0"/>
    <s v="September"/>
    <s v="9"/>
    <n v="101.4"/>
    <m/>
  </r>
  <r>
    <x v="4"/>
    <s v="Hardware, building and garden supplies retailing"/>
    <s v="2019-10-01"/>
    <x v="0"/>
    <s v="October  "/>
    <s v="10"/>
    <n v="119"/>
    <m/>
  </r>
  <r>
    <x v="4"/>
    <s v="Hardware, building and garden supplies retailing"/>
    <s v="2019-11-01"/>
    <x v="0"/>
    <s v="November "/>
    <s v="11"/>
    <n v="118.3"/>
    <m/>
  </r>
  <r>
    <x v="4"/>
    <s v="Hardware, building and garden supplies retailing"/>
    <s v="2019-12-01"/>
    <x v="0"/>
    <s v="December "/>
    <s v="12"/>
    <n v="115.7"/>
    <m/>
  </r>
  <r>
    <x v="4"/>
    <s v="Hardware, building and garden supplies retailing"/>
    <s v="2020-01-01"/>
    <x v="1"/>
    <s v="January  "/>
    <s v="1"/>
    <n v="95.4"/>
    <n v="2.69"/>
  </r>
  <r>
    <x v="4"/>
    <s v="Hardware, building and garden supplies retailing"/>
    <s v="2020-02-01"/>
    <x v="1"/>
    <s v="February "/>
    <s v="2"/>
    <n v="90.6"/>
    <n v="11.71"/>
  </r>
  <r>
    <x v="4"/>
    <s v="Hardware, building and garden supplies retailing"/>
    <s v="2020-03-01"/>
    <x v="1"/>
    <s v="March    "/>
    <s v="3"/>
    <n v="109.4"/>
    <n v="18.53"/>
  </r>
  <r>
    <x v="4"/>
    <s v="Hardware, building and garden supplies retailing"/>
    <s v="2020-04-01"/>
    <x v="1"/>
    <s v="April    "/>
    <s v="4"/>
    <n v="122.9"/>
    <n v="28.15"/>
  </r>
  <r>
    <x v="4"/>
    <s v="Hardware, building and garden supplies retailing"/>
    <s v="2020-05-01"/>
    <x v="1"/>
    <s v="May      "/>
    <s v="5"/>
    <n v="137.30000000000001"/>
    <n v="43.17"/>
  </r>
  <r>
    <x v="4"/>
    <s v="Hardware, building and garden supplies retailing"/>
    <s v="2020-06-01"/>
    <x v="1"/>
    <s v="June     "/>
    <s v="6"/>
    <n v="119.8"/>
    <n v="41.61"/>
  </r>
  <r>
    <x v="4"/>
    <s v="Hardware, building and garden supplies retailing"/>
    <s v="2020-07-01"/>
    <x v="1"/>
    <s v="July     "/>
    <s v="7"/>
    <n v="117.3"/>
    <n v="30.92"/>
  </r>
  <r>
    <x v="4"/>
    <s v="Hardware, building and garden supplies retailing"/>
    <s v="2020-08-01"/>
    <x v="1"/>
    <s v="August   "/>
    <s v="8"/>
    <n v="110.1"/>
    <n v="18.64"/>
  </r>
  <r>
    <x v="4"/>
    <s v="Hardware, building and garden supplies retailing"/>
    <s v="2020-09-01"/>
    <x v="1"/>
    <s v="September"/>
    <s v="9"/>
    <n v="122.8"/>
    <n v="21.1"/>
  </r>
  <r>
    <x v="4"/>
    <s v="Hardware, building and garden supplies retailing"/>
    <s v="2020-10-01"/>
    <x v="1"/>
    <s v="October  "/>
    <s v="10"/>
    <n v="136.69999999999999"/>
    <n v="14.87"/>
  </r>
  <r>
    <x v="4"/>
    <s v="Hardware, building and garden supplies retailing"/>
    <s v="2020-11-01"/>
    <x v="1"/>
    <s v="November "/>
    <s v="11"/>
    <n v="126.6"/>
    <n v="7.02"/>
  </r>
  <r>
    <x v="4"/>
    <s v="Hardware, building and garden supplies retailing"/>
    <s v="2020-12-01"/>
    <x v="1"/>
    <s v="December "/>
    <s v="12"/>
    <n v="143.4"/>
    <n v="23.94"/>
  </r>
  <r>
    <x v="4"/>
    <s v="Hardware, building and garden supplies retailing"/>
    <s v="2021-01-01"/>
    <x v="2"/>
    <s v="January  "/>
    <s v="1"/>
    <n v="116"/>
    <n v="21.59"/>
  </r>
  <r>
    <x v="4"/>
    <s v="Hardware, building and garden supplies retailing"/>
    <s v="2021-02-01"/>
    <x v="2"/>
    <s v="February "/>
    <s v="2"/>
    <n v="100.8"/>
    <n v="11.26"/>
  </r>
  <r>
    <x v="4"/>
    <s v="Hardware, building and garden supplies retailing"/>
    <s v="2021-03-01"/>
    <x v="2"/>
    <s v="March    "/>
    <s v="3"/>
    <n v="116.7"/>
    <n v="6.67"/>
  </r>
  <r>
    <x v="4"/>
    <s v="Hardware, building and garden supplies retailing"/>
    <s v="2021-04-01"/>
    <x v="2"/>
    <s v="April    "/>
    <s v="4"/>
    <n v="104.7"/>
    <n v="-14.81"/>
  </r>
  <r>
    <x v="4"/>
    <s v="Hardware, building and garden supplies retailing"/>
    <s v="2021-05-01"/>
    <x v="2"/>
    <s v="May      "/>
    <s v="5"/>
    <n v="104.7"/>
    <n v="-23.74"/>
  </r>
  <r>
    <x v="4"/>
    <s v="Hardware, building and garden supplies retailing"/>
    <s v="2021-06-01"/>
    <x v="2"/>
    <s v="June     "/>
    <s v="6"/>
    <n v="100.8"/>
    <n v="-15.86"/>
  </r>
  <r>
    <x v="4"/>
    <s v="Hardware, building and garden supplies retailing"/>
    <s v="2021-07-01"/>
    <x v="2"/>
    <s v="July     "/>
    <s v="7"/>
    <n v="91.6"/>
    <n v="-21.91"/>
  </r>
  <r>
    <x v="4"/>
    <s v="Hardware, building and garden supplies retailing"/>
    <s v="2021-08-01"/>
    <x v="2"/>
    <s v="August   "/>
    <s v="8"/>
    <n v="121"/>
    <n v="9.9"/>
  </r>
  <r>
    <x v="4"/>
    <s v="Hardware, building and garden supplies retailing"/>
    <s v="2021-09-01"/>
    <x v="2"/>
    <s v="September"/>
    <s v="9"/>
    <n v="130.6"/>
    <n v="6.35"/>
  </r>
  <r>
    <x v="4"/>
    <s v="Hardware, building and garden supplies retailing"/>
    <s v="2021-10-01"/>
    <x v="2"/>
    <s v="October  "/>
    <s v="10"/>
    <n v="145.69999999999999"/>
    <n v="6.58"/>
  </r>
  <r>
    <x v="4"/>
    <s v="Hardware, building and garden supplies retailing"/>
    <s v="2021-11-01"/>
    <x v="2"/>
    <s v="November "/>
    <s v="11"/>
    <n v="144.6"/>
    <n v="14.22"/>
  </r>
  <r>
    <x v="4"/>
    <s v="Hardware, building and garden supplies retailing"/>
    <s v="2021-12-01"/>
    <x v="2"/>
    <s v="December "/>
    <s v="12"/>
    <n v="156.19999999999999"/>
    <n v="8.93"/>
  </r>
  <r>
    <x v="4"/>
    <s v="Hardware, building and garden supplies retailing"/>
    <s v="2022-01-01"/>
    <x v="3"/>
    <s v="January  "/>
    <s v="1"/>
    <n v="130.69999999999999"/>
    <n v="12.67"/>
  </r>
  <r>
    <x v="4"/>
    <s v="Hardware, building and garden supplies retailing"/>
    <s v="2022-02-01"/>
    <x v="3"/>
    <s v="February "/>
    <s v="2"/>
    <n v="124"/>
    <n v="23.02"/>
  </r>
  <r>
    <x v="4"/>
    <s v="Hardware, building and garden supplies retailing"/>
    <s v="2022-03-01"/>
    <x v="3"/>
    <s v="March    "/>
    <s v="3"/>
    <n v="135"/>
    <n v="15.68"/>
  </r>
  <r>
    <x v="4"/>
    <s v="Hardware, building and garden supplies retailing"/>
    <s v="2022-04-01"/>
    <x v="3"/>
    <s v="April    "/>
    <s v="4"/>
    <n v="129.80000000000001"/>
    <n v="23.97"/>
  </r>
  <r>
    <x v="4"/>
    <s v="Hardware, building and garden supplies retailing"/>
    <s v="2022-05-01"/>
    <x v="3"/>
    <s v="May      "/>
    <s v="5"/>
    <n v="135.6"/>
    <n v="29.51"/>
  </r>
  <r>
    <x v="4"/>
    <s v="Hardware, building and garden supplies retailing"/>
    <s v="2022-06-01"/>
    <x v="3"/>
    <s v="June     "/>
    <s v="6"/>
    <n v="135.1"/>
    <n v="34.03"/>
  </r>
  <r>
    <x v="4"/>
    <s v="Hardware, building and garden supplies retailing"/>
    <s v="2022-07-01"/>
    <x v="3"/>
    <s v="July     "/>
    <s v="7"/>
    <n v="132.69999999999999"/>
    <n v="44.87"/>
  </r>
  <r>
    <x v="4"/>
    <s v="Hardware, building and garden supplies retailing"/>
    <s v="2022-08-01"/>
    <x v="3"/>
    <s v="August   "/>
    <s v="8"/>
    <n v="142.19999999999999"/>
    <n v="17.52"/>
  </r>
  <r>
    <x v="4"/>
    <s v="Hardware, building and garden supplies retailing"/>
    <s v="2022-09-01"/>
    <x v="3"/>
    <s v="September"/>
    <s v="9"/>
    <n v="148.6"/>
    <n v="13.78"/>
  </r>
  <r>
    <x v="4"/>
    <s v="Hardware, building and garden supplies retailing"/>
    <s v="2022-10-01"/>
    <x v="3"/>
    <s v="October  "/>
    <s v="10"/>
    <n v="163.30000000000001"/>
    <n v="12.08"/>
  </r>
  <r>
    <x v="4"/>
    <s v="Hardware, building and garden supplies retailing"/>
    <s v="2022-11-01"/>
    <x v="3"/>
    <s v="November "/>
    <s v="11"/>
    <n v="159"/>
    <n v="9.9600000000000009"/>
  </r>
  <r>
    <x v="4"/>
    <s v="Hardware, building and garden supplies retailing"/>
    <s v="2022-12-01"/>
    <x v="3"/>
    <s v="December "/>
    <s v="12"/>
    <n v="172.9"/>
    <n v="10.69"/>
  </r>
  <r>
    <x v="4"/>
    <s v="Hardware, building and garden supplies retailing"/>
    <s v="2023-01-01"/>
    <x v="4"/>
    <s v="January  "/>
    <s v="1"/>
    <n v="144"/>
    <n v="10.18"/>
  </r>
  <r>
    <x v="4"/>
    <s v="Hardware, building and garden supplies retailing"/>
    <s v="2023-02-01"/>
    <x v="4"/>
    <s v="February "/>
    <s v="2"/>
    <n v="126.9"/>
    <n v="2.34"/>
  </r>
  <r>
    <x v="4"/>
    <s v="Hardware, building and garden supplies retailing"/>
    <s v="2023-03-01"/>
    <x v="4"/>
    <s v="March    "/>
    <s v="3"/>
    <n v="140.19999999999999"/>
    <n v="3.85"/>
  </r>
  <r>
    <x v="4"/>
    <s v="Hardware, building and garden supplies retailing"/>
    <s v="2023-04-01"/>
    <x v="4"/>
    <s v="April    "/>
    <s v="4"/>
    <n v="138.6"/>
    <n v="6.78"/>
  </r>
  <r>
    <x v="4"/>
    <s v="Hardware, building and garden supplies retailing"/>
    <s v="2023-05-01"/>
    <x v="4"/>
    <s v="May      "/>
    <s v="5"/>
    <n v="137.5"/>
    <n v="1.4"/>
  </r>
  <r>
    <x v="4"/>
    <s v="Hardware, building and garden supplies retailing"/>
    <s v="2023-06-01"/>
    <x v="4"/>
    <s v="June     "/>
    <s v="6"/>
    <n v="143.19999999999999"/>
    <n v="6"/>
  </r>
  <r>
    <x v="4"/>
    <s v="Hardware, building and garden supplies retailing"/>
    <s v="2023-07-01"/>
    <x v="4"/>
    <s v="July     "/>
    <s v="7"/>
    <n v="133.5"/>
    <n v="0.6"/>
  </r>
  <r>
    <x v="4"/>
    <s v="Hardware, building and garden supplies retailing"/>
    <s v="2023-08-01"/>
    <x v="4"/>
    <s v="August   "/>
    <s v="8"/>
    <n v="142.80000000000001"/>
    <n v="0.42"/>
  </r>
  <r>
    <x v="4"/>
    <s v="Hardware, building and garden supplies retailing"/>
    <s v="2023-09-01"/>
    <x v="4"/>
    <s v="September"/>
    <s v="9"/>
    <n v="162.19999999999999"/>
    <n v="9.15"/>
  </r>
  <r>
    <x v="4"/>
    <s v="Hardware, building and garden supplies retailing"/>
    <s v="2023-10-01"/>
    <x v="4"/>
    <s v="October  "/>
    <s v="10"/>
    <n v="169.7"/>
    <n v="3.92"/>
  </r>
  <r>
    <x v="4"/>
    <s v="Hardware, building and garden supplies retailing"/>
    <s v="2023-11-01"/>
    <x v="4"/>
    <s v="November "/>
    <s v="11"/>
    <n v="161.6"/>
    <n v="1.64"/>
  </r>
  <r>
    <x v="4"/>
    <s v="Hardware, building and garden supplies retailing"/>
    <s v="2023-12-01"/>
    <x v="4"/>
    <s v="December "/>
    <s v="12"/>
    <n v="165.7"/>
    <n v="-4.16"/>
  </r>
  <r>
    <x v="4"/>
    <s v="Hardware, building and garden supplies retailing"/>
    <s v="2024-01-01"/>
    <x v="5"/>
    <s v="January  "/>
    <s v="1"/>
    <n v="141.19999999999999"/>
    <n v="-1.94"/>
  </r>
  <r>
    <x v="4"/>
    <s v="Hardware, building and garden supplies retailing"/>
    <s v="2024-02-01"/>
    <x v="5"/>
    <s v="February "/>
    <s v="2"/>
    <n v="134.9"/>
    <n v="6.3"/>
  </r>
  <r>
    <x v="4"/>
    <s v="Hardware, building and garden supplies retailing"/>
    <s v="2024-03-01"/>
    <x v="5"/>
    <s v="March    "/>
    <s v="3"/>
    <n v="136.30000000000001"/>
    <n v="-2.78"/>
  </r>
  <r>
    <x v="4"/>
    <s v="Hardware, building and garden supplies retailing"/>
    <s v="2024-04-01"/>
    <x v="5"/>
    <s v="April    "/>
    <s v="4"/>
    <n v="141.1"/>
    <n v="1.8"/>
  </r>
  <r>
    <x v="4"/>
    <s v="Hardware, building and garden supplies retailing"/>
    <s v="2024-05-01"/>
    <x v="5"/>
    <s v="May      "/>
    <s v="5"/>
    <n v="142.6"/>
    <n v="3.71"/>
  </r>
  <r>
    <x v="4"/>
    <s v="Hardware, building and garden supplies retailing"/>
    <s v="2024-06-01"/>
    <x v="5"/>
    <s v="June     "/>
    <s v="6"/>
    <n v="133.69999999999999"/>
    <n v="-6.63"/>
  </r>
  <r>
    <x v="4"/>
    <s v="Hardware, building and garden supplies retailing"/>
    <s v="2024-07-01"/>
    <x v="5"/>
    <s v="July     "/>
    <s v="7"/>
    <n v="133.69999999999999"/>
    <n v="0.15"/>
  </r>
  <r>
    <x v="4"/>
    <s v="Hardware, building and garden supplies retailing"/>
    <s v="2024-08-01"/>
    <x v="5"/>
    <s v="August   "/>
    <s v="8"/>
    <n v="139.1"/>
    <n v="-2.59"/>
  </r>
  <r>
    <x v="4"/>
    <s v="Hardware, building and garden supplies retailing"/>
    <s v="2024-09-01"/>
    <x v="5"/>
    <s v="September"/>
    <s v="9"/>
    <n v="146.5"/>
    <n v="-9.68"/>
  </r>
  <r>
    <x v="4"/>
    <s v="Hardware, building and garden supplies retailing"/>
    <s v="2024-10-01"/>
    <x v="5"/>
    <s v="October  "/>
    <s v="10"/>
    <n v="168.8"/>
    <n v="-0.53"/>
  </r>
  <r>
    <x v="4"/>
    <s v="Hardware, building and garden supplies retailing"/>
    <s v="2024-11-01"/>
    <x v="5"/>
    <s v="November "/>
    <s v="11"/>
    <n v="160.6"/>
    <n v="-0.62"/>
  </r>
  <r>
    <x v="4"/>
    <s v="Hardware, building and garden supplies retailing"/>
    <s v="2024-12-01"/>
    <x v="5"/>
    <s v="December "/>
    <s v="12"/>
    <n v="166.5"/>
    <n v="0.48"/>
  </r>
  <r>
    <x v="4"/>
    <s v="Hardware, building and garden supplies retailing"/>
    <s v="2025-01-01"/>
    <x v="6"/>
    <s v="January  "/>
    <s v="1"/>
    <n v="142.80000000000001"/>
    <n v="1.1299999999999999"/>
  </r>
  <r>
    <x v="4"/>
    <s v="Hardware, building and garden supplies retailing"/>
    <s v="2025-02-01"/>
    <x v="6"/>
    <s v="February "/>
    <s v="2"/>
    <n v="125.2"/>
    <n v="-7.19"/>
  </r>
  <r>
    <x v="4"/>
    <s v="Hardware, building and garden supplies retailing"/>
    <s v="2025-03-01"/>
    <x v="6"/>
    <s v="March    "/>
    <s v="3"/>
    <n v="138.1"/>
    <n v="1.32"/>
  </r>
  <r>
    <x v="4"/>
    <s v="Hardware, building and garden supplies retailing"/>
    <s v="2025-04-01"/>
    <x v="6"/>
    <s v="April    "/>
    <s v="4"/>
    <n v="140.69999999999999"/>
    <n v="-0.28000000000000003"/>
  </r>
  <r>
    <x v="4"/>
    <s v="Hardware, building and garden supplies retailing"/>
    <s v="2025-05-01"/>
    <x v="6"/>
    <s v="May      "/>
    <s v="5"/>
    <n v="144.1"/>
    <n v="1.05"/>
  </r>
  <r>
    <x v="4"/>
    <s v="Hardware, building and garden supplies retailing"/>
    <s v="2025-06-01"/>
    <x v="6"/>
    <s v="June     "/>
    <s v="6"/>
    <n v="135.80000000000001"/>
    <n v="1.57"/>
  </r>
  <r>
    <x v="4"/>
    <s v="Liquor retailing"/>
    <s v="2024-01-01"/>
    <x v="5"/>
    <s v="January  "/>
    <s v="1"/>
    <n v="81.400000000000006"/>
    <m/>
  </r>
  <r>
    <x v="4"/>
    <s v="Liquor retailing"/>
    <s v="2024-02-01"/>
    <x v="5"/>
    <s v="February "/>
    <s v="2"/>
    <n v="78.5"/>
    <m/>
  </r>
  <r>
    <x v="4"/>
    <s v="Liquor retailing"/>
    <s v="2024-03-01"/>
    <x v="5"/>
    <s v="March    "/>
    <s v="3"/>
    <n v="93.8"/>
    <m/>
  </r>
  <r>
    <x v="4"/>
    <s v="Liquor retailing"/>
    <s v="2024-04-01"/>
    <x v="5"/>
    <s v="April    "/>
    <s v="4"/>
    <n v="74.900000000000006"/>
    <m/>
  </r>
  <r>
    <x v="4"/>
    <s v="Liquor retailing"/>
    <s v="2024-05-01"/>
    <x v="5"/>
    <s v="May      "/>
    <s v="5"/>
    <n v="78.099999999999994"/>
    <m/>
  </r>
  <r>
    <x v="4"/>
    <s v="Liquor retailing"/>
    <s v="2024-06-01"/>
    <x v="5"/>
    <s v="June     "/>
    <s v="6"/>
    <n v="74.3"/>
    <m/>
  </r>
  <r>
    <x v="4"/>
    <s v="Newspaper and book retailing"/>
    <s v="2019-01-01"/>
    <x v="0"/>
    <s v="January  "/>
    <s v="1"/>
    <n v="9.8000000000000007"/>
    <m/>
  </r>
  <r>
    <x v="4"/>
    <s v="Newspaper and book retailing"/>
    <s v="2019-02-01"/>
    <x v="0"/>
    <s v="February "/>
    <s v="2"/>
    <n v="8.5"/>
    <m/>
  </r>
  <r>
    <x v="4"/>
    <s v="Newspaper and book retailing"/>
    <s v="2019-03-01"/>
    <x v="0"/>
    <s v="March    "/>
    <s v="3"/>
    <n v="10.199999999999999"/>
    <m/>
  </r>
  <r>
    <x v="4"/>
    <s v="Newspaper and book retailing"/>
    <s v="2019-04-01"/>
    <x v="0"/>
    <s v="April    "/>
    <s v="4"/>
    <n v="8.1999999999999993"/>
    <m/>
  </r>
  <r>
    <x v="4"/>
    <s v="Newspaper and book retailing"/>
    <s v="2019-05-01"/>
    <x v="0"/>
    <s v="May      "/>
    <s v="5"/>
    <n v="8.5"/>
    <m/>
  </r>
  <r>
    <x v="4"/>
    <s v="Newspaper and book retailing"/>
    <s v="2019-06-01"/>
    <x v="0"/>
    <s v="June     "/>
    <s v="6"/>
    <n v="7.1"/>
    <m/>
  </r>
  <r>
    <x v="4"/>
    <s v="Newspaper and book retailing"/>
    <s v="2019-07-01"/>
    <x v="0"/>
    <s v="July     "/>
    <s v="7"/>
    <n v="8.6"/>
    <m/>
  </r>
  <r>
    <x v="4"/>
    <s v="Newspaper and book retailing"/>
    <s v="2019-08-01"/>
    <x v="0"/>
    <s v="August   "/>
    <s v="8"/>
    <n v="8.6999999999999993"/>
    <m/>
  </r>
  <r>
    <x v="4"/>
    <s v="Newspaper and book retailing"/>
    <s v="2019-09-01"/>
    <x v="0"/>
    <s v="September"/>
    <s v="9"/>
    <n v="7.7"/>
    <m/>
  </r>
  <r>
    <x v="4"/>
    <s v="Newspaper and book retailing"/>
    <s v="2019-10-01"/>
    <x v="0"/>
    <s v="October  "/>
    <s v="10"/>
    <n v="7.1"/>
    <m/>
  </r>
  <r>
    <x v="4"/>
    <s v="Newspaper and book retailing"/>
    <s v="2019-11-01"/>
    <x v="0"/>
    <s v="November "/>
    <s v="11"/>
    <n v="8.8000000000000007"/>
    <m/>
  </r>
  <r>
    <x v="4"/>
    <s v="Newspaper and book retailing"/>
    <s v="2019-12-01"/>
    <x v="0"/>
    <s v="December "/>
    <s v="12"/>
    <n v="12.4"/>
    <m/>
  </r>
  <r>
    <x v="4"/>
    <s v="Newspaper and book retailing"/>
    <s v="2020-01-01"/>
    <x v="1"/>
    <s v="January  "/>
    <s v="1"/>
    <n v="8.1999999999999993"/>
    <n v="-16.329999999999998"/>
  </r>
  <r>
    <x v="4"/>
    <s v="Newspaper and book retailing"/>
    <s v="2020-02-01"/>
    <x v="1"/>
    <s v="February "/>
    <s v="2"/>
    <n v="6.8"/>
    <n v="-20"/>
  </r>
  <r>
    <x v="4"/>
    <s v="Newspaper and book retailing"/>
    <s v="2020-03-01"/>
    <x v="1"/>
    <s v="March    "/>
    <s v="3"/>
    <n v="6.4"/>
    <n v="-37.25"/>
  </r>
  <r>
    <x v="4"/>
    <s v="Newspaper and book retailing"/>
    <s v="2020-04-01"/>
    <x v="1"/>
    <s v="April    "/>
    <s v="4"/>
    <n v="5.0999999999999996"/>
    <n v="-37.799999999999997"/>
  </r>
  <r>
    <x v="4"/>
    <s v="Newspaper and book retailing"/>
    <s v="2020-05-01"/>
    <x v="1"/>
    <s v="May      "/>
    <s v="5"/>
    <n v="6.8"/>
    <n v="-20"/>
  </r>
  <r>
    <x v="4"/>
    <s v="Newspaper and book retailing"/>
    <s v="2020-06-01"/>
    <x v="1"/>
    <s v="June     "/>
    <s v="6"/>
    <n v="8.3000000000000007"/>
    <n v="16.899999999999999"/>
  </r>
  <r>
    <x v="4"/>
    <s v="Newspaper and book retailing"/>
    <s v="2020-07-01"/>
    <x v="1"/>
    <s v="July     "/>
    <s v="7"/>
    <n v="7"/>
    <n v="-18.600000000000001"/>
  </r>
  <r>
    <x v="4"/>
    <s v="Newspaper and book retailing"/>
    <s v="2020-08-01"/>
    <x v="1"/>
    <s v="August   "/>
    <s v="8"/>
    <n v="7.3"/>
    <n v="-16.09"/>
  </r>
  <r>
    <x v="4"/>
    <s v="Newspaper and book retailing"/>
    <s v="2020-09-01"/>
    <x v="1"/>
    <s v="September"/>
    <s v="9"/>
    <n v="7.1"/>
    <n v="-7.79"/>
  </r>
  <r>
    <x v="4"/>
    <s v="Newspaper and book retailing"/>
    <s v="2020-10-01"/>
    <x v="1"/>
    <s v="October  "/>
    <s v="10"/>
    <n v="7.9"/>
    <n v="11.27"/>
  </r>
  <r>
    <x v="4"/>
    <s v="Newspaper and book retailing"/>
    <s v="2020-11-01"/>
    <x v="1"/>
    <s v="November "/>
    <s v="11"/>
    <n v="7.2"/>
    <n v="-18.18"/>
  </r>
  <r>
    <x v="4"/>
    <s v="Newspaper and book retailing"/>
    <s v="2020-12-01"/>
    <x v="1"/>
    <s v="December "/>
    <s v="12"/>
    <n v="9"/>
    <n v="-27.42"/>
  </r>
  <r>
    <x v="4"/>
    <s v="Newspaper and book retailing"/>
    <s v="2021-01-01"/>
    <x v="2"/>
    <s v="January  "/>
    <s v="1"/>
    <n v="6.9"/>
    <n v="-15.85"/>
  </r>
  <r>
    <x v="4"/>
    <s v="Newspaper and book retailing"/>
    <s v="2021-02-01"/>
    <x v="2"/>
    <s v="February "/>
    <s v="2"/>
    <n v="6.5"/>
    <n v="-4.41"/>
  </r>
  <r>
    <x v="4"/>
    <s v="Newspaper and book retailing"/>
    <s v="2021-03-01"/>
    <x v="2"/>
    <s v="March    "/>
    <s v="3"/>
    <n v="7.7"/>
    <n v="20.309999999999999"/>
  </r>
  <r>
    <x v="4"/>
    <s v="Newspaper and book retailing"/>
    <s v="2021-04-01"/>
    <x v="2"/>
    <s v="April    "/>
    <s v="4"/>
    <n v="7.3"/>
    <n v="43.14"/>
  </r>
  <r>
    <x v="4"/>
    <s v="Newspaper and book retailing"/>
    <s v="2021-05-01"/>
    <x v="2"/>
    <s v="May      "/>
    <s v="5"/>
    <n v="6.9"/>
    <n v="1.47"/>
  </r>
  <r>
    <x v="4"/>
    <s v="Newspaper and book retailing"/>
    <s v="2021-06-01"/>
    <x v="2"/>
    <s v="June     "/>
    <s v="6"/>
    <n v="6.4"/>
    <n v="-22.89"/>
  </r>
  <r>
    <x v="4"/>
    <s v="Newspaper and book retailing"/>
    <s v="2021-07-01"/>
    <x v="2"/>
    <s v="July     "/>
    <s v="7"/>
    <n v="6.1"/>
    <n v="-12.86"/>
  </r>
  <r>
    <x v="4"/>
    <s v="Newspaper and book retailing"/>
    <s v="2021-08-01"/>
    <x v="2"/>
    <s v="August   "/>
    <s v="8"/>
    <n v="7.2"/>
    <n v="-1.37"/>
  </r>
  <r>
    <x v="4"/>
    <s v="Newspaper and book retailing"/>
    <s v="2021-09-01"/>
    <x v="2"/>
    <s v="September"/>
    <s v="9"/>
    <n v="7.3"/>
    <n v="2.82"/>
  </r>
  <r>
    <x v="4"/>
    <s v="Newspaper and book retailing"/>
    <s v="2021-10-01"/>
    <x v="2"/>
    <s v="October  "/>
    <s v="10"/>
    <n v="7.8"/>
    <n v="-1.27"/>
  </r>
  <r>
    <x v="4"/>
    <s v="Newspaper and book retailing"/>
    <s v="2021-11-01"/>
    <x v="2"/>
    <s v="November "/>
    <s v="11"/>
    <n v="8.6999999999999993"/>
    <n v="20.83"/>
  </r>
  <r>
    <x v="4"/>
    <s v="Newspaper and book retailing"/>
    <s v="2021-12-01"/>
    <x v="2"/>
    <s v="December "/>
    <s v="12"/>
    <n v="13.1"/>
    <n v="45.56"/>
  </r>
  <r>
    <x v="4"/>
    <s v="Newspaper and book retailing"/>
    <s v="2022-01-01"/>
    <x v="3"/>
    <s v="January  "/>
    <s v="1"/>
    <n v="8.9"/>
    <n v="28.99"/>
  </r>
  <r>
    <x v="4"/>
    <s v="Newspaper and book retailing"/>
    <s v="2022-02-01"/>
    <x v="3"/>
    <s v="February "/>
    <s v="2"/>
    <n v="8.1999999999999993"/>
    <n v="26.15"/>
  </r>
  <r>
    <x v="4"/>
    <s v="Newspaper and book retailing"/>
    <s v="2022-03-01"/>
    <x v="3"/>
    <s v="March    "/>
    <s v="3"/>
    <n v="9.1999999999999993"/>
    <n v="19.48"/>
  </r>
  <r>
    <x v="4"/>
    <s v="Newspaper and book retailing"/>
    <s v="2022-04-01"/>
    <x v="3"/>
    <s v="April    "/>
    <s v="4"/>
    <n v="10.199999999999999"/>
    <n v="39.729999999999997"/>
  </r>
  <r>
    <x v="4"/>
    <s v="Newspaper and book retailing"/>
    <s v="2022-05-01"/>
    <x v="3"/>
    <s v="May      "/>
    <s v="5"/>
    <n v="8.9"/>
    <n v="28.99"/>
  </r>
  <r>
    <x v="4"/>
    <s v="Newspaper and book retailing"/>
    <s v="2022-06-01"/>
    <x v="3"/>
    <s v="June     "/>
    <s v="6"/>
    <n v="7.5"/>
    <n v="17.190000000000001"/>
  </r>
  <r>
    <x v="4"/>
    <s v="Newspaper and book retailing"/>
    <s v="2022-07-01"/>
    <x v="3"/>
    <s v="July     "/>
    <s v="7"/>
    <n v="8.9"/>
    <n v="45.9"/>
  </r>
  <r>
    <x v="4"/>
    <s v="Newspaper and book retailing"/>
    <s v="2022-08-01"/>
    <x v="3"/>
    <s v="August   "/>
    <s v="8"/>
    <n v="9.5"/>
    <n v="31.94"/>
  </r>
  <r>
    <x v="4"/>
    <s v="Newspaper and book retailing"/>
    <s v="2022-09-01"/>
    <x v="3"/>
    <s v="September"/>
    <s v="9"/>
    <n v="9.1999999999999993"/>
    <n v="26.03"/>
  </r>
  <r>
    <x v="4"/>
    <s v="Newspaper and book retailing"/>
    <s v="2022-10-01"/>
    <x v="3"/>
    <s v="October  "/>
    <s v="10"/>
    <n v="9.3000000000000007"/>
    <n v="19.23"/>
  </r>
  <r>
    <x v="4"/>
    <s v="Newspaper and book retailing"/>
    <s v="2022-11-01"/>
    <x v="3"/>
    <s v="November "/>
    <s v="11"/>
    <n v="11.2"/>
    <n v="28.74"/>
  </r>
  <r>
    <x v="4"/>
    <s v="Newspaper and book retailing"/>
    <s v="2022-12-01"/>
    <x v="3"/>
    <s v="December "/>
    <s v="12"/>
    <n v="15.5"/>
    <n v="18.32"/>
  </r>
  <r>
    <x v="4"/>
    <s v="Newspaper and book retailing"/>
    <s v="2023-01-01"/>
    <x v="4"/>
    <s v="January  "/>
    <s v="1"/>
    <n v="10.4"/>
    <n v="16.850000000000001"/>
  </r>
  <r>
    <x v="4"/>
    <s v="Newspaper and book retailing"/>
    <s v="2023-02-01"/>
    <x v="4"/>
    <s v="February "/>
    <s v="2"/>
    <n v="8.4"/>
    <n v="2.44"/>
  </r>
  <r>
    <x v="4"/>
    <s v="Newspaper and book retailing"/>
    <s v="2023-03-01"/>
    <x v="4"/>
    <s v="March    "/>
    <s v="3"/>
    <n v="10.199999999999999"/>
    <n v="10.87"/>
  </r>
  <r>
    <x v="4"/>
    <s v="Newspaper and book retailing"/>
    <s v="2023-04-01"/>
    <x v="4"/>
    <s v="April    "/>
    <s v="4"/>
    <n v="8.9"/>
    <n v="-12.75"/>
  </r>
  <r>
    <x v="4"/>
    <s v="Newspaper and book retailing"/>
    <s v="2023-05-01"/>
    <x v="4"/>
    <s v="May      "/>
    <s v="5"/>
    <n v="10.8"/>
    <n v="21.35"/>
  </r>
  <r>
    <x v="4"/>
    <s v="Newspaper and book retailing"/>
    <s v="2023-06-01"/>
    <x v="4"/>
    <s v="June     "/>
    <s v="6"/>
    <n v="10.6"/>
    <n v="41.33"/>
  </r>
  <r>
    <x v="4"/>
    <s v="Newspaper and book retailing"/>
    <s v="2023-07-01"/>
    <x v="4"/>
    <s v="July     "/>
    <s v="7"/>
    <n v="10.8"/>
    <n v="21.35"/>
  </r>
  <r>
    <x v="4"/>
    <s v="Newspaper and book retailing"/>
    <s v="2023-08-01"/>
    <x v="4"/>
    <s v="August   "/>
    <s v="8"/>
    <n v="11.1"/>
    <n v="16.84"/>
  </r>
  <r>
    <x v="4"/>
    <s v="Newspaper and book retailing"/>
    <s v="2023-09-01"/>
    <x v="4"/>
    <s v="September"/>
    <s v="9"/>
    <n v="9.6"/>
    <n v="4.3499999999999996"/>
  </r>
  <r>
    <x v="4"/>
    <s v="Newspaper and book retailing"/>
    <s v="2023-10-01"/>
    <x v="4"/>
    <s v="October  "/>
    <s v="10"/>
    <n v="9.6"/>
    <n v="3.23"/>
  </r>
  <r>
    <x v="4"/>
    <s v="Newspaper and book retailing"/>
    <s v="2023-11-01"/>
    <x v="4"/>
    <s v="November "/>
    <s v="11"/>
    <n v="10.5"/>
    <n v="-6.25"/>
  </r>
  <r>
    <x v="4"/>
    <s v="Newspaper and book retailing"/>
    <s v="2023-12-01"/>
    <x v="4"/>
    <s v="December "/>
    <s v="12"/>
    <n v="14"/>
    <n v="-9.68"/>
  </r>
  <r>
    <x v="4"/>
    <s v="Newspaper and book retailing"/>
    <s v="2024-01-01"/>
    <x v="5"/>
    <s v="January  "/>
    <s v="1"/>
    <n v="9.5"/>
    <n v="-8.65"/>
  </r>
  <r>
    <x v="4"/>
    <s v="Newspaper and book retailing"/>
    <s v="2024-02-01"/>
    <x v="5"/>
    <s v="February "/>
    <s v="2"/>
    <n v="8.9"/>
    <n v="5.95"/>
  </r>
  <r>
    <x v="4"/>
    <s v="Newspaper and book retailing"/>
    <s v="2024-03-01"/>
    <x v="5"/>
    <s v="March    "/>
    <s v="3"/>
    <n v="9.1"/>
    <n v="-10.78"/>
  </r>
  <r>
    <x v="4"/>
    <s v="Newspaper and book retailing"/>
    <s v="2024-04-01"/>
    <x v="5"/>
    <s v="April    "/>
    <s v="4"/>
    <n v="9.4"/>
    <n v="5.62"/>
  </r>
  <r>
    <x v="4"/>
    <s v="Newspaper and book retailing"/>
    <s v="2024-05-01"/>
    <x v="5"/>
    <s v="May      "/>
    <s v="5"/>
    <n v="10.3"/>
    <n v="-4.63"/>
  </r>
  <r>
    <x v="4"/>
    <s v="Newspaper and book retailing"/>
    <s v="2024-06-01"/>
    <x v="5"/>
    <s v="June     "/>
    <s v="6"/>
    <n v="8.6"/>
    <n v="-18.87"/>
  </r>
  <r>
    <x v="4"/>
    <s v="Newspaper and book retailing"/>
    <s v="2024-07-01"/>
    <x v="5"/>
    <s v="July     "/>
    <s v="7"/>
    <n v="10.7"/>
    <n v="-0.93"/>
  </r>
  <r>
    <x v="4"/>
    <s v="Newspaper and book retailing"/>
    <s v="2024-08-01"/>
    <x v="5"/>
    <s v="August   "/>
    <s v="8"/>
    <n v="11.3"/>
    <n v="1.8"/>
  </r>
  <r>
    <x v="4"/>
    <s v="Newspaper and book retailing"/>
    <s v="2024-09-01"/>
    <x v="5"/>
    <s v="September"/>
    <s v="9"/>
    <n v="10.1"/>
    <n v="5.21"/>
  </r>
  <r>
    <x v="4"/>
    <s v="Newspaper and book retailing"/>
    <s v="2024-10-01"/>
    <x v="5"/>
    <s v="October  "/>
    <s v="10"/>
    <n v="11.1"/>
    <n v="15.63"/>
  </r>
  <r>
    <x v="4"/>
    <s v="Newspaper and book retailing"/>
    <s v="2024-11-01"/>
    <x v="5"/>
    <s v="November "/>
    <s v="11"/>
    <n v="12.5"/>
    <n v="19.05"/>
  </r>
  <r>
    <x v="4"/>
    <s v="Newspaper and book retailing"/>
    <s v="2024-12-01"/>
    <x v="5"/>
    <s v="December "/>
    <s v="12"/>
    <n v="17"/>
    <n v="21.43"/>
  </r>
  <r>
    <x v="4"/>
    <s v="Newspaper and book retailing"/>
    <s v="2025-01-01"/>
    <x v="6"/>
    <s v="January  "/>
    <s v="1"/>
    <n v="11.1"/>
    <n v="16.84"/>
  </r>
  <r>
    <x v="4"/>
    <s v="Newspaper and book retailing"/>
    <s v="2025-02-01"/>
    <x v="6"/>
    <s v="February "/>
    <s v="2"/>
    <n v="9.1"/>
    <n v="2.25"/>
  </r>
  <r>
    <x v="4"/>
    <s v="Newspaper and book retailing"/>
    <s v="2025-03-01"/>
    <x v="6"/>
    <s v="March    "/>
    <s v="3"/>
    <n v="9.1999999999999993"/>
    <n v="1.1000000000000001"/>
  </r>
  <r>
    <x v="4"/>
    <s v="Newspaper and book retailing"/>
    <s v="2025-04-01"/>
    <x v="6"/>
    <s v="April    "/>
    <s v="4"/>
    <n v="8.8000000000000007"/>
    <n v="-6.38"/>
  </r>
  <r>
    <x v="4"/>
    <s v="Newspaper and book retailing"/>
    <s v="2025-05-01"/>
    <x v="6"/>
    <s v="May      "/>
    <s v="5"/>
    <n v="10.1"/>
    <n v="-1.94"/>
  </r>
  <r>
    <x v="4"/>
    <s v="Newspaper and book retailing"/>
    <s v="2025-06-01"/>
    <x v="6"/>
    <s v="June     "/>
    <s v="6"/>
    <n v="8.8000000000000007"/>
    <n v="2.33"/>
  </r>
  <r>
    <x v="4"/>
    <s v="Other recreational goods retailing"/>
    <s v="2019-01-01"/>
    <x v="0"/>
    <s v="January  "/>
    <s v="1"/>
    <n v="25.8"/>
    <m/>
  </r>
  <r>
    <x v="4"/>
    <s v="Other recreational goods retailing"/>
    <s v="2019-02-01"/>
    <x v="0"/>
    <s v="February "/>
    <s v="2"/>
    <n v="18.100000000000001"/>
    <m/>
  </r>
  <r>
    <x v="4"/>
    <s v="Other recreational goods retailing"/>
    <s v="2019-03-01"/>
    <x v="0"/>
    <s v="March    "/>
    <s v="3"/>
    <n v="20.3"/>
    <m/>
  </r>
  <r>
    <x v="4"/>
    <s v="Other recreational goods retailing"/>
    <s v="2019-04-01"/>
    <x v="0"/>
    <s v="April    "/>
    <s v="4"/>
    <n v="21.6"/>
    <m/>
  </r>
  <r>
    <x v="4"/>
    <s v="Other recreational goods retailing"/>
    <s v="2019-05-01"/>
    <x v="0"/>
    <s v="May      "/>
    <s v="5"/>
    <n v="19.100000000000001"/>
    <m/>
  </r>
  <r>
    <x v="4"/>
    <s v="Other recreational goods retailing"/>
    <s v="2019-06-01"/>
    <x v="0"/>
    <s v="June     "/>
    <s v="6"/>
    <n v="22"/>
    <m/>
  </r>
  <r>
    <x v="4"/>
    <s v="Other recreational goods retailing"/>
    <s v="2019-07-01"/>
    <x v="0"/>
    <s v="July     "/>
    <s v="7"/>
    <n v="23.3"/>
    <m/>
  </r>
  <r>
    <x v="4"/>
    <s v="Other recreational goods retailing"/>
    <s v="2019-08-01"/>
    <x v="0"/>
    <s v="August   "/>
    <s v="8"/>
    <n v="22.3"/>
    <m/>
  </r>
  <r>
    <x v="4"/>
    <s v="Other recreational goods retailing"/>
    <s v="2019-09-01"/>
    <x v="0"/>
    <s v="September"/>
    <s v="9"/>
    <n v="23.8"/>
    <m/>
  </r>
  <r>
    <x v="4"/>
    <s v="Other recreational goods retailing"/>
    <s v="2019-10-01"/>
    <x v="0"/>
    <s v="October  "/>
    <s v="10"/>
    <n v="25.2"/>
    <m/>
  </r>
  <r>
    <x v="4"/>
    <s v="Other recreational goods retailing"/>
    <s v="2019-11-01"/>
    <x v="0"/>
    <s v="November "/>
    <s v="11"/>
    <n v="30.2"/>
    <m/>
  </r>
  <r>
    <x v="4"/>
    <s v="Other recreational goods retailing"/>
    <s v="2019-12-01"/>
    <x v="0"/>
    <s v="December "/>
    <s v="12"/>
    <n v="48.9"/>
    <m/>
  </r>
  <r>
    <x v="4"/>
    <s v="Other recreational goods retailing"/>
    <s v="2020-01-01"/>
    <x v="1"/>
    <s v="January  "/>
    <s v="1"/>
    <n v="25.3"/>
    <n v="-1.94"/>
  </r>
  <r>
    <x v="4"/>
    <s v="Other recreational goods retailing"/>
    <s v="2020-02-01"/>
    <x v="1"/>
    <s v="February "/>
    <s v="2"/>
    <n v="19.100000000000001"/>
    <n v="5.52"/>
  </r>
  <r>
    <x v="4"/>
    <s v="Other recreational goods retailing"/>
    <s v="2020-03-01"/>
    <x v="1"/>
    <s v="March    "/>
    <s v="3"/>
    <n v="26.6"/>
    <n v="31.03"/>
  </r>
  <r>
    <x v="4"/>
    <s v="Other recreational goods retailing"/>
    <s v="2020-04-01"/>
    <x v="1"/>
    <s v="April    "/>
    <s v="4"/>
    <n v="22.7"/>
    <n v="5.09"/>
  </r>
  <r>
    <x v="4"/>
    <s v="Other recreational goods retailing"/>
    <s v="2020-05-01"/>
    <x v="1"/>
    <s v="May      "/>
    <s v="5"/>
    <n v="28.8"/>
    <n v="50.79"/>
  </r>
  <r>
    <x v="4"/>
    <s v="Other recreational goods retailing"/>
    <s v="2020-06-01"/>
    <x v="1"/>
    <s v="June     "/>
    <s v="6"/>
    <n v="28.9"/>
    <n v="31.36"/>
  </r>
  <r>
    <x v="4"/>
    <s v="Other recreational goods retailing"/>
    <s v="2020-07-01"/>
    <x v="1"/>
    <s v="July     "/>
    <s v="7"/>
    <n v="31.8"/>
    <n v="36.479999999999997"/>
  </r>
  <r>
    <x v="4"/>
    <s v="Other recreational goods retailing"/>
    <s v="2020-08-01"/>
    <x v="1"/>
    <s v="August   "/>
    <s v="8"/>
    <n v="26.2"/>
    <n v="17.489999999999998"/>
  </r>
  <r>
    <x v="4"/>
    <s v="Other recreational goods retailing"/>
    <s v="2020-09-01"/>
    <x v="1"/>
    <s v="September"/>
    <s v="9"/>
    <n v="29.2"/>
    <n v="22.69"/>
  </r>
  <r>
    <x v="4"/>
    <s v="Other recreational goods retailing"/>
    <s v="2020-10-01"/>
    <x v="1"/>
    <s v="October  "/>
    <s v="10"/>
    <n v="30.4"/>
    <n v="20.63"/>
  </r>
  <r>
    <x v="4"/>
    <s v="Other recreational goods retailing"/>
    <s v="2020-11-01"/>
    <x v="1"/>
    <s v="November "/>
    <s v="11"/>
    <n v="37.200000000000003"/>
    <n v="23.18"/>
  </r>
  <r>
    <x v="4"/>
    <s v="Other recreational goods retailing"/>
    <s v="2020-12-01"/>
    <x v="1"/>
    <s v="December "/>
    <s v="12"/>
    <n v="55"/>
    <n v="12.47"/>
  </r>
  <r>
    <x v="4"/>
    <s v="Other recreational goods retailing"/>
    <s v="2021-01-01"/>
    <x v="2"/>
    <s v="January  "/>
    <s v="1"/>
    <n v="32.4"/>
    <n v="28.06"/>
  </r>
  <r>
    <x v="4"/>
    <s v="Other recreational goods retailing"/>
    <s v="2021-02-01"/>
    <x v="2"/>
    <s v="February "/>
    <s v="2"/>
    <n v="24.2"/>
    <n v="26.7"/>
  </r>
  <r>
    <x v="4"/>
    <s v="Other recreational goods retailing"/>
    <s v="2021-03-01"/>
    <x v="2"/>
    <s v="March    "/>
    <s v="3"/>
    <n v="29.3"/>
    <n v="10.15"/>
  </r>
  <r>
    <x v="4"/>
    <s v="Other recreational goods retailing"/>
    <s v="2021-04-01"/>
    <x v="2"/>
    <s v="April    "/>
    <s v="4"/>
    <n v="29"/>
    <n v="27.75"/>
  </r>
  <r>
    <x v="4"/>
    <s v="Other recreational goods retailing"/>
    <s v="2021-05-01"/>
    <x v="2"/>
    <s v="May      "/>
    <s v="5"/>
    <n v="26.3"/>
    <n v="-8.68"/>
  </r>
  <r>
    <x v="4"/>
    <s v="Other recreational goods retailing"/>
    <s v="2021-06-01"/>
    <x v="2"/>
    <s v="June     "/>
    <s v="6"/>
    <n v="31.3"/>
    <n v="8.3000000000000007"/>
  </r>
  <r>
    <x v="4"/>
    <s v="Other recreational goods retailing"/>
    <s v="2021-07-01"/>
    <x v="2"/>
    <s v="July     "/>
    <s v="7"/>
    <n v="27.5"/>
    <n v="-13.52"/>
  </r>
  <r>
    <x v="4"/>
    <s v="Other recreational goods retailing"/>
    <s v="2021-08-01"/>
    <x v="2"/>
    <s v="August   "/>
    <s v="8"/>
    <n v="31.6"/>
    <n v="20.61"/>
  </r>
  <r>
    <x v="4"/>
    <s v="Other recreational goods retailing"/>
    <s v="2021-09-01"/>
    <x v="2"/>
    <s v="September"/>
    <s v="9"/>
    <n v="35.4"/>
    <n v="21.23"/>
  </r>
  <r>
    <x v="4"/>
    <s v="Other recreational goods retailing"/>
    <s v="2021-10-01"/>
    <x v="2"/>
    <s v="October  "/>
    <s v="10"/>
    <n v="39.700000000000003"/>
    <n v="30.59"/>
  </r>
  <r>
    <x v="4"/>
    <s v="Other recreational goods retailing"/>
    <s v="2021-11-01"/>
    <x v="2"/>
    <s v="November "/>
    <s v="11"/>
    <n v="44.2"/>
    <n v="18.82"/>
  </r>
  <r>
    <x v="4"/>
    <s v="Other recreational goods retailing"/>
    <s v="2021-12-01"/>
    <x v="2"/>
    <s v="December "/>
    <s v="12"/>
    <n v="63"/>
    <n v="14.55"/>
  </r>
  <r>
    <x v="4"/>
    <s v="Other recreational goods retailing"/>
    <s v="2022-01-01"/>
    <x v="3"/>
    <s v="January  "/>
    <s v="1"/>
    <n v="43.3"/>
    <n v="33.64"/>
  </r>
  <r>
    <x v="4"/>
    <s v="Other recreational goods retailing"/>
    <s v="2022-02-01"/>
    <x v="3"/>
    <s v="February "/>
    <s v="2"/>
    <n v="34.5"/>
    <n v="42.56"/>
  </r>
  <r>
    <x v="4"/>
    <s v="Other recreational goods retailing"/>
    <s v="2022-03-01"/>
    <x v="3"/>
    <s v="March    "/>
    <s v="3"/>
    <n v="39.6"/>
    <n v="35.15"/>
  </r>
  <r>
    <x v="4"/>
    <s v="Other recreational goods retailing"/>
    <s v="2022-04-01"/>
    <x v="3"/>
    <s v="April    "/>
    <s v="4"/>
    <n v="40.9"/>
    <n v="41.03"/>
  </r>
  <r>
    <x v="4"/>
    <s v="Other recreational goods retailing"/>
    <s v="2022-05-01"/>
    <x v="3"/>
    <s v="May      "/>
    <s v="5"/>
    <n v="33.799999999999997"/>
    <n v="28.52"/>
  </r>
  <r>
    <x v="4"/>
    <s v="Other recreational goods retailing"/>
    <s v="2022-06-01"/>
    <x v="3"/>
    <s v="June     "/>
    <s v="6"/>
    <n v="37.700000000000003"/>
    <n v="20.45"/>
  </r>
  <r>
    <x v="4"/>
    <s v="Other recreational goods retailing"/>
    <s v="2022-07-01"/>
    <x v="3"/>
    <s v="July     "/>
    <s v="7"/>
    <n v="41.6"/>
    <n v="51.27"/>
  </r>
  <r>
    <x v="4"/>
    <s v="Other recreational goods retailing"/>
    <s v="2022-08-01"/>
    <x v="3"/>
    <s v="August   "/>
    <s v="8"/>
    <n v="39.700000000000003"/>
    <n v="25.63"/>
  </r>
  <r>
    <x v="4"/>
    <s v="Other recreational goods retailing"/>
    <s v="2022-09-01"/>
    <x v="3"/>
    <s v="September"/>
    <s v="9"/>
    <n v="40.9"/>
    <n v="15.54"/>
  </r>
  <r>
    <x v="4"/>
    <s v="Other recreational goods retailing"/>
    <s v="2022-10-01"/>
    <x v="3"/>
    <s v="October  "/>
    <s v="10"/>
    <n v="44.1"/>
    <n v="11.08"/>
  </r>
  <r>
    <x v="4"/>
    <s v="Other recreational goods retailing"/>
    <s v="2022-11-01"/>
    <x v="3"/>
    <s v="November "/>
    <s v="11"/>
    <n v="52.9"/>
    <n v="19.68"/>
  </r>
  <r>
    <x v="4"/>
    <s v="Other recreational goods retailing"/>
    <s v="2022-12-01"/>
    <x v="3"/>
    <s v="December "/>
    <s v="12"/>
    <n v="74.400000000000006"/>
    <n v="18.100000000000001"/>
  </r>
  <r>
    <x v="4"/>
    <s v="Other recreational goods retailing"/>
    <s v="2023-01-01"/>
    <x v="4"/>
    <s v="January  "/>
    <s v="1"/>
    <n v="47.3"/>
    <n v="9.24"/>
  </r>
  <r>
    <x v="4"/>
    <s v="Other recreational goods retailing"/>
    <s v="2023-02-01"/>
    <x v="4"/>
    <s v="February "/>
    <s v="2"/>
    <n v="36"/>
    <n v="4.3499999999999996"/>
  </r>
  <r>
    <x v="4"/>
    <s v="Other recreational goods retailing"/>
    <s v="2023-03-01"/>
    <x v="4"/>
    <s v="March    "/>
    <s v="3"/>
    <n v="39.200000000000003"/>
    <n v="-1.01"/>
  </r>
  <r>
    <x v="4"/>
    <s v="Other recreational goods retailing"/>
    <s v="2023-04-01"/>
    <x v="4"/>
    <s v="April    "/>
    <s v="4"/>
    <n v="36.799999999999997"/>
    <n v="-10.02"/>
  </r>
  <r>
    <x v="4"/>
    <s v="Other recreational goods retailing"/>
    <s v="2023-05-01"/>
    <x v="4"/>
    <s v="May      "/>
    <s v="5"/>
    <n v="33"/>
    <n v="-2.37"/>
  </r>
  <r>
    <x v="4"/>
    <s v="Other recreational goods retailing"/>
    <s v="2023-06-01"/>
    <x v="4"/>
    <s v="June     "/>
    <s v="6"/>
    <n v="33.5"/>
    <n v="-11.14"/>
  </r>
  <r>
    <x v="4"/>
    <s v="Other recreational goods retailing"/>
    <s v="2023-07-01"/>
    <x v="4"/>
    <s v="July     "/>
    <s v="7"/>
    <n v="37.799999999999997"/>
    <n v="-9.1300000000000008"/>
  </r>
  <r>
    <x v="4"/>
    <s v="Other recreational goods retailing"/>
    <s v="2023-08-01"/>
    <x v="4"/>
    <s v="August   "/>
    <s v="8"/>
    <n v="33.5"/>
    <n v="-15.62"/>
  </r>
  <r>
    <x v="4"/>
    <s v="Other recreational goods retailing"/>
    <s v="2023-09-01"/>
    <x v="4"/>
    <s v="September"/>
    <s v="9"/>
    <n v="37.700000000000003"/>
    <n v="-7.82"/>
  </r>
  <r>
    <x v="4"/>
    <s v="Other recreational goods retailing"/>
    <s v="2023-10-01"/>
    <x v="4"/>
    <s v="October  "/>
    <s v="10"/>
    <n v="35.299999999999997"/>
    <n v="-19.95"/>
  </r>
  <r>
    <x v="4"/>
    <s v="Other recreational goods retailing"/>
    <s v="2023-11-01"/>
    <x v="4"/>
    <s v="November "/>
    <s v="11"/>
    <n v="45"/>
    <n v="-14.93"/>
  </r>
  <r>
    <x v="4"/>
    <s v="Other recreational goods retailing"/>
    <s v="2023-12-01"/>
    <x v="4"/>
    <s v="December "/>
    <s v="12"/>
    <n v="66.3"/>
    <n v="-10.89"/>
  </r>
  <r>
    <x v="4"/>
    <s v="Other recreational goods retailing"/>
    <s v="2024-01-01"/>
    <x v="5"/>
    <s v="January  "/>
    <s v="1"/>
    <n v="42.3"/>
    <n v="-10.57"/>
  </r>
  <r>
    <x v="4"/>
    <s v="Other recreational goods retailing"/>
    <s v="2024-02-01"/>
    <x v="5"/>
    <s v="February "/>
    <s v="2"/>
    <n v="34.200000000000003"/>
    <n v="-5"/>
  </r>
  <r>
    <x v="4"/>
    <s v="Other recreational goods retailing"/>
    <s v="2024-03-01"/>
    <x v="5"/>
    <s v="March    "/>
    <s v="3"/>
    <n v="36.200000000000003"/>
    <n v="-7.65"/>
  </r>
  <r>
    <x v="4"/>
    <s v="Other recreational goods retailing"/>
    <s v="2024-04-01"/>
    <x v="5"/>
    <s v="April    "/>
    <s v="4"/>
    <n v="36"/>
    <n v="-2.17"/>
  </r>
  <r>
    <x v="4"/>
    <s v="Other recreational goods retailing"/>
    <s v="2024-05-01"/>
    <x v="5"/>
    <s v="May      "/>
    <s v="5"/>
    <n v="34.299999999999997"/>
    <n v="3.94"/>
  </r>
  <r>
    <x v="4"/>
    <s v="Other recreational goods retailing"/>
    <s v="2024-06-01"/>
    <x v="5"/>
    <s v="June     "/>
    <s v="6"/>
    <n v="37.299999999999997"/>
    <n v="11.34"/>
  </r>
  <r>
    <x v="4"/>
    <s v="Other recreational goods retailing"/>
    <s v="2024-07-01"/>
    <x v="5"/>
    <s v="July     "/>
    <s v="7"/>
    <n v="37.200000000000003"/>
    <n v="-1.59"/>
  </r>
  <r>
    <x v="4"/>
    <s v="Other recreational goods retailing"/>
    <s v="2024-08-01"/>
    <x v="5"/>
    <s v="August   "/>
    <s v="8"/>
    <n v="35.9"/>
    <n v="7.16"/>
  </r>
  <r>
    <x v="4"/>
    <s v="Other recreational goods retailing"/>
    <s v="2024-09-01"/>
    <x v="5"/>
    <s v="September"/>
    <s v="9"/>
    <n v="36.6"/>
    <n v="-2.92"/>
  </r>
  <r>
    <x v="4"/>
    <s v="Other recreational goods retailing"/>
    <s v="2024-10-01"/>
    <x v="5"/>
    <s v="October  "/>
    <s v="10"/>
    <n v="39.4"/>
    <n v="11.61"/>
  </r>
  <r>
    <x v="4"/>
    <s v="Other recreational goods retailing"/>
    <s v="2024-11-01"/>
    <x v="5"/>
    <s v="November "/>
    <s v="11"/>
    <n v="49.5"/>
    <n v="10"/>
  </r>
  <r>
    <x v="4"/>
    <s v="Other recreational goods retailing"/>
    <s v="2024-12-01"/>
    <x v="5"/>
    <s v="December "/>
    <s v="12"/>
    <n v="73.599999999999994"/>
    <n v="11.01"/>
  </r>
  <r>
    <x v="4"/>
    <s v="Other recreational goods retailing"/>
    <s v="2025-01-01"/>
    <x v="6"/>
    <s v="January  "/>
    <s v="1"/>
    <n v="50.5"/>
    <n v="19.39"/>
  </r>
  <r>
    <x v="4"/>
    <s v="Other recreational goods retailing"/>
    <s v="2025-02-01"/>
    <x v="6"/>
    <s v="February "/>
    <s v="2"/>
    <n v="34.200000000000003"/>
    <n v="0"/>
  </r>
  <r>
    <x v="4"/>
    <s v="Other recreational goods retailing"/>
    <s v="2025-03-01"/>
    <x v="6"/>
    <s v="March    "/>
    <s v="3"/>
    <n v="38.4"/>
    <n v="6.08"/>
  </r>
  <r>
    <x v="4"/>
    <s v="Other recreational goods retailing"/>
    <s v="2025-04-01"/>
    <x v="6"/>
    <s v="April    "/>
    <s v="4"/>
    <n v="42"/>
    <n v="16.670000000000002"/>
  </r>
  <r>
    <x v="4"/>
    <s v="Other recreational goods retailing"/>
    <s v="2025-05-01"/>
    <x v="6"/>
    <s v="May      "/>
    <s v="5"/>
    <n v="37.1"/>
    <n v="8.16"/>
  </r>
  <r>
    <x v="4"/>
    <s v="Other recreational goods retailing"/>
    <s v="2025-06-01"/>
    <x v="6"/>
    <s v="June     "/>
    <s v="6"/>
    <n v="43"/>
    <n v="15.28"/>
  </r>
  <r>
    <x v="4"/>
    <s v="Other retailing n.e.c."/>
    <s v="2019-01-01"/>
    <x v="0"/>
    <s v="January  "/>
    <s v="1"/>
    <n v="114.3"/>
    <m/>
  </r>
  <r>
    <x v="4"/>
    <s v="Other retailing n.e.c."/>
    <s v="2019-02-01"/>
    <x v="0"/>
    <s v="February "/>
    <s v="2"/>
    <n v="106.9"/>
    <m/>
  </r>
  <r>
    <x v="4"/>
    <s v="Other retailing n.e.c."/>
    <s v="2019-03-01"/>
    <x v="0"/>
    <s v="March    "/>
    <s v="3"/>
    <n v="111.8"/>
    <m/>
  </r>
  <r>
    <x v="4"/>
    <s v="Other retailing n.e.c."/>
    <s v="2019-04-01"/>
    <x v="0"/>
    <s v="April    "/>
    <s v="4"/>
    <n v="110.4"/>
    <m/>
  </r>
  <r>
    <x v="4"/>
    <s v="Other retailing n.e.c."/>
    <s v="2019-05-01"/>
    <x v="0"/>
    <s v="May      "/>
    <s v="5"/>
    <n v="124.2"/>
    <m/>
  </r>
  <r>
    <x v="4"/>
    <s v="Other retailing n.e.c."/>
    <s v="2019-06-01"/>
    <x v="0"/>
    <s v="June     "/>
    <s v="6"/>
    <n v="114.1"/>
    <m/>
  </r>
  <r>
    <x v="4"/>
    <s v="Other retailing n.e.c."/>
    <s v="2019-07-01"/>
    <x v="0"/>
    <s v="July     "/>
    <s v="7"/>
    <n v="124"/>
    <m/>
  </r>
  <r>
    <x v="4"/>
    <s v="Other retailing n.e.c."/>
    <s v="2019-08-01"/>
    <x v="0"/>
    <s v="August   "/>
    <s v="8"/>
    <n v="127.4"/>
    <m/>
  </r>
  <r>
    <x v="4"/>
    <s v="Other retailing n.e.c."/>
    <s v="2019-09-01"/>
    <x v="0"/>
    <s v="September"/>
    <s v="9"/>
    <n v="119.6"/>
    <m/>
  </r>
  <r>
    <x v="4"/>
    <s v="Other retailing n.e.c."/>
    <s v="2019-10-01"/>
    <x v="0"/>
    <s v="October  "/>
    <s v="10"/>
    <n v="124.1"/>
    <m/>
  </r>
  <r>
    <x v="4"/>
    <s v="Other retailing n.e.c."/>
    <s v="2019-11-01"/>
    <x v="0"/>
    <s v="November "/>
    <s v="11"/>
    <n v="136.6"/>
    <m/>
  </r>
  <r>
    <x v="4"/>
    <s v="Other retailing n.e.c."/>
    <s v="2019-12-01"/>
    <x v="0"/>
    <s v="December "/>
    <s v="12"/>
    <n v="146.6"/>
    <m/>
  </r>
  <r>
    <x v="4"/>
    <s v="Other retailing n.e.c."/>
    <s v="2020-01-01"/>
    <x v="1"/>
    <s v="January  "/>
    <s v="1"/>
    <n v="118.4"/>
    <n v="3.59"/>
  </r>
  <r>
    <x v="4"/>
    <s v="Other retailing n.e.c."/>
    <s v="2020-02-01"/>
    <x v="1"/>
    <s v="February "/>
    <s v="2"/>
    <n v="116.2"/>
    <n v="8.6999999999999993"/>
  </r>
  <r>
    <x v="4"/>
    <s v="Other retailing n.e.c."/>
    <s v="2020-03-01"/>
    <x v="1"/>
    <s v="March    "/>
    <s v="3"/>
    <n v="136.19999999999999"/>
    <n v="21.82"/>
  </r>
  <r>
    <x v="4"/>
    <s v="Other retailing n.e.c."/>
    <s v="2020-04-01"/>
    <x v="1"/>
    <s v="April    "/>
    <s v="4"/>
    <n v="135.69999999999999"/>
    <n v="22.92"/>
  </r>
  <r>
    <x v="4"/>
    <s v="Other retailing n.e.c."/>
    <s v="2020-05-01"/>
    <x v="1"/>
    <s v="May      "/>
    <s v="5"/>
    <n v="151.69999999999999"/>
    <n v="22.14"/>
  </r>
  <r>
    <x v="4"/>
    <s v="Other retailing n.e.c."/>
    <s v="2020-06-01"/>
    <x v="1"/>
    <s v="June     "/>
    <s v="6"/>
    <n v="143.19999999999999"/>
    <n v="25.5"/>
  </r>
  <r>
    <x v="4"/>
    <s v="Other retailing n.e.c."/>
    <s v="2020-07-01"/>
    <x v="1"/>
    <s v="July     "/>
    <s v="7"/>
    <n v="148.30000000000001"/>
    <n v="19.600000000000001"/>
  </r>
  <r>
    <x v="4"/>
    <s v="Other retailing n.e.c."/>
    <s v="2020-08-01"/>
    <x v="1"/>
    <s v="August   "/>
    <s v="8"/>
    <n v="146.1"/>
    <n v="14.68"/>
  </r>
  <r>
    <x v="4"/>
    <s v="Other retailing n.e.c."/>
    <s v="2020-09-01"/>
    <x v="1"/>
    <s v="September"/>
    <s v="9"/>
    <n v="134"/>
    <n v="12.04"/>
  </r>
  <r>
    <x v="4"/>
    <s v="Other retailing n.e.c."/>
    <s v="2020-10-01"/>
    <x v="1"/>
    <s v="October  "/>
    <s v="10"/>
    <n v="141.69999999999999"/>
    <n v="14.18"/>
  </r>
  <r>
    <x v="4"/>
    <s v="Other retailing n.e.c."/>
    <s v="2020-11-01"/>
    <x v="1"/>
    <s v="November "/>
    <s v="11"/>
    <n v="158.69999999999999"/>
    <n v="16.18"/>
  </r>
  <r>
    <x v="4"/>
    <s v="Other retailing n.e.c."/>
    <s v="2020-12-01"/>
    <x v="1"/>
    <s v="December "/>
    <s v="12"/>
    <n v="182.9"/>
    <n v="24.76"/>
  </r>
  <r>
    <x v="4"/>
    <s v="Other retailing n.e.c."/>
    <s v="2021-01-01"/>
    <x v="2"/>
    <s v="January  "/>
    <s v="1"/>
    <n v="136.6"/>
    <n v="15.37"/>
  </r>
  <r>
    <x v="4"/>
    <s v="Other retailing n.e.c."/>
    <s v="2021-02-01"/>
    <x v="2"/>
    <s v="February "/>
    <s v="2"/>
    <n v="130.4"/>
    <n v="12.22"/>
  </r>
  <r>
    <x v="4"/>
    <s v="Other retailing n.e.c."/>
    <s v="2021-03-01"/>
    <x v="2"/>
    <s v="March    "/>
    <s v="3"/>
    <n v="139.5"/>
    <n v="2.42"/>
  </r>
  <r>
    <x v="4"/>
    <s v="Other retailing n.e.c."/>
    <s v="2021-04-01"/>
    <x v="2"/>
    <s v="April    "/>
    <s v="4"/>
    <n v="127"/>
    <n v="-6.41"/>
  </r>
  <r>
    <x v="4"/>
    <s v="Other retailing n.e.c."/>
    <s v="2021-05-01"/>
    <x v="2"/>
    <s v="May      "/>
    <s v="5"/>
    <n v="132.69999999999999"/>
    <n v="-12.52"/>
  </r>
  <r>
    <x v="4"/>
    <s v="Other retailing n.e.c."/>
    <s v="2021-06-01"/>
    <x v="2"/>
    <s v="June     "/>
    <s v="6"/>
    <n v="135"/>
    <n v="-5.73"/>
  </r>
  <r>
    <x v="4"/>
    <s v="Other retailing n.e.c."/>
    <s v="2021-07-01"/>
    <x v="2"/>
    <s v="July     "/>
    <s v="7"/>
    <n v="141"/>
    <n v="-4.92"/>
  </r>
  <r>
    <x v="4"/>
    <s v="Other retailing n.e.c."/>
    <s v="2021-08-01"/>
    <x v="2"/>
    <s v="August   "/>
    <s v="8"/>
    <n v="150.9"/>
    <n v="3.29"/>
  </r>
  <r>
    <x v="4"/>
    <s v="Other retailing n.e.c."/>
    <s v="2021-09-01"/>
    <x v="2"/>
    <s v="September"/>
    <s v="9"/>
    <n v="143.4"/>
    <n v="7.01"/>
  </r>
  <r>
    <x v="4"/>
    <s v="Other retailing n.e.c."/>
    <s v="2021-10-01"/>
    <x v="2"/>
    <s v="October  "/>
    <s v="10"/>
    <n v="149.69999999999999"/>
    <n v="5.65"/>
  </r>
  <r>
    <x v="4"/>
    <s v="Other retailing n.e.c."/>
    <s v="2021-11-01"/>
    <x v="2"/>
    <s v="November "/>
    <s v="11"/>
    <n v="174.2"/>
    <n v="9.77"/>
  </r>
  <r>
    <x v="4"/>
    <s v="Other retailing n.e.c."/>
    <s v="2021-12-01"/>
    <x v="2"/>
    <s v="December "/>
    <s v="12"/>
    <n v="182.4"/>
    <n v="-0.27"/>
  </r>
  <r>
    <x v="4"/>
    <s v="Other retailing n.e.c."/>
    <s v="2022-01-01"/>
    <x v="3"/>
    <s v="January  "/>
    <s v="1"/>
    <n v="145.19999999999999"/>
    <n v="6.3"/>
  </r>
  <r>
    <x v="4"/>
    <s v="Other retailing n.e.c."/>
    <s v="2022-02-01"/>
    <x v="3"/>
    <s v="February "/>
    <s v="2"/>
    <n v="134.9"/>
    <n v="3.45"/>
  </r>
  <r>
    <x v="4"/>
    <s v="Other retailing n.e.c."/>
    <s v="2022-03-01"/>
    <x v="3"/>
    <s v="March    "/>
    <s v="3"/>
    <n v="144.1"/>
    <n v="3.3"/>
  </r>
  <r>
    <x v="4"/>
    <s v="Other retailing n.e.c."/>
    <s v="2022-04-01"/>
    <x v="3"/>
    <s v="April    "/>
    <s v="4"/>
    <n v="135.6"/>
    <n v="6.77"/>
  </r>
  <r>
    <x v="4"/>
    <s v="Other retailing n.e.c."/>
    <s v="2022-05-01"/>
    <x v="3"/>
    <s v="May      "/>
    <s v="5"/>
    <n v="142"/>
    <n v="7.01"/>
  </r>
  <r>
    <x v="4"/>
    <s v="Other retailing n.e.c."/>
    <s v="2022-06-01"/>
    <x v="3"/>
    <s v="June     "/>
    <s v="6"/>
    <n v="138.9"/>
    <n v="2.89"/>
  </r>
  <r>
    <x v="4"/>
    <s v="Other retailing n.e.c."/>
    <s v="2022-07-01"/>
    <x v="3"/>
    <s v="July     "/>
    <s v="7"/>
    <n v="148.5"/>
    <n v="5.32"/>
  </r>
  <r>
    <x v="4"/>
    <s v="Other retailing n.e.c."/>
    <s v="2022-08-01"/>
    <x v="3"/>
    <s v="August   "/>
    <s v="8"/>
    <n v="151.6"/>
    <n v="0.46"/>
  </r>
  <r>
    <x v="4"/>
    <s v="Other retailing n.e.c."/>
    <s v="2022-09-01"/>
    <x v="3"/>
    <s v="September"/>
    <s v="9"/>
    <n v="149.4"/>
    <n v="4.18"/>
  </r>
  <r>
    <x v="4"/>
    <s v="Other retailing n.e.c."/>
    <s v="2022-10-01"/>
    <x v="3"/>
    <s v="October  "/>
    <s v="10"/>
    <n v="163.30000000000001"/>
    <n v="9.08"/>
  </r>
  <r>
    <x v="4"/>
    <s v="Other retailing n.e.c."/>
    <s v="2022-11-01"/>
    <x v="3"/>
    <s v="November "/>
    <s v="11"/>
    <n v="183.9"/>
    <n v="5.57"/>
  </r>
  <r>
    <x v="4"/>
    <s v="Other retailing n.e.c."/>
    <s v="2022-12-01"/>
    <x v="3"/>
    <s v="December "/>
    <s v="12"/>
    <n v="189.6"/>
    <n v="3.95"/>
  </r>
  <r>
    <x v="4"/>
    <s v="Other retailing n.e.c."/>
    <s v="2023-01-01"/>
    <x v="4"/>
    <s v="January  "/>
    <s v="1"/>
    <n v="150.69999999999999"/>
    <n v="3.79"/>
  </r>
  <r>
    <x v="4"/>
    <s v="Other retailing n.e.c."/>
    <s v="2023-02-01"/>
    <x v="4"/>
    <s v="February "/>
    <s v="2"/>
    <n v="141.69999999999999"/>
    <n v="5.04"/>
  </r>
  <r>
    <x v="4"/>
    <s v="Other retailing n.e.c."/>
    <s v="2023-03-01"/>
    <x v="4"/>
    <s v="March    "/>
    <s v="3"/>
    <n v="155.9"/>
    <n v="8.19"/>
  </r>
  <r>
    <x v="4"/>
    <s v="Other retailing n.e.c."/>
    <s v="2023-04-01"/>
    <x v="4"/>
    <s v="April    "/>
    <s v="4"/>
    <n v="140.80000000000001"/>
    <n v="3.83"/>
  </r>
  <r>
    <x v="4"/>
    <s v="Other retailing n.e.c."/>
    <s v="2023-05-01"/>
    <x v="4"/>
    <s v="May      "/>
    <s v="5"/>
    <n v="156.5"/>
    <n v="10.210000000000001"/>
  </r>
  <r>
    <x v="4"/>
    <s v="Other retailing n.e.c."/>
    <s v="2023-06-01"/>
    <x v="4"/>
    <s v="June     "/>
    <s v="6"/>
    <n v="154.4"/>
    <n v="11.16"/>
  </r>
  <r>
    <x v="4"/>
    <s v="Other retailing n.e.c."/>
    <s v="2023-07-01"/>
    <x v="4"/>
    <s v="July     "/>
    <s v="7"/>
    <n v="153.9"/>
    <n v="3.64"/>
  </r>
  <r>
    <x v="4"/>
    <s v="Other retailing n.e.c."/>
    <s v="2023-08-01"/>
    <x v="4"/>
    <s v="August   "/>
    <s v="8"/>
    <n v="158"/>
    <n v="4.22"/>
  </r>
  <r>
    <x v="4"/>
    <s v="Other retailing n.e.c."/>
    <s v="2023-09-01"/>
    <x v="4"/>
    <s v="September"/>
    <s v="9"/>
    <n v="149.30000000000001"/>
    <n v="-7.0000000000000007E-2"/>
  </r>
  <r>
    <x v="4"/>
    <s v="Other retailing n.e.c."/>
    <s v="2023-10-01"/>
    <x v="4"/>
    <s v="October  "/>
    <s v="10"/>
    <n v="160"/>
    <n v="-2.02"/>
  </r>
  <r>
    <x v="4"/>
    <s v="Other retailing n.e.c."/>
    <s v="2023-11-01"/>
    <x v="4"/>
    <s v="November "/>
    <s v="11"/>
    <n v="190.9"/>
    <n v="3.81"/>
  </r>
  <r>
    <x v="4"/>
    <s v="Other retailing n.e.c."/>
    <s v="2023-12-01"/>
    <x v="4"/>
    <s v="December "/>
    <s v="12"/>
    <n v="199.9"/>
    <n v="5.43"/>
  </r>
  <r>
    <x v="4"/>
    <s v="Other retailing n.e.c."/>
    <s v="2024-01-01"/>
    <x v="5"/>
    <s v="January  "/>
    <s v="1"/>
    <n v="155.30000000000001"/>
    <n v="3.05"/>
  </r>
  <r>
    <x v="4"/>
    <s v="Other retailing n.e.c."/>
    <s v="2024-02-01"/>
    <x v="5"/>
    <s v="February "/>
    <s v="2"/>
    <n v="154.69999999999999"/>
    <n v="9.17"/>
  </r>
  <r>
    <x v="4"/>
    <s v="Other retailing n.e.c."/>
    <s v="2024-03-01"/>
    <x v="5"/>
    <s v="March    "/>
    <s v="3"/>
    <n v="152.5"/>
    <n v="-2.1800000000000002"/>
  </r>
  <r>
    <x v="4"/>
    <s v="Other retailing n.e.c."/>
    <s v="2024-04-01"/>
    <x v="5"/>
    <s v="April    "/>
    <s v="4"/>
    <n v="151.69999999999999"/>
    <n v="7.74"/>
  </r>
  <r>
    <x v="4"/>
    <s v="Other retailing n.e.c."/>
    <s v="2024-05-01"/>
    <x v="5"/>
    <s v="May      "/>
    <s v="5"/>
    <n v="164.8"/>
    <n v="5.3"/>
  </r>
  <r>
    <x v="4"/>
    <s v="Other retailing n.e.c."/>
    <s v="2024-06-01"/>
    <x v="5"/>
    <s v="June     "/>
    <s v="6"/>
    <n v="162.4"/>
    <n v="5.18"/>
  </r>
  <r>
    <x v="4"/>
    <s v="Other retailing n.e.c."/>
    <s v="2024-07-01"/>
    <x v="5"/>
    <s v="July     "/>
    <s v="7"/>
    <n v="162.80000000000001"/>
    <n v="5.78"/>
  </r>
  <r>
    <x v="4"/>
    <s v="Other retailing n.e.c."/>
    <s v="2024-08-01"/>
    <x v="5"/>
    <s v="August   "/>
    <s v="8"/>
    <n v="164.4"/>
    <n v="4.05"/>
  </r>
  <r>
    <x v="4"/>
    <s v="Other retailing n.e.c."/>
    <s v="2024-09-01"/>
    <x v="5"/>
    <s v="September"/>
    <s v="9"/>
    <n v="158.19999999999999"/>
    <n v="5.96"/>
  </r>
  <r>
    <x v="4"/>
    <s v="Other retailing n.e.c."/>
    <s v="2024-10-01"/>
    <x v="5"/>
    <s v="October  "/>
    <s v="10"/>
    <n v="177.2"/>
    <n v="10.75"/>
  </r>
  <r>
    <x v="4"/>
    <s v="Other retailing n.e.c."/>
    <s v="2024-11-01"/>
    <x v="5"/>
    <s v="November "/>
    <s v="11"/>
    <n v="202"/>
    <n v="5.81"/>
  </r>
  <r>
    <x v="4"/>
    <s v="Other retailing n.e.c."/>
    <s v="2024-12-01"/>
    <x v="5"/>
    <s v="December "/>
    <s v="12"/>
    <n v="208.6"/>
    <n v="4.3499999999999996"/>
  </r>
  <r>
    <x v="4"/>
    <s v="Other retailing n.e.c."/>
    <s v="2025-01-01"/>
    <x v="6"/>
    <s v="January  "/>
    <s v="1"/>
    <n v="169.7"/>
    <n v="9.27"/>
  </r>
  <r>
    <x v="4"/>
    <s v="Other retailing n.e.c."/>
    <s v="2025-02-01"/>
    <x v="6"/>
    <s v="February "/>
    <s v="2"/>
    <n v="149.4"/>
    <n v="-3.43"/>
  </r>
  <r>
    <x v="4"/>
    <s v="Other retailing n.e.c."/>
    <s v="2025-03-01"/>
    <x v="6"/>
    <s v="March    "/>
    <s v="3"/>
    <n v="166.8"/>
    <n v="9.3800000000000008"/>
  </r>
  <r>
    <x v="4"/>
    <s v="Other retailing n.e.c."/>
    <s v="2025-04-01"/>
    <x v="6"/>
    <s v="April    "/>
    <s v="4"/>
    <n v="161.80000000000001"/>
    <n v="6.66"/>
  </r>
  <r>
    <x v="4"/>
    <s v="Other retailing n.e.c."/>
    <s v="2025-05-01"/>
    <x v="6"/>
    <s v="May      "/>
    <s v="5"/>
    <n v="172.2"/>
    <n v="4.49"/>
  </r>
  <r>
    <x v="4"/>
    <s v="Other retailing n.e.c."/>
    <s v="2025-06-01"/>
    <x v="6"/>
    <s v="June     "/>
    <s v="6"/>
    <n v="163.9"/>
    <n v="0.92"/>
  </r>
  <r>
    <x v="4"/>
    <s v="Other specialised food retailing"/>
    <s v="2024-01-01"/>
    <x v="5"/>
    <s v="January  "/>
    <s v="1"/>
    <n v="51.8"/>
    <m/>
  </r>
  <r>
    <x v="4"/>
    <s v="Other specialised food retailing"/>
    <s v="2024-02-01"/>
    <x v="5"/>
    <s v="February "/>
    <s v="2"/>
    <n v="52.3"/>
    <m/>
  </r>
  <r>
    <x v="4"/>
    <s v="Other specialised food retailing"/>
    <s v="2024-03-01"/>
    <x v="5"/>
    <s v="March    "/>
    <s v="3"/>
    <n v="61.1"/>
    <m/>
  </r>
  <r>
    <x v="4"/>
    <s v="Other specialised food retailing"/>
    <s v="2024-04-01"/>
    <x v="5"/>
    <s v="April    "/>
    <s v="4"/>
    <n v="55.6"/>
    <m/>
  </r>
  <r>
    <x v="4"/>
    <s v="Other specialised food retailing"/>
    <s v="2024-05-01"/>
    <x v="5"/>
    <s v="May      "/>
    <s v="5"/>
    <n v="59.3"/>
    <m/>
  </r>
  <r>
    <x v="4"/>
    <s v="Other specialised food retailing"/>
    <s v="2024-06-01"/>
    <x v="5"/>
    <s v="June     "/>
    <s v="6"/>
    <n v="53.1"/>
    <m/>
  </r>
  <r>
    <x v="4"/>
    <s v="Pharmaceutical, cosmetic and toiletry goods retailing"/>
    <s v="2019-01-01"/>
    <x v="0"/>
    <s v="January  "/>
    <s v="1"/>
    <n v="111.6"/>
    <m/>
  </r>
  <r>
    <x v="4"/>
    <s v="Pharmaceutical, cosmetic and toiletry goods retailing"/>
    <s v="2019-02-01"/>
    <x v="0"/>
    <s v="February "/>
    <s v="2"/>
    <n v="111.1"/>
    <m/>
  </r>
  <r>
    <x v="4"/>
    <s v="Pharmaceutical, cosmetic and toiletry goods retailing"/>
    <s v="2019-03-01"/>
    <x v="0"/>
    <s v="March    "/>
    <s v="3"/>
    <n v="126.1"/>
    <m/>
  </r>
  <r>
    <x v="4"/>
    <s v="Pharmaceutical, cosmetic and toiletry goods retailing"/>
    <s v="2019-04-01"/>
    <x v="0"/>
    <s v="April    "/>
    <s v="4"/>
    <n v="128"/>
    <m/>
  </r>
  <r>
    <x v="4"/>
    <s v="Pharmaceutical, cosmetic and toiletry goods retailing"/>
    <s v="2019-05-01"/>
    <x v="0"/>
    <s v="May      "/>
    <s v="5"/>
    <n v="137.9"/>
    <m/>
  </r>
  <r>
    <x v="4"/>
    <s v="Pharmaceutical, cosmetic and toiletry goods retailing"/>
    <s v="2019-06-01"/>
    <x v="0"/>
    <s v="June     "/>
    <s v="6"/>
    <n v="125"/>
    <m/>
  </r>
  <r>
    <x v="4"/>
    <s v="Pharmaceutical, cosmetic and toiletry goods retailing"/>
    <s v="2019-07-01"/>
    <x v="0"/>
    <s v="July     "/>
    <s v="7"/>
    <n v="124.7"/>
    <m/>
  </r>
  <r>
    <x v="4"/>
    <s v="Pharmaceutical, cosmetic and toiletry goods retailing"/>
    <s v="2019-08-01"/>
    <x v="0"/>
    <s v="August   "/>
    <s v="8"/>
    <n v="132.80000000000001"/>
    <m/>
  </r>
  <r>
    <x v="4"/>
    <s v="Pharmaceutical, cosmetic and toiletry goods retailing"/>
    <s v="2019-09-01"/>
    <x v="0"/>
    <s v="September"/>
    <s v="9"/>
    <n v="127.8"/>
    <m/>
  </r>
  <r>
    <x v="4"/>
    <s v="Pharmaceutical, cosmetic and toiletry goods retailing"/>
    <s v="2019-10-01"/>
    <x v="0"/>
    <s v="October  "/>
    <s v="10"/>
    <n v="133.30000000000001"/>
    <m/>
  </r>
  <r>
    <x v="4"/>
    <s v="Pharmaceutical, cosmetic and toiletry goods retailing"/>
    <s v="2019-11-01"/>
    <x v="0"/>
    <s v="November "/>
    <s v="11"/>
    <n v="130"/>
    <m/>
  </r>
  <r>
    <x v="4"/>
    <s v="Pharmaceutical, cosmetic and toiletry goods retailing"/>
    <s v="2019-12-01"/>
    <x v="0"/>
    <s v="December "/>
    <s v="12"/>
    <n v="149.6"/>
    <m/>
  </r>
  <r>
    <x v="4"/>
    <s v="Pharmaceutical, cosmetic and toiletry goods retailing"/>
    <s v="2020-01-01"/>
    <x v="1"/>
    <s v="January  "/>
    <s v="1"/>
    <n v="114.3"/>
    <n v="2.42"/>
  </r>
  <r>
    <x v="4"/>
    <s v="Pharmaceutical, cosmetic and toiletry goods retailing"/>
    <s v="2020-02-01"/>
    <x v="1"/>
    <s v="February "/>
    <s v="2"/>
    <n v="114.6"/>
    <n v="3.15"/>
  </r>
  <r>
    <x v="4"/>
    <s v="Pharmaceutical, cosmetic and toiletry goods retailing"/>
    <s v="2020-03-01"/>
    <x v="1"/>
    <s v="March    "/>
    <s v="3"/>
    <n v="142.30000000000001"/>
    <n v="12.85"/>
  </r>
  <r>
    <x v="4"/>
    <s v="Pharmaceutical, cosmetic and toiletry goods retailing"/>
    <s v="2020-04-01"/>
    <x v="1"/>
    <s v="April    "/>
    <s v="4"/>
    <n v="101.6"/>
    <n v="-20.63"/>
  </r>
  <r>
    <x v="4"/>
    <s v="Pharmaceutical, cosmetic and toiletry goods retailing"/>
    <s v="2020-05-01"/>
    <x v="1"/>
    <s v="May      "/>
    <s v="5"/>
    <n v="122.1"/>
    <n v="-11.46"/>
  </r>
  <r>
    <x v="4"/>
    <s v="Pharmaceutical, cosmetic and toiletry goods retailing"/>
    <s v="2020-06-01"/>
    <x v="1"/>
    <s v="June     "/>
    <s v="6"/>
    <n v="114.7"/>
    <n v="-8.24"/>
  </r>
  <r>
    <x v="4"/>
    <s v="Pharmaceutical, cosmetic and toiletry goods retailing"/>
    <s v="2020-07-01"/>
    <x v="1"/>
    <s v="July     "/>
    <s v="7"/>
    <n v="120"/>
    <n v="-3.77"/>
  </r>
  <r>
    <x v="4"/>
    <s v="Pharmaceutical, cosmetic and toiletry goods retailing"/>
    <s v="2020-08-01"/>
    <x v="1"/>
    <s v="August   "/>
    <s v="8"/>
    <n v="119.1"/>
    <n v="-10.32"/>
  </r>
  <r>
    <x v="4"/>
    <s v="Pharmaceutical, cosmetic and toiletry goods retailing"/>
    <s v="2020-09-01"/>
    <x v="1"/>
    <s v="September"/>
    <s v="9"/>
    <n v="115.5"/>
    <n v="-9.6199999999999992"/>
  </r>
  <r>
    <x v="4"/>
    <s v="Pharmaceutical, cosmetic and toiletry goods retailing"/>
    <s v="2020-10-01"/>
    <x v="1"/>
    <s v="October  "/>
    <s v="10"/>
    <n v="124.3"/>
    <n v="-6.75"/>
  </r>
  <r>
    <x v="4"/>
    <s v="Pharmaceutical, cosmetic and toiletry goods retailing"/>
    <s v="2020-11-01"/>
    <x v="1"/>
    <s v="November "/>
    <s v="11"/>
    <n v="124"/>
    <n v="-4.62"/>
  </r>
  <r>
    <x v="4"/>
    <s v="Pharmaceutical, cosmetic and toiletry goods retailing"/>
    <s v="2020-12-01"/>
    <x v="1"/>
    <s v="December "/>
    <s v="12"/>
    <n v="146.30000000000001"/>
    <n v="-2.21"/>
  </r>
  <r>
    <x v="4"/>
    <s v="Pharmaceutical, cosmetic and toiletry goods retailing"/>
    <s v="2021-01-01"/>
    <x v="2"/>
    <s v="January  "/>
    <s v="1"/>
    <n v="105.4"/>
    <n v="-7.79"/>
  </r>
  <r>
    <x v="4"/>
    <s v="Pharmaceutical, cosmetic and toiletry goods retailing"/>
    <s v="2021-02-01"/>
    <x v="2"/>
    <s v="February "/>
    <s v="2"/>
    <n v="103.4"/>
    <n v="-9.77"/>
  </r>
  <r>
    <x v="4"/>
    <s v="Pharmaceutical, cosmetic and toiletry goods retailing"/>
    <s v="2021-03-01"/>
    <x v="2"/>
    <s v="March    "/>
    <s v="3"/>
    <n v="116.1"/>
    <n v="-18.41"/>
  </r>
  <r>
    <x v="4"/>
    <s v="Pharmaceutical, cosmetic and toiletry goods retailing"/>
    <s v="2021-04-01"/>
    <x v="2"/>
    <s v="April    "/>
    <s v="4"/>
    <n v="108.6"/>
    <n v="6.89"/>
  </r>
  <r>
    <x v="4"/>
    <s v="Pharmaceutical, cosmetic and toiletry goods retailing"/>
    <s v="2021-05-01"/>
    <x v="2"/>
    <s v="May      "/>
    <s v="5"/>
    <n v="116.6"/>
    <n v="-4.5"/>
  </r>
  <r>
    <x v="4"/>
    <s v="Pharmaceutical, cosmetic and toiletry goods retailing"/>
    <s v="2021-06-01"/>
    <x v="2"/>
    <s v="June     "/>
    <s v="6"/>
    <n v="108.3"/>
    <n v="-5.58"/>
  </r>
  <r>
    <x v="4"/>
    <s v="Pharmaceutical, cosmetic and toiletry goods retailing"/>
    <s v="2021-07-01"/>
    <x v="2"/>
    <s v="July     "/>
    <s v="7"/>
    <n v="109.7"/>
    <n v="-8.58"/>
  </r>
  <r>
    <x v="4"/>
    <s v="Pharmaceutical, cosmetic and toiletry goods retailing"/>
    <s v="2021-08-01"/>
    <x v="2"/>
    <s v="August   "/>
    <s v="8"/>
    <n v="117.8"/>
    <n v="-1.0900000000000001"/>
  </r>
  <r>
    <x v="4"/>
    <s v="Pharmaceutical, cosmetic and toiletry goods retailing"/>
    <s v="2021-09-01"/>
    <x v="2"/>
    <s v="September"/>
    <s v="9"/>
    <n v="117.4"/>
    <n v="1.65"/>
  </r>
  <r>
    <x v="4"/>
    <s v="Pharmaceutical, cosmetic and toiletry goods retailing"/>
    <s v="2021-10-01"/>
    <x v="2"/>
    <s v="October  "/>
    <s v="10"/>
    <n v="122.9"/>
    <n v="-1.1299999999999999"/>
  </r>
  <r>
    <x v="4"/>
    <s v="Pharmaceutical, cosmetic and toiletry goods retailing"/>
    <s v="2021-11-01"/>
    <x v="2"/>
    <s v="November "/>
    <s v="11"/>
    <n v="132"/>
    <n v="6.45"/>
  </r>
  <r>
    <x v="4"/>
    <s v="Pharmaceutical, cosmetic and toiletry goods retailing"/>
    <s v="2021-12-01"/>
    <x v="2"/>
    <s v="December "/>
    <s v="12"/>
    <n v="147.80000000000001"/>
    <n v="1.03"/>
  </r>
  <r>
    <x v="4"/>
    <s v="Pharmaceutical, cosmetic and toiletry goods retailing"/>
    <s v="2022-01-01"/>
    <x v="3"/>
    <s v="January  "/>
    <s v="1"/>
    <n v="121.3"/>
    <n v="15.09"/>
  </r>
  <r>
    <x v="4"/>
    <s v="Pharmaceutical, cosmetic and toiletry goods retailing"/>
    <s v="2022-02-01"/>
    <x v="3"/>
    <s v="February "/>
    <s v="2"/>
    <n v="120.6"/>
    <n v="16.63"/>
  </r>
  <r>
    <x v="4"/>
    <s v="Pharmaceutical, cosmetic and toiletry goods retailing"/>
    <s v="2022-03-01"/>
    <x v="3"/>
    <s v="March    "/>
    <s v="3"/>
    <n v="138.5"/>
    <n v="19.29"/>
  </r>
  <r>
    <x v="4"/>
    <s v="Pharmaceutical, cosmetic and toiletry goods retailing"/>
    <s v="2022-04-01"/>
    <x v="3"/>
    <s v="April    "/>
    <s v="4"/>
    <n v="129.69999999999999"/>
    <n v="19.43"/>
  </r>
  <r>
    <x v="4"/>
    <s v="Pharmaceutical, cosmetic and toiletry goods retailing"/>
    <s v="2022-05-01"/>
    <x v="3"/>
    <s v="May      "/>
    <s v="5"/>
    <n v="144.5"/>
    <n v="23.93"/>
  </r>
  <r>
    <x v="4"/>
    <s v="Pharmaceutical, cosmetic and toiletry goods retailing"/>
    <s v="2022-06-01"/>
    <x v="3"/>
    <s v="June     "/>
    <s v="6"/>
    <n v="138.80000000000001"/>
    <n v="28.16"/>
  </r>
  <r>
    <x v="4"/>
    <s v="Pharmaceutical, cosmetic and toiletry goods retailing"/>
    <s v="2022-07-01"/>
    <x v="3"/>
    <s v="July     "/>
    <s v="7"/>
    <n v="138.6"/>
    <n v="26.34"/>
  </r>
  <r>
    <x v="4"/>
    <s v="Pharmaceutical, cosmetic and toiletry goods retailing"/>
    <s v="2022-08-01"/>
    <x v="3"/>
    <s v="August   "/>
    <s v="8"/>
    <n v="135.6"/>
    <n v="15.11"/>
  </r>
  <r>
    <x v="4"/>
    <s v="Pharmaceutical, cosmetic and toiletry goods retailing"/>
    <s v="2022-09-01"/>
    <x v="3"/>
    <s v="September"/>
    <s v="9"/>
    <n v="136.6"/>
    <n v="16.350000000000001"/>
  </r>
  <r>
    <x v="4"/>
    <s v="Pharmaceutical, cosmetic and toiletry goods retailing"/>
    <s v="2022-10-01"/>
    <x v="3"/>
    <s v="October  "/>
    <s v="10"/>
    <n v="135"/>
    <n v="9.85"/>
  </r>
  <r>
    <x v="4"/>
    <s v="Pharmaceutical, cosmetic and toiletry goods retailing"/>
    <s v="2022-11-01"/>
    <x v="3"/>
    <s v="November "/>
    <s v="11"/>
    <n v="144.6"/>
    <n v="9.5500000000000007"/>
  </r>
  <r>
    <x v="4"/>
    <s v="Pharmaceutical, cosmetic and toiletry goods retailing"/>
    <s v="2022-12-01"/>
    <x v="3"/>
    <s v="December "/>
    <s v="12"/>
    <n v="182.1"/>
    <n v="23.21"/>
  </r>
  <r>
    <x v="4"/>
    <s v="Pharmaceutical, cosmetic and toiletry goods retailing"/>
    <s v="2023-01-01"/>
    <x v="4"/>
    <s v="January  "/>
    <s v="1"/>
    <n v="133.5"/>
    <n v="10.06"/>
  </r>
  <r>
    <x v="4"/>
    <s v="Pharmaceutical, cosmetic and toiletry goods retailing"/>
    <s v="2023-02-01"/>
    <x v="4"/>
    <s v="February "/>
    <s v="2"/>
    <n v="131.1"/>
    <n v="8.7100000000000009"/>
  </r>
  <r>
    <x v="4"/>
    <s v="Pharmaceutical, cosmetic and toiletry goods retailing"/>
    <s v="2023-03-01"/>
    <x v="4"/>
    <s v="March    "/>
    <s v="3"/>
    <n v="151"/>
    <n v="9.0299999999999994"/>
  </r>
  <r>
    <x v="4"/>
    <s v="Pharmaceutical, cosmetic and toiletry goods retailing"/>
    <s v="2023-04-01"/>
    <x v="4"/>
    <s v="April    "/>
    <s v="4"/>
    <n v="143.4"/>
    <n v="10.56"/>
  </r>
  <r>
    <x v="4"/>
    <s v="Pharmaceutical, cosmetic and toiletry goods retailing"/>
    <s v="2023-05-01"/>
    <x v="4"/>
    <s v="May      "/>
    <s v="5"/>
    <n v="168.3"/>
    <n v="16.47"/>
  </r>
  <r>
    <x v="4"/>
    <s v="Pharmaceutical, cosmetic and toiletry goods retailing"/>
    <s v="2023-06-01"/>
    <x v="4"/>
    <s v="June     "/>
    <s v="6"/>
    <n v="150.1"/>
    <n v="8.14"/>
  </r>
  <r>
    <x v="4"/>
    <s v="Pharmaceutical, cosmetic and toiletry goods retailing"/>
    <s v="2023-07-01"/>
    <x v="4"/>
    <s v="July     "/>
    <s v="7"/>
    <n v="151.30000000000001"/>
    <n v="9.16"/>
  </r>
  <r>
    <x v="4"/>
    <s v="Pharmaceutical, cosmetic and toiletry goods retailing"/>
    <s v="2023-08-01"/>
    <x v="4"/>
    <s v="August   "/>
    <s v="8"/>
    <n v="157.9"/>
    <n v="16.45"/>
  </r>
  <r>
    <x v="4"/>
    <s v="Pharmaceutical, cosmetic and toiletry goods retailing"/>
    <s v="2023-09-01"/>
    <x v="4"/>
    <s v="September"/>
    <s v="9"/>
    <n v="156.4"/>
    <n v="14.49"/>
  </r>
  <r>
    <x v="4"/>
    <s v="Pharmaceutical, cosmetic and toiletry goods retailing"/>
    <s v="2023-10-01"/>
    <x v="4"/>
    <s v="October  "/>
    <s v="10"/>
    <n v="164.1"/>
    <n v="21.56"/>
  </r>
  <r>
    <x v="4"/>
    <s v="Pharmaceutical, cosmetic and toiletry goods retailing"/>
    <s v="2023-11-01"/>
    <x v="4"/>
    <s v="November "/>
    <s v="11"/>
    <n v="174.3"/>
    <n v="20.54"/>
  </r>
  <r>
    <x v="4"/>
    <s v="Pharmaceutical, cosmetic and toiletry goods retailing"/>
    <s v="2023-12-01"/>
    <x v="4"/>
    <s v="December "/>
    <s v="12"/>
    <n v="204.4"/>
    <n v="12.25"/>
  </r>
  <r>
    <x v="4"/>
    <s v="Pharmaceutical, cosmetic and toiletry goods retailing"/>
    <s v="2024-01-01"/>
    <x v="5"/>
    <s v="January  "/>
    <s v="1"/>
    <n v="160.30000000000001"/>
    <n v="20.07"/>
  </r>
  <r>
    <x v="4"/>
    <s v="Pharmaceutical, cosmetic and toiletry goods retailing"/>
    <s v="2024-02-01"/>
    <x v="5"/>
    <s v="February "/>
    <s v="2"/>
    <n v="151.6"/>
    <n v="15.64"/>
  </r>
  <r>
    <x v="4"/>
    <s v="Pharmaceutical, cosmetic and toiletry goods retailing"/>
    <s v="2024-03-01"/>
    <x v="5"/>
    <s v="March    "/>
    <s v="3"/>
    <n v="156.69999999999999"/>
    <n v="3.77"/>
  </r>
  <r>
    <x v="4"/>
    <s v="Pharmaceutical, cosmetic and toiletry goods retailing"/>
    <s v="2024-04-01"/>
    <x v="5"/>
    <s v="April    "/>
    <s v="4"/>
    <n v="150.6"/>
    <n v="5.0199999999999996"/>
  </r>
  <r>
    <x v="4"/>
    <s v="Pharmaceutical, cosmetic and toiletry goods retailing"/>
    <s v="2024-05-01"/>
    <x v="5"/>
    <s v="May      "/>
    <s v="5"/>
    <n v="170.3"/>
    <n v="1.19"/>
  </r>
  <r>
    <x v="4"/>
    <s v="Pharmaceutical, cosmetic and toiletry goods retailing"/>
    <s v="2024-06-01"/>
    <x v="5"/>
    <s v="June     "/>
    <s v="6"/>
    <n v="155.1"/>
    <n v="3.33"/>
  </r>
  <r>
    <x v="4"/>
    <s v="Pharmaceutical, cosmetic and toiletry goods retailing"/>
    <s v="2024-07-01"/>
    <x v="5"/>
    <s v="July     "/>
    <s v="7"/>
    <n v="164.5"/>
    <n v="8.7200000000000006"/>
  </r>
  <r>
    <x v="4"/>
    <s v="Pharmaceutical, cosmetic and toiletry goods retailing"/>
    <s v="2024-08-01"/>
    <x v="5"/>
    <s v="August   "/>
    <s v="8"/>
    <n v="168.1"/>
    <n v="6.46"/>
  </r>
  <r>
    <x v="4"/>
    <s v="Pharmaceutical, cosmetic and toiletry goods retailing"/>
    <s v="2024-09-01"/>
    <x v="5"/>
    <s v="September"/>
    <s v="9"/>
    <n v="163.6"/>
    <n v="4.5999999999999996"/>
  </r>
  <r>
    <x v="4"/>
    <s v="Pharmaceutical, cosmetic and toiletry goods retailing"/>
    <s v="2024-10-01"/>
    <x v="5"/>
    <s v="October  "/>
    <s v="10"/>
    <n v="173.6"/>
    <n v="5.79"/>
  </r>
  <r>
    <x v="4"/>
    <s v="Pharmaceutical, cosmetic and toiletry goods retailing"/>
    <s v="2024-11-01"/>
    <x v="5"/>
    <s v="November "/>
    <s v="11"/>
    <n v="175.9"/>
    <n v="0.92"/>
  </r>
  <r>
    <x v="4"/>
    <s v="Pharmaceutical, cosmetic and toiletry goods retailing"/>
    <s v="2024-12-01"/>
    <x v="5"/>
    <s v="December "/>
    <s v="12"/>
    <n v="200.6"/>
    <n v="-1.86"/>
  </r>
  <r>
    <x v="4"/>
    <s v="Pharmaceutical, cosmetic and toiletry goods retailing"/>
    <s v="2025-01-01"/>
    <x v="6"/>
    <s v="January  "/>
    <s v="1"/>
    <n v="162.9"/>
    <n v="1.62"/>
  </r>
  <r>
    <x v="4"/>
    <s v="Pharmaceutical, cosmetic and toiletry goods retailing"/>
    <s v="2025-02-01"/>
    <x v="6"/>
    <s v="February "/>
    <s v="2"/>
    <n v="152.9"/>
    <n v="0.86"/>
  </r>
  <r>
    <x v="4"/>
    <s v="Pharmaceutical, cosmetic and toiletry goods retailing"/>
    <s v="2025-03-01"/>
    <x v="6"/>
    <s v="March    "/>
    <s v="3"/>
    <n v="165.3"/>
    <n v="5.49"/>
  </r>
  <r>
    <x v="4"/>
    <s v="Pharmaceutical, cosmetic and toiletry goods retailing"/>
    <s v="2025-04-01"/>
    <x v="6"/>
    <s v="April    "/>
    <s v="4"/>
    <n v="163.1"/>
    <n v="8.3000000000000007"/>
  </r>
  <r>
    <x v="4"/>
    <s v="Pharmaceutical, cosmetic and toiletry goods retailing"/>
    <s v="2025-05-01"/>
    <x v="6"/>
    <s v="May      "/>
    <s v="5"/>
    <n v="184.7"/>
    <n v="8.4600000000000009"/>
  </r>
  <r>
    <x v="4"/>
    <s v="Pharmaceutical, cosmetic and toiletry goods retailing"/>
    <s v="2025-06-01"/>
    <x v="6"/>
    <s v="June     "/>
    <s v="6"/>
    <n v="170.7"/>
    <n v="10.06"/>
  </r>
  <r>
    <x v="4"/>
    <s v="Supermarket and grocery stores"/>
    <s v="2019-01-01"/>
    <x v="0"/>
    <s v="January  "/>
    <s v="1"/>
    <n v="711"/>
    <m/>
  </r>
  <r>
    <x v="4"/>
    <s v="Supermarket and grocery stores"/>
    <s v="2019-02-01"/>
    <x v="0"/>
    <s v="February "/>
    <s v="2"/>
    <n v="641.79999999999995"/>
    <m/>
  </r>
  <r>
    <x v="4"/>
    <s v="Supermarket and grocery stores"/>
    <s v="2019-03-01"/>
    <x v="0"/>
    <s v="March    "/>
    <s v="3"/>
    <n v="711.7"/>
    <m/>
  </r>
  <r>
    <x v="4"/>
    <s v="Supermarket and grocery stores"/>
    <s v="2019-04-01"/>
    <x v="0"/>
    <s v="April    "/>
    <s v="4"/>
    <n v="683.3"/>
    <m/>
  </r>
  <r>
    <x v="4"/>
    <s v="Supermarket and grocery stores"/>
    <s v="2019-05-01"/>
    <x v="0"/>
    <s v="May      "/>
    <s v="5"/>
    <n v="682"/>
    <m/>
  </r>
  <r>
    <x v="4"/>
    <s v="Supermarket and grocery stores"/>
    <s v="2019-06-01"/>
    <x v="0"/>
    <s v="June     "/>
    <s v="6"/>
    <n v="653.1"/>
    <m/>
  </r>
  <r>
    <x v="4"/>
    <s v="Supermarket and grocery stores"/>
    <s v="2019-07-01"/>
    <x v="0"/>
    <s v="July     "/>
    <s v="7"/>
    <n v="669.5"/>
    <m/>
  </r>
  <r>
    <x v="4"/>
    <s v="Supermarket and grocery stores"/>
    <s v="2019-08-01"/>
    <x v="0"/>
    <s v="August   "/>
    <s v="8"/>
    <n v="694.3"/>
    <m/>
  </r>
  <r>
    <x v="4"/>
    <s v="Supermarket and grocery stores"/>
    <s v="2019-09-01"/>
    <x v="0"/>
    <s v="September"/>
    <s v="9"/>
    <n v="676.2"/>
    <m/>
  </r>
  <r>
    <x v="4"/>
    <s v="Supermarket and grocery stores"/>
    <s v="2019-10-01"/>
    <x v="0"/>
    <s v="October  "/>
    <s v="10"/>
    <n v="707.5"/>
    <m/>
  </r>
  <r>
    <x v="4"/>
    <s v="Supermarket and grocery stores"/>
    <s v="2019-11-01"/>
    <x v="0"/>
    <s v="November "/>
    <s v="11"/>
    <n v="710.9"/>
    <m/>
  </r>
  <r>
    <x v="4"/>
    <s v="Supermarket and grocery stores"/>
    <s v="2019-12-01"/>
    <x v="0"/>
    <s v="December "/>
    <s v="12"/>
    <n v="788.7"/>
    <m/>
  </r>
  <r>
    <x v="4"/>
    <s v="Supermarket and grocery stores"/>
    <s v="2020-01-01"/>
    <x v="1"/>
    <s v="January  "/>
    <s v="1"/>
    <n v="711.6"/>
    <n v="0.08"/>
  </r>
  <r>
    <x v="4"/>
    <s v="Supermarket and grocery stores"/>
    <s v="2020-02-01"/>
    <x v="1"/>
    <s v="February "/>
    <s v="2"/>
    <n v="675.9"/>
    <n v="5.31"/>
  </r>
  <r>
    <x v="4"/>
    <s v="Supermarket and grocery stores"/>
    <s v="2020-03-01"/>
    <x v="1"/>
    <s v="March    "/>
    <s v="3"/>
    <n v="862.7"/>
    <n v="21.22"/>
  </r>
  <r>
    <x v="4"/>
    <s v="Supermarket and grocery stores"/>
    <s v="2020-04-01"/>
    <x v="1"/>
    <s v="April    "/>
    <s v="4"/>
    <n v="702.2"/>
    <n v="2.77"/>
  </r>
  <r>
    <x v="4"/>
    <s v="Supermarket and grocery stores"/>
    <s v="2020-05-01"/>
    <x v="1"/>
    <s v="May      "/>
    <s v="5"/>
    <n v="742.6"/>
    <n v="8.89"/>
  </r>
  <r>
    <x v="4"/>
    <s v="Supermarket and grocery stores"/>
    <s v="2020-06-01"/>
    <x v="1"/>
    <s v="June     "/>
    <s v="6"/>
    <n v="712.1"/>
    <n v="9.0299999999999994"/>
  </r>
  <r>
    <x v="4"/>
    <s v="Supermarket and grocery stores"/>
    <s v="2020-07-01"/>
    <x v="1"/>
    <s v="July     "/>
    <s v="7"/>
    <n v="752.5"/>
    <n v="12.4"/>
  </r>
  <r>
    <x v="4"/>
    <s v="Supermarket and grocery stores"/>
    <s v="2020-08-01"/>
    <x v="1"/>
    <s v="August   "/>
    <s v="8"/>
    <n v="755.5"/>
    <n v="8.81"/>
  </r>
  <r>
    <x v="4"/>
    <s v="Supermarket and grocery stores"/>
    <s v="2020-09-01"/>
    <x v="1"/>
    <s v="September"/>
    <s v="9"/>
    <n v="727.5"/>
    <n v="7.59"/>
  </r>
  <r>
    <x v="4"/>
    <s v="Supermarket and grocery stores"/>
    <s v="2020-10-01"/>
    <x v="1"/>
    <s v="October  "/>
    <s v="10"/>
    <n v="764.6"/>
    <n v="8.07"/>
  </r>
  <r>
    <x v="4"/>
    <s v="Supermarket and grocery stores"/>
    <s v="2020-11-01"/>
    <x v="1"/>
    <s v="November "/>
    <s v="11"/>
    <n v="786.9"/>
    <n v="10.69"/>
  </r>
  <r>
    <x v="4"/>
    <s v="Supermarket and grocery stores"/>
    <s v="2020-12-01"/>
    <x v="1"/>
    <s v="December "/>
    <s v="12"/>
    <n v="835.8"/>
    <n v="5.97"/>
  </r>
  <r>
    <x v="4"/>
    <s v="Supermarket and grocery stores"/>
    <s v="2021-01-01"/>
    <x v="2"/>
    <s v="January  "/>
    <s v="1"/>
    <n v="751.2"/>
    <n v="5.56"/>
  </r>
  <r>
    <x v="4"/>
    <s v="Supermarket and grocery stores"/>
    <s v="2021-02-01"/>
    <x v="2"/>
    <s v="February "/>
    <s v="2"/>
    <n v="669.7"/>
    <n v="-0.92"/>
  </r>
  <r>
    <x v="4"/>
    <s v="Supermarket and grocery stores"/>
    <s v="2021-03-01"/>
    <x v="2"/>
    <s v="March    "/>
    <s v="3"/>
    <n v="750.8"/>
    <n v="-12.97"/>
  </r>
  <r>
    <x v="4"/>
    <s v="Supermarket and grocery stores"/>
    <s v="2021-04-01"/>
    <x v="2"/>
    <s v="April    "/>
    <s v="4"/>
    <n v="705"/>
    <n v="0.4"/>
  </r>
  <r>
    <x v="4"/>
    <s v="Supermarket and grocery stores"/>
    <s v="2021-05-01"/>
    <x v="2"/>
    <s v="May      "/>
    <s v="5"/>
    <n v="728.8"/>
    <n v="-1.86"/>
  </r>
  <r>
    <x v="4"/>
    <s v="Supermarket and grocery stores"/>
    <s v="2021-06-01"/>
    <x v="2"/>
    <s v="June     "/>
    <s v="6"/>
    <n v="704.7"/>
    <n v="-1.04"/>
  </r>
  <r>
    <x v="4"/>
    <s v="Supermarket and grocery stores"/>
    <s v="2021-07-01"/>
    <x v="2"/>
    <s v="July     "/>
    <s v="7"/>
    <n v="745.2"/>
    <n v="-0.97"/>
  </r>
  <r>
    <x v="4"/>
    <s v="Supermarket and grocery stores"/>
    <s v="2021-08-01"/>
    <x v="2"/>
    <s v="August   "/>
    <s v="8"/>
    <n v="733.1"/>
    <n v="-2.96"/>
  </r>
  <r>
    <x v="4"/>
    <s v="Supermarket and grocery stores"/>
    <s v="2021-09-01"/>
    <x v="2"/>
    <s v="September"/>
    <s v="9"/>
    <n v="726.5"/>
    <n v="-0.14000000000000001"/>
  </r>
  <r>
    <x v="4"/>
    <s v="Supermarket and grocery stores"/>
    <s v="2021-10-01"/>
    <x v="2"/>
    <s v="October  "/>
    <s v="10"/>
    <n v="762.1"/>
    <n v="-0.33"/>
  </r>
  <r>
    <x v="4"/>
    <s v="Supermarket and grocery stores"/>
    <s v="2021-11-01"/>
    <x v="2"/>
    <s v="November "/>
    <s v="11"/>
    <n v="751.9"/>
    <n v="-4.45"/>
  </r>
  <r>
    <x v="4"/>
    <s v="Supermarket and grocery stores"/>
    <s v="2021-12-01"/>
    <x v="2"/>
    <s v="December "/>
    <s v="12"/>
    <n v="870.7"/>
    <n v="4.18"/>
  </r>
  <r>
    <x v="4"/>
    <s v="Supermarket and grocery stores"/>
    <s v="2022-01-01"/>
    <x v="3"/>
    <s v="January  "/>
    <s v="1"/>
    <n v="806.5"/>
    <n v="7.36"/>
  </r>
  <r>
    <x v="4"/>
    <s v="Supermarket and grocery stores"/>
    <s v="2022-02-01"/>
    <x v="3"/>
    <s v="February "/>
    <s v="2"/>
    <n v="717.8"/>
    <n v="7.18"/>
  </r>
  <r>
    <x v="4"/>
    <s v="Supermarket and grocery stores"/>
    <s v="2022-03-01"/>
    <x v="3"/>
    <s v="March    "/>
    <s v="3"/>
    <n v="794"/>
    <n v="5.75"/>
  </r>
  <r>
    <x v="4"/>
    <s v="Supermarket and grocery stores"/>
    <s v="2022-04-01"/>
    <x v="3"/>
    <s v="April    "/>
    <s v="4"/>
    <n v="790.6"/>
    <n v="12.14"/>
  </r>
  <r>
    <x v="4"/>
    <s v="Supermarket and grocery stores"/>
    <s v="2022-05-01"/>
    <x v="3"/>
    <s v="May      "/>
    <s v="5"/>
    <n v="787.2"/>
    <n v="8.01"/>
  </r>
  <r>
    <x v="4"/>
    <s v="Supermarket and grocery stores"/>
    <s v="2022-06-01"/>
    <x v="3"/>
    <s v="June     "/>
    <s v="6"/>
    <n v="761.5"/>
    <n v="8.06"/>
  </r>
  <r>
    <x v="4"/>
    <s v="Supermarket and grocery stores"/>
    <s v="2022-07-01"/>
    <x v="3"/>
    <s v="July     "/>
    <s v="7"/>
    <n v="802.8"/>
    <n v="7.73"/>
  </r>
  <r>
    <x v="4"/>
    <s v="Supermarket and grocery stores"/>
    <s v="2022-08-01"/>
    <x v="3"/>
    <s v="August   "/>
    <s v="8"/>
    <n v="818"/>
    <n v="11.58"/>
  </r>
  <r>
    <x v="4"/>
    <s v="Supermarket and grocery stores"/>
    <s v="2022-09-01"/>
    <x v="3"/>
    <s v="September"/>
    <s v="9"/>
    <n v="816.5"/>
    <n v="12.39"/>
  </r>
  <r>
    <x v="4"/>
    <s v="Supermarket and grocery stores"/>
    <s v="2022-10-01"/>
    <x v="3"/>
    <s v="October  "/>
    <s v="10"/>
    <n v="840"/>
    <n v="10.220000000000001"/>
  </r>
  <r>
    <x v="4"/>
    <s v="Supermarket and grocery stores"/>
    <s v="2022-11-01"/>
    <x v="3"/>
    <s v="November "/>
    <s v="11"/>
    <n v="838"/>
    <n v="11.45"/>
  </r>
  <r>
    <x v="4"/>
    <s v="Supermarket and grocery stores"/>
    <s v="2022-12-01"/>
    <x v="3"/>
    <s v="December "/>
    <s v="12"/>
    <n v="966.7"/>
    <n v="11.03"/>
  </r>
  <r>
    <x v="4"/>
    <s v="Supermarket and grocery stores"/>
    <s v="2023-01-01"/>
    <x v="4"/>
    <s v="January  "/>
    <s v="1"/>
    <n v="852.5"/>
    <n v="5.7"/>
  </r>
  <r>
    <x v="4"/>
    <s v="Supermarket and grocery stores"/>
    <s v="2023-02-01"/>
    <x v="4"/>
    <s v="February "/>
    <s v="2"/>
    <n v="788.6"/>
    <n v="9.86"/>
  </r>
  <r>
    <x v="4"/>
    <s v="Supermarket and grocery stores"/>
    <s v="2023-03-01"/>
    <x v="4"/>
    <s v="March    "/>
    <s v="3"/>
    <n v="862.4"/>
    <n v="8.61"/>
  </r>
  <r>
    <x v="4"/>
    <s v="Supermarket and grocery stores"/>
    <s v="2023-04-01"/>
    <x v="4"/>
    <s v="April    "/>
    <s v="4"/>
    <n v="837.7"/>
    <n v="5.96"/>
  </r>
  <r>
    <x v="4"/>
    <s v="Supermarket and grocery stores"/>
    <s v="2023-05-01"/>
    <x v="4"/>
    <s v="May      "/>
    <s v="5"/>
    <n v="834.4"/>
    <n v="6"/>
  </r>
  <r>
    <x v="4"/>
    <s v="Supermarket and grocery stores"/>
    <s v="2023-06-01"/>
    <x v="4"/>
    <s v="June     "/>
    <s v="6"/>
    <n v="807.6"/>
    <n v="6.05"/>
  </r>
  <r>
    <x v="4"/>
    <s v="Supermarket and grocery stores"/>
    <s v="2023-07-01"/>
    <x v="4"/>
    <s v="July     "/>
    <s v="7"/>
    <n v="831.4"/>
    <n v="3.56"/>
  </r>
  <r>
    <x v="4"/>
    <s v="Supermarket and grocery stores"/>
    <s v="2023-08-01"/>
    <x v="4"/>
    <s v="August   "/>
    <s v="8"/>
    <n v="838.7"/>
    <n v="2.5299999999999998"/>
  </r>
  <r>
    <x v="4"/>
    <s v="Supermarket and grocery stores"/>
    <s v="2023-09-01"/>
    <x v="4"/>
    <s v="September"/>
    <s v="9"/>
    <n v="842.6"/>
    <n v="3.2"/>
  </r>
  <r>
    <x v="4"/>
    <s v="Supermarket and grocery stores"/>
    <s v="2023-10-01"/>
    <x v="4"/>
    <s v="October  "/>
    <s v="10"/>
    <n v="859.2"/>
    <n v="2.29"/>
  </r>
  <r>
    <x v="4"/>
    <s v="Supermarket and grocery stores"/>
    <s v="2023-11-01"/>
    <x v="4"/>
    <s v="November "/>
    <s v="11"/>
    <n v="864.1"/>
    <n v="3.11"/>
  </r>
  <r>
    <x v="4"/>
    <s v="Supermarket and grocery stores"/>
    <s v="2023-12-01"/>
    <x v="4"/>
    <s v="December "/>
    <s v="12"/>
    <n v="954.8"/>
    <n v="-1.23"/>
  </r>
  <r>
    <x v="4"/>
    <s v="Supermarket and grocery stores"/>
    <s v="2024-01-01"/>
    <x v="5"/>
    <s v="January  "/>
    <s v="1"/>
    <n v="865"/>
    <n v="1.47"/>
  </r>
  <r>
    <x v="4"/>
    <s v="Supermarket and grocery stores"/>
    <s v="2024-02-01"/>
    <x v="5"/>
    <s v="February "/>
    <s v="2"/>
    <n v="822.2"/>
    <n v="4.26"/>
  </r>
  <r>
    <x v="4"/>
    <s v="Supermarket and grocery stores"/>
    <s v="2024-03-01"/>
    <x v="5"/>
    <s v="March    "/>
    <s v="3"/>
    <n v="902"/>
    <n v="4.59"/>
  </r>
  <r>
    <x v="4"/>
    <s v="Supermarket and grocery stores"/>
    <s v="2024-04-01"/>
    <x v="5"/>
    <s v="April    "/>
    <s v="4"/>
    <n v="827"/>
    <n v="-1.28"/>
  </r>
  <r>
    <x v="4"/>
    <s v="Supermarket and grocery stores"/>
    <s v="2024-05-01"/>
    <x v="5"/>
    <s v="May      "/>
    <s v="5"/>
    <n v="859.1"/>
    <n v="2.96"/>
  </r>
  <r>
    <x v="4"/>
    <s v="Supermarket and grocery stores"/>
    <s v="2024-06-01"/>
    <x v="5"/>
    <s v="June     "/>
    <s v="6"/>
    <n v="819.5"/>
    <n v="1.47"/>
  </r>
  <r>
    <x v="4"/>
    <s v="Supermarket and grocery stores"/>
    <s v="2024-07-01"/>
    <x v="5"/>
    <s v="July     "/>
    <s v="7"/>
    <n v="841.1"/>
    <n v="1.17"/>
  </r>
  <r>
    <x v="4"/>
    <s v="Supermarket and grocery stores"/>
    <s v="2024-08-01"/>
    <x v="5"/>
    <s v="August   "/>
    <s v="8"/>
    <n v="868.1"/>
    <n v="3.51"/>
  </r>
  <r>
    <x v="4"/>
    <s v="Supermarket and grocery stores"/>
    <s v="2024-09-01"/>
    <x v="5"/>
    <s v="September"/>
    <s v="9"/>
    <n v="840.4"/>
    <n v="-0.26"/>
  </r>
  <r>
    <x v="4"/>
    <s v="Supermarket and grocery stores"/>
    <s v="2024-10-01"/>
    <x v="5"/>
    <s v="October  "/>
    <s v="10"/>
    <n v="884.5"/>
    <n v="2.94"/>
  </r>
  <r>
    <x v="4"/>
    <s v="Supermarket and grocery stores"/>
    <s v="2024-11-01"/>
    <x v="5"/>
    <s v="November "/>
    <s v="11"/>
    <n v="890.8"/>
    <n v="3.09"/>
  </r>
  <r>
    <x v="4"/>
    <s v="Supermarket and grocery stores"/>
    <s v="2024-12-01"/>
    <x v="5"/>
    <s v="December "/>
    <s v="12"/>
    <n v="976.7"/>
    <n v="2.29"/>
  </r>
  <r>
    <x v="4"/>
    <s v="Supermarket and grocery stores"/>
    <s v="2025-01-01"/>
    <x v="6"/>
    <s v="January  "/>
    <s v="1"/>
    <n v="895.3"/>
    <n v="3.5"/>
  </r>
  <r>
    <x v="4"/>
    <s v="Supermarket and grocery stores"/>
    <s v="2025-02-01"/>
    <x v="6"/>
    <s v="February "/>
    <s v="2"/>
    <n v="823.8"/>
    <n v="0.19"/>
  </r>
  <r>
    <x v="4"/>
    <s v="Supermarket and grocery stores"/>
    <s v="2025-03-01"/>
    <x v="6"/>
    <s v="March    "/>
    <s v="3"/>
    <n v="907.8"/>
    <n v="0.64"/>
  </r>
  <r>
    <x v="4"/>
    <s v="Supermarket and grocery stores"/>
    <s v="2025-04-01"/>
    <x v="6"/>
    <s v="April    "/>
    <s v="4"/>
    <n v="878.6"/>
    <n v="6.24"/>
  </r>
  <r>
    <x v="4"/>
    <s v="Supermarket and grocery stores"/>
    <s v="2025-05-01"/>
    <x v="6"/>
    <s v="May      "/>
    <s v="5"/>
    <n v="885.4"/>
    <n v="3.06"/>
  </r>
  <r>
    <x v="4"/>
    <s v="Supermarket and grocery stores"/>
    <s v="2025-06-01"/>
    <x v="6"/>
    <s v="June     "/>
    <s v="6"/>
    <n v="837.8"/>
    <n v="2.23"/>
  </r>
  <r>
    <x v="4"/>
    <s v="Takeaway food services"/>
    <s v="2019-01-01"/>
    <x v="0"/>
    <s v="January  "/>
    <s v="1"/>
    <n v="91.5"/>
    <m/>
  </r>
  <r>
    <x v="4"/>
    <s v="Takeaway food services"/>
    <s v="2019-02-01"/>
    <x v="0"/>
    <s v="February "/>
    <s v="2"/>
    <n v="83.7"/>
    <m/>
  </r>
  <r>
    <x v="4"/>
    <s v="Takeaway food services"/>
    <s v="2019-03-01"/>
    <x v="0"/>
    <s v="March    "/>
    <s v="3"/>
    <n v="94.7"/>
    <m/>
  </r>
  <r>
    <x v="4"/>
    <s v="Takeaway food services"/>
    <s v="2019-04-01"/>
    <x v="0"/>
    <s v="April    "/>
    <s v="4"/>
    <n v="90.3"/>
    <m/>
  </r>
  <r>
    <x v="4"/>
    <s v="Takeaway food services"/>
    <s v="2019-05-01"/>
    <x v="0"/>
    <s v="May      "/>
    <s v="5"/>
    <n v="91.2"/>
    <m/>
  </r>
  <r>
    <x v="4"/>
    <s v="Takeaway food services"/>
    <s v="2019-06-01"/>
    <x v="0"/>
    <s v="June     "/>
    <s v="6"/>
    <n v="91.1"/>
    <m/>
  </r>
  <r>
    <x v="4"/>
    <s v="Takeaway food services"/>
    <s v="2019-07-01"/>
    <x v="0"/>
    <s v="July     "/>
    <s v="7"/>
    <n v="93.4"/>
    <m/>
  </r>
  <r>
    <x v="4"/>
    <s v="Takeaway food services"/>
    <s v="2019-08-01"/>
    <x v="0"/>
    <s v="August   "/>
    <s v="8"/>
    <n v="93.9"/>
    <m/>
  </r>
  <r>
    <x v="4"/>
    <s v="Takeaway food services"/>
    <s v="2019-09-01"/>
    <x v="0"/>
    <s v="September"/>
    <s v="9"/>
    <n v="94.1"/>
    <m/>
  </r>
  <r>
    <x v="4"/>
    <s v="Takeaway food services"/>
    <s v="2019-10-01"/>
    <x v="0"/>
    <s v="October  "/>
    <s v="10"/>
    <n v="100.8"/>
    <m/>
  </r>
  <r>
    <x v="4"/>
    <s v="Takeaway food services"/>
    <s v="2019-11-01"/>
    <x v="0"/>
    <s v="November "/>
    <s v="11"/>
    <n v="102.1"/>
    <m/>
  </r>
  <r>
    <x v="4"/>
    <s v="Takeaway food services"/>
    <s v="2019-12-01"/>
    <x v="0"/>
    <s v="December "/>
    <s v="12"/>
    <n v="108"/>
    <m/>
  </r>
  <r>
    <x v="4"/>
    <s v="Takeaway food services"/>
    <s v="2020-01-01"/>
    <x v="1"/>
    <s v="January  "/>
    <s v="1"/>
    <n v="97.9"/>
    <n v="6.99"/>
  </r>
  <r>
    <x v="4"/>
    <s v="Takeaway food services"/>
    <s v="2020-02-01"/>
    <x v="1"/>
    <s v="February "/>
    <s v="2"/>
    <n v="92.9"/>
    <n v="10.99"/>
  </r>
  <r>
    <x v="4"/>
    <s v="Takeaway food services"/>
    <s v="2020-03-01"/>
    <x v="1"/>
    <s v="March    "/>
    <s v="3"/>
    <n v="88.5"/>
    <n v="-6.55"/>
  </r>
  <r>
    <x v="4"/>
    <s v="Takeaway food services"/>
    <s v="2020-04-01"/>
    <x v="1"/>
    <s v="April    "/>
    <s v="4"/>
    <n v="78.599999999999994"/>
    <n v="-12.96"/>
  </r>
  <r>
    <x v="4"/>
    <s v="Takeaway food services"/>
    <s v="2020-05-01"/>
    <x v="1"/>
    <s v="May      "/>
    <s v="5"/>
    <n v="92.3"/>
    <n v="1.21"/>
  </r>
  <r>
    <x v="4"/>
    <s v="Takeaway food services"/>
    <s v="2020-06-01"/>
    <x v="1"/>
    <s v="June     "/>
    <s v="6"/>
    <n v="94.3"/>
    <n v="3.51"/>
  </r>
  <r>
    <x v="4"/>
    <s v="Takeaway food services"/>
    <s v="2020-07-01"/>
    <x v="1"/>
    <s v="July     "/>
    <s v="7"/>
    <n v="110"/>
    <n v="17.77"/>
  </r>
  <r>
    <x v="4"/>
    <s v="Takeaway food services"/>
    <s v="2020-08-01"/>
    <x v="1"/>
    <s v="August   "/>
    <s v="8"/>
    <n v="106.8"/>
    <n v="13.74"/>
  </r>
  <r>
    <x v="4"/>
    <s v="Takeaway food services"/>
    <s v="2020-09-01"/>
    <x v="1"/>
    <s v="September"/>
    <s v="9"/>
    <n v="107.2"/>
    <n v="13.92"/>
  </r>
  <r>
    <x v="4"/>
    <s v="Takeaway food services"/>
    <s v="2020-10-01"/>
    <x v="1"/>
    <s v="October  "/>
    <s v="10"/>
    <n v="112.8"/>
    <n v="11.9"/>
  </r>
  <r>
    <x v="4"/>
    <s v="Takeaway food services"/>
    <s v="2020-11-01"/>
    <x v="1"/>
    <s v="November "/>
    <s v="11"/>
    <n v="96.7"/>
    <n v="-5.29"/>
  </r>
  <r>
    <x v="4"/>
    <s v="Takeaway food services"/>
    <s v="2020-12-01"/>
    <x v="1"/>
    <s v="December "/>
    <s v="12"/>
    <n v="115.7"/>
    <n v="7.13"/>
  </r>
  <r>
    <x v="4"/>
    <s v="Takeaway food services"/>
    <s v="2021-01-01"/>
    <x v="2"/>
    <s v="January  "/>
    <s v="1"/>
    <n v="110.2"/>
    <n v="12.56"/>
  </r>
  <r>
    <x v="4"/>
    <s v="Takeaway food services"/>
    <s v="2021-02-01"/>
    <x v="2"/>
    <s v="February "/>
    <s v="2"/>
    <n v="100.5"/>
    <n v="8.18"/>
  </r>
  <r>
    <x v="4"/>
    <s v="Takeaway food services"/>
    <s v="2021-03-01"/>
    <x v="2"/>
    <s v="March    "/>
    <s v="3"/>
    <n v="112.6"/>
    <n v="27.23"/>
  </r>
  <r>
    <x v="4"/>
    <s v="Takeaway food services"/>
    <s v="2021-04-01"/>
    <x v="2"/>
    <s v="April    "/>
    <s v="4"/>
    <n v="112.7"/>
    <n v="43.38"/>
  </r>
  <r>
    <x v="4"/>
    <s v="Takeaway food services"/>
    <s v="2021-05-01"/>
    <x v="2"/>
    <s v="May      "/>
    <s v="5"/>
    <n v="112.2"/>
    <n v="21.56"/>
  </r>
  <r>
    <x v="4"/>
    <s v="Takeaway food services"/>
    <s v="2021-06-01"/>
    <x v="2"/>
    <s v="June     "/>
    <s v="6"/>
    <n v="112.8"/>
    <n v="19.62"/>
  </r>
  <r>
    <x v="4"/>
    <s v="Takeaway food services"/>
    <s v="2021-07-01"/>
    <x v="2"/>
    <s v="July     "/>
    <s v="7"/>
    <n v="109.2"/>
    <n v="-0.73"/>
  </r>
  <r>
    <x v="4"/>
    <s v="Takeaway food services"/>
    <s v="2021-08-01"/>
    <x v="2"/>
    <s v="August   "/>
    <s v="8"/>
    <n v="116.6"/>
    <n v="9.18"/>
  </r>
  <r>
    <x v="4"/>
    <s v="Takeaway food services"/>
    <s v="2021-09-01"/>
    <x v="2"/>
    <s v="September"/>
    <s v="9"/>
    <n v="116.6"/>
    <n v="8.77"/>
  </r>
  <r>
    <x v="4"/>
    <s v="Takeaway food services"/>
    <s v="2021-10-01"/>
    <x v="2"/>
    <s v="October  "/>
    <s v="10"/>
    <n v="120.3"/>
    <n v="6.65"/>
  </r>
  <r>
    <x v="4"/>
    <s v="Takeaway food services"/>
    <s v="2021-11-01"/>
    <x v="2"/>
    <s v="November "/>
    <s v="11"/>
    <n v="113.5"/>
    <n v="17.37"/>
  </r>
  <r>
    <x v="4"/>
    <s v="Takeaway food services"/>
    <s v="2021-12-01"/>
    <x v="2"/>
    <s v="December "/>
    <s v="12"/>
    <n v="119.8"/>
    <n v="3.54"/>
  </r>
  <r>
    <x v="4"/>
    <s v="Takeaway food services"/>
    <s v="2022-01-01"/>
    <x v="3"/>
    <s v="January  "/>
    <s v="1"/>
    <n v="106.6"/>
    <n v="-3.27"/>
  </r>
  <r>
    <x v="4"/>
    <s v="Takeaway food services"/>
    <s v="2022-02-01"/>
    <x v="3"/>
    <s v="February "/>
    <s v="2"/>
    <n v="94.4"/>
    <n v="-6.07"/>
  </r>
  <r>
    <x v="4"/>
    <s v="Takeaway food services"/>
    <s v="2022-03-01"/>
    <x v="3"/>
    <s v="March    "/>
    <s v="3"/>
    <n v="110.8"/>
    <n v="-1.6"/>
  </r>
  <r>
    <x v="4"/>
    <s v="Takeaway food services"/>
    <s v="2022-04-01"/>
    <x v="3"/>
    <s v="April    "/>
    <s v="4"/>
    <n v="111.2"/>
    <n v="-1.33"/>
  </r>
  <r>
    <x v="4"/>
    <s v="Takeaway food services"/>
    <s v="2022-05-01"/>
    <x v="3"/>
    <s v="May      "/>
    <s v="5"/>
    <n v="113.8"/>
    <n v="1.43"/>
  </r>
  <r>
    <x v="4"/>
    <s v="Takeaway food services"/>
    <s v="2022-06-01"/>
    <x v="3"/>
    <s v="June     "/>
    <s v="6"/>
    <n v="114.6"/>
    <n v="1.6"/>
  </r>
  <r>
    <x v="4"/>
    <s v="Takeaway food services"/>
    <s v="2022-07-01"/>
    <x v="3"/>
    <s v="July     "/>
    <s v="7"/>
    <n v="126.3"/>
    <n v="15.66"/>
  </r>
  <r>
    <x v="4"/>
    <s v="Takeaway food services"/>
    <s v="2022-08-01"/>
    <x v="3"/>
    <s v="August   "/>
    <s v="8"/>
    <n v="125.1"/>
    <n v="7.29"/>
  </r>
  <r>
    <x v="4"/>
    <s v="Takeaway food services"/>
    <s v="2022-09-01"/>
    <x v="3"/>
    <s v="September"/>
    <s v="9"/>
    <n v="124.5"/>
    <n v="6.78"/>
  </r>
  <r>
    <x v="4"/>
    <s v="Takeaway food services"/>
    <s v="2022-10-01"/>
    <x v="3"/>
    <s v="October  "/>
    <s v="10"/>
    <n v="123.3"/>
    <n v="2.4900000000000002"/>
  </r>
  <r>
    <x v="4"/>
    <s v="Takeaway food services"/>
    <s v="2022-11-01"/>
    <x v="3"/>
    <s v="November "/>
    <s v="11"/>
    <n v="123.6"/>
    <n v="8.9"/>
  </r>
  <r>
    <x v="4"/>
    <s v="Takeaway food services"/>
    <s v="2022-12-01"/>
    <x v="3"/>
    <s v="December "/>
    <s v="12"/>
    <n v="133.6"/>
    <n v="11.52"/>
  </r>
  <r>
    <x v="4"/>
    <s v="Takeaway food services"/>
    <s v="2023-01-01"/>
    <x v="4"/>
    <s v="January  "/>
    <s v="1"/>
    <n v="118.8"/>
    <n v="11.44"/>
  </r>
  <r>
    <x v="4"/>
    <s v="Takeaway food services"/>
    <s v="2023-02-01"/>
    <x v="4"/>
    <s v="February "/>
    <s v="2"/>
    <n v="106.9"/>
    <n v="13.24"/>
  </r>
  <r>
    <x v="4"/>
    <s v="Takeaway food services"/>
    <s v="2023-03-01"/>
    <x v="4"/>
    <s v="March    "/>
    <s v="3"/>
    <n v="123.1"/>
    <n v="11.1"/>
  </r>
  <r>
    <x v="4"/>
    <s v="Takeaway food services"/>
    <s v="2023-04-01"/>
    <x v="4"/>
    <s v="April    "/>
    <s v="4"/>
    <n v="122.6"/>
    <n v="10.25"/>
  </r>
  <r>
    <x v="4"/>
    <s v="Takeaway food services"/>
    <s v="2023-05-01"/>
    <x v="4"/>
    <s v="May      "/>
    <s v="5"/>
    <n v="124"/>
    <n v="8.9600000000000009"/>
  </r>
  <r>
    <x v="4"/>
    <s v="Takeaway food services"/>
    <s v="2023-06-01"/>
    <x v="4"/>
    <s v="June     "/>
    <s v="6"/>
    <n v="122.5"/>
    <n v="6.89"/>
  </r>
  <r>
    <x v="4"/>
    <s v="Takeaway food services"/>
    <s v="2023-07-01"/>
    <x v="4"/>
    <s v="July     "/>
    <s v="7"/>
    <n v="131.69999999999999"/>
    <n v="4.28"/>
  </r>
  <r>
    <x v="4"/>
    <s v="Takeaway food services"/>
    <s v="2023-08-01"/>
    <x v="4"/>
    <s v="August   "/>
    <s v="8"/>
    <n v="131.19999999999999"/>
    <n v="4.88"/>
  </r>
  <r>
    <x v="4"/>
    <s v="Takeaway food services"/>
    <s v="2023-09-01"/>
    <x v="4"/>
    <s v="September"/>
    <s v="9"/>
    <n v="129.80000000000001"/>
    <n v="4.26"/>
  </r>
  <r>
    <x v="4"/>
    <s v="Takeaway food services"/>
    <s v="2023-10-01"/>
    <x v="4"/>
    <s v="October  "/>
    <s v="10"/>
    <n v="134.80000000000001"/>
    <n v="9.33"/>
  </r>
  <r>
    <x v="4"/>
    <s v="Takeaway food services"/>
    <s v="2023-11-01"/>
    <x v="4"/>
    <s v="November "/>
    <s v="11"/>
    <n v="128.80000000000001"/>
    <n v="4.21"/>
  </r>
  <r>
    <x v="4"/>
    <s v="Takeaway food services"/>
    <s v="2023-12-01"/>
    <x v="4"/>
    <s v="December "/>
    <s v="12"/>
    <n v="136.5"/>
    <n v="2.17"/>
  </r>
  <r>
    <x v="4"/>
    <s v="Takeaway food services"/>
    <s v="2024-01-01"/>
    <x v="5"/>
    <s v="January  "/>
    <s v="1"/>
    <n v="126.2"/>
    <n v="6.23"/>
  </r>
  <r>
    <x v="4"/>
    <s v="Takeaway food services"/>
    <s v="2024-02-01"/>
    <x v="5"/>
    <s v="February "/>
    <s v="2"/>
    <n v="120.2"/>
    <n v="12.44"/>
  </r>
  <r>
    <x v="4"/>
    <s v="Takeaway food services"/>
    <s v="2024-03-01"/>
    <x v="5"/>
    <s v="March    "/>
    <s v="3"/>
    <n v="126.9"/>
    <n v="3.09"/>
  </r>
  <r>
    <x v="4"/>
    <s v="Takeaway food services"/>
    <s v="2024-04-01"/>
    <x v="5"/>
    <s v="April    "/>
    <s v="4"/>
    <n v="129.6"/>
    <n v="5.71"/>
  </r>
  <r>
    <x v="4"/>
    <s v="Takeaway food services"/>
    <s v="2024-05-01"/>
    <x v="5"/>
    <s v="May      "/>
    <s v="5"/>
    <n v="128.4"/>
    <n v="3.55"/>
  </r>
  <r>
    <x v="4"/>
    <s v="Takeaway food services"/>
    <s v="2024-06-01"/>
    <x v="5"/>
    <s v="June     "/>
    <s v="6"/>
    <n v="124.7"/>
    <n v="1.8"/>
  </r>
  <r>
    <x v="4"/>
    <s v="Takeaway food services"/>
    <s v="2024-07-01"/>
    <x v="5"/>
    <s v="July     "/>
    <s v="7"/>
    <n v="134.5"/>
    <n v="2.13"/>
  </r>
  <r>
    <x v="4"/>
    <s v="Takeaway food services"/>
    <s v="2024-08-01"/>
    <x v="5"/>
    <s v="August   "/>
    <s v="8"/>
    <n v="133.19999999999999"/>
    <n v="1.52"/>
  </r>
  <r>
    <x v="4"/>
    <s v="Takeaway food services"/>
    <s v="2024-09-01"/>
    <x v="5"/>
    <s v="September"/>
    <s v="9"/>
    <n v="128.1"/>
    <n v="-1.31"/>
  </r>
  <r>
    <x v="4"/>
    <s v="Takeaway food services"/>
    <s v="2024-10-01"/>
    <x v="5"/>
    <s v="October  "/>
    <s v="10"/>
    <n v="131.80000000000001"/>
    <n v="-2.23"/>
  </r>
  <r>
    <x v="4"/>
    <s v="Takeaway food services"/>
    <s v="2024-11-01"/>
    <x v="5"/>
    <s v="November "/>
    <s v="11"/>
    <n v="131.30000000000001"/>
    <n v="1.94"/>
  </r>
  <r>
    <x v="4"/>
    <s v="Takeaway food services"/>
    <s v="2024-12-01"/>
    <x v="5"/>
    <s v="December "/>
    <s v="12"/>
    <n v="134.80000000000001"/>
    <n v="-1.25"/>
  </r>
  <r>
    <x v="4"/>
    <s v="Takeaway food services"/>
    <s v="2025-01-01"/>
    <x v="6"/>
    <s v="January  "/>
    <s v="1"/>
    <n v="121.9"/>
    <n v="-3.41"/>
  </r>
  <r>
    <x v="4"/>
    <s v="Takeaway food services"/>
    <s v="2025-02-01"/>
    <x v="6"/>
    <s v="February "/>
    <s v="2"/>
    <n v="114.9"/>
    <n v="-4.41"/>
  </r>
  <r>
    <x v="4"/>
    <s v="Takeaway food services"/>
    <s v="2025-03-01"/>
    <x v="6"/>
    <s v="March    "/>
    <s v="3"/>
    <n v="124.7"/>
    <n v="-1.73"/>
  </r>
  <r>
    <x v="4"/>
    <s v="Takeaway food services"/>
    <s v="2025-04-01"/>
    <x v="6"/>
    <s v="April    "/>
    <s v="4"/>
    <n v="126.1"/>
    <n v="-2.7"/>
  </r>
  <r>
    <x v="4"/>
    <s v="Takeaway food services"/>
    <s v="2025-05-01"/>
    <x v="6"/>
    <s v="May      "/>
    <s v="5"/>
    <n v="128.6"/>
    <n v="0.16"/>
  </r>
  <r>
    <x v="4"/>
    <s v="Takeaway food services"/>
    <s v="2025-06-01"/>
    <x v="6"/>
    <s v="June     "/>
    <s v="6"/>
    <n v="122.4"/>
    <n v="-1.84"/>
  </r>
  <r>
    <x v="5"/>
    <s v="Cafes, restaurants and catering services"/>
    <s v="2019-01-01"/>
    <x v="0"/>
    <s v="January  "/>
    <s v="1"/>
    <n v="32.1"/>
    <m/>
  </r>
  <r>
    <x v="5"/>
    <s v="Cafes, restaurants and catering services"/>
    <s v="2019-02-01"/>
    <x v="0"/>
    <s v="February "/>
    <s v="2"/>
    <n v="27.1"/>
    <m/>
  </r>
  <r>
    <x v="5"/>
    <s v="Cafes, restaurants and catering services"/>
    <s v="2019-03-01"/>
    <x v="0"/>
    <s v="March    "/>
    <s v="3"/>
    <n v="31.8"/>
    <m/>
  </r>
  <r>
    <x v="5"/>
    <s v="Cafes, restaurants and catering services"/>
    <s v="2019-04-01"/>
    <x v="0"/>
    <s v="April    "/>
    <s v="4"/>
    <n v="32.200000000000003"/>
    <m/>
  </r>
  <r>
    <x v="5"/>
    <s v="Cafes, restaurants and catering services"/>
    <s v="2019-05-01"/>
    <x v="0"/>
    <s v="May      "/>
    <s v="5"/>
    <n v="30.4"/>
    <m/>
  </r>
  <r>
    <x v="5"/>
    <s v="Cafes, restaurants and catering services"/>
    <s v="2019-06-01"/>
    <x v="0"/>
    <s v="June     "/>
    <s v="6"/>
    <n v="29.6"/>
    <m/>
  </r>
  <r>
    <x v="5"/>
    <s v="Cafes, restaurants and catering services"/>
    <s v="2019-07-01"/>
    <x v="0"/>
    <s v="July     "/>
    <s v="7"/>
    <n v="26.7"/>
    <m/>
  </r>
  <r>
    <x v="5"/>
    <s v="Cafes, restaurants and catering services"/>
    <s v="2019-08-01"/>
    <x v="0"/>
    <s v="August   "/>
    <s v="8"/>
    <n v="27.7"/>
    <m/>
  </r>
  <r>
    <x v="5"/>
    <s v="Cafes, restaurants and catering services"/>
    <s v="2019-09-01"/>
    <x v="0"/>
    <s v="September"/>
    <s v="9"/>
    <n v="30.5"/>
    <m/>
  </r>
  <r>
    <x v="5"/>
    <s v="Cafes, restaurants and catering services"/>
    <s v="2019-10-01"/>
    <x v="0"/>
    <s v="October  "/>
    <s v="10"/>
    <n v="31.7"/>
    <m/>
  </r>
  <r>
    <x v="5"/>
    <s v="Cafes, restaurants and catering services"/>
    <s v="2019-11-01"/>
    <x v="0"/>
    <s v="November "/>
    <s v="11"/>
    <n v="32.6"/>
    <m/>
  </r>
  <r>
    <x v="5"/>
    <s v="Cafes, restaurants and catering services"/>
    <s v="2019-12-01"/>
    <x v="0"/>
    <s v="December "/>
    <s v="12"/>
    <n v="38.200000000000003"/>
    <m/>
  </r>
  <r>
    <x v="5"/>
    <s v="Cafes, restaurants and catering services"/>
    <s v="2020-01-01"/>
    <x v="1"/>
    <s v="January  "/>
    <s v="1"/>
    <n v="35.799999999999997"/>
    <n v="11.53"/>
  </r>
  <r>
    <x v="5"/>
    <s v="Cafes, restaurants and catering services"/>
    <s v="2020-02-01"/>
    <x v="1"/>
    <s v="February "/>
    <s v="2"/>
    <n v="32.799999999999997"/>
    <n v="21.03"/>
  </r>
  <r>
    <x v="5"/>
    <s v="Cafes, restaurants and catering services"/>
    <s v="2020-03-01"/>
    <x v="1"/>
    <s v="March    "/>
    <s v="3"/>
    <n v="18.600000000000001"/>
    <n v="-41.51"/>
  </r>
  <r>
    <x v="5"/>
    <s v="Cafes, restaurants and catering services"/>
    <s v="2020-04-01"/>
    <x v="1"/>
    <s v="April    "/>
    <s v="4"/>
    <n v="4.5999999999999996"/>
    <n v="-85.71"/>
  </r>
  <r>
    <x v="5"/>
    <s v="Cafes, restaurants and catering services"/>
    <s v="2020-05-01"/>
    <x v="1"/>
    <s v="May      "/>
    <s v="5"/>
    <n v="7.1"/>
    <n v="-76.64"/>
  </r>
  <r>
    <x v="5"/>
    <s v="Cafes, restaurants and catering services"/>
    <s v="2020-06-01"/>
    <x v="1"/>
    <s v="June     "/>
    <s v="6"/>
    <n v="20.7"/>
    <n v="-30.07"/>
  </r>
  <r>
    <x v="5"/>
    <s v="Cafes, restaurants and catering services"/>
    <s v="2020-07-01"/>
    <x v="1"/>
    <s v="July     "/>
    <s v="7"/>
    <n v="28.6"/>
    <n v="7.12"/>
  </r>
  <r>
    <x v="5"/>
    <s v="Cafes, restaurants and catering services"/>
    <s v="2020-08-01"/>
    <x v="1"/>
    <s v="August   "/>
    <s v="8"/>
    <n v="27.8"/>
    <n v="0.36"/>
  </r>
  <r>
    <x v="5"/>
    <s v="Cafes, restaurants and catering services"/>
    <s v="2020-09-01"/>
    <x v="1"/>
    <s v="September"/>
    <s v="9"/>
    <n v="28.4"/>
    <n v="-6.89"/>
  </r>
  <r>
    <x v="5"/>
    <s v="Cafes, restaurants and catering services"/>
    <s v="2020-10-01"/>
    <x v="1"/>
    <s v="October  "/>
    <s v="10"/>
    <n v="28.9"/>
    <n v="-8.83"/>
  </r>
  <r>
    <x v="5"/>
    <s v="Cafes, restaurants and catering services"/>
    <s v="2020-11-01"/>
    <x v="1"/>
    <s v="November "/>
    <s v="11"/>
    <n v="32.200000000000003"/>
    <n v="-1.23"/>
  </r>
  <r>
    <x v="5"/>
    <s v="Cafes, restaurants and catering services"/>
    <s v="2020-12-01"/>
    <x v="1"/>
    <s v="December "/>
    <s v="12"/>
    <n v="32.5"/>
    <n v="-14.92"/>
  </r>
  <r>
    <x v="5"/>
    <s v="Cafes, restaurants and catering services"/>
    <s v="2021-01-01"/>
    <x v="2"/>
    <s v="January  "/>
    <s v="1"/>
    <n v="34.200000000000003"/>
    <n v="-4.47"/>
  </r>
  <r>
    <x v="5"/>
    <s v="Cafes, restaurants and catering services"/>
    <s v="2021-02-01"/>
    <x v="2"/>
    <s v="February "/>
    <s v="2"/>
    <n v="32.6"/>
    <n v="-0.61"/>
  </r>
  <r>
    <x v="5"/>
    <s v="Cafes, restaurants and catering services"/>
    <s v="2021-03-01"/>
    <x v="2"/>
    <s v="March    "/>
    <s v="3"/>
    <n v="36.4"/>
    <n v="95.7"/>
  </r>
  <r>
    <x v="5"/>
    <s v="Cafes, restaurants and catering services"/>
    <s v="2021-04-01"/>
    <x v="2"/>
    <s v="April    "/>
    <s v="4"/>
    <n v="34"/>
    <n v="639.13"/>
  </r>
  <r>
    <x v="5"/>
    <s v="Cafes, restaurants and catering services"/>
    <s v="2021-05-01"/>
    <x v="2"/>
    <s v="May      "/>
    <s v="5"/>
    <n v="35"/>
    <n v="392.96"/>
  </r>
  <r>
    <x v="5"/>
    <s v="Cafes, restaurants and catering services"/>
    <s v="2021-06-01"/>
    <x v="2"/>
    <s v="June     "/>
    <s v="6"/>
    <n v="32.6"/>
    <n v="57.49"/>
  </r>
  <r>
    <x v="5"/>
    <s v="Cafes, restaurants and catering services"/>
    <s v="2021-07-01"/>
    <x v="2"/>
    <s v="July     "/>
    <s v="7"/>
    <n v="33.299999999999997"/>
    <n v="16.43"/>
  </r>
  <r>
    <x v="5"/>
    <s v="Cafes, restaurants and catering services"/>
    <s v="2021-08-01"/>
    <x v="2"/>
    <s v="August   "/>
    <s v="8"/>
    <n v="37.299999999999997"/>
    <n v="34.17"/>
  </r>
  <r>
    <x v="5"/>
    <s v="Cafes, restaurants and catering services"/>
    <s v="2021-09-01"/>
    <x v="2"/>
    <s v="September"/>
    <s v="9"/>
    <n v="40.4"/>
    <n v="42.25"/>
  </r>
  <r>
    <x v="5"/>
    <s v="Cafes, restaurants and catering services"/>
    <s v="2021-10-01"/>
    <x v="2"/>
    <s v="October  "/>
    <s v="10"/>
    <n v="43.9"/>
    <n v="51.9"/>
  </r>
  <r>
    <x v="5"/>
    <s v="Cafes, restaurants and catering services"/>
    <s v="2021-11-01"/>
    <x v="2"/>
    <s v="November "/>
    <s v="11"/>
    <n v="44.9"/>
    <n v="39.44"/>
  </r>
  <r>
    <x v="5"/>
    <s v="Cafes, restaurants and catering services"/>
    <s v="2021-12-01"/>
    <x v="2"/>
    <s v="December "/>
    <s v="12"/>
    <n v="48"/>
    <n v="47.69"/>
  </r>
  <r>
    <x v="5"/>
    <s v="Cafes, restaurants and catering services"/>
    <s v="2022-01-01"/>
    <x v="3"/>
    <s v="January  "/>
    <s v="1"/>
    <n v="46.6"/>
    <n v="36.26"/>
  </r>
  <r>
    <x v="5"/>
    <s v="Cafes, restaurants and catering services"/>
    <s v="2022-02-01"/>
    <x v="3"/>
    <s v="February "/>
    <s v="2"/>
    <n v="46.7"/>
    <n v="43.25"/>
  </r>
  <r>
    <x v="5"/>
    <s v="Cafes, restaurants and catering services"/>
    <s v="2022-03-01"/>
    <x v="3"/>
    <s v="March    "/>
    <s v="3"/>
    <n v="51.6"/>
    <n v="41.76"/>
  </r>
  <r>
    <x v="5"/>
    <s v="Cafes, restaurants and catering services"/>
    <s v="2022-04-01"/>
    <x v="3"/>
    <s v="April    "/>
    <s v="4"/>
    <n v="46.1"/>
    <n v="35.590000000000003"/>
  </r>
  <r>
    <x v="5"/>
    <s v="Cafes, restaurants and catering services"/>
    <s v="2022-05-01"/>
    <x v="3"/>
    <s v="May      "/>
    <s v="5"/>
    <n v="49.5"/>
    <n v="41.43"/>
  </r>
  <r>
    <x v="5"/>
    <s v="Cafes, restaurants and catering services"/>
    <s v="2022-06-01"/>
    <x v="3"/>
    <s v="June     "/>
    <s v="6"/>
    <n v="49.6"/>
    <n v="52.15"/>
  </r>
  <r>
    <x v="5"/>
    <s v="Cafes, restaurants and catering services"/>
    <s v="2022-07-01"/>
    <x v="3"/>
    <s v="July     "/>
    <s v="7"/>
    <n v="53.8"/>
    <n v="61.56"/>
  </r>
  <r>
    <x v="5"/>
    <s v="Cafes, restaurants and catering services"/>
    <s v="2022-08-01"/>
    <x v="3"/>
    <s v="August   "/>
    <s v="8"/>
    <n v="54.4"/>
    <n v="45.84"/>
  </r>
  <r>
    <x v="5"/>
    <s v="Cafes, restaurants and catering services"/>
    <s v="2022-09-01"/>
    <x v="3"/>
    <s v="September"/>
    <s v="9"/>
    <n v="51.4"/>
    <n v="27.23"/>
  </r>
  <r>
    <x v="5"/>
    <s v="Cafes, restaurants and catering services"/>
    <s v="2022-10-01"/>
    <x v="3"/>
    <s v="October  "/>
    <s v="10"/>
    <n v="54.2"/>
    <n v="23.46"/>
  </r>
  <r>
    <x v="5"/>
    <s v="Cafes, restaurants and catering services"/>
    <s v="2022-11-01"/>
    <x v="3"/>
    <s v="November "/>
    <s v="11"/>
    <n v="54.2"/>
    <n v="20.71"/>
  </r>
  <r>
    <x v="5"/>
    <s v="Cafes, restaurants and catering services"/>
    <s v="2022-12-01"/>
    <x v="3"/>
    <s v="December "/>
    <s v="12"/>
    <n v="57.5"/>
    <n v="19.79"/>
  </r>
  <r>
    <x v="5"/>
    <s v="Cafes, restaurants and catering services"/>
    <s v="2023-01-01"/>
    <x v="4"/>
    <s v="January  "/>
    <s v="1"/>
    <n v="57.9"/>
    <n v="24.25"/>
  </r>
  <r>
    <x v="5"/>
    <s v="Cafes, restaurants and catering services"/>
    <s v="2023-02-01"/>
    <x v="4"/>
    <s v="February "/>
    <s v="2"/>
    <n v="52.7"/>
    <n v="12.85"/>
  </r>
  <r>
    <x v="5"/>
    <s v="Cafes, restaurants and catering services"/>
    <s v="2023-03-01"/>
    <x v="4"/>
    <s v="March    "/>
    <s v="3"/>
    <n v="54.4"/>
    <n v="5.43"/>
  </r>
  <r>
    <x v="5"/>
    <s v="Cafes, restaurants and catering services"/>
    <s v="2023-04-01"/>
    <x v="4"/>
    <s v="April    "/>
    <s v="4"/>
    <n v="50.7"/>
    <n v="9.98"/>
  </r>
  <r>
    <x v="5"/>
    <s v="Cafes, restaurants and catering services"/>
    <s v="2023-05-01"/>
    <x v="4"/>
    <s v="May      "/>
    <s v="5"/>
    <n v="52.1"/>
    <n v="5.25"/>
  </r>
  <r>
    <x v="5"/>
    <s v="Cafes, restaurants and catering services"/>
    <s v="2023-06-01"/>
    <x v="4"/>
    <s v="June     "/>
    <s v="6"/>
    <n v="55.2"/>
    <n v="11.29"/>
  </r>
  <r>
    <x v="5"/>
    <s v="Cafes, restaurants and catering services"/>
    <s v="2023-07-01"/>
    <x v="4"/>
    <s v="July     "/>
    <s v="7"/>
    <n v="50.2"/>
    <n v="-6.69"/>
  </r>
  <r>
    <x v="5"/>
    <s v="Cafes, restaurants and catering services"/>
    <s v="2023-08-01"/>
    <x v="4"/>
    <s v="August   "/>
    <s v="8"/>
    <n v="48.7"/>
    <n v="-10.48"/>
  </r>
  <r>
    <x v="5"/>
    <s v="Cafes, restaurants and catering services"/>
    <s v="2023-09-01"/>
    <x v="4"/>
    <s v="September"/>
    <s v="9"/>
    <n v="54.2"/>
    <n v="5.45"/>
  </r>
  <r>
    <x v="5"/>
    <s v="Cafes, restaurants and catering services"/>
    <s v="2023-10-01"/>
    <x v="4"/>
    <s v="October  "/>
    <s v="10"/>
    <n v="56.3"/>
    <n v="3.87"/>
  </r>
  <r>
    <x v="5"/>
    <s v="Cafes, restaurants and catering services"/>
    <s v="2023-11-01"/>
    <x v="4"/>
    <s v="November "/>
    <s v="11"/>
    <n v="57.4"/>
    <n v="5.9"/>
  </r>
  <r>
    <x v="5"/>
    <s v="Cafes, restaurants and catering services"/>
    <s v="2023-12-01"/>
    <x v="4"/>
    <s v="December "/>
    <s v="12"/>
    <n v="66.3"/>
    <n v="15.3"/>
  </r>
  <r>
    <x v="5"/>
    <s v="Cafes, restaurants and catering services"/>
    <s v="2024-01-01"/>
    <x v="5"/>
    <s v="January  "/>
    <s v="1"/>
    <n v="57.6"/>
    <n v="-0.52"/>
  </r>
  <r>
    <x v="5"/>
    <s v="Cafes, restaurants and catering services"/>
    <s v="2024-02-01"/>
    <x v="5"/>
    <s v="February "/>
    <s v="2"/>
    <n v="53.4"/>
    <n v="1.33"/>
  </r>
  <r>
    <x v="5"/>
    <s v="Cafes, restaurants and catering services"/>
    <s v="2024-03-01"/>
    <x v="5"/>
    <s v="March    "/>
    <s v="3"/>
    <n v="53.1"/>
    <n v="-2.39"/>
  </r>
  <r>
    <x v="5"/>
    <s v="Cafes, restaurants and catering services"/>
    <s v="2024-04-01"/>
    <x v="5"/>
    <s v="April    "/>
    <s v="4"/>
    <n v="51.5"/>
    <n v="1.58"/>
  </r>
  <r>
    <x v="5"/>
    <s v="Cafes, restaurants and catering services"/>
    <s v="2024-05-01"/>
    <x v="5"/>
    <s v="May      "/>
    <s v="5"/>
    <n v="51.8"/>
    <n v="-0.57999999999999996"/>
  </r>
  <r>
    <x v="5"/>
    <s v="Cafes, restaurants and catering services"/>
    <s v="2024-06-01"/>
    <x v="5"/>
    <s v="June     "/>
    <s v="6"/>
    <n v="48.8"/>
    <n v="-11.59"/>
  </r>
  <r>
    <x v="5"/>
    <s v="Cafes, restaurants and catering services"/>
    <s v="2024-07-01"/>
    <x v="5"/>
    <s v="July     "/>
    <s v="7"/>
    <n v="46.3"/>
    <n v="-7.77"/>
  </r>
  <r>
    <x v="5"/>
    <s v="Cafes, restaurants and catering services"/>
    <s v="2024-08-01"/>
    <x v="5"/>
    <s v="August   "/>
    <s v="8"/>
    <n v="46.1"/>
    <n v="-5.34"/>
  </r>
  <r>
    <x v="5"/>
    <s v="Cafes, restaurants and catering services"/>
    <s v="2024-09-01"/>
    <x v="5"/>
    <s v="September"/>
    <s v="9"/>
    <n v="46.3"/>
    <n v="-14.58"/>
  </r>
  <r>
    <x v="5"/>
    <s v="Cafes, restaurants and catering services"/>
    <s v="2024-10-01"/>
    <x v="5"/>
    <s v="October  "/>
    <s v="10"/>
    <n v="43.9"/>
    <n v="-22.02"/>
  </r>
  <r>
    <x v="5"/>
    <s v="Cafes, restaurants and catering services"/>
    <s v="2024-11-01"/>
    <x v="5"/>
    <s v="November "/>
    <s v="11"/>
    <n v="50"/>
    <n v="-12.89"/>
  </r>
  <r>
    <x v="5"/>
    <s v="Cafes, restaurants and catering services"/>
    <s v="2024-12-01"/>
    <x v="5"/>
    <s v="December "/>
    <s v="12"/>
    <n v="55.1"/>
    <n v="-16.89"/>
  </r>
  <r>
    <x v="5"/>
    <s v="Cafes, restaurants and catering services"/>
    <s v="2025-01-01"/>
    <x v="6"/>
    <s v="January  "/>
    <s v="1"/>
    <n v="49"/>
    <n v="-14.93"/>
  </r>
  <r>
    <x v="5"/>
    <s v="Cafes, restaurants and catering services"/>
    <s v="2025-02-01"/>
    <x v="6"/>
    <s v="February "/>
    <s v="2"/>
    <n v="46.3"/>
    <n v="-13.3"/>
  </r>
  <r>
    <x v="5"/>
    <s v="Cafes, restaurants and catering services"/>
    <s v="2025-03-01"/>
    <x v="6"/>
    <s v="March    "/>
    <s v="3"/>
    <n v="46.8"/>
    <n v="-11.86"/>
  </r>
  <r>
    <x v="5"/>
    <s v="Cafes, restaurants and catering services"/>
    <s v="2025-04-01"/>
    <x v="6"/>
    <s v="April    "/>
    <s v="4"/>
    <n v="45.6"/>
    <n v="-11.46"/>
  </r>
  <r>
    <x v="5"/>
    <s v="Cafes, restaurants and catering services"/>
    <s v="2025-05-01"/>
    <x v="6"/>
    <s v="May      "/>
    <s v="5"/>
    <n v="42.2"/>
    <n v="-18.53"/>
  </r>
  <r>
    <x v="5"/>
    <s v="Cafes, restaurants and catering services"/>
    <s v="2025-06-01"/>
    <x v="6"/>
    <s v="June     "/>
    <s v="6"/>
    <n v="44.4"/>
    <n v="-9.02"/>
  </r>
  <r>
    <x v="5"/>
    <s v="Clothing retailing"/>
    <s v="2019-01-01"/>
    <x v="0"/>
    <s v="January  "/>
    <s v="1"/>
    <n v="20.7"/>
    <m/>
  </r>
  <r>
    <x v="5"/>
    <s v="Clothing retailing"/>
    <s v="2019-02-01"/>
    <x v="0"/>
    <s v="February "/>
    <s v="2"/>
    <n v="17"/>
    <m/>
  </r>
  <r>
    <x v="5"/>
    <s v="Clothing retailing"/>
    <s v="2019-03-01"/>
    <x v="0"/>
    <s v="March    "/>
    <s v="3"/>
    <n v="20.100000000000001"/>
    <m/>
  </r>
  <r>
    <x v="5"/>
    <s v="Clothing retailing"/>
    <s v="2019-04-01"/>
    <x v="0"/>
    <s v="April    "/>
    <s v="4"/>
    <n v="19.7"/>
    <m/>
  </r>
  <r>
    <x v="5"/>
    <s v="Clothing retailing"/>
    <s v="2019-05-01"/>
    <x v="0"/>
    <s v="May      "/>
    <s v="5"/>
    <n v="20"/>
    <m/>
  </r>
  <r>
    <x v="5"/>
    <s v="Clothing retailing"/>
    <s v="2019-06-01"/>
    <x v="0"/>
    <s v="June     "/>
    <s v="6"/>
    <n v="18.8"/>
    <m/>
  </r>
  <r>
    <x v="5"/>
    <s v="Clothing retailing"/>
    <s v="2019-07-01"/>
    <x v="0"/>
    <s v="July     "/>
    <s v="7"/>
    <n v="19.5"/>
    <m/>
  </r>
  <r>
    <x v="5"/>
    <s v="Clothing retailing"/>
    <s v="2019-08-01"/>
    <x v="0"/>
    <s v="August   "/>
    <s v="8"/>
    <n v="18.5"/>
    <m/>
  </r>
  <r>
    <x v="5"/>
    <s v="Clothing retailing"/>
    <s v="2019-09-01"/>
    <x v="0"/>
    <s v="September"/>
    <s v="9"/>
    <n v="17.3"/>
    <m/>
  </r>
  <r>
    <x v="5"/>
    <s v="Clothing retailing"/>
    <s v="2019-10-01"/>
    <x v="0"/>
    <s v="October  "/>
    <s v="10"/>
    <n v="19.399999999999999"/>
    <m/>
  </r>
  <r>
    <x v="5"/>
    <s v="Clothing retailing"/>
    <s v="2019-11-01"/>
    <x v="0"/>
    <s v="November "/>
    <s v="11"/>
    <n v="21.2"/>
    <m/>
  </r>
  <r>
    <x v="5"/>
    <s v="Clothing retailing"/>
    <s v="2019-12-01"/>
    <x v="0"/>
    <s v="December "/>
    <s v="12"/>
    <n v="33.4"/>
    <m/>
  </r>
  <r>
    <x v="5"/>
    <s v="Clothing retailing"/>
    <s v="2020-01-01"/>
    <x v="1"/>
    <s v="January  "/>
    <s v="1"/>
    <n v="21.3"/>
    <n v="2.9"/>
  </r>
  <r>
    <x v="5"/>
    <s v="Clothing retailing"/>
    <s v="2020-02-01"/>
    <x v="1"/>
    <s v="February "/>
    <s v="2"/>
    <n v="17.7"/>
    <n v="4.12"/>
  </r>
  <r>
    <x v="5"/>
    <s v="Clothing retailing"/>
    <s v="2020-03-01"/>
    <x v="1"/>
    <s v="March    "/>
    <s v="3"/>
    <n v="15.6"/>
    <n v="-22.39"/>
  </r>
  <r>
    <x v="5"/>
    <s v="Clothing retailing"/>
    <s v="2020-04-01"/>
    <x v="1"/>
    <s v="April    "/>
    <s v="4"/>
    <n v="4.5"/>
    <n v="-77.16"/>
  </r>
  <r>
    <x v="5"/>
    <s v="Clothing retailing"/>
    <s v="2020-05-01"/>
    <x v="1"/>
    <s v="May      "/>
    <s v="5"/>
    <n v="13.3"/>
    <n v="-33.5"/>
  </r>
  <r>
    <x v="5"/>
    <s v="Clothing retailing"/>
    <s v="2020-06-01"/>
    <x v="1"/>
    <s v="June     "/>
    <s v="6"/>
    <n v="21.9"/>
    <n v="16.489999999999998"/>
  </r>
  <r>
    <x v="5"/>
    <s v="Clothing retailing"/>
    <s v="2020-07-01"/>
    <x v="1"/>
    <s v="July     "/>
    <s v="7"/>
    <n v="22.6"/>
    <n v="15.9"/>
  </r>
  <r>
    <x v="5"/>
    <s v="Clothing retailing"/>
    <s v="2020-08-01"/>
    <x v="1"/>
    <s v="August   "/>
    <s v="8"/>
    <n v="19.899999999999999"/>
    <n v="7.57"/>
  </r>
  <r>
    <x v="5"/>
    <s v="Clothing retailing"/>
    <s v="2020-09-01"/>
    <x v="1"/>
    <s v="September"/>
    <s v="9"/>
    <n v="19.600000000000001"/>
    <n v="13.29"/>
  </r>
  <r>
    <x v="5"/>
    <s v="Clothing retailing"/>
    <s v="2020-10-01"/>
    <x v="1"/>
    <s v="October  "/>
    <s v="10"/>
    <n v="21.4"/>
    <n v="10.31"/>
  </r>
  <r>
    <x v="5"/>
    <s v="Clothing retailing"/>
    <s v="2020-11-01"/>
    <x v="1"/>
    <s v="November "/>
    <s v="11"/>
    <n v="24.8"/>
    <n v="16.98"/>
  </r>
  <r>
    <x v="5"/>
    <s v="Clothing retailing"/>
    <s v="2020-12-01"/>
    <x v="1"/>
    <s v="December "/>
    <s v="12"/>
    <n v="36.9"/>
    <n v="10.48"/>
  </r>
  <r>
    <x v="5"/>
    <s v="Clothing retailing"/>
    <s v="2021-01-01"/>
    <x v="2"/>
    <s v="January  "/>
    <s v="1"/>
    <n v="22.3"/>
    <n v="4.6900000000000004"/>
  </r>
  <r>
    <x v="5"/>
    <s v="Clothing retailing"/>
    <s v="2021-02-01"/>
    <x v="2"/>
    <s v="February "/>
    <s v="2"/>
    <n v="18.7"/>
    <n v="5.65"/>
  </r>
  <r>
    <x v="5"/>
    <s v="Clothing retailing"/>
    <s v="2021-03-01"/>
    <x v="2"/>
    <s v="March    "/>
    <s v="3"/>
    <n v="22.8"/>
    <n v="46.15"/>
  </r>
  <r>
    <x v="5"/>
    <s v="Clothing retailing"/>
    <s v="2021-04-01"/>
    <x v="2"/>
    <s v="April    "/>
    <s v="4"/>
    <n v="24.3"/>
    <n v="440"/>
  </r>
  <r>
    <x v="5"/>
    <s v="Clothing retailing"/>
    <s v="2021-05-01"/>
    <x v="2"/>
    <s v="May      "/>
    <s v="5"/>
    <n v="23.8"/>
    <n v="78.95"/>
  </r>
  <r>
    <x v="5"/>
    <s v="Clothing retailing"/>
    <s v="2021-06-01"/>
    <x v="2"/>
    <s v="June     "/>
    <s v="6"/>
    <n v="22.6"/>
    <n v="3.2"/>
  </r>
  <r>
    <x v="5"/>
    <s v="Clothing retailing"/>
    <s v="2021-07-01"/>
    <x v="2"/>
    <s v="July     "/>
    <s v="7"/>
    <n v="25"/>
    <n v="10.62"/>
  </r>
  <r>
    <x v="5"/>
    <s v="Clothing retailing"/>
    <s v="2021-08-01"/>
    <x v="2"/>
    <s v="August   "/>
    <s v="8"/>
    <n v="22.5"/>
    <n v="13.07"/>
  </r>
  <r>
    <x v="5"/>
    <s v="Clothing retailing"/>
    <s v="2021-09-01"/>
    <x v="2"/>
    <s v="September"/>
    <s v="9"/>
    <n v="24.1"/>
    <n v="22.96"/>
  </r>
  <r>
    <x v="5"/>
    <s v="Clothing retailing"/>
    <s v="2021-10-01"/>
    <x v="2"/>
    <s v="October  "/>
    <s v="10"/>
    <n v="24.8"/>
    <n v="15.89"/>
  </r>
  <r>
    <x v="5"/>
    <s v="Clothing retailing"/>
    <s v="2021-11-01"/>
    <x v="2"/>
    <s v="November "/>
    <s v="11"/>
    <n v="29.4"/>
    <n v="18.55"/>
  </r>
  <r>
    <x v="5"/>
    <s v="Clothing retailing"/>
    <s v="2021-12-01"/>
    <x v="2"/>
    <s v="December "/>
    <s v="12"/>
    <n v="41"/>
    <n v="11.11"/>
  </r>
  <r>
    <x v="5"/>
    <s v="Clothing retailing"/>
    <s v="2022-01-01"/>
    <x v="3"/>
    <s v="January  "/>
    <s v="1"/>
    <n v="22.9"/>
    <n v="2.69"/>
  </r>
  <r>
    <x v="5"/>
    <s v="Clothing retailing"/>
    <s v="2022-02-01"/>
    <x v="3"/>
    <s v="February "/>
    <s v="2"/>
    <n v="20.100000000000001"/>
    <n v="7.49"/>
  </r>
  <r>
    <x v="5"/>
    <s v="Clothing retailing"/>
    <s v="2022-03-01"/>
    <x v="3"/>
    <s v="March    "/>
    <s v="3"/>
    <n v="23.2"/>
    <n v="1.75"/>
  </r>
  <r>
    <x v="5"/>
    <s v="Clothing retailing"/>
    <s v="2022-04-01"/>
    <x v="3"/>
    <s v="April    "/>
    <s v="4"/>
    <n v="24.9"/>
    <n v="2.4700000000000002"/>
  </r>
  <r>
    <x v="5"/>
    <s v="Clothing retailing"/>
    <s v="2022-05-01"/>
    <x v="3"/>
    <s v="May      "/>
    <s v="5"/>
    <n v="25"/>
    <n v="5.04"/>
  </r>
  <r>
    <x v="5"/>
    <s v="Clothing retailing"/>
    <s v="2022-06-01"/>
    <x v="3"/>
    <s v="June     "/>
    <s v="6"/>
    <n v="23.9"/>
    <n v="5.75"/>
  </r>
  <r>
    <x v="5"/>
    <s v="Clothing retailing"/>
    <s v="2022-07-01"/>
    <x v="3"/>
    <s v="July     "/>
    <s v="7"/>
    <n v="23.7"/>
    <n v="-5.2"/>
  </r>
  <r>
    <x v="5"/>
    <s v="Clothing retailing"/>
    <s v="2022-08-01"/>
    <x v="3"/>
    <s v="August   "/>
    <s v="8"/>
    <n v="22.1"/>
    <n v="-1.78"/>
  </r>
  <r>
    <x v="5"/>
    <s v="Clothing retailing"/>
    <s v="2022-09-01"/>
    <x v="3"/>
    <s v="September"/>
    <s v="9"/>
    <n v="22.7"/>
    <n v="-5.81"/>
  </r>
  <r>
    <x v="5"/>
    <s v="Clothing retailing"/>
    <s v="2022-10-01"/>
    <x v="3"/>
    <s v="October  "/>
    <s v="10"/>
    <n v="23.7"/>
    <n v="-4.4400000000000004"/>
  </r>
  <r>
    <x v="5"/>
    <s v="Clothing retailing"/>
    <s v="2022-11-01"/>
    <x v="3"/>
    <s v="November "/>
    <s v="11"/>
    <n v="29.9"/>
    <n v="1.7"/>
  </r>
  <r>
    <x v="5"/>
    <s v="Clothing retailing"/>
    <s v="2022-12-01"/>
    <x v="3"/>
    <s v="December "/>
    <s v="12"/>
    <n v="39.299999999999997"/>
    <n v="-4.1500000000000004"/>
  </r>
  <r>
    <x v="5"/>
    <s v="Clothing retailing"/>
    <s v="2023-01-01"/>
    <x v="4"/>
    <s v="January  "/>
    <s v="1"/>
    <n v="23"/>
    <n v="0.44"/>
  </r>
  <r>
    <x v="5"/>
    <s v="Clothing retailing"/>
    <s v="2023-02-01"/>
    <x v="4"/>
    <s v="February "/>
    <s v="2"/>
    <n v="20.6"/>
    <n v="2.4900000000000002"/>
  </r>
  <r>
    <x v="5"/>
    <s v="Clothing retailing"/>
    <s v="2023-03-01"/>
    <x v="4"/>
    <s v="March    "/>
    <s v="3"/>
    <n v="24.3"/>
    <n v="4.74"/>
  </r>
  <r>
    <x v="5"/>
    <s v="Clothing retailing"/>
    <s v="2023-04-01"/>
    <x v="4"/>
    <s v="April    "/>
    <s v="4"/>
    <n v="23.2"/>
    <n v="-6.83"/>
  </r>
  <r>
    <x v="5"/>
    <s v="Clothing retailing"/>
    <s v="2023-05-01"/>
    <x v="4"/>
    <s v="May      "/>
    <s v="5"/>
    <n v="24.3"/>
    <n v="-2.8"/>
  </r>
  <r>
    <x v="5"/>
    <s v="Clothing retailing"/>
    <s v="2023-06-01"/>
    <x v="4"/>
    <s v="June     "/>
    <s v="6"/>
    <n v="25.3"/>
    <n v="5.86"/>
  </r>
  <r>
    <x v="5"/>
    <s v="Clothing retailing"/>
    <s v="2023-07-01"/>
    <x v="4"/>
    <s v="July     "/>
    <s v="7"/>
    <n v="23.6"/>
    <n v="-0.42"/>
  </r>
  <r>
    <x v="5"/>
    <s v="Clothing retailing"/>
    <s v="2023-08-01"/>
    <x v="4"/>
    <s v="August   "/>
    <s v="8"/>
    <n v="22.1"/>
    <n v="0"/>
  </r>
  <r>
    <x v="5"/>
    <s v="Clothing retailing"/>
    <s v="2023-09-01"/>
    <x v="4"/>
    <s v="September"/>
    <s v="9"/>
    <n v="23.2"/>
    <n v="2.2000000000000002"/>
  </r>
  <r>
    <x v="5"/>
    <s v="Clothing retailing"/>
    <s v="2023-10-01"/>
    <x v="4"/>
    <s v="October  "/>
    <s v="10"/>
    <n v="24.6"/>
    <n v="3.8"/>
  </r>
  <r>
    <x v="5"/>
    <s v="Clothing retailing"/>
    <s v="2023-11-01"/>
    <x v="4"/>
    <s v="November "/>
    <s v="11"/>
    <n v="29.6"/>
    <n v="-1"/>
  </r>
  <r>
    <x v="5"/>
    <s v="Clothing retailing"/>
    <s v="2023-12-01"/>
    <x v="4"/>
    <s v="December "/>
    <s v="12"/>
    <n v="38"/>
    <n v="-3.31"/>
  </r>
  <r>
    <x v="5"/>
    <s v="Clothing retailing"/>
    <s v="2024-01-01"/>
    <x v="5"/>
    <s v="January  "/>
    <s v="1"/>
    <n v="26"/>
    <n v="13.04"/>
  </r>
  <r>
    <x v="5"/>
    <s v="Clothing retailing"/>
    <s v="2024-02-01"/>
    <x v="5"/>
    <s v="February "/>
    <s v="2"/>
    <n v="22.2"/>
    <n v="7.77"/>
  </r>
  <r>
    <x v="5"/>
    <s v="Clothing retailing"/>
    <s v="2024-03-01"/>
    <x v="5"/>
    <s v="March    "/>
    <s v="3"/>
    <n v="23.2"/>
    <n v="-4.53"/>
  </r>
  <r>
    <x v="5"/>
    <s v="Clothing retailing"/>
    <s v="2024-04-01"/>
    <x v="5"/>
    <s v="April    "/>
    <s v="4"/>
    <n v="24"/>
    <n v="3.45"/>
  </r>
  <r>
    <x v="5"/>
    <s v="Clothing retailing"/>
    <s v="2024-05-01"/>
    <x v="5"/>
    <s v="May      "/>
    <s v="5"/>
    <n v="26.2"/>
    <n v="7.82"/>
  </r>
  <r>
    <x v="5"/>
    <s v="Clothing retailing"/>
    <s v="2024-06-01"/>
    <x v="5"/>
    <s v="June     "/>
    <s v="6"/>
    <n v="24.5"/>
    <n v="-3.16"/>
  </r>
  <r>
    <x v="5"/>
    <s v="Clothing retailing"/>
    <s v="2024-07-01"/>
    <x v="5"/>
    <s v="July     "/>
    <s v="7"/>
    <n v="24"/>
    <n v="1.69"/>
  </r>
  <r>
    <x v="5"/>
    <s v="Clothing retailing"/>
    <s v="2024-08-01"/>
    <x v="5"/>
    <s v="August   "/>
    <s v="8"/>
    <n v="23.5"/>
    <n v="6.33"/>
  </r>
  <r>
    <x v="5"/>
    <s v="Clothing retailing"/>
    <s v="2024-09-01"/>
    <x v="5"/>
    <s v="September"/>
    <s v="9"/>
    <n v="23.6"/>
    <n v="1.72"/>
  </r>
  <r>
    <x v="5"/>
    <s v="Clothing retailing"/>
    <s v="2024-10-01"/>
    <x v="5"/>
    <s v="October  "/>
    <s v="10"/>
    <n v="24.9"/>
    <n v="1.22"/>
  </r>
  <r>
    <x v="5"/>
    <s v="Clothing retailing"/>
    <s v="2024-11-01"/>
    <x v="5"/>
    <s v="November "/>
    <s v="11"/>
    <n v="28.8"/>
    <n v="-2.7"/>
  </r>
  <r>
    <x v="5"/>
    <s v="Clothing retailing"/>
    <s v="2024-12-01"/>
    <x v="5"/>
    <s v="December "/>
    <s v="12"/>
    <n v="36.299999999999997"/>
    <n v="-4.47"/>
  </r>
  <r>
    <x v="5"/>
    <s v="Clothing retailing"/>
    <s v="2025-01-01"/>
    <x v="6"/>
    <s v="January  "/>
    <s v="1"/>
    <n v="26"/>
    <n v="0"/>
  </r>
  <r>
    <x v="5"/>
    <s v="Clothing retailing"/>
    <s v="2025-02-01"/>
    <x v="6"/>
    <s v="February "/>
    <s v="2"/>
    <n v="21.4"/>
    <n v="-3.6"/>
  </r>
  <r>
    <x v="5"/>
    <s v="Clothing retailing"/>
    <s v="2025-03-01"/>
    <x v="6"/>
    <s v="March    "/>
    <s v="3"/>
    <n v="23.8"/>
    <n v="2.59"/>
  </r>
  <r>
    <x v="5"/>
    <s v="Clothing retailing"/>
    <s v="2025-04-01"/>
    <x v="6"/>
    <s v="April    "/>
    <s v="4"/>
    <n v="23.4"/>
    <n v="-2.5"/>
  </r>
  <r>
    <x v="5"/>
    <s v="Clothing retailing"/>
    <s v="2025-05-01"/>
    <x v="6"/>
    <s v="May      "/>
    <s v="5"/>
    <n v="24.9"/>
    <n v="-4.96"/>
  </r>
  <r>
    <x v="5"/>
    <s v="Clothing retailing"/>
    <s v="2025-06-01"/>
    <x v="6"/>
    <s v="June     "/>
    <s v="6"/>
    <n v="23.2"/>
    <n v="-5.31"/>
  </r>
  <r>
    <x v="5"/>
    <s v="Electrical and electronic goods retailing"/>
    <s v="2019-01-01"/>
    <x v="0"/>
    <s v="January  "/>
    <s v="1"/>
    <n v="35.799999999999997"/>
    <m/>
  </r>
  <r>
    <x v="5"/>
    <s v="Electrical and electronic goods retailing"/>
    <s v="2019-02-01"/>
    <x v="0"/>
    <s v="February "/>
    <s v="2"/>
    <n v="31.4"/>
    <m/>
  </r>
  <r>
    <x v="5"/>
    <s v="Electrical and electronic goods retailing"/>
    <s v="2019-03-01"/>
    <x v="0"/>
    <s v="March    "/>
    <s v="3"/>
    <n v="34.9"/>
    <m/>
  </r>
  <r>
    <x v="5"/>
    <s v="Electrical and electronic goods retailing"/>
    <s v="2019-04-01"/>
    <x v="0"/>
    <s v="April    "/>
    <s v="4"/>
    <n v="31.4"/>
    <m/>
  </r>
  <r>
    <x v="5"/>
    <s v="Electrical and electronic goods retailing"/>
    <s v="2019-05-01"/>
    <x v="0"/>
    <s v="May      "/>
    <s v="5"/>
    <n v="35.799999999999997"/>
    <m/>
  </r>
  <r>
    <x v="5"/>
    <s v="Electrical and electronic goods retailing"/>
    <s v="2019-06-01"/>
    <x v="0"/>
    <s v="June     "/>
    <s v="6"/>
    <n v="39.799999999999997"/>
    <m/>
  </r>
  <r>
    <x v="5"/>
    <s v="Electrical and electronic goods retailing"/>
    <s v="2019-07-01"/>
    <x v="0"/>
    <s v="July     "/>
    <s v="7"/>
    <n v="36.799999999999997"/>
    <m/>
  </r>
  <r>
    <x v="5"/>
    <s v="Electrical and electronic goods retailing"/>
    <s v="2019-08-01"/>
    <x v="0"/>
    <s v="August   "/>
    <s v="8"/>
    <n v="35"/>
    <m/>
  </r>
  <r>
    <x v="5"/>
    <s v="Electrical and electronic goods retailing"/>
    <s v="2019-09-01"/>
    <x v="0"/>
    <s v="September"/>
    <s v="9"/>
    <n v="34"/>
    <m/>
  </r>
  <r>
    <x v="5"/>
    <s v="Electrical and electronic goods retailing"/>
    <s v="2019-10-01"/>
    <x v="0"/>
    <s v="October  "/>
    <s v="10"/>
    <n v="38.299999999999997"/>
    <m/>
  </r>
  <r>
    <x v="5"/>
    <s v="Electrical and electronic goods retailing"/>
    <s v="2019-11-01"/>
    <x v="0"/>
    <s v="November "/>
    <s v="11"/>
    <n v="42.9"/>
    <m/>
  </r>
  <r>
    <x v="5"/>
    <s v="Electrical and electronic goods retailing"/>
    <s v="2019-12-01"/>
    <x v="0"/>
    <s v="December "/>
    <s v="12"/>
    <n v="56.2"/>
    <m/>
  </r>
  <r>
    <x v="5"/>
    <s v="Electrical and electronic goods retailing"/>
    <s v="2020-01-01"/>
    <x v="1"/>
    <s v="January  "/>
    <s v="1"/>
    <n v="38.4"/>
    <n v="7.26"/>
  </r>
  <r>
    <x v="5"/>
    <s v="Electrical and electronic goods retailing"/>
    <s v="2020-02-01"/>
    <x v="1"/>
    <s v="February "/>
    <s v="2"/>
    <n v="35.299999999999997"/>
    <n v="12.42"/>
  </r>
  <r>
    <x v="5"/>
    <s v="Electrical and electronic goods retailing"/>
    <s v="2020-03-01"/>
    <x v="1"/>
    <s v="March    "/>
    <s v="3"/>
    <n v="42.1"/>
    <n v="20.63"/>
  </r>
  <r>
    <x v="5"/>
    <s v="Electrical and electronic goods retailing"/>
    <s v="2020-04-01"/>
    <x v="1"/>
    <s v="April    "/>
    <s v="4"/>
    <n v="35.200000000000003"/>
    <n v="12.1"/>
  </r>
  <r>
    <x v="5"/>
    <s v="Electrical and electronic goods retailing"/>
    <s v="2020-05-01"/>
    <x v="1"/>
    <s v="May      "/>
    <s v="5"/>
    <n v="47.7"/>
    <n v="33.24"/>
  </r>
  <r>
    <x v="5"/>
    <s v="Electrical and electronic goods retailing"/>
    <s v="2020-06-01"/>
    <x v="1"/>
    <s v="June     "/>
    <s v="6"/>
    <n v="51.1"/>
    <n v="28.39"/>
  </r>
  <r>
    <x v="5"/>
    <s v="Electrical and electronic goods retailing"/>
    <s v="2020-07-01"/>
    <x v="1"/>
    <s v="July     "/>
    <s v="7"/>
    <n v="48.4"/>
    <n v="31.52"/>
  </r>
  <r>
    <x v="5"/>
    <s v="Electrical and electronic goods retailing"/>
    <s v="2020-08-01"/>
    <x v="1"/>
    <s v="August   "/>
    <s v="8"/>
    <n v="47.7"/>
    <n v="36.29"/>
  </r>
  <r>
    <x v="5"/>
    <s v="Electrical and electronic goods retailing"/>
    <s v="2020-09-01"/>
    <x v="1"/>
    <s v="September"/>
    <s v="9"/>
    <n v="40"/>
    <n v="17.649999999999999"/>
  </r>
  <r>
    <x v="5"/>
    <s v="Electrical and electronic goods retailing"/>
    <s v="2020-10-01"/>
    <x v="1"/>
    <s v="October  "/>
    <s v="10"/>
    <n v="38.799999999999997"/>
    <n v="1.31"/>
  </r>
  <r>
    <x v="5"/>
    <s v="Electrical and electronic goods retailing"/>
    <s v="2020-11-01"/>
    <x v="1"/>
    <s v="November "/>
    <s v="11"/>
    <n v="45.7"/>
    <n v="6.53"/>
  </r>
  <r>
    <x v="5"/>
    <s v="Electrical and electronic goods retailing"/>
    <s v="2020-12-01"/>
    <x v="1"/>
    <s v="December "/>
    <s v="12"/>
    <n v="55"/>
    <n v="-2.14"/>
  </r>
  <r>
    <x v="5"/>
    <s v="Electrical and electronic goods retailing"/>
    <s v="2021-01-01"/>
    <x v="2"/>
    <s v="January  "/>
    <s v="1"/>
    <n v="39"/>
    <n v="1.56"/>
  </r>
  <r>
    <x v="5"/>
    <s v="Electrical and electronic goods retailing"/>
    <s v="2021-02-01"/>
    <x v="2"/>
    <s v="February "/>
    <s v="2"/>
    <n v="36.9"/>
    <n v="4.53"/>
  </r>
  <r>
    <x v="5"/>
    <s v="Electrical and electronic goods retailing"/>
    <s v="2021-03-01"/>
    <x v="2"/>
    <s v="March    "/>
    <s v="3"/>
    <n v="38.6"/>
    <n v="-8.31"/>
  </r>
  <r>
    <x v="5"/>
    <s v="Electrical and electronic goods retailing"/>
    <s v="2021-04-01"/>
    <x v="2"/>
    <s v="April    "/>
    <s v="4"/>
    <n v="34.6"/>
    <n v="-1.7"/>
  </r>
  <r>
    <x v="5"/>
    <s v="Electrical and electronic goods retailing"/>
    <s v="2021-05-01"/>
    <x v="2"/>
    <s v="May      "/>
    <s v="5"/>
    <n v="40.4"/>
    <n v="-15.3"/>
  </r>
  <r>
    <x v="5"/>
    <s v="Electrical and electronic goods retailing"/>
    <s v="2021-06-01"/>
    <x v="2"/>
    <s v="June     "/>
    <s v="6"/>
    <n v="44.9"/>
    <n v="-12.13"/>
  </r>
  <r>
    <x v="5"/>
    <s v="Electrical and electronic goods retailing"/>
    <s v="2021-07-01"/>
    <x v="2"/>
    <s v="July     "/>
    <s v="7"/>
    <n v="43.6"/>
    <n v="-9.92"/>
  </r>
  <r>
    <x v="5"/>
    <s v="Electrical and electronic goods retailing"/>
    <s v="2021-08-01"/>
    <x v="2"/>
    <s v="August   "/>
    <s v="8"/>
    <n v="39.6"/>
    <n v="-16.98"/>
  </r>
  <r>
    <x v="5"/>
    <s v="Electrical and electronic goods retailing"/>
    <s v="2021-09-01"/>
    <x v="2"/>
    <s v="September"/>
    <s v="9"/>
    <n v="39"/>
    <n v="-2.5"/>
  </r>
  <r>
    <x v="5"/>
    <s v="Electrical and electronic goods retailing"/>
    <s v="2021-10-01"/>
    <x v="2"/>
    <s v="October  "/>
    <s v="10"/>
    <n v="39.6"/>
    <n v="2.06"/>
  </r>
  <r>
    <x v="5"/>
    <s v="Electrical and electronic goods retailing"/>
    <s v="2021-11-01"/>
    <x v="2"/>
    <s v="November "/>
    <s v="11"/>
    <n v="46"/>
    <n v="0.66"/>
  </r>
  <r>
    <x v="5"/>
    <s v="Electrical and electronic goods retailing"/>
    <s v="2021-12-01"/>
    <x v="2"/>
    <s v="December "/>
    <s v="12"/>
    <n v="52.6"/>
    <n v="-4.3600000000000003"/>
  </r>
  <r>
    <x v="5"/>
    <s v="Electrical and electronic goods retailing"/>
    <s v="2022-01-01"/>
    <x v="3"/>
    <s v="January  "/>
    <s v="1"/>
    <n v="35.299999999999997"/>
    <n v="-9.49"/>
  </r>
  <r>
    <x v="5"/>
    <s v="Electrical and electronic goods retailing"/>
    <s v="2022-02-01"/>
    <x v="3"/>
    <s v="February "/>
    <s v="2"/>
    <n v="33.4"/>
    <n v="-9.49"/>
  </r>
  <r>
    <x v="5"/>
    <s v="Electrical and electronic goods retailing"/>
    <s v="2022-03-01"/>
    <x v="3"/>
    <s v="March    "/>
    <s v="3"/>
    <n v="37"/>
    <n v="-4.1500000000000004"/>
  </r>
  <r>
    <x v="5"/>
    <s v="Electrical and electronic goods retailing"/>
    <s v="2022-04-01"/>
    <x v="3"/>
    <s v="April    "/>
    <s v="4"/>
    <n v="36.1"/>
    <n v="4.34"/>
  </r>
  <r>
    <x v="5"/>
    <s v="Electrical and electronic goods retailing"/>
    <s v="2022-05-01"/>
    <x v="3"/>
    <s v="May      "/>
    <s v="5"/>
    <n v="40.299999999999997"/>
    <n v="-0.25"/>
  </r>
  <r>
    <x v="5"/>
    <s v="Electrical and electronic goods retailing"/>
    <s v="2022-06-01"/>
    <x v="3"/>
    <s v="June     "/>
    <s v="6"/>
    <n v="44.5"/>
    <n v="-0.89"/>
  </r>
  <r>
    <x v="5"/>
    <s v="Electrical and electronic goods retailing"/>
    <s v="2022-07-01"/>
    <x v="3"/>
    <s v="July     "/>
    <s v="7"/>
    <n v="39"/>
    <n v="-10.55"/>
  </r>
  <r>
    <x v="5"/>
    <s v="Electrical and electronic goods retailing"/>
    <s v="2022-08-01"/>
    <x v="3"/>
    <s v="August   "/>
    <s v="8"/>
    <n v="40.5"/>
    <n v="2.27"/>
  </r>
  <r>
    <x v="5"/>
    <s v="Electrical and electronic goods retailing"/>
    <s v="2022-09-01"/>
    <x v="3"/>
    <s v="September"/>
    <s v="9"/>
    <n v="38.1"/>
    <n v="-2.31"/>
  </r>
  <r>
    <x v="5"/>
    <s v="Electrical and electronic goods retailing"/>
    <s v="2022-10-01"/>
    <x v="3"/>
    <s v="October  "/>
    <s v="10"/>
    <n v="35.9"/>
    <n v="-9.34"/>
  </r>
  <r>
    <x v="5"/>
    <s v="Electrical and electronic goods retailing"/>
    <s v="2022-11-01"/>
    <x v="3"/>
    <s v="November "/>
    <s v="11"/>
    <n v="43.1"/>
    <n v="-6.3"/>
  </r>
  <r>
    <x v="5"/>
    <s v="Electrical and electronic goods retailing"/>
    <s v="2022-12-01"/>
    <x v="3"/>
    <s v="December "/>
    <s v="12"/>
    <n v="47.2"/>
    <n v="-10.27"/>
  </r>
  <r>
    <x v="5"/>
    <s v="Electrical and electronic goods retailing"/>
    <s v="2023-01-01"/>
    <x v="4"/>
    <s v="January  "/>
    <s v="1"/>
    <n v="31.4"/>
    <n v="-11.05"/>
  </r>
  <r>
    <x v="5"/>
    <s v="Electrical and electronic goods retailing"/>
    <s v="2023-02-01"/>
    <x v="4"/>
    <s v="February "/>
    <s v="2"/>
    <n v="30.9"/>
    <n v="-7.49"/>
  </r>
  <r>
    <x v="5"/>
    <s v="Electrical and electronic goods retailing"/>
    <s v="2023-03-01"/>
    <x v="4"/>
    <s v="March    "/>
    <s v="3"/>
    <n v="33"/>
    <n v="-10.81"/>
  </r>
  <r>
    <x v="5"/>
    <s v="Electrical and electronic goods retailing"/>
    <s v="2023-04-01"/>
    <x v="4"/>
    <s v="April    "/>
    <s v="4"/>
    <n v="29.8"/>
    <n v="-17.45"/>
  </r>
  <r>
    <x v="5"/>
    <s v="Electrical and electronic goods retailing"/>
    <s v="2023-05-01"/>
    <x v="4"/>
    <s v="May      "/>
    <s v="5"/>
    <n v="34"/>
    <n v="-15.63"/>
  </r>
  <r>
    <x v="5"/>
    <s v="Electrical and electronic goods retailing"/>
    <s v="2023-06-01"/>
    <x v="4"/>
    <s v="June     "/>
    <s v="6"/>
    <n v="39.9"/>
    <n v="-10.34"/>
  </r>
  <r>
    <x v="5"/>
    <s v="Electrical and electronic goods retailing"/>
    <s v="2023-07-01"/>
    <x v="4"/>
    <s v="July     "/>
    <s v="7"/>
    <n v="34.299999999999997"/>
    <n v="-12.05"/>
  </r>
  <r>
    <x v="5"/>
    <s v="Electrical and electronic goods retailing"/>
    <s v="2023-08-01"/>
    <x v="4"/>
    <s v="August   "/>
    <s v="8"/>
    <n v="34.200000000000003"/>
    <n v="-15.56"/>
  </r>
  <r>
    <x v="5"/>
    <s v="Electrical and electronic goods retailing"/>
    <s v="2023-09-01"/>
    <x v="4"/>
    <s v="September"/>
    <s v="9"/>
    <n v="33.200000000000003"/>
    <n v="-12.86"/>
  </r>
  <r>
    <x v="5"/>
    <s v="Electrical and electronic goods retailing"/>
    <s v="2023-10-01"/>
    <x v="4"/>
    <s v="October  "/>
    <s v="10"/>
    <n v="33"/>
    <n v="-8.08"/>
  </r>
  <r>
    <x v="5"/>
    <s v="Electrical and electronic goods retailing"/>
    <s v="2023-11-01"/>
    <x v="4"/>
    <s v="November "/>
    <s v="11"/>
    <n v="41.4"/>
    <n v="-3.94"/>
  </r>
  <r>
    <x v="5"/>
    <s v="Electrical and electronic goods retailing"/>
    <s v="2023-12-01"/>
    <x v="4"/>
    <s v="December "/>
    <s v="12"/>
    <n v="45.6"/>
    <n v="-3.39"/>
  </r>
  <r>
    <x v="5"/>
    <s v="Electrical and electronic goods retailing"/>
    <s v="2024-01-01"/>
    <x v="5"/>
    <s v="January  "/>
    <s v="1"/>
    <n v="32.700000000000003"/>
    <n v="4.1399999999999997"/>
  </r>
  <r>
    <x v="5"/>
    <s v="Electrical and electronic goods retailing"/>
    <s v="2024-02-01"/>
    <x v="5"/>
    <s v="February "/>
    <s v="2"/>
    <n v="30.1"/>
    <n v="-2.59"/>
  </r>
  <r>
    <x v="5"/>
    <s v="Electrical and electronic goods retailing"/>
    <s v="2024-03-01"/>
    <x v="5"/>
    <s v="March    "/>
    <s v="3"/>
    <n v="30.9"/>
    <n v="-6.36"/>
  </r>
  <r>
    <x v="5"/>
    <s v="Electrical and electronic goods retailing"/>
    <s v="2024-04-01"/>
    <x v="5"/>
    <s v="April    "/>
    <s v="4"/>
    <n v="31.5"/>
    <n v="5.7"/>
  </r>
  <r>
    <x v="5"/>
    <s v="Electrical and electronic goods retailing"/>
    <s v="2024-05-01"/>
    <x v="5"/>
    <s v="May      "/>
    <s v="5"/>
    <n v="33.6"/>
    <n v="-1.18"/>
  </r>
  <r>
    <x v="5"/>
    <s v="Electrical and electronic goods retailing"/>
    <s v="2024-06-01"/>
    <x v="5"/>
    <s v="June     "/>
    <s v="6"/>
    <n v="40.700000000000003"/>
    <n v="2.0099999999999998"/>
  </r>
  <r>
    <x v="5"/>
    <s v="Electrical and electronic goods retailing"/>
    <s v="2024-07-01"/>
    <x v="5"/>
    <s v="July     "/>
    <s v="7"/>
    <n v="34.700000000000003"/>
    <n v="1.17"/>
  </r>
  <r>
    <x v="5"/>
    <s v="Electrical and electronic goods retailing"/>
    <s v="2024-08-01"/>
    <x v="5"/>
    <s v="August   "/>
    <s v="8"/>
    <n v="33.1"/>
    <n v="-3.22"/>
  </r>
  <r>
    <x v="5"/>
    <s v="Electrical and electronic goods retailing"/>
    <s v="2024-09-01"/>
    <x v="5"/>
    <s v="September"/>
    <s v="9"/>
    <n v="33"/>
    <n v="-0.6"/>
  </r>
  <r>
    <x v="5"/>
    <s v="Electrical and electronic goods retailing"/>
    <s v="2024-10-01"/>
    <x v="5"/>
    <s v="October  "/>
    <s v="10"/>
    <n v="33.4"/>
    <n v="1.21"/>
  </r>
  <r>
    <x v="5"/>
    <s v="Electrical and electronic goods retailing"/>
    <s v="2024-11-01"/>
    <x v="5"/>
    <s v="November "/>
    <s v="11"/>
    <n v="42.9"/>
    <n v="3.62"/>
  </r>
  <r>
    <x v="5"/>
    <s v="Electrical and electronic goods retailing"/>
    <s v="2024-12-01"/>
    <x v="5"/>
    <s v="December "/>
    <s v="12"/>
    <n v="49.3"/>
    <n v="8.11"/>
  </r>
  <r>
    <x v="5"/>
    <s v="Electrical and electronic goods retailing"/>
    <s v="2025-01-01"/>
    <x v="6"/>
    <s v="January  "/>
    <s v="1"/>
    <n v="33"/>
    <n v="0.92"/>
  </r>
  <r>
    <x v="5"/>
    <s v="Electrical and electronic goods retailing"/>
    <s v="2025-02-01"/>
    <x v="6"/>
    <s v="February "/>
    <s v="2"/>
    <n v="30.7"/>
    <n v="1.99"/>
  </r>
  <r>
    <x v="5"/>
    <s v="Electrical and electronic goods retailing"/>
    <s v="2025-03-01"/>
    <x v="6"/>
    <s v="March    "/>
    <s v="3"/>
    <n v="32.200000000000003"/>
    <n v="4.21"/>
  </r>
  <r>
    <x v="5"/>
    <s v="Electrical and electronic goods retailing"/>
    <s v="2025-04-01"/>
    <x v="6"/>
    <s v="April    "/>
    <s v="4"/>
    <n v="32.299999999999997"/>
    <n v="2.54"/>
  </r>
  <r>
    <x v="5"/>
    <s v="Electrical and electronic goods retailing"/>
    <s v="2025-05-01"/>
    <x v="6"/>
    <s v="May      "/>
    <s v="5"/>
    <n v="34.6"/>
    <n v="2.98"/>
  </r>
  <r>
    <x v="5"/>
    <s v="Electrical and electronic goods retailing"/>
    <s v="2025-06-01"/>
    <x v="6"/>
    <s v="June     "/>
    <s v="6"/>
    <n v="42.3"/>
    <n v="3.93"/>
  </r>
  <r>
    <x v="5"/>
    <s v="Footwear and other personal accessory retailing"/>
    <s v="2019-01-01"/>
    <x v="0"/>
    <s v="January  "/>
    <s v="1"/>
    <n v="8"/>
    <m/>
  </r>
  <r>
    <x v="5"/>
    <s v="Footwear and other personal accessory retailing"/>
    <s v="2019-02-01"/>
    <x v="0"/>
    <s v="February "/>
    <s v="2"/>
    <n v="7.7"/>
    <m/>
  </r>
  <r>
    <x v="5"/>
    <s v="Footwear and other personal accessory retailing"/>
    <s v="2019-03-01"/>
    <x v="0"/>
    <s v="March    "/>
    <s v="3"/>
    <n v="8.1"/>
    <m/>
  </r>
  <r>
    <x v="5"/>
    <s v="Footwear and other personal accessory retailing"/>
    <s v="2019-04-01"/>
    <x v="0"/>
    <s v="April    "/>
    <s v="4"/>
    <n v="7.9"/>
    <m/>
  </r>
  <r>
    <x v="5"/>
    <s v="Footwear and other personal accessory retailing"/>
    <s v="2019-05-01"/>
    <x v="0"/>
    <s v="May      "/>
    <s v="5"/>
    <n v="8.6999999999999993"/>
    <m/>
  </r>
  <r>
    <x v="5"/>
    <s v="Footwear and other personal accessory retailing"/>
    <s v="2019-06-01"/>
    <x v="0"/>
    <s v="June     "/>
    <s v="6"/>
    <n v="8.6"/>
    <m/>
  </r>
  <r>
    <x v="5"/>
    <s v="Footwear and other personal accessory retailing"/>
    <s v="2019-07-01"/>
    <x v="0"/>
    <s v="July     "/>
    <s v="7"/>
    <n v="9.1"/>
    <m/>
  </r>
  <r>
    <x v="5"/>
    <s v="Footwear and other personal accessory retailing"/>
    <s v="2019-08-01"/>
    <x v="0"/>
    <s v="August   "/>
    <s v="8"/>
    <n v="9"/>
    <m/>
  </r>
  <r>
    <x v="5"/>
    <s v="Footwear and other personal accessory retailing"/>
    <s v="2019-09-01"/>
    <x v="0"/>
    <s v="September"/>
    <s v="9"/>
    <n v="8.4"/>
    <m/>
  </r>
  <r>
    <x v="5"/>
    <s v="Footwear and other personal accessory retailing"/>
    <s v="2019-10-01"/>
    <x v="0"/>
    <s v="October  "/>
    <s v="10"/>
    <n v="9.6"/>
    <m/>
  </r>
  <r>
    <x v="5"/>
    <s v="Footwear and other personal accessory retailing"/>
    <s v="2019-11-01"/>
    <x v="0"/>
    <s v="November "/>
    <s v="11"/>
    <n v="10.7"/>
    <m/>
  </r>
  <r>
    <x v="5"/>
    <s v="Footwear and other personal accessory retailing"/>
    <s v="2019-12-01"/>
    <x v="0"/>
    <s v="December "/>
    <s v="12"/>
    <n v="16.7"/>
    <m/>
  </r>
  <r>
    <x v="5"/>
    <s v="Footwear and other personal accessory retailing"/>
    <s v="2020-01-01"/>
    <x v="1"/>
    <s v="January  "/>
    <s v="1"/>
    <n v="9.1999999999999993"/>
    <n v="15"/>
  </r>
  <r>
    <x v="5"/>
    <s v="Footwear and other personal accessory retailing"/>
    <s v="2020-02-01"/>
    <x v="1"/>
    <s v="February "/>
    <s v="2"/>
    <n v="8.8000000000000007"/>
    <n v="14.29"/>
  </r>
  <r>
    <x v="5"/>
    <s v="Footwear and other personal accessory retailing"/>
    <s v="2020-03-01"/>
    <x v="1"/>
    <s v="March    "/>
    <s v="3"/>
    <n v="8.1999999999999993"/>
    <n v="1.23"/>
  </r>
  <r>
    <x v="5"/>
    <s v="Footwear and other personal accessory retailing"/>
    <s v="2020-04-01"/>
    <x v="1"/>
    <s v="April    "/>
    <s v="4"/>
    <n v="4.8"/>
    <n v="-39.24"/>
  </r>
  <r>
    <x v="5"/>
    <s v="Footwear and other personal accessory retailing"/>
    <s v="2020-05-01"/>
    <x v="1"/>
    <s v="May      "/>
    <s v="5"/>
    <n v="8.1999999999999993"/>
    <n v="-5.75"/>
  </r>
  <r>
    <x v="5"/>
    <s v="Footwear and other personal accessory retailing"/>
    <s v="2020-06-01"/>
    <x v="1"/>
    <s v="June     "/>
    <s v="6"/>
    <n v="8.3000000000000007"/>
    <n v="-3.49"/>
  </r>
  <r>
    <x v="5"/>
    <s v="Footwear and other personal accessory retailing"/>
    <s v="2020-07-01"/>
    <x v="1"/>
    <s v="July     "/>
    <s v="7"/>
    <n v="11.2"/>
    <n v="23.08"/>
  </r>
  <r>
    <x v="5"/>
    <s v="Footwear and other personal accessory retailing"/>
    <s v="2020-08-01"/>
    <x v="1"/>
    <s v="August   "/>
    <s v="8"/>
    <n v="10.8"/>
    <n v="20"/>
  </r>
  <r>
    <x v="5"/>
    <s v="Footwear and other personal accessory retailing"/>
    <s v="2020-09-01"/>
    <x v="1"/>
    <s v="September"/>
    <s v="9"/>
    <n v="10"/>
    <n v="19.05"/>
  </r>
  <r>
    <x v="5"/>
    <s v="Footwear and other personal accessory retailing"/>
    <s v="2020-10-01"/>
    <x v="1"/>
    <s v="October  "/>
    <s v="10"/>
    <n v="10.5"/>
    <n v="9.3800000000000008"/>
  </r>
  <r>
    <x v="5"/>
    <s v="Footwear and other personal accessory retailing"/>
    <s v="2020-11-01"/>
    <x v="1"/>
    <s v="November "/>
    <s v="11"/>
    <n v="12.4"/>
    <n v="15.89"/>
  </r>
  <r>
    <x v="5"/>
    <s v="Footwear and other personal accessory retailing"/>
    <s v="2020-12-01"/>
    <x v="1"/>
    <s v="December "/>
    <s v="12"/>
    <n v="19.100000000000001"/>
    <n v="14.37"/>
  </r>
  <r>
    <x v="5"/>
    <s v="Footwear and other personal accessory retailing"/>
    <s v="2021-01-01"/>
    <x v="2"/>
    <s v="January  "/>
    <s v="1"/>
    <n v="11.4"/>
    <n v="23.91"/>
  </r>
  <r>
    <x v="5"/>
    <s v="Footwear and other personal accessory retailing"/>
    <s v="2021-02-01"/>
    <x v="2"/>
    <s v="February "/>
    <s v="2"/>
    <n v="11.3"/>
    <n v="28.41"/>
  </r>
  <r>
    <x v="5"/>
    <s v="Footwear and other personal accessory retailing"/>
    <s v="2021-03-01"/>
    <x v="2"/>
    <s v="March    "/>
    <s v="3"/>
    <n v="10.7"/>
    <n v="30.49"/>
  </r>
  <r>
    <x v="5"/>
    <s v="Footwear and other personal accessory retailing"/>
    <s v="2021-04-01"/>
    <x v="2"/>
    <s v="April    "/>
    <s v="4"/>
    <n v="10.199999999999999"/>
    <n v="112.5"/>
  </r>
  <r>
    <x v="5"/>
    <s v="Footwear and other personal accessory retailing"/>
    <s v="2021-05-01"/>
    <x v="2"/>
    <s v="May      "/>
    <s v="5"/>
    <n v="10.3"/>
    <n v="25.61"/>
  </r>
  <r>
    <x v="5"/>
    <s v="Footwear and other personal accessory retailing"/>
    <s v="2021-06-01"/>
    <x v="2"/>
    <s v="June     "/>
    <s v="6"/>
    <n v="10.8"/>
    <n v="30.12"/>
  </r>
  <r>
    <x v="5"/>
    <s v="Footwear and other personal accessory retailing"/>
    <s v="2021-07-01"/>
    <x v="2"/>
    <s v="July     "/>
    <s v="7"/>
    <n v="11.8"/>
    <n v="5.36"/>
  </r>
  <r>
    <x v="5"/>
    <s v="Footwear and other personal accessory retailing"/>
    <s v="2021-08-01"/>
    <x v="2"/>
    <s v="August   "/>
    <s v="8"/>
    <n v="10.7"/>
    <n v="-0.93"/>
  </r>
  <r>
    <x v="5"/>
    <s v="Footwear and other personal accessory retailing"/>
    <s v="2021-09-01"/>
    <x v="2"/>
    <s v="September"/>
    <s v="9"/>
    <n v="11.2"/>
    <n v="12"/>
  </r>
  <r>
    <x v="5"/>
    <s v="Furniture, floor coverings, houseware and textile goods retailing"/>
    <s v="2019-01-01"/>
    <x v="0"/>
    <s v="January  "/>
    <s v="1"/>
    <n v="22.9"/>
    <m/>
  </r>
  <r>
    <x v="5"/>
    <s v="Furniture, floor coverings, houseware and textile goods retailing"/>
    <s v="2019-02-01"/>
    <x v="0"/>
    <s v="February "/>
    <s v="2"/>
    <n v="22.7"/>
    <m/>
  </r>
  <r>
    <x v="5"/>
    <s v="Furniture, floor coverings, houseware and textile goods retailing"/>
    <s v="2019-03-01"/>
    <x v="0"/>
    <s v="March    "/>
    <s v="3"/>
    <n v="23.3"/>
    <m/>
  </r>
  <r>
    <x v="5"/>
    <s v="Furniture, floor coverings, houseware and textile goods retailing"/>
    <s v="2019-04-01"/>
    <x v="0"/>
    <s v="April    "/>
    <s v="4"/>
    <n v="20.9"/>
    <m/>
  </r>
  <r>
    <x v="5"/>
    <s v="Furniture, floor coverings, houseware and textile goods retailing"/>
    <s v="2019-05-01"/>
    <x v="0"/>
    <s v="May      "/>
    <s v="5"/>
    <n v="23.5"/>
    <m/>
  </r>
  <r>
    <x v="5"/>
    <s v="Furniture, floor coverings, houseware and textile goods retailing"/>
    <s v="2019-06-01"/>
    <x v="0"/>
    <s v="June     "/>
    <s v="6"/>
    <n v="26"/>
    <m/>
  </r>
  <r>
    <x v="5"/>
    <s v="Furniture, floor coverings, houseware and textile goods retailing"/>
    <s v="2019-07-01"/>
    <x v="0"/>
    <s v="July     "/>
    <s v="7"/>
    <n v="25.7"/>
    <m/>
  </r>
  <r>
    <x v="5"/>
    <s v="Furniture, floor coverings, houseware and textile goods retailing"/>
    <s v="2019-08-01"/>
    <x v="0"/>
    <s v="August   "/>
    <s v="8"/>
    <n v="23.9"/>
    <m/>
  </r>
  <r>
    <x v="5"/>
    <s v="Furniture, floor coverings, houseware and textile goods retailing"/>
    <s v="2019-09-01"/>
    <x v="0"/>
    <s v="September"/>
    <s v="9"/>
    <n v="23.4"/>
    <m/>
  </r>
  <r>
    <x v="5"/>
    <s v="Furniture, floor coverings, houseware and textile goods retailing"/>
    <s v="2019-10-01"/>
    <x v="0"/>
    <s v="October  "/>
    <s v="10"/>
    <n v="26.2"/>
    <m/>
  </r>
  <r>
    <x v="5"/>
    <s v="Furniture, floor coverings, houseware and textile goods retailing"/>
    <s v="2019-11-01"/>
    <x v="0"/>
    <s v="November "/>
    <s v="11"/>
    <n v="25.9"/>
    <m/>
  </r>
  <r>
    <x v="5"/>
    <s v="Furniture, floor coverings, houseware and textile goods retailing"/>
    <s v="2019-12-01"/>
    <x v="0"/>
    <s v="December "/>
    <s v="12"/>
    <n v="29.3"/>
    <m/>
  </r>
  <r>
    <x v="5"/>
    <s v="Furniture, floor coverings, houseware and textile goods retailing"/>
    <s v="2020-01-01"/>
    <x v="1"/>
    <s v="January  "/>
    <s v="1"/>
    <n v="23.2"/>
    <n v="1.31"/>
  </r>
  <r>
    <x v="5"/>
    <s v="Furniture, floor coverings, houseware and textile goods retailing"/>
    <s v="2020-02-01"/>
    <x v="1"/>
    <s v="February "/>
    <s v="2"/>
    <n v="22.6"/>
    <n v="-0.44"/>
  </r>
  <r>
    <x v="5"/>
    <s v="Furniture, floor coverings, houseware and textile goods retailing"/>
    <s v="2020-03-01"/>
    <x v="1"/>
    <s v="March    "/>
    <s v="3"/>
    <n v="21.8"/>
    <n v="-6.44"/>
  </r>
  <r>
    <x v="5"/>
    <s v="Furniture, floor coverings, houseware and textile goods retailing"/>
    <s v="2020-04-01"/>
    <x v="1"/>
    <s v="April    "/>
    <s v="4"/>
    <n v="18.100000000000001"/>
    <n v="-13.4"/>
  </r>
  <r>
    <x v="5"/>
    <s v="Furniture, floor coverings, houseware and textile goods retailing"/>
    <s v="2020-05-01"/>
    <x v="1"/>
    <s v="May      "/>
    <s v="5"/>
    <n v="28.5"/>
    <n v="21.28"/>
  </r>
  <r>
    <x v="5"/>
    <s v="Furniture, floor coverings, houseware and textile goods retailing"/>
    <s v="2020-06-01"/>
    <x v="1"/>
    <s v="June     "/>
    <s v="6"/>
    <n v="30"/>
    <n v="15.38"/>
  </r>
  <r>
    <x v="5"/>
    <s v="Furniture, floor coverings, houseware and textile goods retailing"/>
    <s v="2020-07-01"/>
    <x v="1"/>
    <s v="July     "/>
    <s v="7"/>
    <n v="31.2"/>
    <n v="21.4"/>
  </r>
  <r>
    <x v="5"/>
    <s v="Furniture, floor coverings, houseware and textile goods retailing"/>
    <s v="2020-08-01"/>
    <x v="1"/>
    <s v="August   "/>
    <s v="8"/>
    <n v="30.4"/>
    <n v="27.2"/>
  </r>
  <r>
    <x v="5"/>
    <s v="Furniture, floor coverings, houseware and textile goods retailing"/>
    <s v="2020-09-01"/>
    <x v="1"/>
    <s v="September"/>
    <s v="9"/>
    <n v="31.4"/>
    <n v="34.19"/>
  </r>
  <r>
    <x v="5"/>
    <s v="Furniture, floor coverings, houseware and textile goods retailing"/>
    <s v="2020-10-01"/>
    <x v="1"/>
    <s v="October  "/>
    <s v="10"/>
    <n v="30.1"/>
    <n v="14.89"/>
  </r>
  <r>
    <x v="5"/>
    <s v="Furniture, floor coverings, houseware and textile goods retailing"/>
    <s v="2020-11-01"/>
    <x v="1"/>
    <s v="November "/>
    <s v="11"/>
    <n v="32.6"/>
    <n v="25.87"/>
  </r>
  <r>
    <x v="5"/>
    <s v="Furniture, floor coverings, houseware and textile goods retailing"/>
    <s v="2020-12-01"/>
    <x v="1"/>
    <s v="December "/>
    <s v="12"/>
    <n v="38.200000000000003"/>
    <n v="30.38"/>
  </r>
  <r>
    <x v="5"/>
    <s v="Furniture, floor coverings, houseware and textile goods retailing"/>
    <s v="2021-01-01"/>
    <x v="2"/>
    <s v="January  "/>
    <s v="1"/>
    <n v="27.3"/>
    <n v="17.670000000000002"/>
  </r>
  <r>
    <x v="5"/>
    <s v="Furniture, floor coverings, houseware and textile goods retailing"/>
    <s v="2021-02-01"/>
    <x v="2"/>
    <s v="February "/>
    <s v="2"/>
    <n v="28.8"/>
    <n v="27.43"/>
  </r>
  <r>
    <x v="5"/>
    <s v="Furniture, floor coverings, houseware and textile goods retailing"/>
    <s v="2021-03-01"/>
    <x v="2"/>
    <s v="March    "/>
    <s v="3"/>
    <n v="32.299999999999997"/>
    <n v="48.17"/>
  </r>
  <r>
    <x v="5"/>
    <s v="Furniture, floor coverings, houseware and textile goods retailing"/>
    <s v="2021-04-01"/>
    <x v="2"/>
    <s v="April    "/>
    <s v="4"/>
    <n v="28.7"/>
    <n v="58.56"/>
  </r>
  <r>
    <x v="5"/>
    <s v="Furniture, floor coverings, houseware and textile goods retailing"/>
    <s v="2021-05-01"/>
    <x v="2"/>
    <s v="May      "/>
    <s v="5"/>
    <n v="32.9"/>
    <n v="15.44"/>
  </r>
  <r>
    <x v="5"/>
    <s v="Furniture, floor coverings, houseware and textile goods retailing"/>
    <s v="2021-06-01"/>
    <x v="2"/>
    <s v="June     "/>
    <s v="6"/>
    <n v="35.299999999999997"/>
    <n v="17.670000000000002"/>
  </r>
  <r>
    <x v="5"/>
    <s v="Furniture, floor coverings, houseware and textile goods retailing"/>
    <s v="2021-07-01"/>
    <x v="2"/>
    <s v="July     "/>
    <s v="7"/>
    <n v="33.6"/>
    <n v="7.69"/>
  </r>
  <r>
    <x v="5"/>
    <s v="Furniture, floor coverings, houseware and textile goods retailing"/>
    <s v="2021-08-01"/>
    <x v="2"/>
    <s v="August   "/>
    <s v="8"/>
    <n v="34.200000000000003"/>
    <n v="12.5"/>
  </r>
  <r>
    <x v="5"/>
    <s v="Furniture, floor coverings, houseware and textile goods retailing"/>
    <s v="2021-09-01"/>
    <x v="2"/>
    <s v="September"/>
    <s v="9"/>
    <n v="32.299999999999997"/>
    <n v="2.87"/>
  </r>
  <r>
    <x v="5"/>
    <s v="Furniture, floor coverings, houseware and textile goods retailing"/>
    <s v="2021-10-01"/>
    <x v="2"/>
    <s v="October  "/>
    <s v="10"/>
    <n v="30.6"/>
    <n v="1.66"/>
  </r>
  <r>
    <x v="5"/>
    <s v="Furniture, floor coverings, houseware and textile goods retailing"/>
    <s v="2021-11-01"/>
    <x v="2"/>
    <s v="November "/>
    <s v="11"/>
    <n v="34.799999999999997"/>
    <n v="6.75"/>
  </r>
  <r>
    <x v="5"/>
    <s v="Furniture, floor coverings, houseware and textile goods retailing"/>
    <s v="2021-12-01"/>
    <x v="2"/>
    <s v="December "/>
    <s v="12"/>
    <n v="37.6"/>
    <n v="-1.57"/>
  </r>
  <r>
    <x v="5"/>
    <s v="Furniture, floor coverings, houseware and textile goods retailing"/>
    <s v="2022-01-01"/>
    <x v="3"/>
    <s v="January  "/>
    <s v="1"/>
    <n v="27.7"/>
    <n v="1.47"/>
  </r>
  <r>
    <x v="5"/>
    <s v="Furniture, floor coverings, houseware and textile goods retailing"/>
    <s v="2022-02-01"/>
    <x v="3"/>
    <s v="February "/>
    <s v="2"/>
    <n v="25.6"/>
    <n v="-11.11"/>
  </r>
  <r>
    <x v="5"/>
    <s v="Furniture, floor coverings, houseware and textile goods retailing"/>
    <s v="2022-03-01"/>
    <x v="3"/>
    <s v="March    "/>
    <s v="3"/>
    <n v="30.3"/>
    <n v="-6.19"/>
  </r>
  <r>
    <x v="5"/>
    <s v="Furniture, floor coverings, houseware and textile goods retailing"/>
    <s v="2022-04-01"/>
    <x v="3"/>
    <s v="April    "/>
    <s v="4"/>
    <n v="28.6"/>
    <n v="-0.35"/>
  </r>
  <r>
    <x v="5"/>
    <s v="Furniture, floor coverings, houseware and textile goods retailing"/>
    <s v="2022-05-01"/>
    <x v="3"/>
    <s v="May      "/>
    <s v="5"/>
    <n v="33.1"/>
    <n v="0.61"/>
  </r>
  <r>
    <x v="5"/>
    <s v="Furniture, floor coverings, houseware and textile goods retailing"/>
    <s v="2022-06-01"/>
    <x v="3"/>
    <s v="June     "/>
    <s v="6"/>
    <n v="35.5"/>
    <n v="0.56999999999999995"/>
  </r>
  <r>
    <x v="5"/>
    <s v="Furniture, floor coverings, houseware and textile goods retailing"/>
    <s v="2022-07-01"/>
    <x v="3"/>
    <s v="July     "/>
    <s v="7"/>
    <n v="30.1"/>
    <n v="-10.42"/>
  </r>
  <r>
    <x v="5"/>
    <s v="Furniture, floor coverings, houseware and textile goods retailing"/>
    <s v="2022-08-01"/>
    <x v="3"/>
    <s v="August   "/>
    <s v="8"/>
    <n v="32.6"/>
    <n v="-4.68"/>
  </r>
  <r>
    <x v="5"/>
    <s v="Furniture, floor coverings, houseware and textile goods retailing"/>
    <s v="2022-09-01"/>
    <x v="3"/>
    <s v="September"/>
    <s v="9"/>
    <n v="30.7"/>
    <n v="-4.95"/>
  </r>
  <r>
    <x v="5"/>
    <s v="Furniture, floor coverings, houseware and textile goods retailing"/>
    <s v="2022-10-01"/>
    <x v="3"/>
    <s v="October  "/>
    <s v="10"/>
    <n v="30.4"/>
    <n v="-0.65"/>
  </r>
  <r>
    <x v="5"/>
    <s v="Furniture, floor coverings, houseware and textile goods retailing"/>
    <s v="2022-11-01"/>
    <x v="3"/>
    <s v="November "/>
    <s v="11"/>
    <n v="36.700000000000003"/>
    <n v="5.46"/>
  </r>
  <r>
    <x v="5"/>
    <s v="Furniture, floor coverings, houseware and textile goods retailing"/>
    <s v="2022-12-01"/>
    <x v="3"/>
    <s v="December "/>
    <s v="12"/>
    <n v="33"/>
    <n v="-12.23"/>
  </r>
  <r>
    <x v="5"/>
    <s v="Furniture, floor coverings, houseware and textile goods retailing"/>
    <s v="2023-01-01"/>
    <x v="4"/>
    <s v="January  "/>
    <s v="1"/>
    <n v="26.2"/>
    <n v="-5.42"/>
  </r>
  <r>
    <x v="5"/>
    <s v="Furniture, floor coverings, houseware and textile goods retailing"/>
    <s v="2023-02-01"/>
    <x v="4"/>
    <s v="February "/>
    <s v="2"/>
    <n v="25.2"/>
    <n v="-1.56"/>
  </r>
  <r>
    <x v="5"/>
    <s v="Furniture, floor coverings, houseware and textile goods retailing"/>
    <s v="2023-03-01"/>
    <x v="4"/>
    <s v="March    "/>
    <s v="3"/>
    <n v="30.2"/>
    <n v="-0.33"/>
  </r>
  <r>
    <x v="5"/>
    <s v="Furniture, floor coverings, houseware and textile goods retailing"/>
    <s v="2023-04-01"/>
    <x v="4"/>
    <s v="April    "/>
    <s v="4"/>
    <n v="25.4"/>
    <n v="-11.19"/>
  </r>
  <r>
    <x v="5"/>
    <s v="Furniture, floor coverings, houseware and textile goods retailing"/>
    <s v="2023-05-01"/>
    <x v="4"/>
    <s v="May      "/>
    <s v="5"/>
    <n v="29.4"/>
    <n v="-11.18"/>
  </r>
  <r>
    <x v="5"/>
    <s v="Furniture, floor coverings, houseware and textile goods retailing"/>
    <s v="2023-06-01"/>
    <x v="4"/>
    <s v="June     "/>
    <s v="6"/>
    <n v="32.9"/>
    <n v="-7.32"/>
  </r>
  <r>
    <x v="5"/>
    <s v="Furniture, floor coverings, houseware and textile goods retailing"/>
    <s v="2023-07-01"/>
    <x v="4"/>
    <s v="July     "/>
    <s v="7"/>
    <n v="29.3"/>
    <n v="-2.66"/>
  </r>
  <r>
    <x v="5"/>
    <s v="Furniture, floor coverings, houseware and textile goods retailing"/>
    <s v="2023-08-01"/>
    <x v="4"/>
    <s v="August   "/>
    <s v="8"/>
    <n v="29.2"/>
    <n v="-10.43"/>
  </r>
  <r>
    <x v="5"/>
    <s v="Furniture, floor coverings, houseware and textile goods retailing"/>
    <s v="2023-09-01"/>
    <x v="4"/>
    <s v="September"/>
    <s v="9"/>
    <n v="27.7"/>
    <n v="-9.77"/>
  </r>
  <r>
    <x v="5"/>
    <s v="Furniture, floor coverings, houseware and textile goods retailing"/>
    <s v="2023-10-01"/>
    <x v="4"/>
    <s v="October  "/>
    <s v="10"/>
    <n v="31.7"/>
    <n v="4.28"/>
  </r>
  <r>
    <x v="5"/>
    <s v="Furniture, floor coverings, houseware and textile goods retailing"/>
    <s v="2023-11-01"/>
    <x v="4"/>
    <s v="November "/>
    <s v="11"/>
    <n v="35.6"/>
    <n v="-3"/>
  </r>
  <r>
    <x v="5"/>
    <s v="Furniture, floor coverings, houseware and textile goods retailing"/>
    <s v="2023-12-01"/>
    <x v="4"/>
    <s v="December "/>
    <s v="12"/>
    <n v="34.4"/>
    <n v="4.24"/>
  </r>
  <r>
    <x v="5"/>
    <s v="Furniture, floor coverings, houseware and textile goods retailing"/>
    <s v="2024-01-01"/>
    <x v="5"/>
    <s v="January  "/>
    <s v="1"/>
    <n v="30"/>
    <n v="14.5"/>
  </r>
  <r>
    <x v="5"/>
    <s v="Furniture, floor coverings, houseware and textile goods retailing"/>
    <s v="2024-02-01"/>
    <x v="5"/>
    <s v="February "/>
    <s v="2"/>
    <n v="28.4"/>
    <n v="12.7"/>
  </r>
  <r>
    <x v="5"/>
    <s v="Furniture, floor coverings, houseware and textile goods retailing"/>
    <s v="2024-03-01"/>
    <x v="5"/>
    <s v="March    "/>
    <s v="3"/>
    <n v="30"/>
    <n v="-0.66"/>
  </r>
  <r>
    <x v="5"/>
    <s v="Furniture, floor coverings, houseware and textile goods retailing"/>
    <s v="2024-04-01"/>
    <x v="5"/>
    <s v="April    "/>
    <s v="4"/>
    <n v="30.6"/>
    <n v="20.47"/>
  </r>
  <r>
    <x v="5"/>
    <s v="Furniture, floor coverings, houseware and textile goods retailing"/>
    <s v="2024-05-01"/>
    <x v="5"/>
    <s v="May      "/>
    <s v="5"/>
    <n v="33.5"/>
    <n v="13.95"/>
  </r>
  <r>
    <x v="5"/>
    <s v="Furniture, floor coverings, houseware and textile goods retailing"/>
    <s v="2024-06-01"/>
    <x v="5"/>
    <s v="June     "/>
    <s v="6"/>
    <n v="33"/>
    <n v="0.3"/>
  </r>
  <r>
    <x v="5"/>
    <s v="Furniture, floor coverings, houseware and textile goods retailing"/>
    <s v="2024-07-01"/>
    <x v="5"/>
    <s v="July     "/>
    <s v="7"/>
    <n v="33.1"/>
    <n v="12.97"/>
  </r>
  <r>
    <x v="5"/>
    <s v="Furniture, floor coverings, houseware and textile goods retailing"/>
    <s v="2024-08-01"/>
    <x v="5"/>
    <s v="August   "/>
    <s v="8"/>
    <n v="30.9"/>
    <n v="5.82"/>
  </r>
  <r>
    <x v="5"/>
    <s v="Furniture, floor coverings, houseware and textile goods retailing"/>
    <s v="2024-09-01"/>
    <x v="5"/>
    <s v="September"/>
    <s v="9"/>
    <n v="32.799999999999997"/>
    <n v="18.41"/>
  </r>
  <r>
    <x v="5"/>
    <s v="Furniture, floor coverings, houseware and textile goods retailing"/>
    <s v="2024-10-01"/>
    <x v="5"/>
    <s v="October  "/>
    <s v="10"/>
    <n v="36.299999999999997"/>
    <n v="14.51"/>
  </r>
  <r>
    <x v="5"/>
    <s v="Furniture, floor coverings, houseware and textile goods retailing"/>
    <s v="2024-11-01"/>
    <x v="5"/>
    <s v="November "/>
    <s v="11"/>
    <n v="37.6"/>
    <n v="5.62"/>
  </r>
  <r>
    <x v="5"/>
    <s v="Furniture, floor coverings, houseware and textile goods retailing"/>
    <s v="2024-12-01"/>
    <x v="5"/>
    <s v="December "/>
    <s v="12"/>
    <n v="37.5"/>
    <n v="9.01"/>
  </r>
  <r>
    <x v="5"/>
    <s v="Furniture, floor coverings, houseware and textile goods retailing"/>
    <s v="2025-01-01"/>
    <x v="6"/>
    <s v="January  "/>
    <s v="1"/>
    <n v="30.6"/>
    <n v="2"/>
  </r>
  <r>
    <x v="5"/>
    <s v="Furniture, floor coverings, houseware and textile goods retailing"/>
    <s v="2025-02-01"/>
    <x v="6"/>
    <s v="February "/>
    <s v="2"/>
    <n v="28.4"/>
    <n v="0"/>
  </r>
  <r>
    <x v="5"/>
    <s v="Furniture, floor coverings, houseware and textile goods retailing"/>
    <s v="2025-03-01"/>
    <x v="6"/>
    <s v="March    "/>
    <s v="3"/>
    <n v="31.5"/>
    <n v="5"/>
  </r>
  <r>
    <x v="5"/>
    <s v="Furniture, floor coverings, houseware and textile goods retailing"/>
    <s v="2025-04-01"/>
    <x v="6"/>
    <s v="April    "/>
    <s v="4"/>
    <n v="28.6"/>
    <n v="-6.54"/>
  </r>
  <r>
    <x v="5"/>
    <s v="Furniture, floor coverings, houseware and textile goods retailing"/>
    <s v="2025-05-01"/>
    <x v="6"/>
    <s v="May      "/>
    <s v="5"/>
    <n v="34.6"/>
    <n v="3.28"/>
  </r>
  <r>
    <x v="5"/>
    <s v="Furniture, floor coverings, houseware and textile goods retailing"/>
    <s v="2025-06-01"/>
    <x v="6"/>
    <s v="June     "/>
    <s v="6"/>
    <n v="33.799999999999997"/>
    <n v="2.42"/>
  </r>
  <r>
    <x v="5"/>
    <s v="Hardware, building and garden supplies retailing"/>
    <s v="2019-01-01"/>
    <x v="0"/>
    <s v="January  "/>
    <s v="1"/>
    <n v="36.9"/>
    <m/>
  </r>
  <r>
    <x v="5"/>
    <s v="Hardware, building and garden supplies retailing"/>
    <s v="2019-02-01"/>
    <x v="0"/>
    <s v="February "/>
    <s v="2"/>
    <n v="31.5"/>
    <m/>
  </r>
  <r>
    <x v="5"/>
    <s v="Hardware, building and garden supplies retailing"/>
    <s v="2019-03-01"/>
    <x v="0"/>
    <s v="March    "/>
    <s v="3"/>
    <n v="33.9"/>
    <m/>
  </r>
  <r>
    <x v="5"/>
    <s v="Hardware, building and garden supplies retailing"/>
    <s v="2019-04-01"/>
    <x v="0"/>
    <s v="April    "/>
    <s v="4"/>
    <n v="32"/>
    <m/>
  </r>
  <r>
    <x v="5"/>
    <s v="Hardware, building and garden supplies retailing"/>
    <s v="2019-05-01"/>
    <x v="0"/>
    <s v="May      "/>
    <s v="5"/>
    <n v="32.5"/>
    <m/>
  </r>
  <r>
    <x v="5"/>
    <s v="Hardware, building and garden supplies retailing"/>
    <s v="2019-06-01"/>
    <x v="0"/>
    <s v="June     "/>
    <s v="6"/>
    <n v="31"/>
    <m/>
  </r>
  <r>
    <x v="5"/>
    <s v="Hardware, building and garden supplies retailing"/>
    <s v="2019-07-01"/>
    <x v="0"/>
    <s v="July     "/>
    <s v="7"/>
    <n v="31.8"/>
    <m/>
  </r>
  <r>
    <x v="5"/>
    <s v="Hardware, building and garden supplies retailing"/>
    <s v="2019-08-01"/>
    <x v="0"/>
    <s v="August   "/>
    <s v="8"/>
    <n v="33.9"/>
    <m/>
  </r>
  <r>
    <x v="5"/>
    <s v="Hardware, building and garden supplies retailing"/>
    <s v="2019-09-01"/>
    <x v="0"/>
    <s v="September"/>
    <s v="9"/>
    <n v="36.200000000000003"/>
    <m/>
  </r>
  <r>
    <x v="5"/>
    <s v="Hardware, building and garden supplies retailing"/>
    <s v="2019-10-01"/>
    <x v="0"/>
    <s v="October  "/>
    <s v="10"/>
    <n v="40.1"/>
    <m/>
  </r>
  <r>
    <x v="5"/>
    <s v="Hardware, building and garden supplies retailing"/>
    <s v="2019-11-01"/>
    <x v="0"/>
    <s v="November "/>
    <s v="11"/>
    <n v="39.6"/>
    <m/>
  </r>
  <r>
    <x v="5"/>
    <s v="Hardware, building and garden supplies retailing"/>
    <s v="2019-12-01"/>
    <x v="0"/>
    <s v="December "/>
    <s v="12"/>
    <n v="43.8"/>
    <m/>
  </r>
  <r>
    <x v="5"/>
    <s v="Hardware, building and garden supplies retailing"/>
    <s v="2021-10-01"/>
    <x v="2"/>
    <s v="October  "/>
    <s v="10"/>
    <n v="55"/>
    <n v="49.05"/>
  </r>
  <r>
    <x v="5"/>
    <s v="Hardware, building and garden supplies retailing"/>
    <s v="2021-11-01"/>
    <x v="2"/>
    <s v="November "/>
    <s v="11"/>
    <n v="58.6"/>
    <n v="86.03"/>
  </r>
  <r>
    <x v="5"/>
    <s v="Hardware, building and garden supplies retailing"/>
    <s v="2021-12-01"/>
    <x v="2"/>
    <s v="December "/>
    <s v="12"/>
    <n v="62.1"/>
    <n v="83.19"/>
  </r>
  <r>
    <x v="5"/>
    <s v="Hardware, building and garden supplies retailing"/>
    <s v="2022-01-01"/>
    <x v="3"/>
    <s v="January  "/>
    <s v="1"/>
    <n v="52"/>
    <n v="62.5"/>
  </r>
  <r>
    <x v="5"/>
    <s v="Hardware, building and garden supplies retailing"/>
    <s v="2022-02-01"/>
    <x v="3"/>
    <s v="February "/>
    <s v="2"/>
    <n v="48.8"/>
    <n v="50.15"/>
  </r>
  <r>
    <x v="5"/>
    <s v="Hardware, building and garden supplies retailing"/>
    <s v="2022-03-01"/>
    <x v="3"/>
    <s v="March    "/>
    <s v="3"/>
    <n v="50.3"/>
    <n v="62.26"/>
  </r>
  <r>
    <x v="5"/>
    <s v="Hardware, building and garden supplies retailing"/>
    <s v="2022-04-01"/>
    <x v="3"/>
    <s v="April    "/>
    <s v="4"/>
    <n v="47.2"/>
    <n v="48.43"/>
  </r>
  <r>
    <x v="5"/>
    <s v="Hardware, building and garden supplies retailing"/>
    <s v="2022-05-01"/>
    <x v="3"/>
    <s v="May      "/>
    <s v="5"/>
    <n v="46.2"/>
    <n v="36.28"/>
  </r>
  <r>
    <x v="5"/>
    <s v="Hardware, building and garden supplies retailing"/>
    <s v="2022-06-01"/>
    <x v="3"/>
    <s v="June     "/>
    <s v="6"/>
    <n v="44.1"/>
    <n v="21.82"/>
  </r>
  <r>
    <x v="5"/>
    <s v="Hardware, building and garden supplies retailing"/>
    <s v="2022-07-01"/>
    <x v="3"/>
    <s v="July     "/>
    <s v="7"/>
    <n v="45.8"/>
    <n v="14.21"/>
  </r>
  <r>
    <x v="5"/>
    <s v="Hardware, building and garden supplies retailing"/>
    <s v="2022-08-01"/>
    <x v="3"/>
    <s v="August   "/>
    <s v="8"/>
    <n v="48.7"/>
    <n v="22.98"/>
  </r>
  <r>
    <x v="5"/>
    <s v="Hardware, building and garden supplies retailing"/>
    <s v="2022-09-01"/>
    <x v="3"/>
    <s v="September"/>
    <s v="9"/>
    <n v="52.2"/>
    <n v="19.18"/>
  </r>
  <r>
    <x v="5"/>
    <s v="Hardware, building and garden supplies retailing"/>
    <s v="2022-10-01"/>
    <x v="3"/>
    <s v="October  "/>
    <s v="10"/>
    <n v="55.1"/>
    <n v="0.18"/>
  </r>
  <r>
    <x v="5"/>
    <s v="Hardware, building and garden supplies retailing"/>
    <s v="2022-11-01"/>
    <x v="3"/>
    <s v="November "/>
    <s v="11"/>
    <n v="57.3"/>
    <n v="-2.2200000000000002"/>
  </r>
  <r>
    <x v="5"/>
    <s v="Hardware, building and garden supplies retailing"/>
    <s v="2022-12-01"/>
    <x v="3"/>
    <s v="December "/>
    <s v="12"/>
    <n v="59.8"/>
    <n v="-3.7"/>
  </r>
  <r>
    <x v="5"/>
    <s v="Hardware, building and garden supplies retailing"/>
    <s v="2023-01-01"/>
    <x v="4"/>
    <s v="January  "/>
    <s v="1"/>
    <n v="53.8"/>
    <n v="3.46"/>
  </r>
  <r>
    <x v="5"/>
    <s v="Hardware, building and garden supplies retailing"/>
    <s v="2023-02-01"/>
    <x v="4"/>
    <s v="February "/>
    <s v="2"/>
    <n v="46.6"/>
    <n v="-4.51"/>
  </r>
  <r>
    <x v="5"/>
    <s v="Hardware, building and garden supplies retailing"/>
    <s v="2023-03-01"/>
    <x v="4"/>
    <s v="March    "/>
    <s v="3"/>
    <n v="48.6"/>
    <n v="-3.38"/>
  </r>
  <r>
    <x v="5"/>
    <s v="Hardware, building and garden supplies retailing"/>
    <s v="2023-04-01"/>
    <x v="4"/>
    <s v="April    "/>
    <s v="4"/>
    <n v="46.4"/>
    <n v="-1.69"/>
  </r>
  <r>
    <x v="5"/>
    <s v="Hardware, building and garden supplies retailing"/>
    <s v="2023-05-01"/>
    <x v="4"/>
    <s v="May      "/>
    <s v="5"/>
    <n v="46.8"/>
    <n v="1.3"/>
  </r>
  <r>
    <x v="5"/>
    <s v="Hardware, building and garden supplies retailing"/>
    <s v="2023-06-01"/>
    <x v="4"/>
    <s v="June     "/>
    <s v="6"/>
    <n v="44.7"/>
    <n v="1.36"/>
  </r>
  <r>
    <x v="5"/>
    <s v="Hardware, building and garden supplies retailing"/>
    <s v="2023-07-01"/>
    <x v="4"/>
    <s v="July     "/>
    <s v="7"/>
    <n v="45.8"/>
    <n v="0"/>
  </r>
  <r>
    <x v="5"/>
    <s v="Hardware, building and garden supplies retailing"/>
    <s v="2023-08-01"/>
    <x v="4"/>
    <s v="August   "/>
    <s v="8"/>
    <n v="48.8"/>
    <n v="0.21"/>
  </r>
  <r>
    <x v="5"/>
    <s v="Hardware, building and garden supplies retailing"/>
    <s v="2023-09-01"/>
    <x v="4"/>
    <s v="September"/>
    <s v="9"/>
    <n v="51.6"/>
    <n v="-1.1499999999999999"/>
  </r>
  <r>
    <x v="5"/>
    <s v="Hardware, building and garden supplies retailing"/>
    <s v="2023-10-01"/>
    <x v="4"/>
    <s v="October  "/>
    <s v="10"/>
    <n v="54.6"/>
    <n v="-0.91"/>
  </r>
  <r>
    <x v="5"/>
    <s v="Hardware, building and garden supplies retailing"/>
    <s v="2023-11-01"/>
    <x v="4"/>
    <s v="November "/>
    <s v="11"/>
    <n v="57.5"/>
    <n v="0.35"/>
  </r>
  <r>
    <x v="5"/>
    <s v="Hardware, building and garden supplies retailing"/>
    <s v="2023-12-01"/>
    <x v="4"/>
    <s v="December "/>
    <s v="12"/>
    <n v="58"/>
    <n v="-3.01"/>
  </r>
  <r>
    <x v="5"/>
    <s v="Hardware, building and garden supplies retailing"/>
    <s v="2024-01-01"/>
    <x v="5"/>
    <s v="January  "/>
    <s v="1"/>
    <n v="53.5"/>
    <n v="-0.56000000000000005"/>
  </r>
  <r>
    <x v="5"/>
    <s v="Hardware, building and garden supplies retailing"/>
    <s v="2024-02-01"/>
    <x v="5"/>
    <s v="February "/>
    <s v="2"/>
    <n v="49.1"/>
    <n v="5.36"/>
  </r>
  <r>
    <x v="5"/>
    <s v="Hardware, building and garden supplies retailing"/>
    <s v="2024-03-01"/>
    <x v="5"/>
    <s v="March    "/>
    <s v="3"/>
    <n v="49.3"/>
    <n v="1.44"/>
  </r>
  <r>
    <x v="5"/>
    <s v="Hardware, building and garden supplies retailing"/>
    <s v="2024-04-01"/>
    <x v="5"/>
    <s v="April    "/>
    <s v="4"/>
    <n v="48.2"/>
    <n v="3.88"/>
  </r>
  <r>
    <x v="5"/>
    <s v="Hardware, building and garden supplies retailing"/>
    <s v="2024-05-01"/>
    <x v="5"/>
    <s v="May      "/>
    <s v="5"/>
    <n v="48.2"/>
    <n v="2.99"/>
  </r>
  <r>
    <x v="5"/>
    <s v="Hardware, building and garden supplies retailing"/>
    <s v="2024-06-01"/>
    <x v="5"/>
    <s v="June     "/>
    <s v="6"/>
    <n v="44.8"/>
    <n v="0.22"/>
  </r>
  <r>
    <x v="5"/>
    <s v="Hardware, building and garden supplies retailing"/>
    <s v="2024-07-01"/>
    <x v="5"/>
    <s v="July     "/>
    <s v="7"/>
    <n v="44.2"/>
    <n v="-3.49"/>
  </r>
  <r>
    <x v="5"/>
    <s v="Hardware, building and garden supplies retailing"/>
    <s v="2024-08-01"/>
    <x v="5"/>
    <s v="August   "/>
    <s v="8"/>
    <n v="46.5"/>
    <n v="-4.71"/>
  </r>
  <r>
    <x v="5"/>
    <s v="Hardware, building and garden supplies retailing"/>
    <s v="2024-09-01"/>
    <x v="5"/>
    <s v="September"/>
    <s v="9"/>
    <n v="48.7"/>
    <n v="-5.62"/>
  </r>
  <r>
    <x v="5"/>
    <s v="Hardware, building and garden supplies retailing"/>
    <s v="2024-10-01"/>
    <x v="5"/>
    <s v="October  "/>
    <s v="10"/>
    <n v="58"/>
    <n v="6.23"/>
  </r>
  <r>
    <x v="5"/>
    <s v="Hardware, building and garden supplies retailing"/>
    <s v="2024-11-01"/>
    <x v="5"/>
    <s v="November "/>
    <s v="11"/>
    <n v="60.2"/>
    <n v="4.7"/>
  </r>
  <r>
    <x v="5"/>
    <s v="Hardware, building and garden supplies retailing"/>
    <s v="2024-12-01"/>
    <x v="5"/>
    <s v="December "/>
    <s v="12"/>
    <n v="59.7"/>
    <n v="2.93"/>
  </r>
  <r>
    <x v="5"/>
    <s v="Hardware, building and garden supplies retailing"/>
    <s v="2025-01-01"/>
    <x v="6"/>
    <s v="January  "/>
    <s v="1"/>
    <n v="54.1"/>
    <n v="1.1200000000000001"/>
  </r>
  <r>
    <x v="5"/>
    <s v="Hardware, building and garden supplies retailing"/>
    <s v="2025-02-01"/>
    <x v="6"/>
    <s v="February "/>
    <s v="2"/>
    <n v="47.2"/>
    <n v="-3.87"/>
  </r>
  <r>
    <x v="5"/>
    <s v="Hardware, building and garden supplies retailing"/>
    <s v="2025-03-01"/>
    <x v="6"/>
    <s v="March    "/>
    <s v="3"/>
    <n v="50.5"/>
    <n v="2.4300000000000002"/>
  </r>
  <r>
    <x v="5"/>
    <s v="Hardware, building and garden supplies retailing"/>
    <s v="2025-04-01"/>
    <x v="6"/>
    <s v="April    "/>
    <s v="4"/>
    <n v="48.3"/>
    <n v="0.21"/>
  </r>
  <r>
    <x v="5"/>
    <s v="Hardware, building and garden supplies retailing"/>
    <s v="2025-05-01"/>
    <x v="6"/>
    <s v="May      "/>
    <s v="5"/>
    <n v="50.4"/>
    <n v="4.5599999999999996"/>
  </r>
  <r>
    <x v="5"/>
    <s v="Hardware, building and garden supplies retailing"/>
    <s v="2025-06-01"/>
    <x v="6"/>
    <s v="June     "/>
    <s v="6"/>
    <n v="47.7"/>
    <n v="6.47"/>
  </r>
  <r>
    <x v="5"/>
    <s v="Liquor retailing"/>
    <s v="2019-04-01"/>
    <x v="0"/>
    <s v="April    "/>
    <s v="4"/>
    <n v="27.3"/>
    <m/>
  </r>
  <r>
    <x v="5"/>
    <s v="Liquor retailing"/>
    <s v="2019-05-01"/>
    <x v="0"/>
    <s v="May      "/>
    <s v="5"/>
    <n v="25"/>
    <m/>
  </r>
  <r>
    <x v="5"/>
    <s v="Liquor retailing"/>
    <s v="2019-06-01"/>
    <x v="0"/>
    <s v="June     "/>
    <s v="6"/>
    <n v="23.2"/>
    <m/>
  </r>
  <r>
    <x v="5"/>
    <s v="Liquor retailing"/>
    <s v="2019-07-01"/>
    <x v="0"/>
    <s v="July     "/>
    <s v="7"/>
    <n v="25"/>
    <m/>
  </r>
  <r>
    <x v="5"/>
    <s v="Liquor retailing"/>
    <s v="2019-08-01"/>
    <x v="0"/>
    <s v="August   "/>
    <s v="8"/>
    <n v="26.5"/>
    <m/>
  </r>
  <r>
    <x v="5"/>
    <s v="Liquor retailing"/>
    <s v="2019-09-01"/>
    <x v="0"/>
    <s v="September"/>
    <s v="9"/>
    <n v="26.4"/>
    <m/>
  </r>
  <r>
    <x v="5"/>
    <s v="Liquor retailing"/>
    <s v="2019-10-01"/>
    <x v="0"/>
    <s v="October  "/>
    <s v="10"/>
    <n v="28.5"/>
    <m/>
  </r>
  <r>
    <x v="5"/>
    <s v="Liquor retailing"/>
    <s v="2019-11-01"/>
    <x v="0"/>
    <s v="November "/>
    <s v="11"/>
    <n v="30.7"/>
    <m/>
  </r>
  <r>
    <x v="5"/>
    <s v="Liquor retailing"/>
    <s v="2019-12-01"/>
    <x v="0"/>
    <s v="December "/>
    <s v="12"/>
    <n v="45.8"/>
    <m/>
  </r>
  <r>
    <x v="5"/>
    <s v="Liquor retailing"/>
    <s v="2020-01-01"/>
    <x v="1"/>
    <s v="January  "/>
    <s v="1"/>
    <n v="32.799999999999997"/>
    <m/>
  </r>
  <r>
    <x v="5"/>
    <s v="Liquor retailing"/>
    <s v="2020-02-01"/>
    <x v="1"/>
    <s v="February "/>
    <s v="2"/>
    <n v="29.3"/>
    <m/>
  </r>
  <r>
    <x v="5"/>
    <s v="Liquor retailing"/>
    <s v="2020-03-01"/>
    <x v="1"/>
    <s v="March    "/>
    <s v="3"/>
    <n v="36"/>
    <m/>
  </r>
  <r>
    <x v="5"/>
    <s v="Liquor retailing"/>
    <s v="2020-04-01"/>
    <x v="1"/>
    <s v="April    "/>
    <s v="4"/>
    <n v="27.5"/>
    <n v="0.73"/>
  </r>
  <r>
    <x v="5"/>
    <s v="Liquor retailing"/>
    <s v="2020-05-01"/>
    <x v="1"/>
    <s v="May      "/>
    <s v="5"/>
    <n v="32.1"/>
    <n v="28.4"/>
  </r>
  <r>
    <x v="5"/>
    <s v="Liquor retailing"/>
    <s v="2020-06-01"/>
    <x v="1"/>
    <s v="June     "/>
    <s v="6"/>
    <n v="31"/>
    <n v="33.619999999999997"/>
  </r>
  <r>
    <x v="5"/>
    <s v="Liquor retailing"/>
    <s v="2020-07-01"/>
    <x v="1"/>
    <s v="July     "/>
    <s v="7"/>
    <n v="33.5"/>
    <n v="34"/>
  </r>
  <r>
    <x v="5"/>
    <s v="Liquor retailing"/>
    <s v="2020-08-01"/>
    <x v="1"/>
    <s v="August   "/>
    <s v="8"/>
    <n v="32.1"/>
    <n v="21.13"/>
  </r>
  <r>
    <x v="5"/>
    <s v="Liquor retailing"/>
    <s v="2020-09-01"/>
    <x v="1"/>
    <s v="September"/>
    <s v="9"/>
    <n v="32.1"/>
    <n v="21.59"/>
  </r>
  <r>
    <x v="5"/>
    <s v="Liquor retailing"/>
    <s v="2020-10-01"/>
    <x v="1"/>
    <s v="October  "/>
    <s v="10"/>
    <n v="34.700000000000003"/>
    <n v="21.75"/>
  </r>
  <r>
    <x v="5"/>
    <s v="Liquor retailing"/>
    <s v="2020-11-01"/>
    <x v="1"/>
    <s v="November "/>
    <s v="11"/>
    <n v="34.299999999999997"/>
    <n v="11.73"/>
  </r>
  <r>
    <x v="5"/>
    <s v="Liquor retailing"/>
    <s v="2020-12-01"/>
    <x v="1"/>
    <s v="December "/>
    <s v="12"/>
    <n v="52.4"/>
    <n v="14.41"/>
  </r>
  <r>
    <x v="5"/>
    <s v="Liquor retailing"/>
    <s v="2021-01-01"/>
    <x v="2"/>
    <s v="January  "/>
    <s v="1"/>
    <n v="36.200000000000003"/>
    <n v="10.37"/>
  </r>
  <r>
    <x v="5"/>
    <s v="Liquor retailing"/>
    <s v="2021-02-01"/>
    <x v="2"/>
    <s v="February "/>
    <s v="2"/>
    <n v="31"/>
    <n v="5.8"/>
  </r>
  <r>
    <x v="5"/>
    <s v="Liquor retailing"/>
    <s v="2021-03-01"/>
    <x v="2"/>
    <s v="March    "/>
    <s v="3"/>
    <n v="35.9"/>
    <n v="-0.28000000000000003"/>
  </r>
  <r>
    <x v="5"/>
    <s v="Liquor retailing"/>
    <s v="2021-04-01"/>
    <x v="2"/>
    <s v="April    "/>
    <s v="4"/>
    <n v="34.700000000000003"/>
    <n v="26.18"/>
  </r>
  <r>
    <x v="5"/>
    <s v="Liquor retailing"/>
    <s v="2021-05-01"/>
    <x v="2"/>
    <s v="May      "/>
    <s v="5"/>
    <n v="32.5"/>
    <n v="1.25"/>
  </r>
  <r>
    <x v="5"/>
    <s v="Liquor retailing"/>
    <s v="2021-06-01"/>
    <x v="2"/>
    <s v="June     "/>
    <s v="6"/>
    <n v="30.8"/>
    <n v="-0.65"/>
  </r>
  <r>
    <x v="5"/>
    <s v="Liquor retailing"/>
    <s v="2021-07-01"/>
    <x v="2"/>
    <s v="July     "/>
    <s v="7"/>
    <n v="33.799999999999997"/>
    <n v="0.9"/>
  </r>
  <r>
    <x v="5"/>
    <s v="Liquor retailing"/>
    <s v="2021-08-01"/>
    <x v="2"/>
    <s v="August   "/>
    <s v="8"/>
    <n v="31.4"/>
    <n v="-2.1800000000000002"/>
  </r>
  <r>
    <x v="5"/>
    <s v="Liquor retailing"/>
    <s v="2021-09-01"/>
    <x v="2"/>
    <s v="September"/>
    <s v="9"/>
    <n v="33.5"/>
    <n v="4.3600000000000003"/>
  </r>
  <r>
    <x v="5"/>
    <s v="Liquor retailing"/>
    <s v="2021-10-01"/>
    <x v="2"/>
    <s v="October  "/>
    <s v="10"/>
    <n v="34.9"/>
    <n v="0.57999999999999996"/>
  </r>
  <r>
    <x v="5"/>
    <s v="Liquor retailing"/>
    <s v="2021-11-01"/>
    <x v="2"/>
    <s v="November "/>
    <s v="11"/>
    <n v="34.200000000000003"/>
    <n v="-0.28999999999999998"/>
  </r>
  <r>
    <x v="5"/>
    <s v="Liquor retailing"/>
    <s v="2021-12-01"/>
    <x v="2"/>
    <s v="December "/>
    <s v="12"/>
    <n v="55.6"/>
    <n v="6.11"/>
  </r>
  <r>
    <x v="5"/>
    <s v="Liquor retailing"/>
    <s v="2022-01-01"/>
    <x v="3"/>
    <s v="January  "/>
    <s v="1"/>
    <n v="35.700000000000003"/>
    <n v="-1.38"/>
  </r>
  <r>
    <x v="5"/>
    <s v="Liquor retailing"/>
    <s v="2022-02-01"/>
    <x v="3"/>
    <s v="February "/>
    <s v="2"/>
    <n v="34.200000000000003"/>
    <n v="10.32"/>
  </r>
  <r>
    <x v="5"/>
    <s v="Liquor retailing"/>
    <s v="2022-03-01"/>
    <x v="3"/>
    <s v="March    "/>
    <s v="3"/>
    <n v="38"/>
    <n v="5.85"/>
  </r>
  <r>
    <x v="5"/>
    <s v="Liquor retailing"/>
    <s v="2022-04-01"/>
    <x v="3"/>
    <s v="April    "/>
    <s v="4"/>
    <n v="39.1"/>
    <n v="12.68"/>
  </r>
  <r>
    <x v="5"/>
    <s v="Liquor retailing"/>
    <s v="2022-05-01"/>
    <x v="3"/>
    <s v="May      "/>
    <s v="5"/>
    <n v="35.4"/>
    <n v="8.92"/>
  </r>
  <r>
    <x v="5"/>
    <s v="Liquor retailing"/>
    <s v="2022-06-01"/>
    <x v="3"/>
    <s v="June     "/>
    <s v="6"/>
    <n v="34.299999999999997"/>
    <n v="11.36"/>
  </r>
  <r>
    <x v="5"/>
    <s v="Liquor retailing"/>
    <s v="2022-07-01"/>
    <x v="3"/>
    <s v="July     "/>
    <s v="7"/>
    <n v="35.700000000000003"/>
    <n v="5.62"/>
  </r>
  <r>
    <x v="5"/>
    <s v="Liquor retailing"/>
    <s v="2022-08-01"/>
    <x v="3"/>
    <s v="August   "/>
    <s v="8"/>
    <n v="36"/>
    <n v="14.65"/>
  </r>
  <r>
    <x v="5"/>
    <s v="Liquor retailing"/>
    <s v="2022-09-01"/>
    <x v="3"/>
    <s v="September"/>
    <s v="9"/>
    <n v="39"/>
    <n v="16.420000000000002"/>
  </r>
  <r>
    <x v="5"/>
    <s v="Liquor retailing"/>
    <s v="2022-10-01"/>
    <x v="3"/>
    <s v="October  "/>
    <s v="10"/>
    <n v="38.1"/>
    <n v="9.17"/>
  </r>
  <r>
    <x v="5"/>
    <s v="Liquor retailing"/>
    <s v="2022-11-01"/>
    <x v="3"/>
    <s v="November "/>
    <s v="11"/>
    <n v="40.299999999999997"/>
    <n v="17.84"/>
  </r>
  <r>
    <x v="5"/>
    <s v="Liquor retailing"/>
    <s v="2022-12-01"/>
    <x v="3"/>
    <s v="December "/>
    <s v="12"/>
    <n v="59.6"/>
    <n v="7.19"/>
  </r>
  <r>
    <x v="5"/>
    <s v="Liquor retailing"/>
    <s v="2023-01-01"/>
    <x v="4"/>
    <s v="January  "/>
    <s v="1"/>
    <n v="41.8"/>
    <n v="17.09"/>
  </r>
  <r>
    <x v="5"/>
    <s v="Liquor retailing"/>
    <s v="2023-02-01"/>
    <x v="4"/>
    <s v="February "/>
    <s v="2"/>
    <n v="38.299999999999997"/>
    <n v="11.99"/>
  </r>
  <r>
    <x v="5"/>
    <s v="Liquor retailing"/>
    <s v="2023-03-01"/>
    <x v="4"/>
    <s v="March    "/>
    <s v="3"/>
    <n v="41.4"/>
    <n v="8.9499999999999993"/>
  </r>
  <r>
    <x v="5"/>
    <s v="Liquor retailing"/>
    <s v="2023-04-01"/>
    <x v="4"/>
    <s v="April    "/>
    <s v="4"/>
    <n v="39.4"/>
    <n v="0.77"/>
  </r>
  <r>
    <x v="5"/>
    <s v="Liquor retailing"/>
    <s v="2023-05-01"/>
    <x v="4"/>
    <s v="May      "/>
    <s v="5"/>
    <n v="36.5"/>
    <n v="3.11"/>
  </r>
  <r>
    <x v="5"/>
    <s v="Liquor retailing"/>
    <s v="2023-06-01"/>
    <x v="4"/>
    <s v="June     "/>
    <s v="6"/>
    <n v="35.700000000000003"/>
    <n v="4.08"/>
  </r>
  <r>
    <x v="5"/>
    <s v="Liquor retailing"/>
    <s v="2023-07-01"/>
    <x v="4"/>
    <s v="July     "/>
    <s v="7"/>
    <n v="36.200000000000003"/>
    <n v="1.4"/>
  </r>
  <r>
    <x v="5"/>
    <s v="Liquor retailing"/>
    <s v="2023-08-01"/>
    <x v="4"/>
    <s v="August   "/>
    <s v="8"/>
    <n v="37.299999999999997"/>
    <n v="3.61"/>
  </r>
  <r>
    <x v="5"/>
    <s v="Liquor retailing"/>
    <s v="2023-09-01"/>
    <x v="4"/>
    <s v="September"/>
    <s v="9"/>
    <n v="41.2"/>
    <n v="5.64"/>
  </r>
  <r>
    <x v="5"/>
    <s v="Liquor retailing"/>
    <s v="2023-10-01"/>
    <x v="4"/>
    <s v="October  "/>
    <s v="10"/>
    <n v="39.9"/>
    <n v="4.72"/>
  </r>
  <r>
    <x v="5"/>
    <s v="Liquor retailing"/>
    <s v="2023-11-01"/>
    <x v="4"/>
    <s v="November "/>
    <s v="11"/>
    <n v="43"/>
    <n v="6.7"/>
  </r>
  <r>
    <x v="5"/>
    <s v="Liquor retailing"/>
    <s v="2023-12-01"/>
    <x v="4"/>
    <s v="December "/>
    <s v="12"/>
    <n v="62.3"/>
    <n v="4.53"/>
  </r>
  <r>
    <x v="5"/>
    <s v="Liquor retailing"/>
    <s v="2024-01-01"/>
    <x v="5"/>
    <s v="January  "/>
    <s v="1"/>
    <n v="41.2"/>
    <n v="-1.44"/>
  </r>
  <r>
    <x v="5"/>
    <s v="Liquor retailing"/>
    <s v="2024-02-01"/>
    <x v="5"/>
    <s v="February "/>
    <s v="2"/>
    <n v="39.6"/>
    <n v="3.39"/>
  </r>
  <r>
    <x v="5"/>
    <s v="Liquor retailing"/>
    <s v="2024-03-01"/>
    <x v="5"/>
    <s v="March    "/>
    <s v="3"/>
    <n v="43.5"/>
    <n v="5.07"/>
  </r>
  <r>
    <x v="5"/>
    <s v="Liquor retailing"/>
    <s v="2024-04-01"/>
    <x v="5"/>
    <s v="April    "/>
    <s v="4"/>
    <n v="36.299999999999997"/>
    <n v="-7.87"/>
  </r>
  <r>
    <x v="5"/>
    <s v="Liquor retailing"/>
    <s v="2024-05-01"/>
    <x v="5"/>
    <s v="May      "/>
    <s v="5"/>
    <n v="36.9"/>
    <n v="1.1000000000000001"/>
  </r>
  <r>
    <x v="5"/>
    <s v="Liquor retailing"/>
    <s v="2024-06-01"/>
    <x v="5"/>
    <s v="June     "/>
    <s v="6"/>
    <n v="35.700000000000003"/>
    <n v="0"/>
  </r>
  <r>
    <x v="5"/>
    <s v="Liquor retailing"/>
    <s v="2024-07-01"/>
    <x v="5"/>
    <s v="July     "/>
    <s v="7"/>
    <n v="35.700000000000003"/>
    <n v="-1.38"/>
  </r>
  <r>
    <x v="5"/>
    <s v="Liquor retailing"/>
    <s v="2024-08-01"/>
    <x v="5"/>
    <s v="August   "/>
    <s v="8"/>
    <n v="38.4"/>
    <n v="2.95"/>
  </r>
  <r>
    <x v="5"/>
    <s v="Liquor retailing"/>
    <s v="2024-09-01"/>
    <x v="5"/>
    <s v="September"/>
    <s v="9"/>
    <n v="37"/>
    <n v="-10.19"/>
  </r>
  <r>
    <x v="5"/>
    <s v="Liquor retailing"/>
    <s v="2024-10-01"/>
    <x v="5"/>
    <s v="October  "/>
    <s v="10"/>
    <n v="39.5"/>
    <n v="-1"/>
  </r>
  <r>
    <x v="5"/>
    <s v="Liquor retailing"/>
    <s v="2024-11-01"/>
    <x v="5"/>
    <s v="November "/>
    <s v="11"/>
    <n v="42.9"/>
    <n v="-0.23"/>
  </r>
  <r>
    <x v="5"/>
    <s v="Liquor retailing"/>
    <s v="2024-12-01"/>
    <x v="5"/>
    <s v="December "/>
    <s v="12"/>
    <n v="60.3"/>
    <n v="-3.21"/>
  </r>
  <r>
    <x v="5"/>
    <s v="Liquor retailing"/>
    <s v="2025-01-01"/>
    <x v="6"/>
    <s v="January  "/>
    <s v="1"/>
    <n v="42.6"/>
    <n v="3.4"/>
  </r>
  <r>
    <x v="5"/>
    <s v="Liquor retailing"/>
    <s v="2025-02-01"/>
    <x v="6"/>
    <s v="February "/>
    <s v="2"/>
    <n v="38.5"/>
    <n v="-2.78"/>
  </r>
  <r>
    <x v="5"/>
    <s v="Liquor retailing"/>
    <s v="2025-03-01"/>
    <x v="6"/>
    <s v="March    "/>
    <s v="3"/>
    <n v="41.4"/>
    <n v="-4.83"/>
  </r>
  <r>
    <x v="5"/>
    <s v="Liquor retailing"/>
    <s v="2025-04-01"/>
    <x v="6"/>
    <s v="April    "/>
    <s v="4"/>
    <n v="39.9"/>
    <n v="9.92"/>
  </r>
  <r>
    <x v="5"/>
    <s v="Liquor retailing"/>
    <s v="2025-05-01"/>
    <x v="6"/>
    <s v="May      "/>
    <s v="5"/>
    <n v="39"/>
    <n v="5.69"/>
  </r>
  <r>
    <x v="5"/>
    <s v="Liquor retailing"/>
    <s v="2025-06-01"/>
    <x v="6"/>
    <s v="June     "/>
    <s v="6"/>
    <n v="35.200000000000003"/>
    <n v="-1.4"/>
  </r>
  <r>
    <x v="5"/>
    <s v="Newspaper and book retailing"/>
    <s v="2019-01-01"/>
    <x v="0"/>
    <s v="January  "/>
    <s v="1"/>
    <n v="10.1"/>
    <m/>
  </r>
  <r>
    <x v="5"/>
    <s v="Newspaper and book retailing"/>
    <s v="2019-02-01"/>
    <x v="0"/>
    <s v="February "/>
    <s v="2"/>
    <n v="9.6999999999999993"/>
    <m/>
  </r>
  <r>
    <x v="5"/>
    <s v="Newspaper and book retailing"/>
    <s v="2019-03-01"/>
    <x v="0"/>
    <s v="March    "/>
    <s v="3"/>
    <n v="8.9"/>
    <m/>
  </r>
  <r>
    <x v="5"/>
    <s v="Newspaper and book retailing"/>
    <s v="2019-04-01"/>
    <x v="0"/>
    <s v="April    "/>
    <s v="4"/>
    <n v="8.6999999999999993"/>
    <m/>
  </r>
  <r>
    <x v="5"/>
    <s v="Newspaper and book retailing"/>
    <s v="2019-05-01"/>
    <x v="0"/>
    <s v="May      "/>
    <s v="5"/>
    <n v="9.1"/>
    <m/>
  </r>
  <r>
    <x v="5"/>
    <s v="Newspaper and book retailing"/>
    <s v="2019-06-01"/>
    <x v="0"/>
    <s v="June     "/>
    <s v="6"/>
    <n v="8.6"/>
    <m/>
  </r>
  <r>
    <x v="5"/>
    <s v="Newspaper and book retailing"/>
    <s v="2019-07-01"/>
    <x v="0"/>
    <s v="July     "/>
    <s v="7"/>
    <n v="10"/>
    <m/>
  </r>
  <r>
    <x v="5"/>
    <s v="Newspaper and book retailing"/>
    <s v="2019-08-01"/>
    <x v="0"/>
    <s v="August   "/>
    <s v="8"/>
    <n v="9.3000000000000007"/>
    <m/>
  </r>
  <r>
    <x v="5"/>
    <s v="Newspaper and book retailing"/>
    <s v="2019-09-01"/>
    <x v="0"/>
    <s v="September"/>
    <s v="9"/>
    <n v="9.6"/>
    <m/>
  </r>
  <r>
    <x v="5"/>
    <s v="Newspaper and book retailing"/>
    <s v="2019-10-01"/>
    <x v="0"/>
    <s v="October  "/>
    <s v="10"/>
    <n v="10.4"/>
    <m/>
  </r>
  <r>
    <x v="5"/>
    <s v="Newspaper and book retailing"/>
    <s v="2019-11-01"/>
    <x v="0"/>
    <s v="November "/>
    <s v="11"/>
    <n v="11.6"/>
    <m/>
  </r>
  <r>
    <x v="5"/>
    <s v="Newspaper and book retailing"/>
    <s v="2019-12-01"/>
    <x v="0"/>
    <s v="December "/>
    <s v="12"/>
    <n v="15.7"/>
    <m/>
  </r>
  <r>
    <x v="5"/>
    <s v="Newspaper and book retailing"/>
    <s v="2020-01-01"/>
    <x v="1"/>
    <s v="January  "/>
    <s v="1"/>
    <n v="11.4"/>
    <n v="12.87"/>
  </r>
  <r>
    <x v="5"/>
    <s v="Newspaper and book retailing"/>
    <s v="2020-02-01"/>
    <x v="1"/>
    <s v="February "/>
    <s v="2"/>
    <n v="10.6"/>
    <n v="9.2799999999999994"/>
  </r>
  <r>
    <x v="5"/>
    <s v="Newspaper and book retailing"/>
    <s v="2020-03-01"/>
    <x v="1"/>
    <s v="March    "/>
    <s v="3"/>
    <n v="11.6"/>
    <n v="30.34"/>
  </r>
  <r>
    <x v="5"/>
    <s v="Newspaper and book retailing"/>
    <s v="2020-04-01"/>
    <x v="1"/>
    <s v="April    "/>
    <s v="4"/>
    <n v="9.3000000000000007"/>
    <n v="6.9"/>
  </r>
  <r>
    <x v="5"/>
    <s v="Newspaper and book retailing"/>
    <s v="2020-05-01"/>
    <x v="1"/>
    <s v="May      "/>
    <s v="5"/>
    <n v="11.4"/>
    <n v="25.27"/>
  </r>
  <r>
    <x v="5"/>
    <s v="Newspaper and book retailing"/>
    <s v="2020-06-01"/>
    <x v="1"/>
    <s v="June     "/>
    <s v="6"/>
    <n v="10.1"/>
    <n v="17.440000000000001"/>
  </r>
  <r>
    <x v="5"/>
    <s v="Newspaper and book retailing"/>
    <s v="2020-07-01"/>
    <x v="1"/>
    <s v="July     "/>
    <s v="7"/>
    <n v="11.6"/>
    <n v="16"/>
  </r>
  <r>
    <x v="5"/>
    <s v="Newspaper and book retailing"/>
    <s v="2020-08-01"/>
    <x v="1"/>
    <s v="August   "/>
    <s v="8"/>
    <n v="10.9"/>
    <n v="17.2"/>
  </r>
  <r>
    <x v="5"/>
    <s v="Newspaper and book retailing"/>
    <s v="2020-09-01"/>
    <x v="1"/>
    <s v="September"/>
    <s v="9"/>
    <n v="11.5"/>
    <n v="19.79"/>
  </r>
  <r>
    <x v="5"/>
    <s v="Newspaper and book retailing"/>
    <s v="2020-10-01"/>
    <x v="1"/>
    <s v="October  "/>
    <s v="10"/>
    <n v="11.7"/>
    <n v="12.5"/>
  </r>
  <r>
    <x v="5"/>
    <s v="Newspaper and book retailing"/>
    <s v="2020-11-01"/>
    <x v="1"/>
    <s v="November "/>
    <s v="11"/>
    <n v="13.3"/>
    <n v="14.66"/>
  </r>
  <r>
    <x v="5"/>
    <s v="Newspaper and book retailing"/>
    <s v="2020-12-01"/>
    <x v="1"/>
    <s v="December "/>
    <s v="12"/>
    <n v="16.899999999999999"/>
    <n v="7.64"/>
  </r>
  <r>
    <x v="5"/>
    <s v="Newspaper and book retailing"/>
    <s v="2021-01-01"/>
    <x v="2"/>
    <s v="January  "/>
    <s v="1"/>
    <n v="12"/>
    <n v="5.26"/>
  </r>
  <r>
    <x v="5"/>
    <s v="Newspaper and book retailing"/>
    <s v="2021-02-01"/>
    <x v="2"/>
    <s v="February "/>
    <s v="2"/>
    <n v="10.1"/>
    <n v="-4.72"/>
  </r>
  <r>
    <x v="5"/>
    <s v="Newspaper and book retailing"/>
    <s v="2021-03-01"/>
    <x v="2"/>
    <s v="March    "/>
    <s v="3"/>
    <n v="10.7"/>
    <n v="-7.76"/>
  </r>
  <r>
    <x v="5"/>
    <s v="Newspaper and book retailing"/>
    <s v="2021-04-01"/>
    <x v="2"/>
    <s v="April    "/>
    <s v="4"/>
    <n v="10.8"/>
    <n v="16.13"/>
  </r>
  <r>
    <x v="5"/>
    <s v="Newspaper and book retailing"/>
    <s v="2021-05-01"/>
    <x v="2"/>
    <s v="May      "/>
    <s v="5"/>
    <n v="11"/>
    <n v="-3.51"/>
  </r>
  <r>
    <x v="5"/>
    <s v="Newspaper and book retailing"/>
    <s v="2021-06-01"/>
    <x v="2"/>
    <s v="June     "/>
    <s v="6"/>
    <n v="11.1"/>
    <n v="9.9"/>
  </r>
  <r>
    <x v="5"/>
    <s v="Newspaper and book retailing"/>
    <s v="2021-07-01"/>
    <x v="2"/>
    <s v="July     "/>
    <s v="7"/>
    <n v="10.6"/>
    <n v="-8.6199999999999992"/>
  </r>
  <r>
    <x v="5"/>
    <s v="Newspaper and book retailing"/>
    <s v="2021-08-01"/>
    <x v="2"/>
    <s v="August   "/>
    <s v="8"/>
    <n v="9.1999999999999993"/>
    <n v="-15.6"/>
  </r>
  <r>
    <x v="5"/>
    <s v="Newspaper and book retailing"/>
    <s v="2021-09-01"/>
    <x v="2"/>
    <s v="September"/>
    <s v="9"/>
    <n v="9.6"/>
    <n v="-16.52"/>
  </r>
  <r>
    <x v="5"/>
    <s v="Newspaper and book retailing"/>
    <s v="2021-10-01"/>
    <x v="2"/>
    <s v="October  "/>
    <s v="10"/>
    <n v="9.1999999999999993"/>
    <n v="-21.37"/>
  </r>
  <r>
    <x v="5"/>
    <s v="Newspaper and book retailing"/>
    <s v="2021-11-01"/>
    <x v="2"/>
    <s v="November "/>
    <s v="11"/>
    <n v="10.199999999999999"/>
    <n v="-23.31"/>
  </r>
  <r>
    <x v="5"/>
    <s v="Newspaper and book retailing"/>
    <s v="2021-12-01"/>
    <x v="2"/>
    <s v="December "/>
    <s v="12"/>
    <n v="13.6"/>
    <n v="-19.53"/>
  </r>
  <r>
    <x v="5"/>
    <s v="Newspaper and book retailing"/>
    <s v="2022-01-01"/>
    <x v="3"/>
    <s v="January  "/>
    <s v="1"/>
    <n v="8.9"/>
    <n v="-25.83"/>
  </r>
  <r>
    <x v="5"/>
    <s v="Newspaper and book retailing"/>
    <s v="2022-02-01"/>
    <x v="3"/>
    <s v="February "/>
    <s v="2"/>
    <n v="7.7"/>
    <n v="-23.76"/>
  </r>
  <r>
    <x v="5"/>
    <s v="Newspaper and book retailing"/>
    <s v="2022-03-01"/>
    <x v="3"/>
    <s v="March    "/>
    <s v="3"/>
    <n v="7.7"/>
    <n v="-28.04"/>
  </r>
  <r>
    <x v="5"/>
    <s v="Newspaper and book retailing"/>
    <s v="2022-04-01"/>
    <x v="3"/>
    <s v="April    "/>
    <s v="4"/>
    <n v="6.9"/>
    <n v="-36.11"/>
  </r>
  <r>
    <x v="5"/>
    <s v="Newspaper and book retailing"/>
    <s v="2022-05-01"/>
    <x v="3"/>
    <s v="May      "/>
    <s v="5"/>
    <n v="7.3"/>
    <n v="-33.64"/>
  </r>
  <r>
    <x v="5"/>
    <s v="Newspaper and book retailing"/>
    <s v="2022-06-01"/>
    <x v="3"/>
    <s v="June     "/>
    <s v="6"/>
    <n v="6.6"/>
    <n v="-40.54"/>
  </r>
  <r>
    <x v="5"/>
    <s v="Newspaper and book retailing"/>
    <s v="2022-07-01"/>
    <x v="3"/>
    <s v="July     "/>
    <s v="7"/>
    <n v="5.4"/>
    <n v="-49.06"/>
  </r>
  <r>
    <x v="5"/>
    <s v="Newspaper and book retailing"/>
    <s v="2022-08-01"/>
    <x v="3"/>
    <s v="August   "/>
    <s v="8"/>
    <n v="4.8"/>
    <n v="-47.83"/>
  </r>
  <r>
    <x v="5"/>
    <s v="Newspaper and book retailing"/>
    <s v="2022-09-01"/>
    <x v="3"/>
    <s v="September"/>
    <s v="9"/>
    <n v="5.2"/>
    <n v="-45.83"/>
  </r>
  <r>
    <x v="5"/>
    <s v="Newspaper and book retailing"/>
    <s v="2022-10-01"/>
    <x v="3"/>
    <s v="October  "/>
    <s v="10"/>
    <n v="5.4"/>
    <n v="-41.3"/>
  </r>
  <r>
    <x v="5"/>
    <s v="Newspaper and book retailing"/>
    <s v="2022-11-01"/>
    <x v="3"/>
    <s v="November "/>
    <s v="11"/>
    <n v="5.2"/>
    <n v="-49.02"/>
  </r>
  <r>
    <x v="5"/>
    <s v="Newspaper and book retailing"/>
    <s v="2022-12-01"/>
    <x v="3"/>
    <s v="December "/>
    <s v="12"/>
    <n v="5.4"/>
    <n v="-60.29"/>
  </r>
  <r>
    <x v="5"/>
    <s v="Newspaper and book retailing"/>
    <s v="2023-01-01"/>
    <x v="4"/>
    <s v="January  "/>
    <s v="1"/>
    <n v="4.7"/>
    <n v="-47.19"/>
  </r>
  <r>
    <x v="5"/>
    <s v="Newspaper and book retailing"/>
    <s v="2023-02-01"/>
    <x v="4"/>
    <s v="February "/>
    <s v="2"/>
    <n v="4.2"/>
    <n v="-45.45"/>
  </r>
  <r>
    <x v="5"/>
    <s v="Newspaper and book retailing"/>
    <s v="2023-03-01"/>
    <x v="4"/>
    <s v="March    "/>
    <s v="3"/>
    <n v="4.2"/>
    <n v="-45.45"/>
  </r>
  <r>
    <x v="5"/>
    <s v="Newspaper and book retailing"/>
    <s v="2023-04-01"/>
    <x v="4"/>
    <s v="April    "/>
    <s v="4"/>
    <n v="3.7"/>
    <n v="-46.38"/>
  </r>
  <r>
    <x v="5"/>
    <s v="Newspaper and book retailing"/>
    <s v="2023-05-01"/>
    <x v="4"/>
    <s v="May      "/>
    <s v="5"/>
    <n v="3.7"/>
    <n v="-49.32"/>
  </r>
  <r>
    <x v="5"/>
    <s v="Newspaper and book retailing"/>
    <s v="2023-06-01"/>
    <x v="4"/>
    <s v="June     "/>
    <s v="6"/>
    <n v="3.4"/>
    <n v="-48.48"/>
  </r>
  <r>
    <x v="5"/>
    <s v="Newspaper and book retailing"/>
    <s v="2023-07-01"/>
    <x v="4"/>
    <s v="July     "/>
    <s v="7"/>
    <n v="3.6"/>
    <n v="-33.33"/>
  </r>
  <r>
    <x v="5"/>
    <s v="Newspaper and book retailing"/>
    <s v="2023-08-01"/>
    <x v="4"/>
    <s v="August   "/>
    <s v="8"/>
    <n v="3.8"/>
    <n v="-20.83"/>
  </r>
  <r>
    <x v="5"/>
    <s v="Newspaper and book retailing"/>
    <s v="2023-09-01"/>
    <x v="4"/>
    <s v="September"/>
    <s v="9"/>
    <n v="3.7"/>
    <n v="-28.85"/>
  </r>
  <r>
    <x v="5"/>
    <s v="Newspaper and book retailing"/>
    <s v="2023-10-01"/>
    <x v="4"/>
    <s v="October  "/>
    <s v="10"/>
    <n v="4.4000000000000004"/>
    <n v="-18.52"/>
  </r>
  <r>
    <x v="5"/>
    <s v="Newspaper and book retailing"/>
    <s v="2023-11-01"/>
    <x v="4"/>
    <s v="November "/>
    <s v="11"/>
    <n v="4.7"/>
    <n v="-9.6199999999999992"/>
  </r>
  <r>
    <x v="5"/>
    <s v="Newspaper and book retailing"/>
    <s v="2023-12-01"/>
    <x v="4"/>
    <s v="December "/>
    <s v="12"/>
    <n v="6.2"/>
    <n v="14.81"/>
  </r>
  <r>
    <x v="5"/>
    <s v="Newspaper and book retailing"/>
    <s v="2024-01-01"/>
    <x v="5"/>
    <s v="January  "/>
    <s v="1"/>
    <n v="5.0999999999999996"/>
    <n v="8.51"/>
  </r>
  <r>
    <x v="5"/>
    <s v="Newspaper and book retailing"/>
    <s v="2024-02-01"/>
    <x v="5"/>
    <s v="February "/>
    <s v="2"/>
    <n v="4.4000000000000004"/>
    <n v="4.76"/>
  </r>
  <r>
    <x v="5"/>
    <s v="Newspaper and book retailing"/>
    <s v="2024-03-01"/>
    <x v="5"/>
    <s v="March    "/>
    <s v="3"/>
    <n v="4.4000000000000004"/>
    <n v="4.76"/>
  </r>
  <r>
    <x v="5"/>
    <s v="Newspaper and book retailing"/>
    <s v="2024-04-01"/>
    <x v="5"/>
    <s v="April    "/>
    <s v="4"/>
    <n v="4.8"/>
    <n v="29.73"/>
  </r>
  <r>
    <x v="5"/>
    <s v="Newspaper and book retailing"/>
    <s v="2024-05-01"/>
    <x v="5"/>
    <s v="May      "/>
    <s v="5"/>
    <n v="4.7"/>
    <n v="27.03"/>
  </r>
  <r>
    <x v="5"/>
    <s v="Newspaper and book retailing"/>
    <s v="2024-06-01"/>
    <x v="5"/>
    <s v="June     "/>
    <s v="6"/>
    <n v="4.2"/>
    <n v="23.53"/>
  </r>
  <r>
    <x v="5"/>
    <s v="Newspaper and book retailing"/>
    <s v="2024-07-01"/>
    <x v="5"/>
    <s v="July     "/>
    <s v="7"/>
    <n v="5"/>
    <n v="38.89"/>
  </r>
  <r>
    <x v="5"/>
    <s v="Newspaper and book retailing"/>
    <s v="2024-08-01"/>
    <x v="5"/>
    <s v="August   "/>
    <s v="8"/>
    <n v="5"/>
    <n v="31.58"/>
  </r>
  <r>
    <x v="5"/>
    <s v="Newspaper and book retailing"/>
    <s v="2024-09-01"/>
    <x v="5"/>
    <s v="September"/>
    <s v="9"/>
    <n v="5"/>
    <n v="35.14"/>
  </r>
  <r>
    <x v="5"/>
    <s v="Newspaper and book retailing"/>
    <s v="2024-10-01"/>
    <x v="5"/>
    <s v="October  "/>
    <s v="10"/>
    <n v="5.8"/>
    <n v="31.82"/>
  </r>
  <r>
    <x v="5"/>
    <s v="Newspaper and book retailing"/>
    <s v="2024-11-01"/>
    <x v="5"/>
    <s v="November "/>
    <s v="11"/>
    <n v="6.3"/>
    <n v="34.04"/>
  </r>
  <r>
    <x v="5"/>
    <s v="Newspaper and book retailing"/>
    <s v="2024-12-01"/>
    <x v="5"/>
    <s v="December "/>
    <s v="12"/>
    <n v="9.4"/>
    <n v="51.61"/>
  </r>
  <r>
    <x v="5"/>
    <s v="Newspaper and book retailing"/>
    <s v="2025-01-01"/>
    <x v="6"/>
    <s v="January  "/>
    <s v="1"/>
    <n v="6.1"/>
    <n v="19.61"/>
  </r>
  <r>
    <x v="5"/>
    <s v="Newspaper and book retailing"/>
    <s v="2025-02-01"/>
    <x v="6"/>
    <s v="February "/>
    <s v="2"/>
    <n v="4.7"/>
    <n v="6.82"/>
  </r>
  <r>
    <x v="5"/>
    <s v="Newspaper and book retailing"/>
    <s v="2025-03-01"/>
    <x v="6"/>
    <s v="March    "/>
    <s v="3"/>
    <n v="4.8"/>
    <n v="9.09"/>
  </r>
  <r>
    <x v="5"/>
    <s v="Newspaper and book retailing"/>
    <s v="2025-04-01"/>
    <x v="6"/>
    <s v="April    "/>
    <s v="4"/>
    <n v="5.3"/>
    <n v="10.42"/>
  </r>
  <r>
    <x v="5"/>
    <s v="Newspaper and book retailing"/>
    <s v="2025-05-01"/>
    <x v="6"/>
    <s v="May      "/>
    <s v="5"/>
    <n v="5.5"/>
    <n v="17.02"/>
  </r>
  <r>
    <x v="5"/>
    <s v="Newspaper and book retailing"/>
    <s v="2025-06-01"/>
    <x v="6"/>
    <s v="June     "/>
    <s v="6"/>
    <n v="4.5999999999999996"/>
    <n v="9.52"/>
  </r>
  <r>
    <x v="5"/>
    <s v="Other recreational goods retailing"/>
    <s v="2019-01-01"/>
    <x v="0"/>
    <s v="January  "/>
    <s v="1"/>
    <n v="14.9"/>
    <m/>
  </r>
  <r>
    <x v="5"/>
    <s v="Other recreational goods retailing"/>
    <s v="2019-02-01"/>
    <x v="0"/>
    <s v="February "/>
    <s v="2"/>
    <n v="10.3"/>
    <m/>
  </r>
  <r>
    <x v="5"/>
    <s v="Other recreational goods retailing"/>
    <s v="2019-03-01"/>
    <x v="0"/>
    <s v="March    "/>
    <s v="3"/>
    <n v="11.5"/>
    <m/>
  </r>
  <r>
    <x v="5"/>
    <s v="Other recreational goods retailing"/>
    <s v="2019-04-01"/>
    <x v="0"/>
    <s v="April    "/>
    <s v="4"/>
    <n v="11.1"/>
    <m/>
  </r>
  <r>
    <x v="5"/>
    <s v="Other recreational goods retailing"/>
    <s v="2019-05-01"/>
    <x v="0"/>
    <s v="May      "/>
    <s v="5"/>
    <n v="9.4"/>
    <m/>
  </r>
  <r>
    <x v="5"/>
    <s v="Other recreational goods retailing"/>
    <s v="2019-06-01"/>
    <x v="0"/>
    <s v="June     "/>
    <s v="6"/>
    <n v="10.4"/>
    <m/>
  </r>
  <r>
    <x v="5"/>
    <s v="Other recreational goods retailing"/>
    <s v="2019-07-01"/>
    <x v="0"/>
    <s v="July     "/>
    <s v="7"/>
    <n v="11.2"/>
    <m/>
  </r>
  <r>
    <x v="5"/>
    <s v="Other recreational goods retailing"/>
    <s v="2019-08-01"/>
    <x v="0"/>
    <s v="August   "/>
    <s v="8"/>
    <n v="10.6"/>
    <m/>
  </r>
  <r>
    <x v="5"/>
    <s v="Other recreational goods retailing"/>
    <s v="2019-09-01"/>
    <x v="0"/>
    <s v="September"/>
    <s v="9"/>
    <n v="10.6"/>
    <m/>
  </r>
  <r>
    <x v="5"/>
    <s v="Other recreational goods retailing"/>
    <s v="2019-10-01"/>
    <x v="0"/>
    <s v="October  "/>
    <s v="10"/>
    <n v="13.3"/>
    <m/>
  </r>
  <r>
    <x v="5"/>
    <s v="Other recreational goods retailing"/>
    <s v="2019-11-01"/>
    <x v="0"/>
    <s v="November "/>
    <s v="11"/>
    <n v="15.8"/>
    <m/>
  </r>
  <r>
    <x v="5"/>
    <s v="Other recreational goods retailing"/>
    <s v="2019-12-01"/>
    <x v="0"/>
    <s v="December "/>
    <s v="12"/>
    <n v="25.3"/>
    <m/>
  </r>
  <r>
    <x v="5"/>
    <s v="Other recreational goods retailing"/>
    <s v="2020-01-01"/>
    <x v="1"/>
    <s v="January  "/>
    <s v="1"/>
    <n v="13.4"/>
    <n v="-10.07"/>
  </r>
  <r>
    <x v="5"/>
    <s v="Other recreational goods retailing"/>
    <s v="2020-02-01"/>
    <x v="1"/>
    <s v="February "/>
    <s v="2"/>
    <n v="10.5"/>
    <n v="1.94"/>
  </r>
  <r>
    <x v="5"/>
    <s v="Other recreational goods retailing"/>
    <s v="2020-03-01"/>
    <x v="1"/>
    <s v="March    "/>
    <s v="3"/>
    <n v="14.1"/>
    <n v="22.61"/>
  </r>
  <r>
    <x v="5"/>
    <s v="Other recreational goods retailing"/>
    <s v="2020-04-01"/>
    <x v="1"/>
    <s v="April    "/>
    <s v="4"/>
    <n v="13.6"/>
    <n v="22.52"/>
  </r>
  <r>
    <x v="5"/>
    <s v="Other recreational goods retailing"/>
    <s v="2020-05-01"/>
    <x v="1"/>
    <s v="May      "/>
    <s v="5"/>
    <n v="15.3"/>
    <n v="62.77"/>
  </r>
  <r>
    <x v="5"/>
    <s v="Other recreational goods retailing"/>
    <s v="2020-06-01"/>
    <x v="1"/>
    <s v="June     "/>
    <s v="6"/>
    <n v="16.3"/>
    <n v="56.73"/>
  </r>
  <r>
    <x v="5"/>
    <s v="Other recreational goods retailing"/>
    <s v="2020-07-01"/>
    <x v="1"/>
    <s v="July     "/>
    <s v="7"/>
    <n v="18.399999999999999"/>
    <n v="64.290000000000006"/>
  </r>
  <r>
    <x v="5"/>
    <s v="Other recreational goods retailing"/>
    <s v="2020-08-01"/>
    <x v="1"/>
    <s v="August   "/>
    <s v="8"/>
    <n v="16.2"/>
    <n v="52.83"/>
  </r>
  <r>
    <x v="5"/>
    <s v="Other recreational goods retailing"/>
    <s v="2020-09-01"/>
    <x v="1"/>
    <s v="September"/>
    <s v="9"/>
    <n v="16.2"/>
    <n v="52.83"/>
  </r>
  <r>
    <x v="5"/>
    <s v="Other recreational goods retailing"/>
    <s v="2020-10-01"/>
    <x v="1"/>
    <s v="October  "/>
    <s v="10"/>
    <n v="17.100000000000001"/>
    <n v="28.57"/>
  </r>
  <r>
    <x v="5"/>
    <s v="Other recreational goods retailing"/>
    <s v="2020-11-01"/>
    <x v="1"/>
    <s v="November "/>
    <s v="11"/>
    <n v="20"/>
    <n v="26.58"/>
  </r>
  <r>
    <x v="5"/>
    <s v="Other recreational goods retailing"/>
    <s v="2020-12-01"/>
    <x v="1"/>
    <s v="December "/>
    <s v="12"/>
    <n v="28.3"/>
    <n v="11.86"/>
  </r>
  <r>
    <x v="5"/>
    <s v="Other recreational goods retailing"/>
    <s v="2021-01-01"/>
    <x v="2"/>
    <s v="January  "/>
    <s v="1"/>
    <n v="18.399999999999999"/>
    <n v="37.31"/>
  </r>
  <r>
    <x v="5"/>
    <s v="Other recreational goods retailing"/>
    <s v="2021-02-01"/>
    <x v="2"/>
    <s v="February "/>
    <s v="2"/>
    <n v="12.2"/>
    <n v="16.190000000000001"/>
  </r>
  <r>
    <x v="5"/>
    <s v="Other recreational goods retailing"/>
    <s v="2021-03-01"/>
    <x v="2"/>
    <s v="March    "/>
    <s v="3"/>
    <n v="11.9"/>
    <n v="-15.6"/>
  </r>
  <r>
    <x v="5"/>
    <s v="Other recreational goods retailing"/>
    <s v="2021-04-01"/>
    <x v="2"/>
    <s v="April    "/>
    <s v="4"/>
    <n v="12.3"/>
    <n v="-9.56"/>
  </r>
  <r>
    <x v="5"/>
    <s v="Other recreational goods retailing"/>
    <s v="2021-05-01"/>
    <x v="2"/>
    <s v="May      "/>
    <s v="5"/>
    <n v="11.8"/>
    <n v="-22.88"/>
  </r>
  <r>
    <x v="5"/>
    <s v="Other recreational goods retailing"/>
    <s v="2021-06-01"/>
    <x v="2"/>
    <s v="June     "/>
    <s v="6"/>
    <n v="11.5"/>
    <n v="-29.45"/>
  </r>
  <r>
    <x v="5"/>
    <s v="Other recreational goods retailing"/>
    <s v="2021-07-01"/>
    <x v="2"/>
    <s v="July     "/>
    <s v="7"/>
    <n v="13.1"/>
    <n v="-28.8"/>
  </r>
  <r>
    <x v="5"/>
    <s v="Other recreational goods retailing"/>
    <s v="2021-08-01"/>
    <x v="2"/>
    <s v="August   "/>
    <s v="8"/>
    <n v="11.9"/>
    <n v="-26.54"/>
  </r>
  <r>
    <x v="5"/>
    <s v="Other recreational goods retailing"/>
    <s v="2021-09-01"/>
    <x v="2"/>
    <s v="September"/>
    <s v="9"/>
    <n v="13.7"/>
    <n v="-15.43"/>
  </r>
  <r>
    <x v="5"/>
    <s v="Other recreational goods retailing"/>
    <s v="2021-10-01"/>
    <x v="2"/>
    <s v="October  "/>
    <s v="10"/>
    <n v="12.9"/>
    <n v="-24.56"/>
  </r>
  <r>
    <x v="5"/>
    <s v="Other recreational goods retailing"/>
    <s v="2021-11-01"/>
    <x v="2"/>
    <s v="November "/>
    <s v="11"/>
    <n v="14.5"/>
    <n v="-27.5"/>
  </r>
  <r>
    <x v="5"/>
    <s v="Other recreational goods retailing"/>
    <s v="2021-12-01"/>
    <x v="2"/>
    <s v="December "/>
    <s v="12"/>
    <n v="21.6"/>
    <n v="-23.67"/>
  </r>
  <r>
    <x v="5"/>
    <s v="Other recreational goods retailing"/>
    <s v="2022-01-01"/>
    <x v="3"/>
    <s v="January  "/>
    <s v="1"/>
    <n v="16.600000000000001"/>
    <n v="-9.7799999999999994"/>
  </r>
  <r>
    <x v="5"/>
    <s v="Other recreational goods retailing"/>
    <s v="2022-02-01"/>
    <x v="3"/>
    <s v="February "/>
    <s v="2"/>
    <n v="11.3"/>
    <n v="-7.38"/>
  </r>
  <r>
    <x v="5"/>
    <s v="Other recreational goods retailing"/>
    <s v="2022-03-01"/>
    <x v="3"/>
    <s v="March    "/>
    <s v="3"/>
    <n v="10.4"/>
    <n v="-12.61"/>
  </r>
  <r>
    <x v="5"/>
    <s v="Other recreational goods retailing"/>
    <s v="2022-04-01"/>
    <x v="3"/>
    <s v="April    "/>
    <s v="4"/>
    <n v="12.2"/>
    <n v="-0.81"/>
  </r>
  <r>
    <x v="5"/>
    <s v="Other recreational goods retailing"/>
    <s v="2022-05-01"/>
    <x v="3"/>
    <s v="May      "/>
    <s v="5"/>
    <n v="11.8"/>
    <n v="0"/>
  </r>
  <r>
    <x v="5"/>
    <s v="Other recreational goods retailing"/>
    <s v="2022-06-01"/>
    <x v="3"/>
    <s v="June     "/>
    <s v="6"/>
    <n v="13.4"/>
    <n v="16.52"/>
  </r>
  <r>
    <x v="5"/>
    <s v="Other recreational goods retailing"/>
    <s v="2022-07-01"/>
    <x v="3"/>
    <s v="July     "/>
    <s v="7"/>
    <n v="12.9"/>
    <n v="-1.53"/>
  </r>
  <r>
    <x v="5"/>
    <s v="Other recreational goods retailing"/>
    <s v="2022-08-01"/>
    <x v="3"/>
    <s v="August   "/>
    <s v="8"/>
    <n v="12.1"/>
    <n v="1.68"/>
  </r>
  <r>
    <x v="5"/>
    <s v="Other recreational goods retailing"/>
    <s v="2022-09-01"/>
    <x v="3"/>
    <s v="September"/>
    <s v="9"/>
    <n v="13.3"/>
    <n v="-2.92"/>
  </r>
  <r>
    <x v="5"/>
    <s v="Other recreational goods retailing"/>
    <s v="2022-10-01"/>
    <x v="3"/>
    <s v="October  "/>
    <s v="10"/>
    <n v="13"/>
    <n v="0.78"/>
  </r>
  <r>
    <x v="5"/>
    <s v="Other recreational goods retailing"/>
    <s v="2022-11-01"/>
    <x v="3"/>
    <s v="November "/>
    <s v="11"/>
    <n v="16.5"/>
    <n v="13.79"/>
  </r>
  <r>
    <x v="5"/>
    <s v="Other recreational goods retailing"/>
    <s v="2022-12-01"/>
    <x v="3"/>
    <s v="December "/>
    <s v="12"/>
    <n v="22.1"/>
    <n v="2.31"/>
  </r>
  <r>
    <x v="5"/>
    <s v="Other recreational goods retailing"/>
    <s v="2023-01-01"/>
    <x v="4"/>
    <s v="January  "/>
    <s v="1"/>
    <n v="16.3"/>
    <n v="-1.81"/>
  </r>
  <r>
    <x v="5"/>
    <s v="Other recreational goods retailing"/>
    <s v="2023-02-01"/>
    <x v="4"/>
    <s v="February "/>
    <s v="2"/>
    <n v="11.5"/>
    <n v="1.77"/>
  </r>
  <r>
    <x v="5"/>
    <s v="Other recreational goods retailing"/>
    <s v="2023-03-01"/>
    <x v="4"/>
    <s v="March    "/>
    <s v="3"/>
    <n v="11.2"/>
    <n v="7.69"/>
  </r>
  <r>
    <x v="5"/>
    <s v="Other recreational goods retailing"/>
    <s v="2023-04-01"/>
    <x v="4"/>
    <s v="April    "/>
    <s v="4"/>
    <n v="10.9"/>
    <n v="-10.66"/>
  </r>
  <r>
    <x v="5"/>
    <s v="Other recreational goods retailing"/>
    <s v="2023-05-01"/>
    <x v="4"/>
    <s v="May      "/>
    <s v="5"/>
    <n v="10.3"/>
    <n v="-12.71"/>
  </r>
  <r>
    <x v="5"/>
    <s v="Other recreational goods retailing"/>
    <s v="2023-06-01"/>
    <x v="4"/>
    <s v="June     "/>
    <s v="6"/>
    <n v="10.199999999999999"/>
    <n v="-23.88"/>
  </r>
  <r>
    <x v="5"/>
    <s v="Other recreational goods retailing"/>
    <s v="2023-07-01"/>
    <x v="4"/>
    <s v="July     "/>
    <s v="7"/>
    <n v="11.2"/>
    <n v="-13.18"/>
  </r>
  <r>
    <x v="5"/>
    <s v="Other recreational goods retailing"/>
    <s v="2023-08-01"/>
    <x v="4"/>
    <s v="August   "/>
    <s v="8"/>
    <n v="10.3"/>
    <n v="-14.88"/>
  </r>
  <r>
    <x v="5"/>
    <s v="Other recreational goods retailing"/>
    <s v="2023-09-01"/>
    <x v="4"/>
    <s v="September"/>
    <s v="9"/>
    <n v="11"/>
    <n v="-17.29"/>
  </r>
  <r>
    <x v="5"/>
    <s v="Other recreational goods retailing"/>
    <s v="2023-10-01"/>
    <x v="4"/>
    <s v="October  "/>
    <s v="10"/>
    <n v="12.3"/>
    <n v="-5.38"/>
  </r>
  <r>
    <x v="5"/>
    <s v="Other recreational goods retailing"/>
    <s v="2023-11-01"/>
    <x v="4"/>
    <s v="November "/>
    <s v="11"/>
    <n v="16"/>
    <n v="-3.03"/>
  </r>
  <r>
    <x v="5"/>
    <s v="Other recreational goods retailing"/>
    <s v="2023-12-01"/>
    <x v="4"/>
    <s v="December "/>
    <s v="12"/>
    <n v="24"/>
    <n v="8.6"/>
  </r>
  <r>
    <x v="5"/>
    <s v="Other recreational goods retailing"/>
    <s v="2024-01-01"/>
    <x v="5"/>
    <s v="January  "/>
    <s v="1"/>
    <n v="16.5"/>
    <n v="1.23"/>
  </r>
  <r>
    <x v="5"/>
    <s v="Other recreational goods retailing"/>
    <s v="2024-02-01"/>
    <x v="5"/>
    <s v="February "/>
    <s v="2"/>
    <n v="12.9"/>
    <n v="12.17"/>
  </r>
  <r>
    <x v="5"/>
    <s v="Other recreational goods retailing"/>
    <s v="2024-03-01"/>
    <x v="5"/>
    <s v="March    "/>
    <s v="3"/>
    <n v="12.5"/>
    <n v="11.61"/>
  </r>
  <r>
    <x v="5"/>
    <s v="Other recreational goods retailing"/>
    <s v="2024-04-01"/>
    <x v="5"/>
    <s v="April    "/>
    <s v="4"/>
    <n v="12.5"/>
    <n v="14.68"/>
  </r>
  <r>
    <x v="5"/>
    <s v="Other recreational goods retailing"/>
    <s v="2024-05-01"/>
    <x v="5"/>
    <s v="May      "/>
    <s v="5"/>
    <n v="11.1"/>
    <n v="7.77"/>
  </r>
  <r>
    <x v="5"/>
    <s v="Other recreational goods retailing"/>
    <s v="2024-06-01"/>
    <x v="5"/>
    <s v="June     "/>
    <s v="6"/>
    <n v="10.6"/>
    <n v="3.92"/>
  </r>
  <r>
    <x v="5"/>
    <s v="Other recreational goods retailing"/>
    <s v="2024-07-01"/>
    <x v="5"/>
    <s v="July     "/>
    <s v="7"/>
    <n v="10.7"/>
    <n v="-4.46"/>
  </r>
  <r>
    <x v="5"/>
    <s v="Other recreational goods retailing"/>
    <s v="2024-08-01"/>
    <x v="5"/>
    <s v="August   "/>
    <s v="8"/>
    <n v="10.6"/>
    <n v="2.91"/>
  </r>
  <r>
    <x v="5"/>
    <s v="Other recreational goods retailing"/>
    <s v="2024-09-01"/>
    <x v="5"/>
    <s v="September"/>
    <s v="9"/>
    <n v="10.199999999999999"/>
    <n v="-7.27"/>
  </r>
  <r>
    <x v="5"/>
    <s v="Other recreational goods retailing"/>
    <s v="2024-10-01"/>
    <x v="5"/>
    <s v="October  "/>
    <s v="10"/>
    <n v="11.9"/>
    <n v="-3.25"/>
  </r>
  <r>
    <x v="5"/>
    <s v="Other recreational goods retailing"/>
    <s v="2024-11-01"/>
    <x v="5"/>
    <s v="November "/>
    <s v="11"/>
    <n v="16.2"/>
    <n v="1.25"/>
  </r>
  <r>
    <x v="5"/>
    <s v="Other recreational goods retailing"/>
    <s v="2024-12-01"/>
    <x v="5"/>
    <s v="December "/>
    <s v="12"/>
    <n v="24.2"/>
    <n v="0.83"/>
  </r>
  <r>
    <x v="5"/>
    <s v="Other recreational goods retailing"/>
    <s v="2025-01-01"/>
    <x v="6"/>
    <s v="January  "/>
    <s v="1"/>
    <n v="15.9"/>
    <n v="-3.64"/>
  </r>
  <r>
    <x v="5"/>
    <s v="Other recreational goods retailing"/>
    <s v="2025-02-01"/>
    <x v="6"/>
    <s v="February "/>
    <s v="2"/>
    <n v="11.5"/>
    <n v="-10.85"/>
  </r>
  <r>
    <x v="5"/>
    <s v="Other recreational goods retailing"/>
    <s v="2025-03-01"/>
    <x v="6"/>
    <s v="March    "/>
    <s v="3"/>
    <n v="11.5"/>
    <n v="-8"/>
  </r>
  <r>
    <x v="5"/>
    <s v="Other recreational goods retailing"/>
    <s v="2025-04-01"/>
    <x v="6"/>
    <s v="April    "/>
    <s v="4"/>
    <n v="11.3"/>
    <n v="-9.6"/>
  </r>
  <r>
    <x v="5"/>
    <s v="Other recreational goods retailing"/>
    <s v="2025-05-01"/>
    <x v="6"/>
    <s v="May      "/>
    <s v="5"/>
    <n v="10.7"/>
    <n v="-3.6"/>
  </r>
  <r>
    <x v="5"/>
    <s v="Other recreational goods retailing"/>
    <s v="2025-06-01"/>
    <x v="6"/>
    <s v="June     "/>
    <s v="6"/>
    <n v="12.2"/>
    <n v="15.09"/>
  </r>
  <r>
    <x v="5"/>
    <s v="Other retailing n.e.c."/>
    <s v="2020-04-01"/>
    <x v="1"/>
    <s v="April    "/>
    <s v="4"/>
    <n v="35"/>
    <m/>
  </r>
  <r>
    <x v="5"/>
    <s v="Other retailing n.e.c."/>
    <s v="2020-05-01"/>
    <x v="1"/>
    <s v="May      "/>
    <s v="5"/>
    <n v="36"/>
    <m/>
  </r>
  <r>
    <x v="5"/>
    <s v="Other retailing n.e.c."/>
    <s v="2020-06-01"/>
    <x v="1"/>
    <s v="June     "/>
    <s v="6"/>
    <n v="38.700000000000003"/>
    <m/>
  </r>
  <r>
    <x v="5"/>
    <s v="Other retailing n.e.c."/>
    <s v="2020-07-01"/>
    <x v="1"/>
    <s v="July     "/>
    <s v="7"/>
    <n v="38.9"/>
    <m/>
  </r>
  <r>
    <x v="5"/>
    <s v="Other retailing n.e.c."/>
    <s v="2020-08-01"/>
    <x v="1"/>
    <s v="August   "/>
    <s v="8"/>
    <n v="38.799999999999997"/>
    <m/>
  </r>
  <r>
    <x v="5"/>
    <s v="Other retailing n.e.c."/>
    <s v="2020-09-01"/>
    <x v="1"/>
    <s v="September"/>
    <s v="9"/>
    <n v="39.299999999999997"/>
    <m/>
  </r>
  <r>
    <x v="5"/>
    <s v="Other retailing n.e.c."/>
    <s v="2020-10-01"/>
    <x v="1"/>
    <s v="October  "/>
    <s v="10"/>
    <n v="41.6"/>
    <m/>
  </r>
  <r>
    <x v="5"/>
    <s v="Other retailing n.e.c."/>
    <s v="2020-11-01"/>
    <x v="1"/>
    <s v="November "/>
    <s v="11"/>
    <n v="49.8"/>
    <m/>
  </r>
  <r>
    <x v="5"/>
    <s v="Other retailing n.e.c."/>
    <s v="2020-12-01"/>
    <x v="1"/>
    <s v="December "/>
    <s v="12"/>
    <n v="52.5"/>
    <m/>
  </r>
  <r>
    <x v="5"/>
    <s v="Other retailing n.e.c."/>
    <s v="2021-01-01"/>
    <x v="2"/>
    <s v="January  "/>
    <s v="1"/>
    <n v="36.5"/>
    <m/>
  </r>
  <r>
    <x v="5"/>
    <s v="Other retailing n.e.c."/>
    <s v="2021-02-01"/>
    <x v="2"/>
    <s v="February "/>
    <s v="2"/>
    <n v="36.5"/>
    <m/>
  </r>
  <r>
    <x v="5"/>
    <s v="Other retailing n.e.c."/>
    <s v="2021-03-01"/>
    <x v="2"/>
    <s v="March    "/>
    <s v="3"/>
    <n v="40.299999999999997"/>
    <m/>
  </r>
  <r>
    <x v="5"/>
    <s v="Other retailing n.e.c."/>
    <s v="2021-04-01"/>
    <x v="2"/>
    <s v="April    "/>
    <s v="4"/>
    <n v="37.700000000000003"/>
    <n v="7.71"/>
  </r>
  <r>
    <x v="5"/>
    <s v="Other retailing n.e.c."/>
    <s v="2021-05-01"/>
    <x v="2"/>
    <s v="May      "/>
    <s v="5"/>
    <n v="38.1"/>
    <n v="5.83"/>
  </r>
  <r>
    <x v="5"/>
    <s v="Other retailing n.e.c."/>
    <s v="2021-06-01"/>
    <x v="2"/>
    <s v="June     "/>
    <s v="6"/>
    <n v="38.200000000000003"/>
    <n v="-1.29"/>
  </r>
  <r>
    <x v="5"/>
    <s v="Other retailing n.e.c."/>
    <s v="2021-07-01"/>
    <x v="2"/>
    <s v="July     "/>
    <s v="7"/>
    <n v="41.8"/>
    <n v="7.46"/>
  </r>
  <r>
    <x v="5"/>
    <s v="Other retailing n.e.c."/>
    <s v="2021-08-01"/>
    <x v="2"/>
    <s v="August   "/>
    <s v="8"/>
    <n v="40.4"/>
    <n v="4.12"/>
  </r>
  <r>
    <x v="5"/>
    <s v="Other retailing n.e.c."/>
    <s v="2021-09-01"/>
    <x v="2"/>
    <s v="September"/>
    <s v="9"/>
    <n v="40.4"/>
    <n v="2.8"/>
  </r>
  <r>
    <x v="5"/>
    <s v="Other retailing n.e.c."/>
    <s v="2021-10-01"/>
    <x v="2"/>
    <s v="October  "/>
    <s v="10"/>
    <n v="43.5"/>
    <n v="4.57"/>
  </r>
  <r>
    <x v="5"/>
    <s v="Other retailing n.e.c."/>
    <s v="2021-11-01"/>
    <x v="2"/>
    <s v="November "/>
    <s v="11"/>
    <n v="52.5"/>
    <n v="5.42"/>
  </r>
  <r>
    <x v="5"/>
    <s v="Other retailing n.e.c."/>
    <s v="2021-12-01"/>
    <x v="2"/>
    <s v="December "/>
    <s v="12"/>
    <n v="55.8"/>
    <n v="6.29"/>
  </r>
  <r>
    <x v="5"/>
    <s v="Other retailing n.e.c."/>
    <s v="2022-01-01"/>
    <x v="3"/>
    <s v="January  "/>
    <s v="1"/>
    <n v="40.4"/>
    <n v="10.68"/>
  </r>
  <r>
    <x v="5"/>
    <s v="Other retailing n.e.c."/>
    <s v="2022-02-01"/>
    <x v="3"/>
    <s v="February "/>
    <s v="2"/>
    <n v="38.1"/>
    <n v="4.38"/>
  </r>
  <r>
    <x v="5"/>
    <s v="Other retailing n.e.c."/>
    <s v="2022-03-01"/>
    <x v="3"/>
    <s v="March    "/>
    <s v="3"/>
    <n v="40.1"/>
    <n v="-0.5"/>
  </r>
  <r>
    <x v="5"/>
    <s v="Other retailing n.e.c."/>
    <s v="2022-04-01"/>
    <x v="3"/>
    <s v="April    "/>
    <s v="4"/>
    <n v="40.6"/>
    <n v="7.69"/>
  </r>
  <r>
    <x v="5"/>
    <s v="Other retailing n.e.c."/>
    <s v="2022-05-01"/>
    <x v="3"/>
    <s v="May      "/>
    <s v="5"/>
    <n v="40.4"/>
    <n v="6.04"/>
  </r>
  <r>
    <x v="5"/>
    <s v="Other retailing n.e.c."/>
    <s v="2022-06-01"/>
    <x v="3"/>
    <s v="June     "/>
    <s v="6"/>
    <n v="39.4"/>
    <n v="3.14"/>
  </r>
  <r>
    <x v="5"/>
    <s v="Other retailing n.e.c."/>
    <s v="2022-07-01"/>
    <x v="3"/>
    <s v="July     "/>
    <s v="7"/>
    <n v="41.2"/>
    <n v="-1.44"/>
  </r>
  <r>
    <x v="5"/>
    <s v="Other retailing n.e.c."/>
    <s v="2022-08-01"/>
    <x v="3"/>
    <s v="August   "/>
    <s v="8"/>
    <n v="41.5"/>
    <n v="2.72"/>
  </r>
  <r>
    <x v="5"/>
    <s v="Other retailing n.e.c."/>
    <s v="2022-09-01"/>
    <x v="3"/>
    <s v="September"/>
    <s v="9"/>
    <n v="41.6"/>
    <n v="2.97"/>
  </r>
  <r>
    <x v="5"/>
    <s v="Other retailing n.e.c."/>
    <s v="2022-10-01"/>
    <x v="3"/>
    <s v="October  "/>
    <s v="10"/>
    <n v="46"/>
    <n v="5.75"/>
  </r>
  <r>
    <x v="5"/>
    <s v="Other retailing n.e.c."/>
    <s v="2022-11-01"/>
    <x v="3"/>
    <s v="November "/>
    <s v="11"/>
    <n v="54.5"/>
    <n v="3.81"/>
  </r>
  <r>
    <x v="5"/>
    <s v="Other retailing n.e.c."/>
    <s v="2022-12-01"/>
    <x v="3"/>
    <s v="December "/>
    <s v="12"/>
    <n v="57.1"/>
    <n v="2.33"/>
  </r>
  <r>
    <x v="5"/>
    <s v="Other retailing n.e.c."/>
    <s v="2023-01-01"/>
    <x v="4"/>
    <s v="January  "/>
    <s v="1"/>
    <n v="41.8"/>
    <n v="3.47"/>
  </r>
  <r>
    <x v="5"/>
    <s v="Other retailing n.e.c."/>
    <s v="2023-02-01"/>
    <x v="4"/>
    <s v="February "/>
    <s v="2"/>
    <n v="39.799999999999997"/>
    <n v="4.46"/>
  </r>
  <r>
    <x v="5"/>
    <s v="Other retailing n.e.c."/>
    <s v="2023-03-01"/>
    <x v="4"/>
    <s v="March    "/>
    <s v="3"/>
    <n v="44.2"/>
    <n v="10.220000000000001"/>
  </r>
  <r>
    <x v="5"/>
    <s v="Other retailing n.e.c."/>
    <s v="2023-04-01"/>
    <x v="4"/>
    <s v="April    "/>
    <s v="4"/>
    <n v="39.799999999999997"/>
    <n v="-1.97"/>
  </r>
  <r>
    <x v="5"/>
    <s v="Other retailing n.e.c."/>
    <s v="2023-05-01"/>
    <x v="4"/>
    <s v="May      "/>
    <s v="5"/>
    <n v="43.8"/>
    <n v="8.42"/>
  </r>
  <r>
    <x v="5"/>
    <s v="Other retailing n.e.c."/>
    <s v="2023-06-01"/>
    <x v="4"/>
    <s v="June     "/>
    <s v="6"/>
    <n v="42.2"/>
    <n v="7.11"/>
  </r>
  <r>
    <x v="5"/>
    <s v="Other retailing n.e.c."/>
    <s v="2023-07-01"/>
    <x v="4"/>
    <s v="July     "/>
    <s v="7"/>
    <n v="44"/>
    <n v="6.8"/>
  </r>
  <r>
    <x v="5"/>
    <s v="Other retailing n.e.c."/>
    <s v="2023-08-01"/>
    <x v="4"/>
    <s v="August   "/>
    <s v="8"/>
    <n v="44.6"/>
    <n v="7.47"/>
  </r>
  <r>
    <x v="5"/>
    <s v="Other retailing n.e.c."/>
    <s v="2023-09-01"/>
    <x v="4"/>
    <s v="September"/>
    <s v="9"/>
    <n v="46.7"/>
    <n v="12.26"/>
  </r>
  <r>
    <x v="5"/>
    <s v="Other retailing n.e.c."/>
    <s v="2023-10-01"/>
    <x v="4"/>
    <s v="October  "/>
    <s v="10"/>
    <n v="49.4"/>
    <n v="7.39"/>
  </r>
  <r>
    <x v="5"/>
    <s v="Other retailing n.e.c."/>
    <s v="2023-11-01"/>
    <x v="4"/>
    <s v="November "/>
    <s v="11"/>
    <n v="59.1"/>
    <n v="8.44"/>
  </r>
  <r>
    <x v="5"/>
    <s v="Other retailing n.e.c."/>
    <s v="2023-12-01"/>
    <x v="4"/>
    <s v="December "/>
    <s v="12"/>
    <n v="68.2"/>
    <n v="19.440000000000001"/>
  </r>
  <r>
    <x v="5"/>
    <s v="Other retailing n.e.c."/>
    <s v="2024-01-01"/>
    <x v="5"/>
    <s v="January  "/>
    <s v="1"/>
    <n v="50.2"/>
    <n v="20.100000000000001"/>
  </r>
  <r>
    <x v="5"/>
    <s v="Other retailing n.e.c."/>
    <s v="2024-02-01"/>
    <x v="5"/>
    <s v="February "/>
    <s v="2"/>
    <n v="48.5"/>
    <n v="21.86"/>
  </r>
  <r>
    <x v="5"/>
    <s v="Other retailing n.e.c."/>
    <s v="2024-03-01"/>
    <x v="5"/>
    <s v="March    "/>
    <s v="3"/>
    <n v="51.2"/>
    <n v="15.84"/>
  </r>
  <r>
    <x v="5"/>
    <s v="Other retailing n.e.c."/>
    <s v="2024-04-01"/>
    <x v="5"/>
    <s v="April    "/>
    <s v="4"/>
    <n v="49.9"/>
    <n v="25.38"/>
  </r>
  <r>
    <x v="5"/>
    <s v="Other retailing n.e.c."/>
    <s v="2024-05-01"/>
    <x v="5"/>
    <s v="May      "/>
    <s v="5"/>
    <n v="51.7"/>
    <n v="18.04"/>
  </r>
  <r>
    <x v="5"/>
    <s v="Other retailing n.e.c."/>
    <s v="2024-06-01"/>
    <x v="5"/>
    <s v="June     "/>
    <s v="6"/>
    <n v="47.7"/>
    <n v="13.03"/>
  </r>
  <r>
    <x v="5"/>
    <s v="Other retailing n.e.c."/>
    <s v="2024-07-01"/>
    <x v="5"/>
    <s v="July     "/>
    <s v="7"/>
    <n v="50.7"/>
    <n v="15.23"/>
  </r>
  <r>
    <x v="5"/>
    <s v="Other retailing n.e.c."/>
    <s v="2024-08-01"/>
    <x v="5"/>
    <s v="August   "/>
    <s v="8"/>
    <n v="50.6"/>
    <n v="13.45"/>
  </r>
  <r>
    <x v="5"/>
    <s v="Other retailing n.e.c."/>
    <s v="2024-09-01"/>
    <x v="5"/>
    <s v="September"/>
    <s v="9"/>
    <n v="50.1"/>
    <n v="7.28"/>
  </r>
  <r>
    <x v="5"/>
    <s v="Other retailing n.e.c."/>
    <s v="2024-10-01"/>
    <x v="5"/>
    <s v="October  "/>
    <s v="10"/>
    <n v="56.8"/>
    <n v="14.98"/>
  </r>
  <r>
    <x v="5"/>
    <s v="Other retailing n.e.c."/>
    <s v="2024-11-01"/>
    <x v="5"/>
    <s v="November "/>
    <s v="11"/>
    <n v="65.7"/>
    <n v="11.17"/>
  </r>
  <r>
    <x v="5"/>
    <s v="Other retailing n.e.c."/>
    <s v="2024-12-01"/>
    <x v="5"/>
    <s v="December "/>
    <s v="12"/>
    <n v="70.5"/>
    <n v="3.37"/>
  </r>
  <r>
    <x v="5"/>
    <s v="Other retailing n.e.c."/>
    <s v="2025-01-01"/>
    <x v="6"/>
    <s v="January  "/>
    <s v="1"/>
    <n v="53.3"/>
    <n v="6.18"/>
  </r>
  <r>
    <x v="5"/>
    <s v="Other retailing n.e.c."/>
    <s v="2025-02-01"/>
    <x v="6"/>
    <s v="February "/>
    <s v="2"/>
    <n v="49.7"/>
    <n v="2.4700000000000002"/>
  </r>
  <r>
    <x v="5"/>
    <s v="Other retailing n.e.c."/>
    <s v="2025-03-01"/>
    <x v="6"/>
    <s v="March    "/>
    <s v="3"/>
    <n v="52.2"/>
    <n v="1.95"/>
  </r>
  <r>
    <x v="5"/>
    <s v="Other retailing n.e.c."/>
    <s v="2025-04-01"/>
    <x v="6"/>
    <s v="April    "/>
    <s v="4"/>
    <n v="51"/>
    <n v="2.2000000000000002"/>
  </r>
  <r>
    <x v="5"/>
    <s v="Other retailing n.e.c."/>
    <s v="2025-05-01"/>
    <x v="6"/>
    <s v="May      "/>
    <s v="5"/>
    <n v="52.8"/>
    <n v="2.13"/>
  </r>
  <r>
    <x v="5"/>
    <s v="Other retailing n.e.c."/>
    <s v="2025-06-01"/>
    <x v="6"/>
    <s v="June     "/>
    <s v="6"/>
    <n v="51"/>
    <n v="6.92"/>
  </r>
  <r>
    <x v="5"/>
    <s v="Other specialised food retailing"/>
    <s v="2019-04-01"/>
    <x v="0"/>
    <s v="April    "/>
    <s v="4"/>
    <n v="9.6999999999999993"/>
    <m/>
  </r>
  <r>
    <x v="5"/>
    <s v="Other specialised food retailing"/>
    <s v="2019-05-01"/>
    <x v="0"/>
    <s v="May      "/>
    <s v="5"/>
    <n v="9.6999999999999993"/>
    <m/>
  </r>
  <r>
    <x v="5"/>
    <s v="Other specialised food retailing"/>
    <s v="2019-06-01"/>
    <x v="0"/>
    <s v="June     "/>
    <s v="6"/>
    <n v="9.1999999999999993"/>
    <m/>
  </r>
  <r>
    <x v="5"/>
    <s v="Other specialised food retailing"/>
    <s v="2019-07-01"/>
    <x v="0"/>
    <s v="July     "/>
    <s v="7"/>
    <n v="9.1"/>
    <m/>
  </r>
  <r>
    <x v="5"/>
    <s v="Other specialised food retailing"/>
    <s v="2019-08-01"/>
    <x v="0"/>
    <s v="August   "/>
    <s v="8"/>
    <n v="9.3000000000000007"/>
    <m/>
  </r>
  <r>
    <x v="5"/>
    <s v="Other specialised food retailing"/>
    <s v="2019-09-01"/>
    <x v="0"/>
    <s v="September"/>
    <s v="9"/>
    <n v="9.3000000000000007"/>
    <m/>
  </r>
  <r>
    <x v="5"/>
    <s v="Other specialised food retailing"/>
    <s v="2019-10-01"/>
    <x v="0"/>
    <s v="October  "/>
    <s v="10"/>
    <n v="10.3"/>
    <m/>
  </r>
  <r>
    <x v="5"/>
    <s v="Other specialised food retailing"/>
    <s v="2019-11-01"/>
    <x v="0"/>
    <s v="November "/>
    <s v="11"/>
    <n v="10.6"/>
    <m/>
  </r>
  <r>
    <x v="5"/>
    <s v="Other specialised food retailing"/>
    <s v="2019-12-01"/>
    <x v="0"/>
    <s v="December "/>
    <s v="12"/>
    <n v="13.1"/>
    <m/>
  </r>
  <r>
    <x v="5"/>
    <s v="Other specialised food retailing"/>
    <s v="2020-01-01"/>
    <x v="1"/>
    <s v="January  "/>
    <s v="1"/>
    <n v="9.6"/>
    <m/>
  </r>
  <r>
    <x v="5"/>
    <s v="Other specialised food retailing"/>
    <s v="2020-02-01"/>
    <x v="1"/>
    <s v="February "/>
    <s v="2"/>
    <n v="9.1999999999999993"/>
    <m/>
  </r>
  <r>
    <x v="5"/>
    <s v="Other specialised food retailing"/>
    <s v="2020-03-01"/>
    <x v="1"/>
    <s v="March    "/>
    <s v="3"/>
    <n v="11.7"/>
    <m/>
  </r>
  <r>
    <x v="5"/>
    <s v="Other specialised food retailing"/>
    <s v="2020-04-01"/>
    <x v="1"/>
    <s v="April    "/>
    <s v="4"/>
    <n v="9.3000000000000007"/>
    <n v="-4.12"/>
  </r>
  <r>
    <x v="5"/>
    <s v="Other specialised food retailing"/>
    <s v="2020-05-01"/>
    <x v="1"/>
    <s v="May      "/>
    <s v="5"/>
    <n v="9.5"/>
    <n v="-2.06"/>
  </r>
  <r>
    <x v="5"/>
    <s v="Other specialised food retailing"/>
    <s v="2020-06-01"/>
    <x v="1"/>
    <s v="June     "/>
    <s v="6"/>
    <n v="9.3000000000000007"/>
    <n v="1.0900000000000001"/>
  </r>
  <r>
    <x v="5"/>
    <s v="Other specialised food retailing"/>
    <s v="2020-07-01"/>
    <x v="1"/>
    <s v="July     "/>
    <s v="7"/>
    <n v="10.4"/>
    <n v="14.29"/>
  </r>
  <r>
    <x v="5"/>
    <s v="Other specialised food retailing"/>
    <s v="2020-08-01"/>
    <x v="1"/>
    <s v="August   "/>
    <s v="8"/>
    <n v="10.199999999999999"/>
    <n v="9.68"/>
  </r>
  <r>
    <x v="5"/>
    <s v="Other specialised food retailing"/>
    <s v="2020-09-01"/>
    <x v="1"/>
    <s v="September"/>
    <s v="9"/>
    <n v="10.1"/>
    <n v="8.6"/>
  </r>
  <r>
    <x v="5"/>
    <s v="Other specialised food retailing"/>
    <s v="2020-10-01"/>
    <x v="1"/>
    <s v="October  "/>
    <s v="10"/>
    <n v="10.6"/>
    <n v="2.91"/>
  </r>
  <r>
    <x v="5"/>
    <s v="Other specialised food retailing"/>
    <s v="2020-11-01"/>
    <x v="1"/>
    <s v="November "/>
    <s v="11"/>
    <n v="10.6"/>
    <n v="0"/>
  </r>
  <r>
    <x v="5"/>
    <s v="Other specialised food retailing"/>
    <s v="2020-12-01"/>
    <x v="1"/>
    <s v="December "/>
    <s v="12"/>
    <n v="13.5"/>
    <n v="3.05"/>
  </r>
  <r>
    <x v="5"/>
    <s v="Other specialised food retailing"/>
    <s v="2021-01-01"/>
    <x v="2"/>
    <s v="January  "/>
    <s v="1"/>
    <n v="11.1"/>
    <n v="15.63"/>
  </r>
  <r>
    <x v="5"/>
    <s v="Other specialised food retailing"/>
    <s v="2021-02-01"/>
    <x v="2"/>
    <s v="February "/>
    <s v="2"/>
    <n v="10.6"/>
    <n v="15.22"/>
  </r>
  <r>
    <x v="5"/>
    <s v="Other specialised food retailing"/>
    <s v="2021-03-01"/>
    <x v="2"/>
    <s v="March    "/>
    <s v="3"/>
    <n v="12.3"/>
    <n v="5.13"/>
  </r>
  <r>
    <x v="5"/>
    <s v="Other specialised food retailing"/>
    <s v="2021-04-01"/>
    <x v="2"/>
    <s v="April    "/>
    <s v="4"/>
    <n v="11"/>
    <n v="18.28"/>
  </r>
  <r>
    <x v="5"/>
    <s v="Other specialised food retailing"/>
    <s v="2021-05-01"/>
    <x v="2"/>
    <s v="May      "/>
    <s v="5"/>
    <n v="10.4"/>
    <n v="9.4700000000000006"/>
  </r>
  <r>
    <x v="5"/>
    <s v="Other specialised food retailing"/>
    <s v="2021-06-01"/>
    <x v="2"/>
    <s v="June     "/>
    <s v="6"/>
    <n v="10"/>
    <n v="7.53"/>
  </r>
  <r>
    <x v="5"/>
    <s v="Other specialised food retailing"/>
    <s v="2021-07-01"/>
    <x v="2"/>
    <s v="July     "/>
    <s v="7"/>
    <n v="10.1"/>
    <n v="-2.88"/>
  </r>
  <r>
    <x v="5"/>
    <s v="Other specialised food retailing"/>
    <s v="2021-08-01"/>
    <x v="2"/>
    <s v="August   "/>
    <s v="8"/>
    <n v="9.1"/>
    <n v="-10.78"/>
  </r>
  <r>
    <x v="5"/>
    <s v="Other specialised food retailing"/>
    <s v="2021-09-01"/>
    <x v="2"/>
    <s v="September"/>
    <s v="9"/>
    <n v="9.4"/>
    <n v="-6.93"/>
  </r>
  <r>
    <x v="5"/>
    <s v="Other specialised food retailing"/>
    <s v="2021-10-01"/>
    <x v="2"/>
    <s v="October  "/>
    <s v="10"/>
    <n v="10.7"/>
    <n v="0.94"/>
  </r>
  <r>
    <x v="5"/>
    <s v="Other specialised food retailing"/>
    <s v="2021-11-01"/>
    <x v="2"/>
    <s v="November "/>
    <s v="11"/>
    <n v="10.7"/>
    <n v="0.94"/>
  </r>
  <r>
    <x v="5"/>
    <s v="Other specialised food retailing"/>
    <s v="2021-12-01"/>
    <x v="2"/>
    <s v="December "/>
    <s v="12"/>
    <n v="12.4"/>
    <n v="-8.15"/>
  </r>
  <r>
    <x v="5"/>
    <s v="Other specialised food retailing"/>
    <s v="2022-01-01"/>
    <x v="3"/>
    <s v="January  "/>
    <s v="1"/>
    <n v="10.199999999999999"/>
    <n v="-8.11"/>
  </r>
  <r>
    <x v="5"/>
    <s v="Other specialised food retailing"/>
    <s v="2022-02-01"/>
    <x v="3"/>
    <s v="February "/>
    <s v="2"/>
    <n v="9.1"/>
    <n v="-14.15"/>
  </r>
  <r>
    <x v="5"/>
    <s v="Other specialised food retailing"/>
    <s v="2022-03-01"/>
    <x v="3"/>
    <s v="March    "/>
    <s v="3"/>
    <n v="10.3"/>
    <n v="-16.260000000000002"/>
  </r>
  <r>
    <x v="5"/>
    <s v="Other specialised food retailing"/>
    <s v="2022-04-01"/>
    <x v="3"/>
    <s v="April    "/>
    <s v="4"/>
    <n v="10.1"/>
    <n v="-8.18"/>
  </r>
  <r>
    <x v="5"/>
    <s v="Other specialised food retailing"/>
    <s v="2022-05-01"/>
    <x v="3"/>
    <s v="May      "/>
    <s v="5"/>
    <n v="10.199999999999999"/>
    <n v="-1.92"/>
  </r>
  <r>
    <x v="5"/>
    <s v="Other specialised food retailing"/>
    <s v="2022-06-01"/>
    <x v="3"/>
    <s v="June     "/>
    <s v="6"/>
    <n v="9.5"/>
    <n v="-5"/>
  </r>
  <r>
    <x v="5"/>
    <s v="Other specialised food retailing"/>
    <s v="2022-07-01"/>
    <x v="3"/>
    <s v="July     "/>
    <s v="7"/>
    <n v="10.9"/>
    <n v="7.92"/>
  </r>
  <r>
    <x v="5"/>
    <s v="Other specialised food retailing"/>
    <s v="2022-08-01"/>
    <x v="3"/>
    <s v="August   "/>
    <s v="8"/>
    <n v="11.6"/>
    <n v="27.47"/>
  </r>
  <r>
    <x v="5"/>
    <s v="Other specialised food retailing"/>
    <s v="2022-09-01"/>
    <x v="3"/>
    <s v="September"/>
    <s v="9"/>
    <n v="11.6"/>
    <n v="23.4"/>
  </r>
  <r>
    <x v="5"/>
    <s v="Other specialised food retailing"/>
    <s v="2022-10-01"/>
    <x v="3"/>
    <s v="October  "/>
    <s v="10"/>
    <n v="12.3"/>
    <n v="14.95"/>
  </r>
  <r>
    <x v="5"/>
    <s v="Other specialised food retailing"/>
    <s v="2022-11-01"/>
    <x v="3"/>
    <s v="November "/>
    <s v="11"/>
    <n v="12.7"/>
    <n v="18.690000000000001"/>
  </r>
  <r>
    <x v="5"/>
    <s v="Other specialised food retailing"/>
    <s v="2022-12-01"/>
    <x v="3"/>
    <s v="December "/>
    <s v="12"/>
    <n v="15.9"/>
    <n v="28.23"/>
  </r>
  <r>
    <x v="5"/>
    <s v="Other specialised food retailing"/>
    <s v="2023-01-01"/>
    <x v="4"/>
    <s v="January  "/>
    <s v="1"/>
    <n v="13.5"/>
    <n v="32.35"/>
  </r>
  <r>
    <x v="5"/>
    <s v="Other specialised food retailing"/>
    <s v="2023-02-01"/>
    <x v="4"/>
    <s v="February "/>
    <s v="2"/>
    <n v="12.7"/>
    <n v="39.56"/>
  </r>
  <r>
    <x v="5"/>
    <s v="Other specialised food retailing"/>
    <s v="2023-03-01"/>
    <x v="4"/>
    <s v="March    "/>
    <s v="3"/>
    <n v="14.4"/>
    <n v="39.81"/>
  </r>
  <r>
    <x v="5"/>
    <s v="Other specialised food retailing"/>
    <s v="2023-04-01"/>
    <x v="4"/>
    <s v="April    "/>
    <s v="4"/>
    <n v="13.5"/>
    <n v="33.659999999999997"/>
  </r>
  <r>
    <x v="5"/>
    <s v="Other specialised food retailing"/>
    <s v="2023-05-01"/>
    <x v="4"/>
    <s v="May      "/>
    <s v="5"/>
    <n v="12.7"/>
    <n v="24.51"/>
  </r>
  <r>
    <x v="5"/>
    <s v="Other specialised food retailing"/>
    <s v="2023-06-01"/>
    <x v="4"/>
    <s v="June     "/>
    <s v="6"/>
    <n v="12.2"/>
    <n v="28.42"/>
  </r>
  <r>
    <x v="5"/>
    <s v="Other specialised food retailing"/>
    <s v="2023-07-01"/>
    <x v="4"/>
    <s v="July     "/>
    <s v="7"/>
    <n v="12"/>
    <n v="10.09"/>
  </r>
  <r>
    <x v="5"/>
    <s v="Other specialised food retailing"/>
    <s v="2023-08-01"/>
    <x v="4"/>
    <s v="August   "/>
    <s v="8"/>
    <n v="13.3"/>
    <n v="14.66"/>
  </r>
  <r>
    <x v="5"/>
    <s v="Other specialised food retailing"/>
    <s v="2023-09-01"/>
    <x v="4"/>
    <s v="September"/>
    <s v="9"/>
    <n v="12.8"/>
    <n v="10.34"/>
  </r>
  <r>
    <x v="5"/>
    <s v="Other specialised food retailing"/>
    <s v="2023-10-01"/>
    <x v="4"/>
    <s v="October  "/>
    <s v="10"/>
    <n v="14.7"/>
    <n v="19.510000000000002"/>
  </r>
  <r>
    <x v="5"/>
    <s v="Other specialised food retailing"/>
    <s v="2023-11-01"/>
    <x v="4"/>
    <s v="November "/>
    <s v="11"/>
    <n v="15.8"/>
    <n v="24.41"/>
  </r>
  <r>
    <x v="5"/>
    <s v="Other specialised food retailing"/>
    <s v="2023-12-01"/>
    <x v="4"/>
    <s v="December "/>
    <s v="12"/>
    <n v="20.100000000000001"/>
    <n v="26.42"/>
  </r>
  <r>
    <x v="5"/>
    <s v="Other specialised food retailing"/>
    <s v="2024-01-01"/>
    <x v="5"/>
    <s v="January  "/>
    <s v="1"/>
    <n v="18.2"/>
    <n v="34.81"/>
  </r>
  <r>
    <x v="5"/>
    <s v="Other specialised food retailing"/>
    <s v="2024-02-01"/>
    <x v="5"/>
    <s v="February "/>
    <s v="2"/>
    <n v="16.3"/>
    <n v="28.35"/>
  </r>
  <r>
    <x v="5"/>
    <s v="Other specialised food retailing"/>
    <s v="2024-03-01"/>
    <x v="5"/>
    <s v="March    "/>
    <s v="3"/>
    <n v="17"/>
    <n v="18.059999999999999"/>
  </r>
  <r>
    <x v="5"/>
    <s v="Other specialised food retailing"/>
    <s v="2024-04-01"/>
    <x v="5"/>
    <s v="April    "/>
    <s v="4"/>
    <n v="16.2"/>
    <n v="20"/>
  </r>
  <r>
    <x v="5"/>
    <s v="Other specialised food retailing"/>
    <s v="2024-05-01"/>
    <x v="5"/>
    <s v="May      "/>
    <s v="5"/>
    <n v="16.2"/>
    <n v="27.56"/>
  </r>
  <r>
    <x v="5"/>
    <s v="Other specialised food retailing"/>
    <s v="2024-06-01"/>
    <x v="5"/>
    <s v="June     "/>
    <s v="6"/>
    <n v="14.2"/>
    <n v="16.39"/>
  </r>
  <r>
    <x v="5"/>
    <s v="Other specialised food retailing"/>
    <s v="2024-07-01"/>
    <x v="5"/>
    <s v="July     "/>
    <s v="7"/>
    <n v="15.5"/>
    <n v="29.17"/>
  </r>
  <r>
    <x v="5"/>
    <s v="Other specialised food retailing"/>
    <s v="2024-08-01"/>
    <x v="5"/>
    <s v="August   "/>
    <s v="8"/>
    <n v="15.9"/>
    <n v="19.55"/>
  </r>
  <r>
    <x v="5"/>
    <s v="Other specialised food retailing"/>
    <s v="2024-09-01"/>
    <x v="5"/>
    <s v="September"/>
    <s v="9"/>
    <n v="16.100000000000001"/>
    <n v="25.78"/>
  </r>
  <r>
    <x v="5"/>
    <s v="Other specialised food retailing"/>
    <s v="2024-10-01"/>
    <x v="5"/>
    <s v="October  "/>
    <s v="10"/>
    <n v="18.5"/>
    <n v="25.85"/>
  </r>
  <r>
    <x v="5"/>
    <s v="Other specialised food retailing"/>
    <s v="2024-11-01"/>
    <x v="5"/>
    <s v="November "/>
    <s v="11"/>
    <n v="18.5"/>
    <n v="17.09"/>
  </r>
  <r>
    <x v="5"/>
    <s v="Other specialised food retailing"/>
    <s v="2024-12-01"/>
    <x v="5"/>
    <s v="December "/>
    <s v="12"/>
    <n v="24.6"/>
    <n v="22.39"/>
  </r>
  <r>
    <x v="5"/>
    <s v="Other specialised food retailing"/>
    <s v="2025-01-01"/>
    <x v="6"/>
    <s v="January  "/>
    <s v="1"/>
    <n v="19.7"/>
    <n v="8.24"/>
  </r>
  <r>
    <x v="5"/>
    <s v="Other specialised food retailing"/>
    <s v="2025-02-01"/>
    <x v="6"/>
    <s v="February "/>
    <s v="2"/>
    <n v="16.399999999999999"/>
    <n v="0.61"/>
  </r>
  <r>
    <x v="5"/>
    <s v="Other specialised food retailing"/>
    <s v="2025-03-01"/>
    <x v="6"/>
    <s v="March    "/>
    <s v="3"/>
    <n v="17.7"/>
    <n v="4.12"/>
  </r>
  <r>
    <x v="5"/>
    <s v="Other specialised food retailing"/>
    <s v="2025-04-01"/>
    <x v="6"/>
    <s v="April    "/>
    <s v="4"/>
    <n v="16.899999999999999"/>
    <n v="4.32"/>
  </r>
  <r>
    <x v="5"/>
    <s v="Other specialised food retailing"/>
    <s v="2025-05-01"/>
    <x v="6"/>
    <s v="May      "/>
    <s v="5"/>
    <n v="15.7"/>
    <n v="-3.09"/>
  </r>
  <r>
    <x v="5"/>
    <s v="Other specialised food retailing"/>
    <s v="2025-06-01"/>
    <x v="6"/>
    <s v="June     "/>
    <s v="6"/>
    <n v="13.9"/>
    <n v="-2.11"/>
  </r>
  <r>
    <x v="5"/>
    <s v="Pharmaceutical, cosmetic and toiletry goods retailing"/>
    <s v="2019-01-01"/>
    <x v="0"/>
    <s v="January  "/>
    <s v="1"/>
    <n v="26.1"/>
    <m/>
  </r>
  <r>
    <x v="5"/>
    <s v="Pharmaceutical, cosmetic and toiletry goods retailing"/>
    <s v="2019-02-01"/>
    <x v="0"/>
    <s v="February "/>
    <s v="2"/>
    <n v="24.9"/>
    <m/>
  </r>
  <r>
    <x v="5"/>
    <s v="Pharmaceutical, cosmetic and toiletry goods retailing"/>
    <s v="2019-03-01"/>
    <x v="0"/>
    <s v="March    "/>
    <s v="3"/>
    <n v="28.4"/>
    <m/>
  </r>
  <r>
    <x v="5"/>
    <s v="Pharmaceutical, cosmetic and toiletry goods retailing"/>
    <s v="2019-04-01"/>
    <x v="0"/>
    <s v="April    "/>
    <s v="4"/>
    <n v="27.5"/>
    <m/>
  </r>
  <r>
    <x v="5"/>
    <s v="Pharmaceutical, cosmetic and toiletry goods retailing"/>
    <s v="2019-05-01"/>
    <x v="0"/>
    <s v="May      "/>
    <s v="5"/>
    <n v="29.7"/>
    <m/>
  </r>
  <r>
    <x v="5"/>
    <s v="Pharmaceutical, cosmetic and toiletry goods retailing"/>
    <s v="2019-06-01"/>
    <x v="0"/>
    <s v="June     "/>
    <s v="6"/>
    <n v="27.3"/>
    <m/>
  </r>
  <r>
    <x v="5"/>
    <s v="Pharmaceutical, cosmetic and toiletry goods retailing"/>
    <s v="2019-07-01"/>
    <x v="0"/>
    <s v="July     "/>
    <s v="7"/>
    <n v="31.4"/>
    <m/>
  </r>
  <r>
    <x v="5"/>
    <s v="Pharmaceutical, cosmetic and toiletry goods retailing"/>
    <s v="2019-08-01"/>
    <x v="0"/>
    <s v="August   "/>
    <s v="8"/>
    <n v="32.1"/>
    <m/>
  </r>
  <r>
    <x v="5"/>
    <s v="Pharmaceutical, cosmetic and toiletry goods retailing"/>
    <s v="2019-09-01"/>
    <x v="0"/>
    <s v="September"/>
    <s v="9"/>
    <n v="30.7"/>
    <m/>
  </r>
  <r>
    <x v="5"/>
    <s v="Pharmaceutical, cosmetic and toiletry goods retailing"/>
    <s v="2019-10-01"/>
    <x v="0"/>
    <s v="October  "/>
    <s v="10"/>
    <n v="33.6"/>
    <m/>
  </r>
  <r>
    <x v="5"/>
    <s v="Pharmaceutical, cosmetic and toiletry goods retailing"/>
    <s v="2019-11-01"/>
    <x v="0"/>
    <s v="November "/>
    <s v="11"/>
    <n v="33.5"/>
    <m/>
  </r>
  <r>
    <x v="5"/>
    <s v="Pharmaceutical, cosmetic and toiletry goods retailing"/>
    <s v="2019-12-01"/>
    <x v="0"/>
    <s v="December "/>
    <s v="12"/>
    <n v="38"/>
    <m/>
  </r>
  <r>
    <x v="5"/>
    <s v="Pharmaceutical, cosmetic and toiletry goods retailing"/>
    <s v="2020-01-01"/>
    <x v="1"/>
    <s v="January  "/>
    <s v="1"/>
    <n v="29.2"/>
    <n v="11.88"/>
  </r>
  <r>
    <x v="5"/>
    <s v="Pharmaceutical, cosmetic and toiletry goods retailing"/>
    <s v="2020-02-01"/>
    <x v="1"/>
    <s v="February "/>
    <s v="2"/>
    <n v="27.7"/>
    <n v="11.24"/>
  </r>
  <r>
    <x v="5"/>
    <s v="Pharmaceutical, cosmetic and toiletry goods retailing"/>
    <s v="2020-03-01"/>
    <x v="1"/>
    <s v="March    "/>
    <s v="3"/>
    <n v="37.1"/>
    <n v="30.63"/>
  </r>
  <r>
    <x v="5"/>
    <s v="Pharmaceutical, cosmetic and toiletry goods retailing"/>
    <s v="2020-04-01"/>
    <x v="1"/>
    <s v="April    "/>
    <s v="4"/>
    <n v="25.6"/>
    <n v="-6.91"/>
  </r>
  <r>
    <x v="5"/>
    <s v="Pharmaceutical, cosmetic and toiletry goods retailing"/>
    <s v="2020-05-01"/>
    <x v="1"/>
    <s v="May      "/>
    <s v="5"/>
    <n v="31.7"/>
    <n v="6.73"/>
  </r>
  <r>
    <x v="5"/>
    <s v="Pharmaceutical, cosmetic and toiletry goods retailing"/>
    <s v="2020-06-01"/>
    <x v="1"/>
    <s v="June     "/>
    <s v="6"/>
    <n v="29.4"/>
    <n v="7.69"/>
  </r>
  <r>
    <x v="5"/>
    <s v="Pharmaceutical, cosmetic and toiletry goods retailing"/>
    <s v="2020-07-01"/>
    <x v="1"/>
    <s v="July     "/>
    <s v="7"/>
    <n v="33.799999999999997"/>
    <n v="7.64"/>
  </r>
  <r>
    <x v="5"/>
    <s v="Pharmaceutical, cosmetic and toiletry goods retailing"/>
    <s v="2020-08-01"/>
    <x v="1"/>
    <s v="August   "/>
    <s v="8"/>
    <n v="31.9"/>
    <n v="-0.62"/>
  </r>
  <r>
    <x v="5"/>
    <s v="Pharmaceutical, cosmetic and toiletry goods retailing"/>
    <s v="2020-09-01"/>
    <x v="1"/>
    <s v="September"/>
    <s v="9"/>
    <n v="33"/>
    <n v="7.49"/>
  </r>
  <r>
    <x v="5"/>
    <s v="Pharmaceutical, cosmetic and toiletry goods retailing"/>
    <s v="2020-10-01"/>
    <x v="1"/>
    <s v="October  "/>
    <s v="10"/>
    <n v="34.1"/>
    <n v="1.49"/>
  </r>
  <r>
    <x v="5"/>
    <s v="Pharmaceutical, cosmetic and toiletry goods retailing"/>
    <s v="2020-11-01"/>
    <x v="1"/>
    <s v="November "/>
    <s v="11"/>
    <n v="33.5"/>
    <n v="0"/>
  </r>
  <r>
    <x v="5"/>
    <s v="Pharmaceutical, cosmetic and toiletry goods retailing"/>
    <s v="2020-12-01"/>
    <x v="1"/>
    <s v="December "/>
    <s v="12"/>
    <n v="40.4"/>
    <n v="6.32"/>
  </r>
  <r>
    <x v="5"/>
    <s v="Pharmaceutical, cosmetic and toiletry goods retailing"/>
    <s v="2021-01-01"/>
    <x v="2"/>
    <s v="January  "/>
    <s v="1"/>
    <n v="28.9"/>
    <n v="-1.03"/>
  </r>
  <r>
    <x v="5"/>
    <s v="Pharmaceutical, cosmetic and toiletry goods retailing"/>
    <s v="2021-02-01"/>
    <x v="2"/>
    <s v="February "/>
    <s v="2"/>
    <n v="29.2"/>
    <n v="5.42"/>
  </r>
  <r>
    <x v="5"/>
    <s v="Pharmaceutical, cosmetic and toiletry goods retailing"/>
    <s v="2021-03-01"/>
    <x v="2"/>
    <s v="March    "/>
    <s v="3"/>
    <n v="32.9"/>
    <n v="-11.32"/>
  </r>
  <r>
    <x v="5"/>
    <s v="Pharmaceutical, cosmetic and toiletry goods retailing"/>
    <s v="2021-04-01"/>
    <x v="2"/>
    <s v="April    "/>
    <s v="4"/>
    <n v="31.6"/>
    <n v="23.44"/>
  </r>
  <r>
    <x v="5"/>
    <s v="Pharmaceutical, cosmetic and toiletry goods retailing"/>
    <s v="2021-05-01"/>
    <x v="2"/>
    <s v="May      "/>
    <s v="5"/>
    <n v="30.5"/>
    <n v="-3.79"/>
  </r>
  <r>
    <x v="5"/>
    <s v="Pharmaceutical, cosmetic and toiletry goods retailing"/>
    <s v="2021-06-01"/>
    <x v="2"/>
    <s v="June     "/>
    <s v="6"/>
    <n v="30.1"/>
    <n v="2.38"/>
  </r>
  <r>
    <x v="5"/>
    <s v="Pharmaceutical, cosmetic and toiletry goods retailing"/>
    <s v="2021-07-01"/>
    <x v="2"/>
    <s v="July     "/>
    <s v="7"/>
    <n v="34.1"/>
    <n v="0.89"/>
  </r>
  <r>
    <x v="5"/>
    <s v="Pharmaceutical, cosmetic and toiletry goods retailing"/>
    <s v="2021-08-01"/>
    <x v="2"/>
    <s v="August   "/>
    <s v="8"/>
    <n v="33.799999999999997"/>
    <n v="5.96"/>
  </r>
  <r>
    <x v="5"/>
    <s v="Pharmaceutical, cosmetic and toiletry goods retailing"/>
    <s v="2021-09-01"/>
    <x v="2"/>
    <s v="September"/>
    <s v="9"/>
    <n v="33.299999999999997"/>
    <n v="0.91"/>
  </r>
  <r>
    <x v="5"/>
    <s v="Pharmaceutical, cosmetic and toiletry goods retailing"/>
    <s v="2021-10-01"/>
    <x v="2"/>
    <s v="October  "/>
    <s v="10"/>
    <n v="32"/>
    <n v="-6.16"/>
  </r>
  <r>
    <x v="5"/>
    <s v="Pharmaceutical, cosmetic and toiletry goods retailing"/>
    <s v="2021-11-01"/>
    <x v="2"/>
    <s v="November "/>
    <s v="11"/>
    <n v="32"/>
    <n v="-4.4800000000000004"/>
  </r>
  <r>
    <x v="5"/>
    <s v="Pharmaceutical, cosmetic and toiletry goods retailing"/>
    <s v="2021-12-01"/>
    <x v="2"/>
    <s v="December "/>
    <s v="12"/>
    <n v="39"/>
    <n v="-3.47"/>
  </r>
  <r>
    <x v="5"/>
    <s v="Pharmaceutical, cosmetic and toiletry goods retailing"/>
    <s v="2022-01-01"/>
    <x v="3"/>
    <s v="January  "/>
    <s v="1"/>
    <n v="27"/>
    <n v="-6.57"/>
  </r>
  <r>
    <x v="5"/>
    <s v="Pharmaceutical, cosmetic and toiletry goods retailing"/>
    <s v="2022-02-01"/>
    <x v="3"/>
    <s v="February "/>
    <s v="2"/>
    <n v="26"/>
    <n v="-10.96"/>
  </r>
  <r>
    <x v="5"/>
    <s v="Pharmaceutical, cosmetic and toiletry goods retailing"/>
    <s v="2022-03-01"/>
    <x v="3"/>
    <s v="March    "/>
    <s v="3"/>
    <n v="28.7"/>
    <n v="-12.77"/>
  </r>
  <r>
    <x v="5"/>
    <s v="Pharmaceutical, cosmetic and toiletry goods retailing"/>
    <s v="2022-04-01"/>
    <x v="3"/>
    <s v="April    "/>
    <s v="4"/>
    <n v="27.8"/>
    <n v="-12.03"/>
  </r>
  <r>
    <x v="5"/>
    <s v="Pharmaceutical, cosmetic and toiletry goods retailing"/>
    <s v="2022-05-01"/>
    <x v="3"/>
    <s v="May      "/>
    <s v="5"/>
    <n v="31.7"/>
    <n v="3.93"/>
  </r>
  <r>
    <x v="5"/>
    <s v="Pharmaceutical, cosmetic and toiletry goods retailing"/>
    <s v="2022-06-01"/>
    <x v="3"/>
    <s v="June     "/>
    <s v="6"/>
    <n v="30.3"/>
    <n v="0.66"/>
  </r>
  <r>
    <x v="5"/>
    <s v="Pharmaceutical, cosmetic and toiletry goods retailing"/>
    <s v="2022-07-01"/>
    <x v="3"/>
    <s v="July     "/>
    <s v="7"/>
    <n v="30.8"/>
    <n v="-9.68"/>
  </r>
  <r>
    <x v="5"/>
    <s v="Pharmaceutical, cosmetic and toiletry goods retailing"/>
    <s v="2022-08-01"/>
    <x v="3"/>
    <s v="August   "/>
    <s v="8"/>
    <n v="31"/>
    <n v="-8.2799999999999994"/>
  </r>
  <r>
    <x v="5"/>
    <s v="Pharmaceutical, cosmetic and toiletry goods retailing"/>
    <s v="2022-09-01"/>
    <x v="3"/>
    <s v="September"/>
    <s v="9"/>
    <n v="29.9"/>
    <n v="-10.210000000000001"/>
  </r>
  <r>
    <x v="5"/>
    <s v="Pharmaceutical, cosmetic and toiletry goods retailing"/>
    <s v="2022-10-01"/>
    <x v="3"/>
    <s v="October  "/>
    <s v="10"/>
    <n v="27.7"/>
    <n v="-13.44"/>
  </r>
  <r>
    <x v="5"/>
    <s v="Pharmaceutical, cosmetic and toiletry goods retailing"/>
    <s v="2022-11-01"/>
    <x v="3"/>
    <s v="November "/>
    <s v="11"/>
    <n v="30"/>
    <n v="-6.25"/>
  </r>
  <r>
    <x v="5"/>
    <s v="Pharmaceutical, cosmetic and toiletry goods retailing"/>
    <s v="2022-12-01"/>
    <x v="3"/>
    <s v="December "/>
    <s v="12"/>
    <n v="36.4"/>
    <n v="-6.67"/>
  </r>
  <r>
    <x v="5"/>
    <s v="Pharmaceutical, cosmetic and toiletry goods retailing"/>
    <s v="2023-01-01"/>
    <x v="4"/>
    <s v="January  "/>
    <s v="1"/>
    <n v="28.8"/>
    <n v="6.67"/>
  </r>
  <r>
    <x v="5"/>
    <s v="Pharmaceutical, cosmetic and toiletry goods retailing"/>
    <s v="2023-02-01"/>
    <x v="4"/>
    <s v="February "/>
    <s v="2"/>
    <n v="27.4"/>
    <n v="5.38"/>
  </r>
  <r>
    <x v="5"/>
    <s v="Pharmaceutical, cosmetic and toiletry goods retailing"/>
    <s v="2023-03-01"/>
    <x v="4"/>
    <s v="March    "/>
    <s v="3"/>
    <n v="32.5"/>
    <n v="13.24"/>
  </r>
  <r>
    <x v="5"/>
    <s v="Pharmaceutical, cosmetic and toiletry goods retailing"/>
    <s v="2023-04-01"/>
    <x v="4"/>
    <s v="April    "/>
    <s v="4"/>
    <n v="28.2"/>
    <n v="1.44"/>
  </r>
  <r>
    <x v="5"/>
    <s v="Pharmaceutical, cosmetic and toiletry goods retailing"/>
    <s v="2023-05-01"/>
    <x v="4"/>
    <s v="May      "/>
    <s v="5"/>
    <n v="31.3"/>
    <n v="-1.26"/>
  </r>
  <r>
    <x v="5"/>
    <s v="Pharmaceutical, cosmetic and toiletry goods retailing"/>
    <s v="2023-06-01"/>
    <x v="4"/>
    <s v="June     "/>
    <s v="6"/>
    <n v="30.1"/>
    <n v="-0.66"/>
  </r>
  <r>
    <x v="5"/>
    <s v="Pharmaceutical, cosmetic and toiletry goods retailing"/>
    <s v="2023-07-01"/>
    <x v="4"/>
    <s v="July     "/>
    <s v="7"/>
    <n v="30.9"/>
    <n v="0.32"/>
  </r>
  <r>
    <x v="5"/>
    <s v="Pharmaceutical, cosmetic and toiletry goods retailing"/>
    <s v="2023-08-01"/>
    <x v="4"/>
    <s v="August   "/>
    <s v="8"/>
    <n v="31.1"/>
    <n v="0.32"/>
  </r>
  <r>
    <x v="5"/>
    <s v="Pharmaceutical, cosmetic and toiletry goods retailing"/>
    <s v="2023-09-01"/>
    <x v="4"/>
    <s v="September"/>
    <s v="9"/>
    <n v="31.5"/>
    <n v="5.35"/>
  </r>
  <r>
    <x v="5"/>
    <s v="Pharmaceutical, cosmetic and toiletry goods retailing"/>
    <s v="2023-10-01"/>
    <x v="4"/>
    <s v="October  "/>
    <s v="10"/>
    <n v="32.6"/>
    <n v="17.690000000000001"/>
  </r>
  <r>
    <x v="5"/>
    <s v="Pharmaceutical, cosmetic and toiletry goods retailing"/>
    <s v="2023-11-01"/>
    <x v="4"/>
    <s v="November "/>
    <s v="11"/>
    <n v="29.6"/>
    <n v="-1.33"/>
  </r>
  <r>
    <x v="5"/>
    <s v="Pharmaceutical, cosmetic and toiletry goods retailing"/>
    <s v="2023-12-01"/>
    <x v="4"/>
    <s v="December "/>
    <s v="12"/>
    <n v="37"/>
    <n v="1.65"/>
  </r>
  <r>
    <x v="5"/>
    <s v="Pharmaceutical, cosmetic and toiletry goods retailing"/>
    <s v="2024-01-01"/>
    <x v="5"/>
    <s v="January  "/>
    <s v="1"/>
    <n v="28.2"/>
    <n v="-2.08"/>
  </r>
  <r>
    <x v="5"/>
    <s v="Pharmaceutical, cosmetic and toiletry goods retailing"/>
    <s v="2024-02-01"/>
    <x v="5"/>
    <s v="February "/>
    <s v="2"/>
    <n v="28.5"/>
    <n v="4.01"/>
  </r>
  <r>
    <x v="5"/>
    <s v="Pharmaceutical, cosmetic and toiletry goods retailing"/>
    <s v="2024-03-01"/>
    <x v="5"/>
    <s v="March    "/>
    <s v="3"/>
    <n v="30.4"/>
    <n v="-6.46"/>
  </r>
  <r>
    <x v="5"/>
    <s v="Pharmaceutical, cosmetic and toiletry goods retailing"/>
    <s v="2024-04-01"/>
    <x v="5"/>
    <s v="April    "/>
    <s v="4"/>
    <n v="29.1"/>
    <n v="3.19"/>
  </r>
  <r>
    <x v="5"/>
    <s v="Pharmaceutical, cosmetic and toiletry goods retailing"/>
    <s v="2024-05-01"/>
    <x v="5"/>
    <s v="May      "/>
    <s v="5"/>
    <n v="33.299999999999997"/>
    <n v="6.39"/>
  </r>
  <r>
    <x v="5"/>
    <s v="Pharmaceutical, cosmetic and toiletry goods retailing"/>
    <s v="2024-06-01"/>
    <x v="5"/>
    <s v="June     "/>
    <s v="6"/>
    <n v="28.5"/>
    <n v="-5.32"/>
  </r>
  <r>
    <x v="5"/>
    <s v="Pharmaceutical, cosmetic and toiletry goods retailing"/>
    <s v="2024-07-01"/>
    <x v="5"/>
    <s v="July     "/>
    <s v="7"/>
    <n v="31.7"/>
    <n v="2.59"/>
  </r>
  <r>
    <x v="5"/>
    <s v="Pharmaceutical, cosmetic and toiletry goods retailing"/>
    <s v="2024-08-01"/>
    <x v="5"/>
    <s v="August   "/>
    <s v="8"/>
    <n v="30.8"/>
    <n v="-0.96"/>
  </r>
  <r>
    <x v="5"/>
    <s v="Pharmaceutical, cosmetic and toiletry goods retailing"/>
    <s v="2024-09-01"/>
    <x v="5"/>
    <s v="September"/>
    <s v="9"/>
    <n v="29.7"/>
    <n v="-5.71"/>
  </r>
  <r>
    <x v="5"/>
    <s v="Pharmaceutical, cosmetic and toiletry goods retailing"/>
    <s v="2024-10-01"/>
    <x v="5"/>
    <s v="October  "/>
    <s v="10"/>
    <n v="32.6"/>
    <n v="0"/>
  </r>
  <r>
    <x v="5"/>
    <s v="Pharmaceutical, cosmetic and toiletry goods retailing"/>
    <s v="2024-11-01"/>
    <x v="5"/>
    <s v="November "/>
    <s v="11"/>
    <n v="33.4"/>
    <n v="12.84"/>
  </r>
  <r>
    <x v="5"/>
    <s v="Pharmaceutical, cosmetic and toiletry goods retailing"/>
    <s v="2024-12-01"/>
    <x v="5"/>
    <s v="December "/>
    <s v="12"/>
    <n v="39"/>
    <n v="5.41"/>
  </r>
  <r>
    <x v="5"/>
    <s v="Pharmaceutical, cosmetic and toiletry goods retailing"/>
    <s v="2025-01-01"/>
    <x v="6"/>
    <s v="January  "/>
    <s v="1"/>
    <n v="32.799999999999997"/>
    <n v="16.309999999999999"/>
  </r>
  <r>
    <x v="5"/>
    <s v="Pharmaceutical, cosmetic and toiletry goods retailing"/>
    <s v="2025-02-01"/>
    <x v="6"/>
    <s v="February "/>
    <s v="2"/>
    <n v="29.4"/>
    <n v="3.16"/>
  </r>
  <r>
    <x v="5"/>
    <s v="Pharmaceutical, cosmetic and toiletry goods retailing"/>
    <s v="2025-03-01"/>
    <x v="6"/>
    <s v="March    "/>
    <s v="3"/>
    <n v="33.700000000000003"/>
    <n v="10.86"/>
  </r>
  <r>
    <x v="5"/>
    <s v="Pharmaceutical, cosmetic and toiletry goods retailing"/>
    <s v="2025-04-01"/>
    <x v="6"/>
    <s v="April    "/>
    <s v="4"/>
    <n v="32.200000000000003"/>
    <n v="10.65"/>
  </r>
  <r>
    <x v="5"/>
    <s v="Pharmaceutical, cosmetic and toiletry goods retailing"/>
    <s v="2025-05-01"/>
    <x v="6"/>
    <s v="May      "/>
    <s v="5"/>
    <n v="35.6"/>
    <n v="6.91"/>
  </r>
  <r>
    <x v="5"/>
    <s v="Pharmaceutical, cosmetic and toiletry goods retailing"/>
    <s v="2025-06-01"/>
    <x v="6"/>
    <s v="June     "/>
    <s v="6"/>
    <n v="33.1"/>
    <n v="16.14"/>
  </r>
  <r>
    <x v="5"/>
    <s v="Supermarket and grocery stores"/>
    <s v="2019-01-01"/>
    <x v="0"/>
    <s v="January  "/>
    <s v="1"/>
    <n v="220.6"/>
    <m/>
  </r>
  <r>
    <x v="5"/>
    <s v="Supermarket and grocery stores"/>
    <s v="2019-02-01"/>
    <x v="0"/>
    <s v="February "/>
    <s v="2"/>
    <n v="201.2"/>
    <m/>
  </r>
  <r>
    <x v="5"/>
    <s v="Supermarket and grocery stores"/>
    <s v="2019-03-01"/>
    <x v="0"/>
    <s v="March    "/>
    <s v="3"/>
    <n v="220.1"/>
    <m/>
  </r>
  <r>
    <x v="5"/>
    <s v="Supermarket and grocery stores"/>
    <s v="2019-04-01"/>
    <x v="0"/>
    <s v="April    "/>
    <s v="4"/>
    <n v="207.8"/>
    <m/>
  </r>
  <r>
    <x v="5"/>
    <s v="Supermarket and grocery stores"/>
    <s v="2019-05-01"/>
    <x v="0"/>
    <s v="May      "/>
    <s v="5"/>
    <n v="210.5"/>
    <m/>
  </r>
  <r>
    <x v="5"/>
    <s v="Supermarket and grocery stores"/>
    <s v="2019-06-01"/>
    <x v="0"/>
    <s v="June     "/>
    <s v="6"/>
    <n v="202.5"/>
    <m/>
  </r>
  <r>
    <x v="5"/>
    <s v="Supermarket and grocery stores"/>
    <s v="2019-07-01"/>
    <x v="0"/>
    <s v="July     "/>
    <s v="7"/>
    <n v="206.8"/>
    <m/>
  </r>
  <r>
    <x v="5"/>
    <s v="Supermarket and grocery stores"/>
    <s v="2019-08-01"/>
    <x v="0"/>
    <s v="August   "/>
    <s v="8"/>
    <n v="212.1"/>
    <m/>
  </r>
  <r>
    <x v="5"/>
    <s v="Supermarket and grocery stores"/>
    <s v="2019-09-01"/>
    <x v="0"/>
    <s v="September"/>
    <s v="9"/>
    <n v="207.8"/>
    <m/>
  </r>
  <r>
    <x v="5"/>
    <s v="Supermarket and grocery stores"/>
    <s v="2019-10-01"/>
    <x v="0"/>
    <s v="October  "/>
    <s v="10"/>
    <n v="221.9"/>
    <m/>
  </r>
  <r>
    <x v="5"/>
    <s v="Supermarket and grocery stores"/>
    <s v="2019-11-01"/>
    <x v="0"/>
    <s v="November "/>
    <s v="11"/>
    <n v="223"/>
    <m/>
  </r>
  <r>
    <x v="5"/>
    <s v="Supermarket and grocery stores"/>
    <s v="2019-12-01"/>
    <x v="0"/>
    <s v="December "/>
    <s v="12"/>
    <n v="251.8"/>
    <m/>
  </r>
  <r>
    <x v="5"/>
    <s v="Supermarket and grocery stores"/>
    <s v="2020-01-01"/>
    <x v="1"/>
    <s v="January  "/>
    <s v="1"/>
    <n v="234.2"/>
    <n v="6.17"/>
  </r>
  <r>
    <x v="5"/>
    <s v="Supermarket and grocery stores"/>
    <s v="2020-02-01"/>
    <x v="1"/>
    <s v="February "/>
    <s v="2"/>
    <n v="223"/>
    <n v="10.83"/>
  </r>
  <r>
    <x v="5"/>
    <s v="Supermarket and grocery stores"/>
    <s v="2020-03-01"/>
    <x v="1"/>
    <s v="March    "/>
    <s v="3"/>
    <n v="273.60000000000002"/>
    <n v="24.31"/>
  </r>
  <r>
    <x v="5"/>
    <s v="Supermarket and grocery stores"/>
    <s v="2020-04-01"/>
    <x v="1"/>
    <s v="April    "/>
    <s v="4"/>
    <n v="224.8"/>
    <n v="8.18"/>
  </r>
  <r>
    <x v="5"/>
    <s v="Supermarket and grocery stores"/>
    <s v="2020-05-01"/>
    <x v="1"/>
    <s v="May      "/>
    <s v="5"/>
    <n v="235.5"/>
    <n v="11.88"/>
  </r>
  <r>
    <x v="5"/>
    <s v="Supermarket and grocery stores"/>
    <s v="2020-06-01"/>
    <x v="1"/>
    <s v="June     "/>
    <s v="6"/>
    <n v="222.9"/>
    <n v="10.07"/>
  </r>
  <r>
    <x v="5"/>
    <s v="Supermarket and grocery stores"/>
    <s v="2020-07-01"/>
    <x v="1"/>
    <s v="July     "/>
    <s v="7"/>
    <n v="237.6"/>
    <n v="14.89"/>
  </r>
  <r>
    <x v="5"/>
    <s v="Supermarket and grocery stores"/>
    <s v="2020-08-01"/>
    <x v="1"/>
    <s v="August   "/>
    <s v="8"/>
    <n v="239.1"/>
    <n v="12.73"/>
  </r>
  <r>
    <x v="5"/>
    <s v="Supermarket and grocery stores"/>
    <s v="2020-09-01"/>
    <x v="1"/>
    <s v="September"/>
    <s v="9"/>
    <n v="229.2"/>
    <n v="10.3"/>
  </r>
  <r>
    <x v="5"/>
    <s v="Supermarket and grocery stores"/>
    <s v="2020-10-01"/>
    <x v="1"/>
    <s v="October  "/>
    <s v="10"/>
    <n v="245.1"/>
    <n v="10.46"/>
  </r>
  <r>
    <x v="5"/>
    <s v="Supermarket and grocery stores"/>
    <s v="2020-11-01"/>
    <x v="1"/>
    <s v="November "/>
    <s v="11"/>
    <n v="243.8"/>
    <n v="9.33"/>
  </r>
  <r>
    <x v="5"/>
    <s v="Supermarket and grocery stores"/>
    <s v="2020-12-01"/>
    <x v="1"/>
    <s v="December "/>
    <s v="12"/>
    <n v="272.7"/>
    <n v="8.3000000000000007"/>
  </r>
  <r>
    <x v="5"/>
    <s v="Supermarket and grocery stores"/>
    <s v="2021-01-01"/>
    <x v="2"/>
    <s v="January  "/>
    <s v="1"/>
    <n v="252.2"/>
    <n v="7.69"/>
  </r>
  <r>
    <x v="5"/>
    <s v="Supermarket and grocery stores"/>
    <s v="2021-02-01"/>
    <x v="2"/>
    <s v="February "/>
    <s v="2"/>
    <n v="226.8"/>
    <n v="1.7"/>
  </r>
  <r>
    <x v="5"/>
    <s v="Supermarket and grocery stores"/>
    <s v="2021-03-01"/>
    <x v="2"/>
    <s v="March    "/>
    <s v="3"/>
    <n v="253.5"/>
    <n v="-7.35"/>
  </r>
  <r>
    <x v="5"/>
    <s v="Supermarket and grocery stores"/>
    <s v="2021-04-01"/>
    <x v="2"/>
    <s v="April    "/>
    <s v="4"/>
    <n v="235.7"/>
    <n v="4.8499999999999996"/>
  </r>
  <r>
    <x v="5"/>
    <s v="Supermarket and grocery stores"/>
    <s v="2021-05-01"/>
    <x v="2"/>
    <s v="May      "/>
    <s v="5"/>
    <n v="244.8"/>
    <n v="3.95"/>
  </r>
  <r>
    <x v="5"/>
    <s v="Supermarket and grocery stores"/>
    <s v="2021-06-01"/>
    <x v="2"/>
    <s v="June     "/>
    <s v="6"/>
    <n v="231.2"/>
    <n v="3.72"/>
  </r>
  <r>
    <x v="5"/>
    <s v="Supermarket and grocery stores"/>
    <s v="2021-07-01"/>
    <x v="2"/>
    <s v="July     "/>
    <s v="7"/>
    <n v="243.3"/>
    <n v="2.4"/>
  </r>
  <r>
    <x v="5"/>
    <s v="Supermarket and grocery stores"/>
    <s v="2021-08-01"/>
    <x v="2"/>
    <s v="August   "/>
    <s v="8"/>
    <n v="240"/>
    <n v="0.38"/>
  </r>
  <r>
    <x v="5"/>
    <s v="Supermarket and grocery stores"/>
    <s v="2021-09-01"/>
    <x v="2"/>
    <s v="September"/>
    <s v="9"/>
    <n v="236.7"/>
    <n v="3.27"/>
  </r>
  <r>
    <x v="5"/>
    <s v="Supermarket and grocery stores"/>
    <s v="2021-10-01"/>
    <x v="2"/>
    <s v="October  "/>
    <s v="10"/>
    <n v="250.7"/>
    <n v="2.2799999999999998"/>
  </r>
  <r>
    <x v="5"/>
    <s v="Supermarket and grocery stores"/>
    <s v="2021-11-01"/>
    <x v="2"/>
    <s v="November "/>
    <s v="11"/>
    <n v="251.7"/>
    <n v="3.24"/>
  </r>
  <r>
    <x v="5"/>
    <s v="Supermarket and grocery stores"/>
    <s v="2021-12-01"/>
    <x v="2"/>
    <s v="December "/>
    <s v="12"/>
    <n v="288.10000000000002"/>
    <n v="5.65"/>
  </r>
  <r>
    <x v="5"/>
    <s v="Supermarket and grocery stores"/>
    <s v="2022-01-01"/>
    <x v="3"/>
    <s v="January  "/>
    <s v="1"/>
    <n v="265"/>
    <n v="5.08"/>
  </r>
  <r>
    <x v="5"/>
    <s v="Supermarket and grocery stores"/>
    <s v="2022-02-01"/>
    <x v="3"/>
    <s v="February "/>
    <s v="2"/>
    <n v="236.8"/>
    <n v="4.41"/>
  </r>
  <r>
    <x v="5"/>
    <s v="Supermarket and grocery stores"/>
    <s v="2022-03-01"/>
    <x v="3"/>
    <s v="March    "/>
    <s v="3"/>
    <n v="262"/>
    <n v="3.35"/>
  </r>
  <r>
    <x v="5"/>
    <s v="Supermarket and grocery stores"/>
    <s v="2022-04-01"/>
    <x v="3"/>
    <s v="April    "/>
    <s v="4"/>
    <n v="256.39999999999998"/>
    <n v="8.7799999999999994"/>
  </r>
  <r>
    <x v="5"/>
    <s v="Supermarket and grocery stores"/>
    <s v="2022-05-01"/>
    <x v="3"/>
    <s v="May      "/>
    <s v="5"/>
    <n v="253.4"/>
    <n v="3.51"/>
  </r>
  <r>
    <x v="5"/>
    <s v="Supermarket and grocery stores"/>
    <s v="2022-06-01"/>
    <x v="3"/>
    <s v="June     "/>
    <s v="6"/>
    <n v="244"/>
    <n v="5.54"/>
  </r>
  <r>
    <x v="5"/>
    <s v="Supermarket and grocery stores"/>
    <s v="2022-07-01"/>
    <x v="3"/>
    <s v="July     "/>
    <s v="7"/>
    <n v="257.3"/>
    <n v="5.75"/>
  </r>
  <r>
    <x v="5"/>
    <s v="Supermarket and grocery stores"/>
    <s v="2022-08-01"/>
    <x v="3"/>
    <s v="August   "/>
    <s v="8"/>
    <n v="254.8"/>
    <n v="6.17"/>
  </r>
  <r>
    <x v="5"/>
    <s v="Supermarket and grocery stores"/>
    <s v="2022-09-01"/>
    <x v="3"/>
    <s v="September"/>
    <s v="9"/>
    <n v="258.8"/>
    <n v="9.34"/>
  </r>
  <r>
    <x v="5"/>
    <s v="Supermarket and grocery stores"/>
    <s v="2022-10-01"/>
    <x v="3"/>
    <s v="October  "/>
    <s v="10"/>
    <n v="273.39999999999998"/>
    <n v="9.0500000000000007"/>
  </r>
  <r>
    <x v="5"/>
    <s v="Supermarket and grocery stores"/>
    <s v="2022-11-01"/>
    <x v="3"/>
    <s v="November "/>
    <s v="11"/>
    <n v="274.8"/>
    <n v="9.18"/>
  </r>
  <r>
    <x v="5"/>
    <s v="Supermarket and grocery stores"/>
    <s v="2022-12-01"/>
    <x v="3"/>
    <s v="December "/>
    <s v="12"/>
    <n v="316"/>
    <n v="9.68"/>
  </r>
  <r>
    <x v="5"/>
    <s v="Supermarket and grocery stores"/>
    <s v="2023-01-01"/>
    <x v="4"/>
    <s v="January  "/>
    <s v="1"/>
    <n v="286.89999999999998"/>
    <n v="8.26"/>
  </r>
  <r>
    <x v="5"/>
    <s v="Supermarket and grocery stores"/>
    <s v="2023-02-01"/>
    <x v="4"/>
    <s v="February "/>
    <s v="2"/>
    <n v="261.5"/>
    <n v="10.43"/>
  </r>
  <r>
    <x v="5"/>
    <s v="Supermarket and grocery stores"/>
    <s v="2023-03-01"/>
    <x v="4"/>
    <s v="March    "/>
    <s v="3"/>
    <n v="282.39999999999998"/>
    <n v="7.79"/>
  </r>
  <r>
    <x v="5"/>
    <s v="Supermarket and grocery stores"/>
    <s v="2023-04-01"/>
    <x v="4"/>
    <s v="April    "/>
    <s v="4"/>
    <n v="270.5"/>
    <n v="5.5"/>
  </r>
  <r>
    <x v="5"/>
    <s v="Supermarket and grocery stores"/>
    <s v="2023-05-01"/>
    <x v="4"/>
    <s v="May      "/>
    <s v="5"/>
    <n v="266.10000000000002"/>
    <n v="5.01"/>
  </r>
  <r>
    <x v="5"/>
    <s v="Supermarket and grocery stores"/>
    <s v="2023-06-01"/>
    <x v="4"/>
    <s v="June     "/>
    <s v="6"/>
    <n v="255.1"/>
    <n v="4.55"/>
  </r>
  <r>
    <x v="5"/>
    <s v="Supermarket and grocery stores"/>
    <s v="2023-07-01"/>
    <x v="4"/>
    <s v="July     "/>
    <s v="7"/>
    <n v="263"/>
    <n v="2.2200000000000002"/>
  </r>
  <r>
    <x v="5"/>
    <s v="Supermarket and grocery stores"/>
    <s v="2023-08-01"/>
    <x v="4"/>
    <s v="August   "/>
    <s v="8"/>
    <n v="260.10000000000002"/>
    <n v="2.08"/>
  </r>
  <r>
    <x v="5"/>
    <s v="Supermarket and grocery stores"/>
    <s v="2023-09-01"/>
    <x v="4"/>
    <s v="September"/>
    <s v="9"/>
    <n v="263.3"/>
    <n v="1.74"/>
  </r>
  <r>
    <x v="5"/>
    <s v="Supermarket and grocery stores"/>
    <s v="2023-10-01"/>
    <x v="4"/>
    <s v="October  "/>
    <s v="10"/>
    <n v="272.39999999999998"/>
    <n v="-0.37"/>
  </r>
  <r>
    <x v="5"/>
    <s v="Supermarket and grocery stores"/>
    <s v="2023-11-01"/>
    <x v="4"/>
    <s v="November "/>
    <s v="11"/>
    <n v="277"/>
    <n v="0.8"/>
  </r>
  <r>
    <x v="5"/>
    <s v="Supermarket and grocery stores"/>
    <s v="2023-12-01"/>
    <x v="4"/>
    <s v="December "/>
    <s v="12"/>
    <n v="314"/>
    <n v="-0.63"/>
  </r>
  <r>
    <x v="5"/>
    <s v="Supermarket and grocery stores"/>
    <s v="2024-01-01"/>
    <x v="5"/>
    <s v="January  "/>
    <s v="1"/>
    <n v="288.7"/>
    <n v="0.63"/>
  </r>
  <r>
    <x v="5"/>
    <s v="Supermarket and grocery stores"/>
    <s v="2024-02-01"/>
    <x v="5"/>
    <s v="February "/>
    <s v="2"/>
    <n v="271"/>
    <n v="3.63"/>
  </r>
  <r>
    <x v="5"/>
    <s v="Supermarket and grocery stores"/>
    <s v="2024-03-01"/>
    <x v="5"/>
    <s v="March    "/>
    <s v="3"/>
    <n v="293.8"/>
    <n v="4.04"/>
  </r>
  <r>
    <x v="5"/>
    <s v="Supermarket and grocery stores"/>
    <s v="2024-04-01"/>
    <x v="5"/>
    <s v="April    "/>
    <s v="4"/>
    <n v="266.8"/>
    <n v="-1.37"/>
  </r>
  <r>
    <x v="5"/>
    <s v="Supermarket and grocery stores"/>
    <s v="2024-05-01"/>
    <x v="5"/>
    <s v="May      "/>
    <s v="5"/>
    <n v="275.2"/>
    <n v="3.42"/>
  </r>
  <r>
    <x v="5"/>
    <s v="Supermarket and grocery stores"/>
    <s v="2024-06-01"/>
    <x v="5"/>
    <s v="June     "/>
    <s v="6"/>
    <n v="264.89999999999998"/>
    <n v="3.84"/>
  </r>
  <r>
    <x v="5"/>
    <s v="Supermarket and grocery stores"/>
    <s v="2024-07-01"/>
    <x v="5"/>
    <s v="July     "/>
    <s v="7"/>
    <n v="273.7"/>
    <n v="4.07"/>
  </r>
  <r>
    <x v="5"/>
    <s v="Supermarket and grocery stores"/>
    <s v="2024-08-01"/>
    <x v="5"/>
    <s v="August   "/>
    <s v="8"/>
    <n v="280.89999999999998"/>
    <n v="8"/>
  </r>
  <r>
    <x v="5"/>
    <s v="Supermarket and grocery stores"/>
    <s v="2024-09-01"/>
    <x v="5"/>
    <s v="September"/>
    <s v="9"/>
    <n v="276.39999999999998"/>
    <n v="4.9800000000000004"/>
  </r>
  <r>
    <x v="5"/>
    <s v="Supermarket and grocery stores"/>
    <s v="2024-10-01"/>
    <x v="5"/>
    <s v="October  "/>
    <s v="10"/>
    <n v="283.2"/>
    <n v="3.96"/>
  </r>
  <r>
    <x v="5"/>
    <s v="Supermarket and grocery stores"/>
    <s v="2024-11-01"/>
    <x v="5"/>
    <s v="November "/>
    <s v="11"/>
    <n v="287.8"/>
    <n v="3.9"/>
  </r>
  <r>
    <x v="5"/>
    <s v="Supermarket and grocery stores"/>
    <s v="2024-12-01"/>
    <x v="5"/>
    <s v="December "/>
    <s v="12"/>
    <n v="325.5"/>
    <n v="3.66"/>
  </r>
  <r>
    <x v="5"/>
    <s v="Supermarket and grocery stores"/>
    <s v="2025-01-01"/>
    <x v="6"/>
    <s v="January  "/>
    <s v="1"/>
    <n v="306.2"/>
    <n v="6.06"/>
  </r>
  <r>
    <x v="5"/>
    <s v="Supermarket and grocery stores"/>
    <s v="2025-02-01"/>
    <x v="6"/>
    <s v="February "/>
    <s v="2"/>
    <n v="273.7"/>
    <n v="1"/>
  </r>
  <r>
    <x v="5"/>
    <s v="Supermarket and grocery stores"/>
    <s v="2025-03-01"/>
    <x v="6"/>
    <s v="March    "/>
    <s v="3"/>
    <n v="299.60000000000002"/>
    <n v="1.97"/>
  </r>
  <r>
    <x v="5"/>
    <s v="Supermarket and grocery stores"/>
    <s v="2025-04-01"/>
    <x v="6"/>
    <s v="April    "/>
    <s v="4"/>
    <n v="278.89999999999998"/>
    <n v="4.54"/>
  </r>
  <r>
    <x v="5"/>
    <s v="Supermarket and grocery stores"/>
    <s v="2025-05-01"/>
    <x v="6"/>
    <s v="May      "/>
    <s v="5"/>
    <n v="279.3"/>
    <n v="1.49"/>
  </r>
  <r>
    <x v="5"/>
    <s v="Supermarket and grocery stores"/>
    <s v="2025-06-01"/>
    <x v="6"/>
    <s v="June     "/>
    <s v="6"/>
    <n v="268.5"/>
    <n v="1.36"/>
  </r>
  <r>
    <x v="5"/>
    <s v="Takeaway food services"/>
    <s v="2019-01-01"/>
    <x v="0"/>
    <s v="January  "/>
    <s v="1"/>
    <n v="30.4"/>
    <m/>
  </r>
  <r>
    <x v="5"/>
    <s v="Takeaway food services"/>
    <s v="2019-02-01"/>
    <x v="0"/>
    <s v="February "/>
    <s v="2"/>
    <n v="28.3"/>
    <m/>
  </r>
  <r>
    <x v="5"/>
    <s v="Takeaway food services"/>
    <s v="2019-03-01"/>
    <x v="0"/>
    <s v="March    "/>
    <s v="3"/>
    <n v="29.5"/>
    <m/>
  </r>
  <r>
    <x v="5"/>
    <s v="Takeaway food services"/>
    <s v="2019-04-01"/>
    <x v="0"/>
    <s v="April    "/>
    <s v="4"/>
    <n v="29.7"/>
    <m/>
  </r>
  <r>
    <x v="5"/>
    <s v="Takeaway food services"/>
    <s v="2019-05-01"/>
    <x v="0"/>
    <s v="May      "/>
    <s v="5"/>
    <n v="30"/>
    <m/>
  </r>
  <r>
    <x v="5"/>
    <s v="Takeaway food services"/>
    <s v="2019-06-01"/>
    <x v="0"/>
    <s v="June     "/>
    <s v="6"/>
    <n v="30"/>
    <m/>
  </r>
  <r>
    <x v="5"/>
    <s v="Takeaway food services"/>
    <s v="2019-07-01"/>
    <x v="0"/>
    <s v="July     "/>
    <s v="7"/>
    <n v="33.4"/>
    <m/>
  </r>
  <r>
    <x v="5"/>
    <s v="Takeaway food services"/>
    <s v="2019-08-01"/>
    <x v="0"/>
    <s v="August   "/>
    <s v="8"/>
    <n v="32"/>
    <m/>
  </r>
  <r>
    <x v="5"/>
    <s v="Takeaway food services"/>
    <s v="2019-09-01"/>
    <x v="0"/>
    <s v="September"/>
    <s v="9"/>
    <n v="31.3"/>
    <m/>
  </r>
  <r>
    <x v="5"/>
    <s v="Takeaway food services"/>
    <s v="2019-10-01"/>
    <x v="0"/>
    <s v="October  "/>
    <s v="10"/>
    <n v="32.200000000000003"/>
    <m/>
  </r>
  <r>
    <x v="5"/>
    <s v="Takeaway food services"/>
    <s v="2019-11-01"/>
    <x v="0"/>
    <s v="November "/>
    <s v="11"/>
    <n v="32.4"/>
    <m/>
  </r>
  <r>
    <x v="5"/>
    <s v="Takeaway food services"/>
    <s v="2019-12-01"/>
    <x v="0"/>
    <s v="December "/>
    <s v="12"/>
    <n v="35.5"/>
    <m/>
  </r>
  <r>
    <x v="5"/>
    <s v="Takeaway food services"/>
    <s v="2020-01-01"/>
    <x v="1"/>
    <s v="January  "/>
    <s v="1"/>
    <n v="31.8"/>
    <n v="4.6100000000000003"/>
  </r>
  <r>
    <x v="5"/>
    <s v="Takeaway food services"/>
    <s v="2020-02-01"/>
    <x v="1"/>
    <s v="February "/>
    <s v="2"/>
    <n v="29.9"/>
    <n v="5.65"/>
  </r>
  <r>
    <x v="5"/>
    <s v="Takeaway food services"/>
    <s v="2020-03-01"/>
    <x v="1"/>
    <s v="March    "/>
    <s v="3"/>
    <n v="28.7"/>
    <n v="-2.71"/>
  </r>
  <r>
    <x v="5"/>
    <s v="Takeaway food services"/>
    <s v="2020-04-01"/>
    <x v="1"/>
    <s v="April    "/>
    <s v="4"/>
    <n v="22.2"/>
    <n v="-25.25"/>
  </r>
  <r>
    <x v="5"/>
    <s v="Takeaway food services"/>
    <s v="2020-05-01"/>
    <x v="1"/>
    <s v="May      "/>
    <s v="5"/>
    <n v="29.5"/>
    <n v="-1.67"/>
  </r>
  <r>
    <x v="5"/>
    <s v="Takeaway food services"/>
    <s v="2020-06-01"/>
    <x v="1"/>
    <s v="June     "/>
    <s v="6"/>
    <n v="31.7"/>
    <n v="5.67"/>
  </r>
  <r>
    <x v="5"/>
    <s v="Takeaway food services"/>
    <s v="2020-07-01"/>
    <x v="1"/>
    <s v="July     "/>
    <s v="7"/>
    <n v="36"/>
    <n v="7.78"/>
  </r>
  <r>
    <x v="5"/>
    <s v="Takeaway food services"/>
    <s v="2020-08-01"/>
    <x v="1"/>
    <s v="August   "/>
    <s v="8"/>
    <n v="34.1"/>
    <n v="6.56"/>
  </r>
  <r>
    <x v="5"/>
    <s v="Takeaway food services"/>
    <s v="2020-09-01"/>
    <x v="1"/>
    <s v="September"/>
    <s v="9"/>
    <n v="33.9"/>
    <n v="8.31"/>
  </r>
  <r>
    <x v="5"/>
    <s v="Takeaway food services"/>
    <s v="2020-10-01"/>
    <x v="1"/>
    <s v="October  "/>
    <s v="10"/>
    <n v="36.200000000000003"/>
    <n v="12.42"/>
  </r>
  <r>
    <x v="5"/>
    <s v="Takeaway food services"/>
    <s v="2020-11-01"/>
    <x v="1"/>
    <s v="November "/>
    <s v="11"/>
    <n v="34.200000000000003"/>
    <n v="5.56"/>
  </r>
  <r>
    <x v="5"/>
    <s v="Takeaway food services"/>
    <s v="2020-12-01"/>
    <x v="1"/>
    <s v="December "/>
    <s v="12"/>
    <n v="38.200000000000003"/>
    <n v="7.61"/>
  </r>
  <r>
    <x v="5"/>
    <s v="Takeaway food services"/>
    <s v="2021-01-01"/>
    <x v="2"/>
    <s v="January  "/>
    <s v="1"/>
    <n v="36.299999999999997"/>
    <n v="14.15"/>
  </r>
  <r>
    <x v="5"/>
    <s v="Takeaway food services"/>
    <s v="2021-02-01"/>
    <x v="2"/>
    <s v="February "/>
    <s v="2"/>
    <n v="32.4"/>
    <n v="8.36"/>
  </r>
  <r>
    <x v="5"/>
    <s v="Takeaway food services"/>
    <s v="2021-03-01"/>
    <x v="2"/>
    <s v="March    "/>
    <s v="3"/>
    <n v="37"/>
    <n v="28.92"/>
  </r>
  <r>
    <x v="5"/>
    <s v="Takeaway food services"/>
    <s v="2021-04-01"/>
    <x v="2"/>
    <s v="April    "/>
    <s v="4"/>
    <n v="34.6"/>
    <n v="55.86"/>
  </r>
  <r>
    <x v="5"/>
    <s v="Takeaway food services"/>
    <s v="2021-05-01"/>
    <x v="2"/>
    <s v="May      "/>
    <s v="5"/>
    <n v="33.5"/>
    <n v="13.56"/>
  </r>
  <r>
    <x v="5"/>
    <s v="Takeaway food services"/>
    <s v="2021-06-01"/>
    <x v="2"/>
    <s v="June     "/>
    <s v="6"/>
    <n v="32"/>
    <n v="0.95"/>
  </r>
  <r>
    <x v="5"/>
    <s v="Takeaway food services"/>
    <s v="2021-07-01"/>
    <x v="2"/>
    <s v="July     "/>
    <s v="7"/>
    <n v="33.700000000000003"/>
    <n v="-6.39"/>
  </r>
  <r>
    <x v="5"/>
    <s v="Takeaway food services"/>
    <s v="2021-08-01"/>
    <x v="2"/>
    <s v="August   "/>
    <s v="8"/>
    <n v="30.7"/>
    <n v="-9.9700000000000006"/>
  </r>
  <r>
    <x v="5"/>
    <s v="Takeaway food services"/>
    <s v="2021-09-01"/>
    <x v="2"/>
    <s v="September"/>
    <s v="9"/>
    <n v="30.5"/>
    <n v="-10.029999999999999"/>
  </r>
  <r>
    <x v="5"/>
    <s v="Takeaway food services"/>
    <s v="2021-10-01"/>
    <x v="2"/>
    <s v="October  "/>
    <s v="10"/>
    <n v="29.8"/>
    <n v="-17.68"/>
  </r>
  <r>
    <x v="5"/>
    <s v="Takeaway food services"/>
    <s v="2021-11-01"/>
    <x v="2"/>
    <s v="November "/>
    <s v="11"/>
    <n v="30.5"/>
    <n v="-10.82"/>
  </r>
  <r>
    <x v="5"/>
    <s v="Takeaway food services"/>
    <s v="2021-12-01"/>
    <x v="2"/>
    <s v="December "/>
    <s v="12"/>
    <n v="32.6"/>
    <n v="-14.66"/>
  </r>
  <r>
    <x v="5"/>
    <s v="Takeaway food services"/>
    <s v="2022-01-01"/>
    <x v="3"/>
    <s v="January  "/>
    <s v="1"/>
    <n v="31.1"/>
    <n v="-14.33"/>
  </r>
  <r>
    <x v="5"/>
    <s v="Takeaway food services"/>
    <s v="2022-02-01"/>
    <x v="3"/>
    <s v="February "/>
    <s v="2"/>
    <n v="29"/>
    <n v="-10.49"/>
  </r>
  <r>
    <x v="5"/>
    <s v="Takeaway food services"/>
    <s v="2022-03-01"/>
    <x v="3"/>
    <s v="March    "/>
    <s v="3"/>
    <n v="30.7"/>
    <n v="-17.03"/>
  </r>
  <r>
    <x v="5"/>
    <s v="Takeaway food services"/>
    <s v="2022-04-01"/>
    <x v="3"/>
    <s v="April    "/>
    <s v="4"/>
    <n v="32.700000000000003"/>
    <n v="-5.49"/>
  </r>
  <r>
    <x v="5"/>
    <s v="Takeaway food services"/>
    <s v="2022-05-01"/>
    <x v="3"/>
    <s v="May      "/>
    <s v="5"/>
    <n v="34.4"/>
    <n v="2.69"/>
  </r>
  <r>
    <x v="5"/>
    <s v="Takeaway food services"/>
    <s v="2022-06-01"/>
    <x v="3"/>
    <s v="June     "/>
    <s v="6"/>
    <n v="33.9"/>
    <n v="5.94"/>
  </r>
  <r>
    <x v="5"/>
    <s v="Takeaway food services"/>
    <s v="2022-07-01"/>
    <x v="3"/>
    <s v="July     "/>
    <s v="7"/>
    <n v="38.299999999999997"/>
    <n v="13.65"/>
  </r>
  <r>
    <x v="5"/>
    <s v="Takeaway food services"/>
    <s v="2022-08-01"/>
    <x v="3"/>
    <s v="August   "/>
    <s v="8"/>
    <n v="39.799999999999997"/>
    <n v="29.64"/>
  </r>
  <r>
    <x v="5"/>
    <s v="Takeaway food services"/>
    <s v="2022-09-01"/>
    <x v="3"/>
    <s v="September"/>
    <s v="9"/>
    <n v="38.9"/>
    <n v="27.54"/>
  </r>
  <r>
    <x v="5"/>
    <s v="Takeaway food services"/>
    <s v="2022-10-01"/>
    <x v="3"/>
    <s v="October  "/>
    <s v="10"/>
    <n v="39.5"/>
    <n v="32.549999999999997"/>
  </r>
  <r>
    <x v="5"/>
    <s v="Takeaway food services"/>
    <s v="2022-11-01"/>
    <x v="3"/>
    <s v="November "/>
    <s v="11"/>
    <n v="39.1"/>
    <n v="28.2"/>
  </r>
  <r>
    <x v="5"/>
    <s v="Takeaway food services"/>
    <s v="2022-12-01"/>
    <x v="3"/>
    <s v="December "/>
    <s v="12"/>
    <n v="44.7"/>
    <n v="37.119999999999997"/>
  </r>
  <r>
    <x v="5"/>
    <s v="Takeaway food services"/>
    <s v="2023-01-01"/>
    <x v="4"/>
    <s v="January  "/>
    <s v="1"/>
    <n v="40.700000000000003"/>
    <n v="30.87"/>
  </r>
  <r>
    <x v="5"/>
    <s v="Takeaway food services"/>
    <s v="2023-02-01"/>
    <x v="4"/>
    <s v="February "/>
    <s v="2"/>
    <n v="37.200000000000003"/>
    <n v="28.28"/>
  </r>
  <r>
    <x v="5"/>
    <s v="Takeaway food services"/>
    <s v="2023-03-01"/>
    <x v="4"/>
    <s v="March    "/>
    <s v="3"/>
    <n v="41.3"/>
    <n v="34.53"/>
  </r>
  <r>
    <x v="5"/>
    <s v="Takeaway food services"/>
    <s v="2023-04-01"/>
    <x v="4"/>
    <s v="April    "/>
    <s v="4"/>
    <n v="37.700000000000003"/>
    <n v="15.29"/>
  </r>
  <r>
    <x v="5"/>
    <s v="Takeaway food services"/>
    <s v="2023-05-01"/>
    <x v="4"/>
    <s v="May      "/>
    <s v="5"/>
    <n v="38.700000000000003"/>
    <n v="12.5"/>
  </r>
  <r>
    <x v="5"/>
    <s v="Takeaway food services"/>
    <s v="2023-06-01"/>
    <x v="4"/>
    <s v="June     "/>
    <s v="6"/>
    <n v="39.5"/>
    <n v="16.52"/>
  </r>
  <r>
    <x v="5"/>
    <s v="Takeaway food services"/>
    <s v="2023-07-01"/>
    <x v="4"/>
    <s v="July     "/>
    <s v="7"/>
    <n v="43.5"/>
    <n v="13.58"/>
  </r>
  <r>
    <x v="5"/>
    <s v="Takeaway food services"/>
    <s v="2023-08-01"/>
    <x v="4"/>
    <s v="August   "/>
    <s v="8"/>
    <n v="41.9"/>
    <n v="5.28"/>
  </r>
  <r>
    <x v="5"/>
    <s v="Takeaway food services"/>
    <s v="2023-09-01"/>
    <x v="4"/>
    <s v="September"/>
    <s v="9"/>
    <n v="38.799999999999997"/>
    <n v="-0.26"/>
  </r>
  <r>
    <x v="5"/>
    <s v="Takeaway food services"/>
    <s v="2023-10-01"/>
    <x v="4"/>
    <s v="October  "/>
    <s v="10"/>
    <n v="38.200000000000003"/>
    <n v="-3.29"/>
  </r>
  <r>
    <x v="5"/>
    <s v="Takeaway food services"/>
    <s v="2023-11-01"/>
    <x v="4"/>
    <s v="November "/>
    <s v="11"/>
    <n v="38.299999999999997"/>
    <n v="-2.0499999999999998"/>
  </r>
  <r>
    <x v="5"/>
    <s v="Takeaway food services"/>
    <s v="2023-12-01"/>
    <x v="4"/>
    <s v="December "/>
    <s v="12"/>
    <n v="41.1"/>
    <n v="-8.0500000000000007"/>
  </r>
  <r>
    <x v="5"/>
    <s v="Takeaway food services"/>
    <s v="2024-01-01"/>
    <x v="5"/>
    <s v="January  "/>
    <s v="1"/>
    <n v="40.299999999999997"/>
    <n v="-0.98"/>
  </r>
  <r>
    <x v="5"/>
    <s v="Takeaway food services"/>
    <s v="2024-02-01"/>
    <x v="5"/>
    <s v="February "/>
    <s v="2"/>
    <n v="38.4"/>
    <n v="3.23"/>
  </r>
  <r>
    <x v="5"/>
    <s v="Takeaway food services"/>
    <s v="2024-03-01"/>
    <x v="5"/>
    <s v="March    "/>
    <s v="3"/>
    <n v="37"/>
    <n v="-10.41"/>
  </r>
  <r>
    <x v="5"/>
    <s v="Takeaway food services"/>
    <s v="2024-04-01"/>
    <x v="5"/>
    <s v="April    "/>
    <s v="4"/>
    <n v="37.5"/>
    <n v="-0.53"/>
  </r>
  <r>
    <x v="5"/>
    <s v="Takeaway food services"/>
    <s v="2024-05-01"/>
    <x v="5"/>
    <s v="May      "/>
    <s v="5"/>
    <n v="38.799999999999997"/>
    <n v="0.26"/>
  </r>
  <r>
    <x v="5"/>
    <s v="Takeaway food services"/>
    <s v="2024-06-01"/>
    <x v="5"/>
    <s v="June     "/>
    <s v="6"/>
    <n v="36.1"/>
    <n v="-8.61"/>
  </r>
  <r>
    <x v="5"/>
    <s v="Takeaway food services"/>
    <s v="2024-07-01"/>
    <x v="5"/>
    <s v="July     "/>
    <s v="7"/>
    <n v="41.9"/>
    <n v="-3.68"/>
  </r>
  <r>
    <x v="5"/>
    <s v="Takeaway food services"/>
    <s v="2024-08-01"/>
    <x v="5"/>
    <s v="August   "/>
    <s v="8"/>
    <n v="39.9"/>
    <n v="-4.7699999999999996"/>
  </r>
  <r>
    <x v="5"/>
    <s v="Takeaway food services"/>
    <s v="2024-09-01"/>
    <x v="5"/>
    <s v="September"/>
    <s v="9"/>
    <n v="38.5"/>
    <n v="-0.77"/>
  </r>
  <r>
    <x v="5"/>
    <s v="Takeaway food services"/>
    <s v="2024-10-01"/>
    <x v="5"/>
    <s v="October  "/>
    <s v="10"/>
    <n v="40.1"/>
    <n v="4.97"/>
  </r>
  <r>
    <x v="5"/>
    <s v="Takeaway food services"/>
    <s v="2024-11-01"/>
    <x v="5"/>
    <s v="November "/>
    <s v="11"/>
    <n v="41.4"/>
    <n v="8.09"/>
  </r>
  <r>
    <x v="5"/>
    <s v="Takeaway food services"/>
    <s v="2024-12-01"/>
    <x v="5"/>
    <s v="December "/>
    <s v="12"/>
    <n v="44.4"/>
    <n v="8.0299999999999994"/>
  </r>
  <r>
    <x v="5"/>
    <s v="Takeaway food services"/>
    <s v="2025-01-01"/>
    <x v="6"/>
    <s v="January  "/>
    <s v="1"/>
    <n v="42.8"/>
    <n v="6.2"/>
  </r>
  <r>
    <x v="5"/>
    <s v="Takeaway food services"/>
    <s v="2025-02-01"/>
    <x v="6"/>
    <s v="February "/>
    <s v="2"/>
    <n v="38.200000000000003"/>
    <n v="-0.52"/>
  </r>
  <r>
    <x v="5"/>
    <s v="Takeaway food services"/>
    <s v="2025-03-01"/>
    <x v="6"/>
    <s v="March    "/>
    <s v="3"/>
    <n v="43.1"/>
    <n v="16.489999999999998"/>
  </r>
  <r>
    <x v="5"/>
    <s v="Takeaway food services"/>
    <s v="2025-04-01"/>
    <x v="6"/>
    <s v="April    "/>
    <s v="4"/>
    <n v="42.2"/>
    <n v="12.53"/>
  </r>
  <r>
    <x v="5"/>
    <s v="Takeaway food services"/>
    <s v="2025-05-01"/>
    <x v="6"/>
    <s v="May      "/>
    <s v="5"/>
    <n v="45.2"/>
    <n v="16.489999999999998"/>
  </r>
  <r>
    <x v="5"/>
    <s v="Takeaway food services"/>
    <s v="2025-06-01"/>
    <x v="6"/>
    <s v="June     "/>
    <s v="6"/>
    <n v="42.8"/>
    <n v="18.559999999999999"/>
  </r>
  <r>
    <x v="6"/>
    <s v="Cafes, restaurants and catering services"/>
    <s v="2019-01-01"/>
    <x v="0"/>
    <s v="January  "/>
    <s v="1"/>
    <n v="589.4"/>
    <m/>
  </r>
  <r>
    <x v="6"/>
    <s v="Cafes, restaurants and catering services"/>
    <s v="2019-02-01"/>
    <x v="0"/>
    <s v="February "/>
    <s v="2"/>
    <n v="515.70000000000005"/>
    <m/>
  </r>
  <r>
    <x v="6"/>
    <s v="Cafes, restaurants and catering services"/>
    <s v="2019-03-01"/>
    <x v="0"/>
    <s v="March    "/>
    <s v="3"/>
    <n v="594.9"/>
    <m/>
  </r>
  <r>
    <x v="6"/>
    <s v="Cafes, restaurants and catering services"/>
    <s v="2019-04-01"/>
    <x v="0"/>
    <s v="April    "/>
    <s v="4"/>
    <n v="579.20000000000005"/>
    <m/>
  </r>
  <r>
    <x v="6"/>
    <s v="Cafes, restaurants and catering services"/>
    <s v="2019-05-01"/>
    <x v="0"/>
    <s v="May      "/>
    <s v="5"/>
    <n v="589.5"/>
    <m/>
  </r>
  <r>
    <x v="6"/>
    <s v="Cafes, restaurants and catering services"/>
    <s v="2019-06-01"/>
    <x v="0"/>
    <s v="June     "/>
    <s v="6"/>
    <n v="557.20000000000005"/>
    <m/>
  </r>
  <r>
    <x v="6"/>
    <s v="Cafes, restaurants and catering services"/>
    <s v="2019-07-01"/>
    <x v="0"/>
    <s v="July     "/>
    <s v="7"/>
    <n v="572.1"/>
    <m/>
  </r>
  <r>
    <x v="6"/>
    <s v="Cafes, restaurants and catering services"/>
    <s v="2019-08-01"/>
    <x v="0"/>
    <s v="August   "/>
    <s v="8"/>
    <n v="587.70000000000005"/>
    <m/>
  </r>
  <r>
    <x v="6"/>
    <s v="Cafes, restaurants and catering services"/>
    <s v="2019-09-01"/>
    <x v="0"/>
    <s v="September"/>
    <s v="9"/>
    <n v="581.70000000000005"/>
    <m/>
  </r>
  <r>
    <x v="6"/>
    <s v="Cafes, restaurants and catering services"/>
    <s v="2019-10-01"/>
    <x v="0"/>
    <s v="October  "/>
    <s v="10"/>
    <n v="593.9"/>
    <m/>
  </r>
  <r>
    <x v="6"/>
    <s v="Cafes, restaurants and catering services"/>
    <s v="2019-11-01"/>
    <x v="0"/>
    <s v="November "/>
    <s v="11"/>
    <n v="619.29999999999995"/>
    <m/>
  </r>
  <r>
    <x v="6"/>
    <s v="Cafes, restaurants and catering services"/>
    <s v="2019-12-01"/>
    <x v="0"/>
    <s v="December "/>
    <s v="12"/>
    <n v="679"/>
    <m/>
  </r>
  <r>
    <x v="6"/>
    <s v="Cafes, restaurants and catering services"/>
    <s v="2020-01-01"/>
    <x v="1"/>
    <s v="January  "/>
    <s v="1"/>
    <n v="602.9"/>
    <n v="2.29"/>
  </r>
  <r>
    <x v="6"/>
    <s v="Cafes, restaurants and catering services"/>
    <s v="2020-02-01"/>
    <x v="1"/>
    <s v="February "/>
    <s v="2"/>
    <n v="561.20000000000005"/>
    <n v="8.82"/>
  </r>
  <r>
    <x v="6"/>
    <s v="Cafes, restaurants and catering services"/>
    <s v="2020-03-01"/>
    <x v="1"/>
    <s v="March    "/>
    <s v="3"/>
    <n v="360.8"/>
    <n v="-39.35"/>
  </r>
  <r>
    <x v="6"/>
    <s v="Cafes, restaurants and catering services"/>
    <s v="2020-04-01"/>
    <x v="1"/>
    <s v="April    "/>
    <s v="4"/>
    <n v="136"/>
    <n v="-76.52"/>
  </r>
  <r>
    <x v="6"/>
    <s v="Cafes, restaurants and catering services"/>
    <s v="2020-05-01"/>
    <x v="1"/>
    <s v="May      "/>
    <s v="5"/>
    <n v="184.8"/>
    <n v="-68.650000000000006"/>
  </r>
  <r>
    <x v="6"/>
    <s v="Cafes, restaurants and catering services"/>
    <s v="2020-06-01"/>
    <x v="1"/>
    <s v="June     "/>
    <s v="6"/>
    <n v="307.89999999999998"/>
    <n v="-44.74"/>
  </r>
  <r>
    <x v="6"/>
    <s v="Cafes, restaurants and catering services"/>
    <s v="2020-07-01"/>
    <x v="1"/>
    <s v="July     "/>
    <s v="7"/>
    <n v="234"/>
    <n v="-59.1"/>
  </r>
  <r>
    <x v="6"/>
    <s v="Cafes, restaurants and catering services"/>
    <s v="2020-08-01"/>
    <x v="1"/>
    <s v="August   "/>
    <s v="8"/>
    <n v="136.6"/>
    <n v="-76.760000000000005"/>
  </r>
  <r>
    <x v="6"/>
    <s v="Cafes, restaurants and catering services"/>
    <s v="2020-09-01"/>
    <x v="1"/>
    <s v="September"/>
    <s v="9"/>
    <n v="162.9"/>
    <n v="-72"/>
  </r>
  <r>
    <x v="6"/>
    <s v="Cafes, restaurants and catering services"/>
    <s v="2020-10-01"/>
    <x v="1"/>
    <s v="October  "/>
    <s v="10"/>
    <n v="205.7"/>
    <n v="-65.36"/>
  </r>
  <r>
    <x v="6"/>
    <s v="Cafes, restaurants and catering services"/>
    <s v="2020-11-01"/>
    <x v="1"/>
    <s v="November "/>
    <s v="11"/>
    <n v="457"/>
    <n v="-26.21"/>
  </r>
  <r>
    <x v="6"/>
    <s v="Cafes, restaurants and catering services"/>
    <s v="2020-12-01"/>
    <x v="1"/>
    <s v="December "/>
    <s v="12"/>
    <n v="575"/>
    <n v="-15.32"/>
  </r>
  <r>
    <x v="6"/>
    <s v="Cafes, restaurants and catering services"/>
    <s v="2021-01-01"/>
    <x v="2"/>
    <s v="January  "/>
    <s v="1"/>
    <n v="500.2"/>
    <n v="-17.03"/>
  </r>
  <r>
    <x v="6"/>
    <s v="Cafes, restaurants and catering services"/>
    <s v="2021-02-01"/>
    <x v="2"/>
    <s v="February "/>
    <s v="2"/>
    <n v="450.3"/>
    <n v="-19.760000000000002"/>
  </r>
  <r>
    <x v="6"/>
    <s v="Cafes, restaurants and catering services"/>
    <s v="2021-03-01"/>
    <x v="2"/>
    <s v="March    "/>
    <s v="3"/>
    <n v="589.9"/>
    <n v="63.5"/>
  </r>
  <r>
    <x v="6"/>
    <s v="Cafes, restaurants and catering services"/>
    <s v="2021-04-01"/>
    <x v="2"/>
    <s v="April    "/>
    <s v="4"/>
    <n v="585.29999999999995"/>
    <n v="330.37"/>
  </r>
  <r>
    <x v="6"/>
    <s v="Cafes, restaurants and catering services"/>
    <s v="2021-05-01"/>
    <x v="2"/>
    <s v="May      "/>
    <s v="5"/>
    <n v="555.1"/>
    <n v="200.38"/>
  </r>
  <r>
    <x v="6"/>
    <s v="Cafes, restaurants and catering services"/>
    <s v="2021-06-01"/>
    <x v="2"/>
    <s v="June     "/>
    <s v="6"/>
    <n v="450.8"/>
    <n v="46.41"/>
  </r>
  <r>
    <x v="6"/>
    <s v="Cafes, restaurants and catering services"/>
    <s v="2021-07-01"/>
    <x v="2"/>
    <s v="July     "/>
    <s v="7"/>
    <n v="465.7"/>
    <n v="99.02"/>
  </r>
  <r>
    <x v="6"/>
    <s v="Cafes, restaurants and catering services"/>
    <s v="2021-08-01"/>
    <x v="2"/>
    <s v="August   "/>
    <s v="8"/>
    <n v="362.4"/>
    <n v="165.3"/>
  </r>
  <r>
    <x v="6"/>
    <s v="Cafes, restaurants and catering services"/>
    <s v="2021-09-01"/>
    <x v="2"/>
    <s v="September"/>
    <s v="9"/>
    <n v="306.3"/>
    <n v="88.03"/>
  </r>
  <r>
    <x v="6"/>
    <s v="Cafes, restaurants and catering services"/>
    <s v="2021-10-01"/>
    <x v="2"/>
    <s v="October  "/>
    <s v="10"/>
    <n v="410.6"/>
    <n v="99.61"/>
  </r>
  <r>
    <x v="6"/>
    <s v="Cafes, restaurants and catering services"/>
    <s v="2021-11-01"/>
    <x v="2"/>
    <s v="November "/>
    <s v="11"/>
    <n v="611.5"/>
    <n v="33.81"/>
  </r>
  <r>
    <x v="6"/>
    <s v="Cafes, restaurants and catering services"/>
    <s v="2021-12-01"/>
    <x v="2"/>
    <s v="December "/>
    <s v="12"/>
    <n v="676"/>
    <n v="17.57"/>
  </r>
  <r>
    <x v="6"/>
    <s v="Cafes, restaurants and catering services"/>
    <s v="2022-01-01"/>
    <x v="3"/>
    <s v="January  "/>
    <s v="1"/>
    <n v="561.29999999999995"/>
    <n v="12.22"/>
  </r>
  <r>
    <x v="6"/>
    <s v="Cafes, restaurants and catering services"/>
    <s v="2022-02-01"/>
    <x v="3"/>
    <s v="February "/>
    <s v="2"/>
    <n v="627.6"/>
    <n v="39.369999999999997"/>
  </r>
  <r>
    <x v="6"/>
    <s v="Cafes, restaurants and catering services"/>
    <s v="2022-03-01"/>
    <x v="3"/>
    <s v="March    "/>
    <s v="3"/>
    <n v="730.3"/>
    <n v="23.8"/>
  </r>
  <r>
    <x v="6"/>
    <s v="Cafes, restaurants and catering services"/>
    <s v="2022-04-01"/>
    <x v="3"/>
    <s v="April    "/>
    <s v="4"/>
    <n v="722.9"/>
    <n v="23.51"/>
  </r>
  <r>
    <x v="6"/>
    <s v="Cafes, restaurants and catering services"/>
    <s v="2022-05-01"/>
    <x v="3"/>
    <s v="May      "/>
    <s v="5"/>
    <n v="744.6"/>
    <n v="34.14"/>
  </r>
  <r>
    <x v="6"/>
    <s v="Cafes, restaurants and catering services"/>
    <s v="2022-06-01"/>
    <x v="3"/>
    <s v="June     "/>
    <s v="6"/>
    <n v="716.1"/>
    <n v="58.85"/>
  </r>
  <r>
    <x v="6"/>
    <s v="Cafes, restaurants and catering services"/>
    <s v="2022-07-01"/>
    <x v="3"/>
    <s v="July     "/>
    <s v="7"/>
    <n v="761.9"/>
    <n v="63.6"/>
  </r>
  <r>
    <x v="6"/>
    <s v="Cafes, restaurants and catering services"/>
    <s v="2022-08-01"/>
    <x v="3"/>
    <s v="August   "/>
    <s v="8"/>
    <n v="776.3"/>
    <n v="114.21"/>
  </r>
  <r>
    <x v="6"/>
    <s v="Cafes, restaurants and catering services"/>
    <s v="2022-09-01"/>
    <x v="3"/>
    <s v="September"/>
    <s v="9"/>
    <n v="791.4"/>
    <n v="158.37"/>
  </r>
  <r>
    <x v="6"/>
    <s v="Cafes, restaurants and catering services"/>
    <s v="2022-10-01"/>
    <x v="3"/>
    <s v="October  "/>
    <s v="10"/>
    <n v="802.3"/>
    <n v="95.4"/>
  </r>
  <r>
    <x v="6"/>
    <s v="Cafes, restaurants and catering services"/>
    <s v="2022-11-01"/>
    <x v="3"/>
    <s v="November "/>
    <s v="11"/>
    <n v="822.8"/>
    <n v="34.549999999999997"/>
  </r>
  <r>
    <x v="6"/>
    <s v="Cafes, restaurants and catering services"/>
    <s v="2022-12-01"/>
    <x v="3"/>
    <s v="December "/>
    <s v="12"/>
    <n v="928.1"/>
    <n v="37.29"/>
  </r>
  <r>
    <x v="6"/>
    <s v="Cafes, restaurants and catering services"/>
    <s v="2023-01-01"/>
    <x v="4"/>
    <s v="January  "/>
    <s v="1"/>
    <n v="833"/>
    <n v="48.41"/>
  </r>
  <r>
    <x v="6"/>
    <s v="Cafes, restaurants and catering services"/>
    <s v="2023-02-01"/>
    <x v="4"/>
    <s v="February "/>
    <s v="2"/>
    <n v="782.2"/>
    <n v="24.63"/>
  </r>
  <r>
    <x v="6"/>
    <s v="Cafes, restaurants and catering services"/>
    <s v="2023-03-01"/>
    <x v="4"/>
    <s v="March    "/>
    <s v="3"/>
    <n v="932.4"/>
    <n v="27.67"/>
  </r>
  <r>
    <x v="6"/>
    <s v="Cafes, restaurants and catering services"/>
    <s v="2023-04-01"/>
    <x v="4"/>
    <s v="April    "/>
    <s v="4"/>
    <n v="884.5"/>
    <n v="22.35"/>
  </r>
  <r>
    <x v="6"/>
    <s v="Cafes, restaurants and catering services"/>
    <s v="2023-05-01"/>
    <x v="4"/>
    <s v="May      "/>
    <s v="5"/>
    <n v="894"/>
    <n v="20.059999999999999"/>
  </r>
  <r>
    <x v="6"/>
    <s v="Cafes, restaurants and catering services"/>
    <s v="2023-06-01"/>
    <x v="4"/>
    <s v="June     "/>
    <s v="6"/>
    <n v="851.2"/>
    <n v="18.87"/>
  </r>
  <r>
    <x v="6"/>
    <s v="Cafes, restaurants and catering services"/>
    <s v="2023-07-01"/>
    <x v="4"/>
    <s v="July     "/>
    <s v="7"/>
    <n v="866.2"/>
    <n v="13.69"/>
  </r>
  <r>
    <x v="6"/>
    <s v="Cafes, restaurants and catering services"/>
    <s v="2023-08-01"/>
    <x v="4"/>
    <s v="August   "/>
    <s v="8"/>
    <n v="911.2"/>
    <n v="17.38"/>
  </r>
  <r>
    <x v="6"/>
    <s v="Cafes, restaurants and catering services"/>
    <s v="2023-09-01"/>
    <x v="4"/>
    <s v="September"/>
    <s v="9"/>
    <n v="899.4"/>
    <n v="13.65"/>
  </r>
  <r>
    <x v="6"/>
    <s v="Cafes, restaurants and catering services"/>
    <s v="2023-10-01"/>
    <x v="4"/>
    <s v="October  "/>
    <s v="10"/>
    <n v="919.4"/>
    <n v="14.6"/>
  </r>
  <r>
    <x v="6"/>
    <s v="Cafes, restaurants and catering services"/>
    <s v="2023-11-01"/>
    <x v="4"/>
    <s v="November "/>
    <s v="11"/>
    <n v="929.2"/>
    <n v="12.93"/>
  </r>
  <r>
    <x v="6"/>
    <s v="Cafes, restaurants and catering services"/>
    <s v="2023-12-01"/>
    <x v="4"/>
    <s v="December "/>
    <s v="12"/>
    <n v="1005"/>
    <n v="8.2899999999999991"/>
  </r>
  <r>
    <x v="6"/>
    <s v="Cafes, restaurants and catering services"/>
    <s v="2024-01-01"/>
    <x v="5"/>
    <s v="January  "/>
    <s v="1"/>
    <n v="915.6"/>
    <n v="9.92"/>
  </r>
  <r>
    <x v="6"/>
    <s v="Cafes, restaurants and catering services"/>
    <s v="2024-02-01"/>
    <x v="5"/>
    <s v="February "/>
    <s v="2"/>
    <n v="851.2"/>
    <n v="8.82"/>
  </r>
  <r>
    <x v="6"/>
    <s v="Cafes, restaurants and catering services"/>
    <s v="2024-03-01"/>
    <x v="5"/>
    <s v="March    "/>
    <s v="3"/>
    <n v="964.1"/>
    <n v="3.4"/>
  </r>
  <r>
    <x v="6"/>
    <s v="Cafes, restaurants and catering services"/>
    <s v="2024-04-01"/>
    <x v="5"/>
    <s v="April    "/>
    <s v="4"/>
    <n v="932.7"/>
    <n v="5.45"/>
  </r>
  <r>
    <x v="6"/>
    <s v="Cafes, restaurants and catering services"/>
    <s v="2024-05-01"/>
    <x v="5"/>
    <s v="May      "/>
    <s v="5"/>
    <n v="939.2"/>
    <n v="5.0599999999999996"/>
  </r>
  <r>
    <x v="6"/>
    <s v="Cafes, restaurants and catering services"/>
    <s v="2024-06-01"/>
    <x v="5"/>
    <s v="June     "/>
    <s v="6"/>
    <n v="887.2"/>
    <n v="4.2300000000000004"/>
  </r>
  <r>
    <x v="6"/>
    <s v="Cafes, restaurants and catering services"/>
    <s v="2024-07-01"/>
    <x v="5"/>
    <s v="July     "/>
    <s v="7"/>
    <n v="913.9"/>
    <n v="5.51"/>
  </r>
  <r>
    <x v="6"/>
    <s v="Cafes, restaurants and catering services"/>
    <s v="2024-08-01"/>
    <x v="5"/>
    <s v="August   "/>
    <s v="8"/>
    <n v="944.1"/>
    <n v="3.61"/>
  </r>
  <r>
    <x v="6"/>
    <s v="Cafes, restaurants and catering services"/>
    <s v="2024-09-01"/>
    <x v="5"/>
    <s v="September"/>
    <s v="9"/>
    <n v="922"/>
    <n v="2.5099999999999998"/>
  </r>
  <r>
    <x v="6"/>
    <s v="Cafes, restaurants and catering services"/>
    <s v="2024-10-01"/>
    <x v="5"/>
    <s v="October  "/>
    <s v="10"/>
    <n v="962.5"/>
    <n v="4.6900000000000004"/>
  </r>
  <r>
    <x v="6"/>
    <s v="Cafes, restaurants and catering services"/>
    <s v="2024-11-01"/>
    <x v="5"/>
    <s v="November "/>
    <s v="11"/>
    <n v="980.8"/>
    <n v="5.55"/>
  </r>
  <r>
    <x v="6"/>
    <s v="Cafes, restaurants and catering services"/>
    <s v="2024-12-01"/>
    <x v="5"/>
    <s v="December "/>
    <s v="12"/>
    <n v="1093.7"/>
    <n v="8.83"/>
  </r>
  <r>
    <x v="6"/>
    <s v="Cafes, restaurants and catering services"/>
    <s v="2025-01-01"/>
    <x v="6"/>
    <s v="January  "/>
    <s v="1"/>
    <n v="987.3"/>
    <n v="7.83"/>
  </r>
  <r>
    <x v="6"/>
    <s v="Cafes, restaurants and catering services"/>
    <s v="2025-02-01"/>
    <x v="6"/>
    <s v="February "/>
    <s v="2"/>
    <n v="871.9"/>
    <n v="2.4300000000000002"/>
  </r>
  <r>
    <x v="6"/>
    <s v="Cafes, restaurants and catering services"/>
    <s v="2025-03-01"/>
    <x v="6"/>
    <s v="March    "/>
    <s v="3"/>
    <n v="1001.4"/>
    <n v="3.87"/>
  </r>
  <r>
    <x v="6"/>
    <s v="Cafes, restaurants and catering services"/>
    <s v="2025-04-01"/>
    <x v="6"/>
    <s v="April    "/>
    <s v="4"/>
    <n v="970.5"/>
    <n v="4.05"/>
  </r>
  <r>
    <x v="6"/>
    <s v="Cafes, restaurants and catering services"/>
    <s v="2025-05-01"/>
    <x v="6"/>
    <s v="May      "/>
    <s v="5"/>
    <n v="977.9"/>
    <n v="4.12"/>
  </r>
  <r>
    <x v="6"/>
    <s v="Cafes, restaurants and catering services"/>
    <s v="2025-06-01"/>
    <x v="6"/>
    <s v="June     "/>
    <s v="6"/>
    <n v="905"/>
    <n v="2.0099999999999998"/>
  </r>
  <r>
    <x v="6"/>
    <s v="Clothing retailing"/>
    <s v="2019-01-01"/>
    <x v="0"/>
    <s v="January  "/>
    <s v="1"/>
    <n v="397.5"/>
    <m/>
  </r>
  <r>
    <x v="6"/>
    <s v="Clothing retailing"/>
    <s v="2019-02-01"/>
    <x v="0"/>
    <s v="February "/>
    <s v="2"/>
    <n v="334.8"/>
    <m/>
  </r>
  <r>
    <x v="6"/>
    <s v="Clothing retailing"/>
    <s v="2019-03-01"/>
    <x v="0"/>
    <s v="March    "/>
    <s v="3"/>
    <n v="417.5"/>
    <m/>
  </r>
  <r>
    <x v="6"/>
    <s v="Clothing retailing"/>
    <s v="2019-04-01"/>
    <x v="0"/>
    <s v="April    "/>
    <s v="4"/>
    <n v="434.9"/>
    <m/>
  </r>
  <r>
    <x v="6"/>
    <s v="Clothing retailing"/>
    <s v="2019-05-01"/>
    <x v="0"/>
    <s v="May      "/>
    <s v="5"/>
    <n v="448.2"/>
    <m/>
  </r>
  <r>
    <x v="6"/>
    <s v="Clothing retailing"/>
    <s v="2019-06-01"/>
    <x v="0"/>
    <s v="June     "/>
    <s v="6"/>
    <n v="450.6"/>
    <m/>
  </r>
  <r>
    <x v="6"/>
    <s v="Clothing retailing"/>
    <s v="2019-07-01"/>
    <x v="0"/>
    <s v="July     "/>
    <s v="7"/>
    <n v="402.7"/>
    <m/>
  </r>
  <r>
    <x v="6"/>
    <s v="Clothing retailing"/>
    <s v="2019-08-01"/>
    <x v="0"/>
    <s v="August   "/>
    <s v="8"/>
    <n v="410.1"/>
    <m/>
  </r>
  <r>
    <x v="6"/>
    <s v="Clothing retailing"/>
    <s v="2019-09-01"/>
    <x v="0"/>
    <s v="September"/>
    <s v="9"/>
    <n v="395.1"/>
    <m/>
  </r>
  <r>
    <x v="6"/>
    <s v="Clothing retailing"/>
    <s v="2019-10-01"/>
    <x v="0"/>
    <s v="October  "/>
    <s v="10"/>
    <n v="428.9"/>
    <m/>
  </r>
  <r>
    <x v="6"/>
    <s v="Clothing retailing"/>
    <s v="2019-11-01"/>
    <x v="0"/>
    <s v="November "/>
    <s v="11"/>
    <n v="492.6"/>
    <m/>
  </r>
  <r>
    <x v="6"/>
    <s v="Clothing retailing"/>
    <s v="2019-12-01"/>
    <x v="0"/>
    <s v="December "/>
    <s v="12"/>
    <n v="689.5"/>
    <m/>
  </r>
  <r>
    <x v="6"/>
    <s v="Clothing retailing"/>
    <s v="2020-01-01"/>
    <x v="1"/>
    <s v="January  "/>
    <s v="1"/>
    <n v="412.7"/>
    <n v="3.82"/>
  </r>
  <r>
    <x v="6"/>
    <s v="Clothing retailing"/>
    <s v="2020-02-01"/>
    <x v="1"/>
    <s v="February "/>
    <s v="2"/>
    <n v="355.9"/>
    <n v="6.3"/>
  </r>
  <r>
    <x v="6"/>
    <s v="Clothing retailing"/>
    <s v="2020-03-01"/>
    <x v="1"/>
    <s v="March    "/>
    <s v="3"/>
    <n v="273.60000000000002"/>
    <n v="-34.47"/>
  </r>
  <r>
    <x v="6"/>
    <s v="Clothing retailing"/>
    <s v="2020-04-01"/>
    <x v="1"/>
    <s v="April    "/>
    <s v="4"/>
    <n v="114.9"/>
    <n v="-73.58"/>
  </r>
  <r>
    <x v="6"/>
    <s v="Clothing retailing"/>
    <s v="2020-05-01"/>
    <x v="1"/>
    <s v="May      "/>
    <s v="5"/>
    <n v="307.8"/>
    <n v="-31.33"/>
  </r>
  <r>
    <x v="6"/>
    <s v="Clothing retailing"/>
    <s v="2020-06-01"/>
    <x v="1"/>
    <s v="June     "/>
    <s v="6"/>
    <n v="367.3"/>
    <n v="-18.489999999999998"/>
  </r>
  <r>
    <x v="6"/>
    <s v="Clothing retailing"/>
    <s v="2020-07-01"/>
    <x v="1"/>
    <s v="July     "/>
    <s v="7"/>
    <n v="267.60000000000002"/>
    <n v="-33.549999999999997"/>
  </r>
  <r>
    <x v="6"/>
    <s v="Clothing retailing"/>
    <s v="2020-08-01"/>
    <x v="1"/>
    <s v="August   "/>
    <s v="8"/>
    <n v="146.1"/>
    <n v="-64.37"/>
  </r>
  <r>
    <x v="6"/>
    <s v="Clothing retailing"/>
    <s v="2020-09-01"/>
    <x v="1"/>
    <s v="September"/>
    <s v="9"/>
    <n v="142"/>
    <n v="-64.06"/>
  </r>
  <r>
    <x v="6"/>
    <s v="Clothing retailing"/>
    <s v="2020-10-01"/>
    <x v="1"/>
    <s v="October  "/>
    <s v="10"/>
    <n v="232.5"/>
    <n v="-45.79"/>
  </r>
  <r>
    <x v="6"/>
    <s v="Clothing retailing"/>
    <s v="2020-11-01"/>
    <x v="1"/>
    <s v="November "/>
    <s v="11"/>
    <n v="563.4"/>
    <n v="14.37"/>
  </r>
  <r>
    <x v="6"/>
    <s v="Clothing retailing"/>
    <s v="2020-12-01"/>
    <x v="1"/>
    <s v="December "/>
    <s v="12"/>
    <n v="739"/>
    <n v="7.18"/>
  </r>
  <r>
    <x v="6"/>
    <s v="Clothing retailing"/>
    <s v="2021-01-01"/>
    <x v="2"/>
    <s v="January  "/>
    <s v="1"/>
    <n v="422.7"/>
    <n v="2.42"/>
  </r>
  <r>
    <x v="6"/>
    <s v="Clothing retailing"/>
    <s v="2021-02-01"/>
    <x v="2"/>
    <s v="February "/>
    <s v="2"/>
    <n v="291.8"/>
    <n v="-18.010000000000002"/>
  </r>
  <r>
    <x v="6"/>
    <s v="Clothing retailing"/>
    <s v="2021-03-01"/>
    <x v="2"/>
    <s v="March    "/>
    <s v="3"/>
    <n v="438.4"/>
    <n v="60.23"/>
  </r>
  <r>
    <x v="6"/>
    <s v="Clothing retailing"/>
    <s v="2021-04-01"/>
    <x v="2"/>
    <s v="April    "/>
    <s v="4"/>
    <n v="486.1"/>
    <n v="323.06"/>
  </r>
  <r>
    <x v="6"/>
    <s v="Clothing retailing"/>
    <s v="2021-05-01"/>
    <x v="2"/>
    <s v="May      "/>
    <s v="5"/>
    <n v="441.6"/>
    <n v="43.47"/>
  </r>
  <r>
    <x v="6"/>
    <s v="Clothing retailing"/>
    <s v="2021-06-01"/>
    <x v="2"/>
    <s v="June     "/>
    <s v="6"/>
    <n v="359.4"/>
    <n v="-2.15"/>
  </r>
  <r>
    <x v="6"/>
    <s v="Clothing retailing"/>
    <s v="2021-07-01"/>
    <x v="2"/>
    <s v="July     "/>
    <s v="7"/>
    <n v="351.8"/>
    <n v="31.46"/>
  </r>
  <r>
    <x v="6"/>
    <s v="Clothing retailing"/>
    <s v="2021-08-01"/>
    <x v="2"/>
    <s v="August   "/>
    <s v="8"/>
    <n v="229.2"/>
    <n v="56.88"/>
  </r>
  <r>
    <x v="6"/>
    <s v="Clothing retailing"/>
    <s v="2021-09-01"/>
    <x v="2"/>
    <s v="September"/>
    <s v="9"/>
    <n v="198.4"/>
    <n v="39.72"/>
  </r>
  <r>
    <x v="6"/>
    <s v="Clothing retailing"/>
    <s v="2021-10-01"/>
    <x v="2"/>
    <s v="October  "/>
    <s v="10"/>
    <n v="261.8"/>
    <n v="12.6"/>
  </r>
  <r>
    <x v="6"/>
    <s v="Clothing retailing"/>
    <s v="2021-11-01"/>
    <x v="2"/>
    <s v="November "/>
    <s v="11"/>
    <n v="658.4"/>
    <n v="16.86"/>
  </r>
  <r>
    <x v="6"/>
    <s v="Clothing retailing"/>
    <s v="2021-12-01"/>
    <x v="2"/>
    <s v="December "/>
    <s v="12"/>
    <n v="767"/>
    <n v="3.79"/>
  </r>
  <r>
    <x v="6"/>
    <s v="Clothing retailing"/>
    <s v="2022-01-01"/>
    <x v="3"/>
    <s v="January  "/>
    <s v="1"/>
    <n v="425.6"/>
    <n v="0.69"/>
  </r>
  <r>
    <x v="6"/>
    <s v="Clothing retailing"/>
    <s v="2022-02-01"/>
    <x v="3"/>
    <s v="February "/>
    <s v="2"/>
    <n v="400.8"/>
    <n v="37.35"/>
  </r>
  <r>
    <x v="6"/>
    <s v="Clothing retailing"/>
    <s v="2022-03-01"/>
    <x v="3"/>
    <s v="March    "/>
    <s v="3"/>
    <n v="504.3"/>
    <n v="15.03"/>
  </r>
  <r>
    <x v="6"/>
    <s v="Clothing retailing"/>
    <s v="2022-04-01"/>
    <x v="3"/>
    <s v="April    "/>
    <s v="4"/>
    <n v="555.1"/>
    <n v="14.19"/>
  </r>
  <r>
    <x v="6"/>
    <s v="Clothing retailing"/>
    <s v="2022-05-01"/>
    <x v="3"/>
    <s v="May      "/>
    <s v="5"/>
    <n v="562.4"/>
    <n v="27.36"/>
  </r>
  <r>
    <x v="6"/>
    <s v="Clothing retailing"/>
    <s v="2022-06-01"/>
    <x v="3"/>
    <s v="June     "/>
    <s v="6"/>
    <n v="560"/>
    <n v="55.82"/>
  </r>
  <r>
    <x v="6"/>
    <s v="Clothing retailing"/>
    <s v="2022-07-01"/>
    <x v="3"/>
    <s v="July     "/>
    <s v="7"/>
    <n v="522.9"/>
    <n v="48.64"/>
  </r>
  <r>
    <x v="6"/>
    <s v="Clothing retailing"/>
    <s v="2022-08-01"/>
    <x v="3"/>
    <s v="August   "/>
    <s v="8"/>
    <n v="495.5"/>
    <n v="116.19"/>
  </r>
  <r>
    <x v="6"/>
    <s v="Clothing retailing"/>
    <s v="2022-09-01"/>
    <x v="3"/>
    <s v="September"/>
    <s v="9"/>
    <n v="507"/>
    <n v="155.54"/>
  </r>
  <r>
    <x v="6"/>
    <s v="Clothing retailing"/>
    <s v="2022-10-01"/>
    <x v="3"/>
    <s v="October  "/>
    <s v="10"/>
    <n v="530.29999999999995"/>
    <n v="102.56"/>
  </r>
  <r>
    <x v="6"/>
    <s v="Clothing retailing"/>
    <s v="2022-11-01"/>
    <x v="3"/>
    <s v="November "/>
    <s v="11"/>
    <n v="647.29999999999995"/>
    <n v="-1.69"/>
  </r>
  <r>
    <x v="6"/>
    <s v="Clothing retailing"/>
    <s v="2022-12-01"/>
    <x v="3"/>
    <s v="December "/>
    <s v="12"/>
    <n v="807.6"/>
    <n v="5.29"/>
  </r>
  <r>
    <x v="6"/>
    <s v="Clothing retailing"/>
    <s v="2023-01-01"/>
    <x v="4"/>
    <s v="January  "/>
    <s v="1"/>
    <n v="521.9"/>
    <n v="22.63"/>
  </r>
  <r>
    <x v="6"/>
    <s v="Clothing retailing"/>
    <s v="2023-02-01"/>
    <x v="4"/>
    <s v="February "/>
    <s v="2"/>
    <n v="429.7"/>
    <n v="7.21"/>
  </r>
  <r>
    <x v="6"/>
    <s v="Clothing retailing"/>
    <s v="2023-03-01"/>
    <x v="4"/>
    <s v="March    "/>
    <s v="3"/>
    <n v="542.5"/>
    <n v="7.57"/>
  </r>
  <r>
    <x v="6"/>
    <s v="Clothing retailing"/>
    <s v="2023-04-01"/>
    <x v="4"/>
    <s v="April    "/>
    <s v="4"/>
    <n v="581.79999999999995"/>
    <n v="4.8099999999999996"/>
  </r>
  <r>
    <x v="6"/>
    <s v="Clothing retailing"/>
    <s v="2023-05-01"/>
    <x v="4"/>
    <s v="May      "/>
    <s v="5"/>
    <n v="576.29999999999995"/>
    <n v="2.4700000000000002"/>
  </r>
  <r>
    <x v="6"/>
    <s v="Clothing retailing"/>
    <s v="2023-06-01"/>
    <x v="4"/>
    <s v="June     "/>
    <s v="6"/>
    <n v="566.79999999999995"/>
    <n v="1.21"/>
  </r>
  <r>
    <x v="6"/>
    <s v="Clothing retailing"/>
    <s v="2023-07-01"/>
    <x v="4"/>
    <s v="July     "/>
    <s v="7"/>
    <n v="512.5"/>
    <n v="-1.99"/>
  </r>
  <r>
    <x v="6"/>
    <s v="Clothing retailing"/>
    <s v="2023-08-01"/>
    <x v="4"/>
    <s v="August   "/>
    <s v="8"/>
    <n v="496.9"/>
    <n v="0.28000000000000003"/>
  </r>
  <r>
    <x v="6"/>
    <s v="Clothing retailing"/>
    <s v="2023-09-01"/>
    <x v="4"/>
    <s v="September"/>
    <s v="9"/>
    <n v="516.79999999999995"/>
    <n v="1.93"/>
  </r>
  <r>
    <x v="6"/>
    <s v="Clothing retailing"/>
    <s v="2023-10-01"/>
    <x v="4"/>
    <s v="October  "/>
    <s v="10"/>
    <n v="500.3"/>
    <n v="-5.66"/>
  </r>
  <r>
    <x v="6"/>
    <s v="Clothing retailing"/>
    <s v="2023-11-01"/>
    <x v="4"/>
    <s v="November "/>
    <s v="11"/>
    <n v="649.5"/>
    <n v="0.34"/>
  </r>
  <r>
    <x v="6"/>
    <s v="Clothing retailing"/>
    <s v="2023-12-01"/>
    <x v="4"/>
    <s v="December "/>
    <s v="12"/>
    <n v="829.4"/>
    <n v="2.7"/>
  </r>
  <r>
    <x v="6"/>
    <s v="Clothing retailing"/>
    <s v="2024-01-01"/>
    <x v="5"/>
    <s v="January  "/>
    <s v="1"/>
    <n v="524.4"/>
    <n v="0.48"/>
  </r>
  <r>
    <x v="6"/>
    <s v="Clothing retailing"/>
    <s v="2024-02-01"/>
    <x v="5"/>
    <s v="February "/>
    <s v="2"/>
    <n v="492.7"/>
    <n v="14.66"/>
  </r>
  <r>
    <x v="6"/>
    <s v="Clothing retailing"/>
    <s v="2024-03-01"/>
    <x v="5"/>
    <s v="March    "/>
    <s v="3"/>
    <n v="497.4"/>
    <n v="-8.31"/>
  </r>
  <r>
    <x v="6"/>
    <s v="Clothing retailing"/>
    <s v="2024-04-01"/>
    <x v="5"/>
    <s v="April    "/>
    <s v="4"/>
    <n v="571.6"/>
    <n v="-1.75"/>
  </r>
  <r>
    <x v="6"/>
    <s v="Clothing retailing"/>
    <s v="2024-05-01"/>
    <x v="5"/>
    <s v="May      "/>
    <s v="5"/>
    <n v="593.1"/>
    <n v="2.92"/>
  </r>
  <r>
    <x v="6"/>
    <s v="Clothing retailing"/>
    <s v="2024-06-01"/>
    <x v="5"/>
    <s v="June     "/>
    <s v="6"/>
    <n v="576.70000000000005"/>
    <n v="1.75"/>
  </r>
  <r>
    <x v="6"/>
    <s v="Clothing retailing"/>
    <s v="2024-07-01"/>
    <x v="5"/>
    <s v="July     "/>
    <s v="7"/>
    <n v="528.1"/>
    <n v="3.04"/>
  </r>
  <r>
    <x v="6"/>
    <s v="Clothing retailing"/>
    <s v="2024-08-01"/>
    <x v="5"/>
    <s v="August   "/>
    <s v="8"/>
    <n v="527.9"/>
    <n v="6.24"/>
  </r>
  <r>
    <x v="6"/>
    <s v="Clothing retailing"/>
    <s v="2024-09-01"/>
    <x v="5"/>
    <s v="September"/>
    <s v="9"/>
    <n v="503.2"/>
    <n v="-2.63"/>
  </r>
  <r>
    <x v="6"/>
    <s v="Clothing retailing"/>
    <s v="2024-10-01"/>
    <x v="5"/>
    <s v="October  "/>
    <s v="10"/>
    <n v="550.79999999999995"/>
    <n v="10.09"/>
  </r>
  <r>
    <x v="6"/>
    <s v="Clothing retailing"/>
    <s v="2024-11-01"/>
    <x v="5"/>
    <s v="November "/>
    <s v="11"/>
    <n v="698.9"/>
    <n v="7.61"/>
  </r>
  <r>
    <x v="6"/>
    <s v="Clothing retailing"/>
    <s v="2024-12-01"/>
    <x v="5"/>
    <s v="December "/>
    <s v="12"/>
    <n v="860.6"/>
    <n v="3.76"/>
  </r>
  <r>
    <x v="6"/>
    <s v="Clothing retailing"/>
    <s v="2025-01-01"/>
    <x v="6"/>
    <s v="January  "/>
    <s v="1"/>
    <n v="546.70000000000005"/>
    <n v="4.25"/>
  </r>
  <r>
    <x v="6"/>
    <s v="Clothing retailing"/>
    <s v="2025-02-01"/>
    <x v="6"/>
    <s v="February "/>
    <s v="2"/>
    <n v="444.7"/>
    <n v="-9.74"/>
  </r>
  <r>
    <x v="6"/>
    <s v="Clothing retailing"/>
    <s v="2025-03-01"/>
    <x v="6"/>
    <s v="March    "/>
    <s v="3"/>
    <n v="555.1"/>
    <n v="11.6"/>
  </r>
  <r>
    <x v="6"/>
    <s v="Clothing retailing"/>
    <s v="2025-04-01"/>
    <x v="6"/>
    <s v="April    "/>
    <s v="4"/>
    <n v="558.79999999999995"/>
    <n v="-2.2400000000000002"/>
  </r>
  <r>
    <x v="6"/>
    <s v="Clothing retailing"/>
    <s v="2025-05-01"/>
    <x v="6"/>
    <s v="May      "/>
    <s v="5"/>
    <n v="639.79999999999995"/>
    <n v="7.87"/>
  </r>
  <r>
    <x v="6"/>
    <s v="Clothing retailing"/>
    <s v="2025-06-01"/>
    <x v="6"/>
    <s v="June     "/>
    <s v="6"/>
    <n v="611"/>
    <n v="5.95"/>
  </r>
  <r>
    <x v="6"/>
    <s v="Department stores"/>
    <s v="2019-01-01"/>
    <x v="0"/>
    <s v="January  "/>
    <s v="1"/>
    <n v="358.4"/>
    <m/>
  </r>
  <r>
    <x v="6"/>
    <s v="Department stores"/>
    <s v="2019-02-01"/>
    <x v="0"/>
    <s v="February "/>
    <s v="2"/>
    <n v="286.89999999999998"/>
    <m/>
  </r>
  <r>
    <x v="6"/>
    <s v="Department stores"/>
    <s v="2019-03-01"/>
    <x v="0"/>
    <s v="March    "/>
    <s v="3"/>
    <n v="351.1"/>
    <m/>
  </r>
  <r>
    <x v="6"/>
    <s v="Department stores"/>
    <s v="2019-04-01"/>
    <x v="0"/>
    <s v="April    "/>
    <s v="4"/>
    <n v="384.9"/>
    <m/>
  </r>
  <r>
    <x v="6"/>
    <s v="Department stores"/>
    <s v="2019-05-01"/>
    <x v="0"/>
    <s v="May      "/>
    <s v="5"/>
    <n v="390.5"/>
    <m/>
  </r>
  <r>
    <x v="6"/>
    <s v="Department stores"/>
    <s v="2019-06-01"/>
    <x v="0"/>
    <s v="June     "/>
    <s v="6"/>
    <n v="394.9"/>
    <m/>
  </r>
  <r>
    <x v="6"/>
    <s v="Department stores"/>
    <s v="2019-07-01"/>
    <x v="0"/>
    <s v="July     "/>
    <s v="7"/>
    <n v="364.8"/>
    <m/>
  </r>
  <r>
    <x v="6"/>
    <s v="Department stores"/>
    <s v="2019-08-01"/>
    <x v="0"/>
    <s v="August   "/>
    <s v="8"/>
    <n v="344.9"/>
    <m/>
  </r>
  <r>
    <x v="6"/>
    <s v="Department stores"/>
    <s v="2019-09-01"/>
    <x v="0"/>
    <s v="September"/>
    <s v="9"/>
    <n v="342.9"/>
    <m/>
  </r>
  <r>
    <x v="6"/>
    <s v="Department stores"/>
    <s v="2019-10-01"/>
    <x v="0"/>
    <s v="October  "/>
    <s v="10"/>
    <n v="388.7"/>
    <m/>
  </r>
  <r>
    <x v="6"/>
    <s v="Department stores"/>
    <s v="2019-11-01"/>
    <x v="0"/>
    <s v="November "/>
    <s v="11"/>
    <n v="458.3"/>
    <m/>
  </r>
  <r>
    <x v="6"/>
    <s v="Department stores"/>
    <s v="2019-12-01"/>
    <x v="0"/>
    <s v="December "/>
    <s v="12"/>
    <n v="737"/>
    <m/>
  </r>
  <r>
    <x v="6"/>
    <s v="Department stores"/>
    <s v="2020-01-01"/>
    <x v="1"/>
    <s v="January  "/>
    <s v="1"/>
    <n v="353.9"/>
    <n v="-1.26"/>
  </r>
  <r>
    <x v="6"/>
    <s v="Department stores"/>
    <s v="2020-02-01"/>
    <x v="1"/>
    <s v="February "/>
    <s v="2"/>
    <n v="301.7"/>
    <n v="5.16"/>
  </r>
  <r>
    <x v="6"/>
    <s v="Department stores"/>
    <s v="2020-03-01"/>
    <x v="1"/>
    <s v="March    "/>
    <s v="3"/>
    <n v="312.2"/>
    <n v="-11.08"/>
  </r>
  <r>
    <x v="6"/>
    <s v="Department stores"/>
    <s v="2020-04-01"/>
    <x v="1"/>
    <s v="April    "/>
    <s v="4"/>
    <n v="280.8"/>
    <n v="-27.05"/>
  </r>
  <r>
    <x v="6"/>
    <s v="Department stores"/>
    <s v="2020-05-01"/>
    <x v="1"/>
    <s v="May      "/>
    <s v="5"/>
    <n v="392.8"/>
    <n v="0.59"/>
  </r>
  <r>
    <x v="6"/>
    <s v="Department stores"/>
    <s v="2020-06-01"/>
    <x v="1"/>
    <s v="June     "/>
    <s v="6"/>
    <n v="374.9"/>
    <n v="-5.0599999999999996"/>
  </r>
  <r>
    <x v="6"/>
    <s v="Department stores"/>
    <s v="2020-07-01"/>
    <x v="1"/>
    <s v="July     "/>
    <s v="7"/>
    <n v="300.39999999999998"/>
    <n v="-17.649999999999999"/>
  </r>
  <r>
    <x v="6"/>
    <s v="Department stores"/>
    <s v="2020-08-01"/>
    <x v="1"/>
    <s v="August   "/>
    <s v="8"/>
    <n v="169.7"/>
    <n v="-50.8"/>
  </r>
  <r>
    <x v="6"/>
    <s v="Department stores"/>
    <s v="2020-09-01"/>
    <x v="1"/>
    <s v="September"/>
    <s v="9"/>
    <n v="192.3"/>
    <n v="-43.92"/>
  </r>
  <r>
    <x v="6"/>
    <s v="Department stores"/>
    <s v="2020-10-01"/>
    <x v="1"/>
    <s v="October  "/>
    <s v="10"/>
    <n v="272.3"/>
    <n v="-29.95"/>
  </r>
  <r>
    <x v="6"/>
    <s v="Department stores"/>
    <s v="2020-11-01"/>
    <x v="1"/>
    <s v="November "/>
    <s v="11"/>
    <n v="543.20000000000005"/>
    <n v="18.52"/>
  </r>
  <r>
    <x v="6"/>
    <s v="Department stores"/>
    <s v="2020-12-01"/>
    <x v="1"/>
    <s v="December "/>
    <s v="12"/>
    <n v="762.6"/>
    <n v="3.47"/>
  </r>
  <r>
    <x v="6"/>
    <s v="Department stores"/>
    <s v="2021-01-01"/>
    <x v="2"/>
    <s v="January  "/>
    <s v="1"/>
    <n v="396"/>
    <n v="11.9"/>
  </r>
  <r>
    <x v="6"/>
    <s v="Department stores"/>
    <s v="2021-02-01"/>
    <x v="2"/>
    <s v="February "/>
    <s v="2"/>
    <n v="273.39999999999998"/>
    <n v="-9.3800000000000008"/>
  </r>
  <r>
    <x v="6"/>
    <s v="Department stores"/>
    <s v="2021-03-01"/>
    <x v="2"/>
    <s v="March    "/>
    <s v="3"/>
    <n v="410.5"/>
    <n v="31.49"/>
  </r>
  <r>
    <x v="6"/>
    <s v="Department stores"/>
    <s v="2021-04-01"/>
    <x v="2"/>
    <s v="April    "/>
    <s v="4"/>
    <n v="411.9"/>
    <n v="46.69"/>
  </r>
  <r>
    <x v="6"/>
    <s v="Department stores"/>
    <s v="2021-05-01"/>
    <x v="2"/>
    <s v="May      "/>
    <s v="5"/>
    <n v="370.6"/>
    <n v="-5.65"/>
  </r>
  <r>
    <x v="6"/>
    <s v="Department stores"/>
    <s v="2021-06-01"/>
    <x v="2"/>
    <s v="June     "/>
    <s v="6"/>
    <n v="340.9"/>
    <n v="-9.07"/>
  </r>
  <r>
    <x v="6"/>
    <s v="Department stores"/>
    <s v="2021-07-01"/>
    <x v="2"/>
    <s v="July     "/>
    <s v="7"/>
    <n v="321.3"/>
    <n v="6.96"/>
  </r>
  <r>
    <x v="6"/>
    <s v="Department stores"/>
    <s v="2021-08-01"/>
    <x v="2"/>
    <s v="August   "/>
    <s v="8"/>
    <n v="208.9"/>
    <n v="23.1"/>
  </r>
  <r>
    <x v="6"/>
    <s v="Department stores"/>
    <s v="2021-09-01"/>
    <x v="2"/>
    <s v="September"/>
    <s v="9"/>
    <n v="222.3"/>
    <n v="15.6"/>
  </r>
  <r>
    <x v="6"/>
    <s v="Department stores"/>
    <s v="2021-10-01"/>
    <x v="2"/>
    <s v="October  "/>
    <s v="10"/>
    <n v="260"/>
    <n v="-4.5199999999999996"/>
  </r>
  <r>
    <x v="6"/>
    <s v="Department stores"/>
    <s v="2021-11-01"/>
    <x v="2"/>
    <s v="November "/>
    <s v="11"/>
    <n v="572.20000000000005"/>
    <n v="5.34"/>
  </r>
  <r>
    <x v="6"/>
    <s v="Department stores"/>
    <s v="2021-12-01"/>
    <x v="2"/>
    <s v="December "/>
    <s v="12"/>
    <n v="679.8"/>
    <n v="-10.86"/>
  </r>
  <r>
    <x v="6"/>
    <s v="Department stores"/>
    <s v="2022-01-01"/>
    <x v="3"/>
    <s v="January  "/>
    <s v="1"/>
    <n v="358.9"/>
    <n v="-9.3699999999999992"/>
  </r>
  <r>
    <x v="6"/>
    <s v="Department stores"/>
    <s v="2022-02-01"/>
    <x v="3"/>
    <s v="February "/>
    <s v="2"/>
    <n v="307.8"/>
    <n v="12.58"/>
  </r>
  <r>
    <x v="6"/>
    <s v="Department stores"/>
    <s v="2022-03-01"/>
    <x v="3"/>
    <s v="March    "/>
    <s v="3"/>
    <n v="391.1"/>
    <n v="-4.7300000000000004"/>
  </r>
  <r>
    <x v="6"/>
    <s v="Department stores"/>
    <s v="2022-04-01"/>
    <x v="3"/>
    <s v="April    "/>
    <s v="4"/>
    <n v="430.8"/>
    <n v="4.59"/>
  </r>
  <r>
    <x v="6"/>
    <s v="Department stores"/>
    <s v="2022-05-01"/>
    <x v="3"/>
    <s v="May      "/>
    <s v="5"/>
    <n v="432.1"/>
    <n v="16.59"/>
  </r>
  <r>
    <x v="6"/>
    <s v="Department stores"/>
    <s v="2022-06-01"/>
    <x v="3"/>
    <s v="June     "/>
    <s v="6"/>
    <n v="431.6"/>
    <n v="26.61"/>
  </r>
  <r>
    <x v="6"/>
    <s v="Department stores"/>
    <s v="2022-07-01"/>
    <x v="3"/>
    <s v="July     "/>
    <s v="7"/>
    <n v="413.2"/>
    <n v="28.6"/>
  </r>
  <r>
    <x v="6"/>
    <s v="Department stores"/>
    <s v="2022-08-01"/>
    <x v="3"/>
    <s v="August   "/>
    <s v="8"/>
    <n v="386.2"/>
    <n v="84.87"/>
  </r>
  <r>
    <x v="6"/>
    <s v="Department stores"/>
    <s v="2022-09-01"/>
    <x v="3"/>
    <s v="September"/>
    <s v="9"/>
    <n v="412.5"/>
    <n v="85.56"/>
  </r>
  <r>
    <x v="6"/>
    <s v="Department stores"/>
    <s v="2022-10-01"/>
    <x v="3"/>
    <s v="October  "/>
    <s v="10"/>
    <n v="431.9"/>
    <n v="66.12"/>
  </r>
  <r>
    <x v="6"/>
    <s v="Department stores"/>
    <s v="2022-11-01"/>
    <x v="3"/>
    <s v="November "/>
    <s v="11"/>
    <n v="545"/>
    <n v="-4.75"/>
  </r>
  <r>
    <x v="6"/>
    <s v="Department stores"/>
    <s v="2022-12-01"/>
    <x v="3"/>
    <s v="December "/>
    <s v="12"/>
    <n v="738.8"/>
    <n v="8.68"/>
  </r>
  <r>
    <x v="6"/>
    <s v="Department stores"/>
    <s v="2023-01-01"/>
    <x v="4"/>
    <s v="January  "/>
    <s v="1"/>
    <n v="407.3"/>
    <n v="13.49"/>
  </r>
  <r>
    <x v="6"/>
    <s v="Department stores"/>
    <s v="2023-02-01"/>
    <x v="4"/>
    <s v="February "/>
    <s v="2"/>
    <n v="324.60000000000002"/>
    <n v="5.46"/>
  </r>
  <r>
    <x v="6"/>
    <s v="Department stores"/>
    <s v="2023-03-01"/>
    <x v="4"/>
    <s v="March    "/>
    <s v="3"/>
    <n v="411.9"/>
    <n v="5.32"/>
  </r>
  <r>
    <x v="6"/>
    <s v="Department stores"/>
    <s v="2023-04-01"/>
    <x v="4"/>
    <s v="April    "/>
    <s v="4"/>
    <n v="451.2"/>
    <n v="4.74"/>
  </r>
  <r>
    <x v="6"/>
    <s v="Department stores"/>
    <s v="2023-05-01"/>
    <x v="4"/>
    <s v="May      "/>
    <s v="5"/>
    <n v="440.4"/>
    <n v="1.92"/>
  </r>
  <r>
    <x v="6"/>
    <s v="Department stores"/>
    <s v="2023-06-01"/>
    <x v="4"/>
    <s v="June     "/>
    <s v="6"/>
    <n v="428.8"/>
    <n v="-0.65"/>
  </r>
  <r>
    <x v="6"/>
    <s v="Department stores"/>
    <s v="2023-07-01"/>
    <x v="4"/>
    <s v="July     "/>
    <s v="7"/>
    <n v="413.1"/>
    <n v="-0.02"/>
  </r>
  <r>
    <x v="6"/>
    <s v="Department stores"/>
    <s v="2023-08-01"/>
    <x v="4"/>
    <s v="August   "/>
    <s v="8"/>
    <n v="388.7"/>
    <n v="0.65"/>
  </r>
  <r>
    <x v="6"/>
    <s v="Department stores"/>
    <s v="2023-09-01"/>
    <x v="4"/>
    <s v="September"/>
    <s v="9"/>
    <n v="422.2"/>
    <n v="2.35"/>
  </r>
  <r>
    <x v="6"/>
    <s v="Department stores"/>
    <s v="2023-10-01"/>
    <x v="4"/>
    <s v="October  "/>
    <s v="10"/>
    <n v="432.5"/>
    <n v="0.14000000000000001"/>
  </r>
  <r>
    <x v="6"/>
    <s v="Department stores"/>
    <s v="2023-11-01"/>
    <x v="4"/>
    <s v="November "/>
    <s v="11"/>
    <n v="568.79999999999995"/>
    <n v="4.37"/>
  </r>
  <r>
    <x v="6"/>
    <s v="Department stores"/>
    <s v="2023-12-01"/>
    <x v="4"/>
    <s v="December "/>
    <s v="12"/>
    <n v="767.8"/>
    <n v="3.93"/>
  </r>
  <r>
    <x v="6"/>
    <s v="Department stores"/>
    <s v="2024-01-01"/>
    <x v="5"/>
    <s v="January  "/>
    <s v="1"/>
    <n v="407.3"/>
    <n v="0"/>
  </r>
  <r>
    <x v="6"/>
    <s v="Department stores"/>
    <s v="2024-02-01"/>
    <x v="5"/>
    <s v="February "/>
    <s v="2"/>
    <n v="352.3"/>
    <n v="8.5299999999999994"/>
  </r>
  <r>
    <x v="6"/>
    <s v="Department stores"/>
    <s v="2024-03-01"/>
    <x v="5"/>
    <s v="March    "/>
    <s v="3"/>
    <n v="421.5"/>
    <n v="2.33"/>
  </r>
  <r>
    <x v="6"/>
    <s v="Department stores"/>
    <s v="2024-04-01"/>
    <x v="5"/>
    <s v="April    "/>
    <s v="4"/>
    <n v="441.1"/>
    <n v="-2.2400000000000002"/>
  </r>
  <r>
    <x v="6"/>
    <s v="Department stores"/>
    <s v="2024-05-01"/>
    <x v="5"/>
    <s v="May      "/>
    <s v="5"/>
    <n v="431.4"/>
    <n v="-2.04"/>
  </r>
  <r>
    <x v="6"/>
    <s v="Department stores"/>
    <s v="2024-06-01"/>
    <x v="5"/>
    <s v="June     "/>
    <s v="6"/>
    <n v="438.1"/>
    <n v="2.17"/>
  </r>
  <r>
    <x v="6"/>
    <s v="Department stores"/>
    <s v="2024-07-01"/>
    <x v="5"/>
    <s v="July     "/>
    <s v="7"/>
    <n v="414.5"/>
    <n v="0.34"/>
  </r>
  <r>
    <x v="6"/>
    <s v="Department stores"/>
    <s v="2024-08-01"/>
    <x v="5"/>
    <s v="August   "/>
    <s v="8"/>
    <n v="397.9"/>
    <n v="2.37"/>
  </r>
  <r>
    <x v="6"/>
    <s v="Department stores"/>
    <s v="2024-09-01"/>
    <x v="5"/>
    <s v="September"/>
    <s v="9"/>
    <n v="400.4"/>
    <n v="-5.16"/>
  </r>
  <r>
    <x v="6"/>
    <s v="Department stores"/>
    <s v="2024-10-01"/>
    <x v="5"/>
    <s v="October  "/>
    <s v="10"/>
    <n v="441"/>
    <n v="1.97"/>
  </r>
  <r>
    <x v="6"/>
    <s v="Department stores"/>
    <s v="2024-11-01"/>
    <x v="5"/>
    <s v="November "/>
    <s v="11"/>
    <n v="568.79999999999995"/>
    <n v="0"/>
  </r>
  <r>
    <x v="6"/>
    <s v="Department stores"/>
    <s v="2024-12-01"/>
    <x v="5"/>
    <s v="December "/>
    <s v="12"/>
    <n v="774.5"/>
    <n v="0.87"/>
  </r>
  <r>
    <x v="6"/>
    <s v="Department stores"/>
    <s v="2025-01-01"/>
    <x v="6"/>
    <s v="January  "/>
    <s v="1"/>
    <n v="415.8"/>
    <n v="2.09"/>
  </r>
  <r>
    <x v="6"/>
    <s v="Department stores"/>
    <s v="2025-02-01"/>
    <x v="6"/>
    <s v="February "/>
    <s v="2"/>
    <n v="345.3"/>
    <n v="-1.99"/>
  </r>
  <r>
    <x v="6"/>
    <s v="Department stores"/>
    <s v="2025-03-01"/>
    <x v="6"/>
    <s v="March    "/>
    <s v="3"/>
    <n v="425"/>
    <n v="0.83"/>
  </r>
  <r>
    <x v="6"/>
    <s v="Department stores"/>
    <s v="2025-04-01"/>
    <x v="6"/>
    <s v="April    "/>
    <s v="4"/>
    <n v="433"/>
    <n v="-1.84"/>
  </r>
  <r>
    <x v="6"/>
    <s v="Department stores"/>
    <s v="2025-05-01"/>
    <x v="6"/>
    <s v="May      "/>
    <s v="5"/>
    <n v="456.9"/>
    <n v="5.91"/>
  </r>
  <r>
    <x v="6"/>
    <s v="Department stores"/>
    <s v="2025-06-01"/>
    <x v="6"/>
    <s v="June     "/>
    <s v="6"/>
    <n v="463.1"/>
    <n v="5.71"/>
  </r>
  <r>
    <x v="6"/>
    <s v="Electrical and electronic goods retailing"/>
    <s v="2019-01-01"/>
    <x v="0"/>
    <s v="January  "/>
    <s v="1"/>
    <n v="466.5"/>
    <m/>
  </r>
  <r>
    <x v="6"/>
    <s v="Electrical and electronic goods retailing"/>
    <s v="2019-02-01"/>
    <x v="0"/>
    <s v="February "/>
    <s v="2"/>
    <n v="408.5"/>
    <m/>
  </r>
  <r>
    <x v="6"/>
    <s v="Electrical and electronic goods retailing"/>
    <s v="2019-03-01"/>
    <x v="0"/>
    <s v="March    "/>
    <s v="3"/>
    <n v="436.4"/>
    <m/>
  </r>
  <r>
    <x v="6"/>
    <s v="Electrical and electronic goods retailing"/>
    <s v="2019-04-01"/>
    <x v="0"/>
    <s v="April    "/>
    <s v="4"/>
    <n v="405.7"/>
    <m/>
  </r>
  <r>
    <x v="6"/>
    <s v="Electrical and electronic goods retailing"/>
    <s v="2019-05-01"/>
    <x v="0"/>
    <s v="May      "/>
    <s v="5"/>
    <n v="453.8"/>
    <m/>
  </r>
  <r>
    <x v="6"/>
    <s v="Electrical and electronic goods retailing"/>
    <s v="2019-06-01"/>
    <x v="0"/>
    <s v="June     "/>
    <s v="6"/>
    <n v="533.1"/>
    <m/>
  </r>
  <r>
    <x v="6"/>
    <s v="Electrical and electronic goods retailing"/>
    <s v="2019-07-01"/>
    <x v="0"/>
    <s v="July     "/>
    <s v="7"/>
    <n v="463.6"/>
    <m/>
  </r>
  <r>
    <x v="6"/>
    <s v="Electrical and electronic goods retailing"/>
    <s v="2019-08-01"/>
    <x v="0"/>
    <s v="August   "/>
    <s v="8"/>
    <n v="457.9"/>
    <m/>
  </r>
  <r>
    <x v="6"/>
    <s v="Electrical and electronic goods retailing"/>
    <s v="2019-09-01"/>
    <x v="0"/>
    <s v="September"/>
    <s v="9"/>
    <n v="443.9"/>
    <m/>
  </r>
  <r>
    <x v="6"/>
    <s v="Electrical and electronic goods retailing"/>
    <s v="2019-10-01"/>
    <x v="0"/>
    <s v="October  "/>
    <s v="10"/>
    <n v="455.7"/>
    <m/>
  </r>
  <r>
    <x v="6"/>
    <s v="Electrical and electronic goods retailing"/>
    <s v="2019-11-01"/>
    <x v="0"/>
    <s v="November "/>
    <s v="11"/>
    <n v="561.9"/>
    <m/>
  </r>
  <r>
    <x v="6"/>
    <s v="Electrical and electronic goods retailing"/>
    <s v="2019-12-01"/>
    <x v="0"/>
    <s v="December "/>
    <s v="12"/>
    <n v="761.8"/>
    <m/>
  </r>
  <r>
    <x v="6"/>
    <s v="Electrical and electronic goods retailing"/>
    <s v="2020-01-01"/>
    <x v="1"/>
    <s v="January  "/>
    <s v="1"/>
    <n v="478.2"/>
    <n v="2.5099999999999998"/>
  </r>
  <r>
    <x v="6"/>
    <s v="Electrical and electronic goods retailing"/>
    <s v="2020-02-01"/>
    <x v="1"/>
    <s v="February "/>
    <s v="2"/>
    <n v="426.9"/>
    <n v="4.5"/>
  </r>
  <r>
    <x v="6"/>
    <s v="Electrical and electronic goods retailing"/>
    <s v="2020-03-01"/>
    <x v="1"/>
    <s v="March    "/>
    <s v="3"/>
    <n v="492.7"/>
    <n v="12.9"/>
  </r>
  <r>
    <x v="6"/>
    <s v="Electrical and electronic goods retailing"/>
    <s v="2020-04-01"/>
    <x v="1"/>
    <s v="April    "/>
    <s v="4"/>
    <n v="454.2"/>
    <n v="11.95"/>
  </r>
  <r>
    <x v="6"/>
    <s v="Electrical and electronic goods retailing"/>
    <s v="2020-05-01"/>
    <x v="1"/>
    <s v="May      "/>
    <s v="5"/>
    <n v="571.1"/>
    <n v="25.85"/>
  </r>
  <r>
    <x v="6"/>
    <s v="Electrical and electronic goods retailing"/>
    <s v="2020-06-01"/>
    <x v="1"/>
    <s v="June     "/>
    <s v="6"/>
    <n v="621.9"/>
    <n v="16.66"/>
  </r>
  <r>
    <x v="6"/>
    <s v="Electrical and electronic goods retailing"/>
    <s v="2020-07-01"/>
    <x v="1"/>
    <s v="July     "/>
    <s v="7"/>
    <n v="589.70000000000005"/>
    <n v="27.2"/>
  </r>
  <r>
    <x v="6"/>
    <s v="Electrical and electronic goods retailing"/>
    <s v="2020-08-01"/>
    <x v="1"/>
    <s v="August   "/>
    <s v="8"/>
    <n v="393.1"/>
    <n v="-14.15"/>
  </r>
  <r>
    <x v="6"/>
    <s v="Electrical and electronic goods retailing"/>
    <s v="2020-09-01"/>
    <x v="1"/>
    <s v="September"/>
    <s v="9"/>
    <n v="396.1"/>
    <n v="-10.77"/>
  </r>
  <r>
    <x v="6"/>
    <s v="Electrical and electronic goods retailing"/>
    <s v="2020-10-01"/>
    <x v="1"/>
    <s v="October  "/>
    <s v="10"/>
    <n v="416.3"/>
    <n v="-8.65"/>
  </r>
  <r>
    <x v="6"/>
    <s v="Electrical and electronic goods retailing"/>
    <s v="2020-11-01"/>
    <x v="1"/>
    <s v="November "/>
    <s v="11"/>
    <n v="781.4"/>
    <n v="39.06"/>
  </r>
  <r>
    <x v="6"/>
    <s v="Electrical and electronic goods retailing"/>
    <s v="2020-12-01"/>
    <x v="1"/>
    <s v="December "/>
    <s v="12"/>
    <n v="817.7"/>
    <n v="7.34"/>
  </r>
  <r>
    <x v="6"/>
    <s v="Electrical and electronic goods retailing"/>
    <s v="2021-01-01"/>
    <x v="2"/>
    <s v="January  "/>
    <s v="1"/>
    <n v="545.5"/>
    <n v="14.07"/>
  </r>
  <r>
    <x v="6"/>
    <s v="Electrical and electronic goods retailing"/>
    <s v="2021-02-01"/>
    <x v="2"/>
    <s v="February "/>
    <s v="2"/>
    <n v="482"/>
    <n v="12.91"/>
  </r>
  <r>
    <x v="6"/>
    <s v="Electrical and electronic goods retailing"/>
    <s v="2021-03-01"/>
    <x v="2"/>
    <s v="March    "/>
    <s v="3"/>
    <n v="528.9"/>
    <n v="7.35"/>
  </r>
  <r>
    <x v="6"/>
    <s v="Electrical and electronic goods retailing"/>
    <s v="2021-04-01"/>
    <x v="2"/>
    <s v="April    "/>
    <s v="4"/>
    <n v="501.3"/>
    <n v="10.37"/>
  </r>
  <r>
    <x v="6"/>
    <s v="Electrical and electronic goods retailing"/>
    <s v="2021-05-01"/>
    <x v="2"/>
    <s v="May      "/>
    <s v="5"/>
    <n v="509"/>
    <n v="-10.87"/>
  </r>
  <r>
    <x v="6"/>
    <s v="Electrical and electronic goods retailing"/>
    <s v="2021-06-01"/>
    <x v="2"/>
    <s v="June     "/>
    <s v="6"/>
    <n v="591"/>
    <n v="-4.97"/>
  </r>
  <r>
    <x v="6"/>
    <s v="Electrical and electronic goods retailing"/>
    <s v="2021-07-01"/>
    <x v="2"/>
    <s v="July     "/>
    <s v="7"/>
    <n v="538.1"/>
    <n v="-8.75"/>
  </r>
  <r>
    <x v="6"/>
    <s v="Electrical and electronic goods retailing"/>
    <s v="2021-08-01"/>
    <x v="2"/>
    <s v="August   "/>
    <s v="8"/>
    <n v="512.29999999999995"/>
    <n v="30.32"/>
  </r>
  <r>
    <x v="6"/>
    <s v="Electrical and electronic goods retailing"/>
    <s v="2021-09-01"/>
    <x v="2"/>
    <s v="September"/>
    <s v="9"/>
    <n v="518.20000000000005"/>
    <n v="30.83"/>
  </r>
  <r>
    <x v="6"/>
    <s v="Electrical and electronic goods retailing"/>
    <s v="2021-10-01"/>
    <x v="2"/>
    <s v="October  "/>
    <s v="10"/>
    <n v="510"/>
    <n v="22.51"/>
  </r>
  <r>
    <x v="6"/>
    <s v="Electrical and electronic goods retailing"/>
    <s v="2021-11-01"/>
    <x v="2"/>
    <s v="November "/>
    <s v="11"/>
    <n v="899.6"/>
    <n v="15.13"/>
  </r>
  <r>
    <x v="6"/>
    <s v="Electrical and electronic goods retailing"/>
    <s v="2021-12-01"/>
    <x v="2"/>
    <s v="December "/>
    <s v="12"/>
    <n v="954.3"/>
    <n v="16.71"/>
  </r>
  <r>
    <x v="6"/>
    <s v="Electrical and electronic goods retailing"/>
    <s v="2022-01-01"/>
    <x v="3"/>
    <s v="January  "/>
    <s v="1"/>
    <n v="631.6"/>
    <n v="15.78"/>
  </r>
  <r>
    <x v="6"/>
    <s v="Electrical and electronic goods retailing"/>
    <s v="2022-02-01"/>
    <x v="3"/>
    <s v="February "/>
    <s v="2"/>
    <n v="572.20000000000005"/>
    <n v="18.71"/>
  </r>
  <r>
    <x v="6"/>
    <s v="Electrical and electronic goods retailing"/>
    <s v="2022-03-01"/>
    <x v="3"/>
    <s v="March    "/>
    <s v="3"/>
    <n v="627.79999999999995"/>
    <n v="18.7"/>
  </r>
  <r>
    <x v="6"/>
    <s v="Electrical and electronic goods retailing"/>
    <s v="2022-04-01"/>
    <x v="3"/>
    <s v="April    "/>
    <s v="4"/>
    <n v="565.6"/>
    <n v="12.83"/>
  </r>
  <r>
    <x v="6"/>
    <s v="Electrical and electronic goods retailing"/>
    <s v="2022-05-01"/>
    <x v="3"/>
    <s v="May      "/>
    <s v="5"/>
    <n v="590"/>
    <n v="15.91"/>
  </r>
  <r>
    <x v="6"/>
    <s v="Electrical and electronic goods retailing"/>
    <s v="2022-06-01"/>
    <x v="3"/>
    <s v="June     "/>
    <s v="6"/>
    <n v="653.70000000000005"/>
    <n v="10.61"/>
  </r>
  <r>
    <x v="6"/>
    <s v="Electrical and electronic goods retailing"/>
    <s v="2022-07-01"/>
    <x v="3"/>
    <s v="July     "/>
    <s v="7"/>
    <n v="604"/>
    <n v="12.25"/>
  </r>
  <r>
    <x v="6"/>
    <s v="Electrical and electronic goods retailing"/>
    <s v="2022-08-01"/>
    <x v="3"/>
    <s v="August   "/>
    <s v="8"/>
    <n v="590.1"/>
    <n v="15.19"/>
  </r>
  <r>
    <x v="6"/>
    <s v="Electrical and electronic goods retailing"/>
    <s v="2022-09-01"/>
    <x v="3"/>
    <s v="September"/>
    <s v="9"/>
    <n v="606.70000000000005"/>
    <n v="17.079999999999998"/>
  </r>
  <r>
    <x v="6"/>
    <s v="Electrical and electronic goods retailing"/>
    <s v="2022-10-01"/>
    <x v="3"/>
    <s v="October  "/>
    <s v="10"/>
    <n v="610.20000000000005"/>
    <n v="19.649999999999999"/>
  </r>
  <r>
    <x v="6"/>
    <s v="Electrical and electronic goods retailing"/>
    <s v="2022-11-01"/>
    <x v="3"/>
    <s v="November "/>
    <s v="11"/>
    <n v="747.6"/>
    <n v="-16.899999999999999"/>
  </r>
  <r>
    <x v="6"/>
    <s v="Electrical and electronic goods retailing"/>
    <s v="2022-12-01"/>
    <x v="3"/>
    <s v="December "/>
    <s v="12"/>
    <n v="843.6"/>
    <n v="-11.6"/>
  </r>
  <r>
    <x v="6"/>
    <s v="Electrical and electronic goods retailing"/>
    <s v="2023-01-01"/>
    <x v="4"/>
    <s v="January  "/>
    <s v="1"/>
    <n v="585.4"/>
    <n v="-7.31"/>
  </r>
  <r>
    <x v="6"/>
    <s v="Electrical and electronic goods retailing"/>
    <s v="2023-02-01"/>
    <x v="4"/>
    <s v="February "/>
    <s v="2"/>
    <n v="518.1"/>
    <n v="-9.4499999999999993"/>
  </r>
  <r>
    <x v="6"/>
    <s v="Electrical and electronic goods retailing"/>
    <s v="2023-03-01"/>
    <x v="4"/>
    <s v="March    "/>
    <s v="3"/>
    <n v="556.20000000000005"/>
    <n v="-11.4"/>
  </r>
  <r>
    <x v="6"/>
    <s v="Electrical and electronic goods retailing"/>
    <s v="2023-04-01"/>
    <x v="4"/>
    <s v="April    "/>
    <s v="4"/>
    <n v="502.4"/>
    <n v="-11.17"/>
  </r>
  <r>
    <x v="6"/>
    <s v="Electrical and electronic goods retailing"/>
    <s v="2023-05-01"/>
    <x v="4"/>
    <s v="May      "/>
    <s v="5"/>
    <n v="561.79999999999995"/>
    <n v="-4.78"/>
  </r>
  <r>
    <x v="6"/>
    <s v="Electrical and electronic goods retailing"/>
    <s v="2023-06-01"/>
    <x v="4"/>
    <s v="June     "/>
    <s v="6"/>
    <n v="651.6"/>
    <n v="-0.32"/>
  </r>
  <r>
    <x v="6"/>
    <s v="Electrical and electronic goods retailing"/>
    <s v="2023-07-01"/>
    <x v="4"/>
    <s v="July     "/>
    <s v="7"/>
    <n v="559.1"/>
    <n v="-7.43"/>
  </r>
  <r>
    <x v="6"/>
    <s v="Electrical and electronic goods retailing"/>
    <s v="2023-08-01"/>
    <x v="4"/>
    <s v="August   "/>
    <s v="8"/>
    <n v="547.5"/>
    <n v="-7.22"/>
  </r>
  <r>
    <x v="6"/>
    <s v="Electrical and electronic goods retailing"/>
    <s v="2023-09-01"/>
    <x v="4"/>
    <s v="September"/>
    <s v="9"/>
    <n v="560.6"/>
    <n v="-7.6"/>
  </r>
  <r>
    <x v="6"/>
    <s v="Electrical and electronic goods retailing"/>
    <s v="2023-10-01"/>
    <x v="4"/>
    <s v="October  "/>
    <s v="10"/>
    <n v="575.9"/>
    <n v="-5.62"/>
  </r>
  <r>
    <x v="6"/>
    <s v="Electrical and electronic goods retailing"/>
    <s v="2023-11-01"/>
    <x v="4"/>
    <s v="November "/>
    <s v="11"/>
    <n v="737.6"/>
    <n v="-1.34"/>
  </r>
  <r>
    <x v="6"/>
    <s v="Electrical and electronic goods retailing"/>
    <s v="2023-12-01"/>
    <x v="4"/>
    <s v="December "/>
    <s v="12"/>
    <n v="812.9"/>
    <n v="-3.64"/>
  </r>
  <r>
    <x v="6"/>
    <s v="Electrical and electronic goods retailing"/>
    <s v="2024-01-01"/>
    <x v="5"/>
    <s v="January  "/>
    <s v="1"/>
    <n v="539.70000000000005"/>
    <n v="-7.81"/>
  </r>
  <r>
    <x v="6"/>
    <s v="Electrical and electronic goods retailing"/>
    <s v="2024-02-01"/>
    <x v="5"/>
    <s v="February "/>
    <s v="2"/>
    <n v="509.5"/>
    <n v="-1.66"/>
  </r>
  <r>
    <x v="6"/>
    <s v="Electrical and electronic goods retailing"/>
    <s v="2024-03-01"/>
    <x v="5"/>
    <s v="March    "/>
    <s v="3"/>
    <n v="510.2"/>
    <n v="-8.27"/>
  </r>
  <r>
    <x v="6"/>
    <s v="Electrical and electronic goods retailing"/>
    <s v="2024-04-01"/>
    <x v="5"/>
    <s v="April    "/>
    <s v="4"/>
    <n v="489.9"/>
    <n v="-2.4900000000000002"/>
  </r>
  <r>
    <x v="6"/>
    <s v="Electrical and electronic goods retailing"/>
    <s v="2024-05-01"/>
    <x v="5"/>
    <s v="May      "/>
    <s v="5"/>
    <n v="526"/>
    <n v="-6.37"/>
  </r>
  <r>
    <x v="6"/>
    <s v="Electrical and electronic goods retailing"/>
    <s v="2024-06-01"/>
    <x v="5"/>
    <s v="June     "/>
    <s v="6"/>
    <n v="623.6"/>
    <n v="-4.3"/>
  </r>
  <r>
    <x v="6"/>
    <s v="Electrical and electronic goods retailing"/>
    <s v="2024-07-01"/>
    <x v="5"/>
    <s v="July     "/>
    <s v="7"/>
    <n v="555.70000000000005"/>
    <n v="-0.61"/>
  </r>
  <r>
    <x v="6"/>
    <s v="Electrical and electronic goods retailing"/>
    <s v="2024-08-01"/>
    <x v="5"/>
    <s v="August   "/>
    <s v="8"/>
    <n v="539.9"/>
    <n v="-1.39"/>
  </r>
  <r>
    <x v="6"/>
    <s v="Electrical and electronic goods retailing"/>
    <s v="2024-09-01"/>
    <x v="5"/>
    <s v="September"/>
    <s v="9"/>
    <n v="542.9"/>
    <n v="-3.16"/>
  </r>
  <r>
    <x v="6"/>
    <s v="Electrical and electronic goods retailing"/>
    <s v="2024-10-01"/>
    <x v="5"/>
    <s v="October  "/>
    <s v="10"/>
    <n v="599.9"/>
    <n v="4.17"/>
  </r>
  <r>
    <x v="6"/>
    <s v="Electrical and electronic goods retailing"/>
    <s v="2024-11-01"/>
    <x v="5"/>
    <s v="November "/>
    <s v="11"/>
    <n v="796.1"/>
    <n v="7.93"/>
  </r>
  <r>
    <x v="6"/>
    <s v="Electrical and electronic goods retailing"/>
    <s v="2024-12-01"/>
    <x v="5"/>
    <s v="December "/>
    <s v="12"/>
    <n v="922.3"/>
    <n v="13.46"/>
  </r>
  <r>
    <x v="6"/>
    <s v="Electrical and electronic goods retailing"/>
    <s v="2025-01-01"/>
    <x v="6"/>
    <s v="January  "/>
    <s v="1"/>
    <n v="573.9"/>
    <n v="6.34"/>
  </r>
  <r>
    <x v="6"/>
    <s v="Electrical and electronic goods retailing"/>
    <s v="2025-02-01"/>
    <x v="6"/>
    <s v="February "/>
    <s v="2"/>
    <n v="527.1"/>
    <n v="3.45"/>
  </r>
  <r>
    <x v="6"/>
    <s v="Electrical and electronic goods retailing"/>
    <s v="2025-03-01"/>
    <x v="6"/>
    <s v="March    "/>
    <s v="3"/>
    <n v="551.29999999999995"/>
    <n v="8.06"/>
  </r>
  <r>
    <x v="6"/>
    <s v="Electrical and electronic goods retailing"/>
    <s v="2025-04-01"/>
    <x v="6"/>
    <s v="April    "/>
    <s v="4"/>
    <n v="526.70000000000005"/>
    <n v="7.51"/>
  </r>
  <r>
    <x v="6"/>
    <s v="Electrical and electronic goods retailing"/>
    <s v="2025-05-01"/>
    <x v="6"/>
    <s v="May      "/>
    <s v="5"/>
    <n v="577.79999999999995"/>
    <n v="9.85"/>
  </r>
  <r>
    <x v="6"/>
    <s v="Electrical and electronic goods retailing"/>
    <s v="2025-06-01"/>
    <x v="6"/>
    <s v="June     "/>
    <s v="6"/>
    <n v="703.8"/>
    <n v="12.86"/>
  </r>
  <r>
    <x v="6"/>
    <s v="Footwear and other personal accessory retailing"/>
    <s v="2019-01-01"/>
    <x v="0"/>
    <s v="January  "/>
    <s v="1"/>
    <n v="169.7"/>
    <m/>
  </r>
  <r>
    <x v="6"/>
    <s v="Footwear and other personal accessory retailing"/>
    <s v="2019-02-01"/>
    <x v="0"/>
    <s v="February "/>
    <s v="2"/>
    <n v="159.69999999999999"/>
    <m/>
  </r>
  <r>
    <x v="6"/>
    <s v="Footwear and other personal accessory retailing"/>
    <s v="2019-03-01"/>
    <x v="0"/>
    <s v="March    "/>
    <s v="3"/>
    <n v="169.4"/>
    <m/>
  </r>
  <r>
    <x v="6"/>
    <s v="Footwear and other personal accessory retailing"/>
    <s v="2019-04-01"/>
    <x v="0"/>
    <s v="April    "/>
    <s v="4"/>
    <n v="171.2"/>
    <m/>
  </r>
  <r>
    <x v="6"/>
    <s v="Footwear and other personal accessory retailing"/>
    <s v="2019-05-01"/>
    <x v="0"/>
    <s v="May      "/>
    <s v="5"/>
    <n v="190.6"/>
    <m/>
  </r>
  <r>
    <x v="6"/>
    <s v="Footwear and other personal accessory retailing"/>
    <s v="2019-06-01"/>
    <x v="0"/>
    <s v="June     "/>
    <s v="6"/>
    <n v="176.2"/>
    <m/>
  </r>
  <r>
    <x v="6"/>
    <s v="Footwear and other personal accessory retailing"/>
    <s v="2019-07-01"/>
    <x v="0"/>
    <s v="July     "/>
    <s v="7"/>
    <n v="164.8"/>
    <m/>
  </r>
  <r>
    <x v="6"/>
    <s v="Footwear and other personal accessory retailing"/>
    <s v="2019-08-01"/>
    <x v="0"/>
    <s v="August   "/>
    <s v="8"/>
    <n v="174.1"/>
    <m/>
  </r>
  <r>
    <x v="6"/>
    <s v="Footwear and other personal accessory retailing"/>
    <s v="2019-09-01"/>
    <x v="0"/>
    <s v="September"/>
    <s v="9"/>
    <n v="158.9"/>
    <m/>
  </r>
  <r>
    <x v="6"/>
    <s v="Footwear and other personal accessory retailing"/>
    <s v="2019-10-01"/>
    <x v="0"/>
    <s v="October  "/>
    <s v="10"/>
    <n v="180.7"/>
    <m/>
  </r>
  <r>
    <x v="6"/>
    <s v="Footwear and other personal accessory retailing"/>
    <s v="2019-11-01"/>
    <x v="0"/>
    <s v="November "/>
    <s v="11"/>
    <n v="204.8"/>
    <m/>
  </r>
  <r>
    <x v="6"/>
    <s v="Footwear and other personal accessory retailing"/>
    <s v="2019-12-01"/>
    <x v="0"/>
    <s v="December "/>
    <s v="12"/>
    <n v="322.2"/>
    <m/>
  </r>
  <r>
    <x v="6"/>
    <s v="Footwear and other personal accessory retailing"/>
    <s v="2020-01-01"/>
    <x v="1"/>
    <s v="January  "/>
    <s v="1"/>
    <n v="178.8"/>
    <n v="5.36"/>
  </r>
  <r>
    <x v="6"/>
    <s v="Footwear and other personal accessory retailing"/>
    <s v="2020-02-01"/>
    <x v="1"/>
    <s v="February "/>
    <s v="2"/>
    <n v="150"/>
    <n v="-6.07"/>
  </r>
  <r>
    <x v="6"/>
    <s v="Footwear and other personal accessory retailing"/>
    <s v="2020-03-01"/>
    <x v="1"/>
    <s v="March    "/>
    <s v="3"/>
    <n v="123.9"/>
    <n v="-26.86"/>
  </r>
  <r>
    <x v="6"/>
    <s v="Footwear and other personal accessory retailing"/>
    <s v="2020-04-01"/>
    <x v="1"/>
    <s v="April    "/>
    <s v="4"/>
    <n v="61.6"/>
    <n v="-64.02"/>
  </r>
  <r>
    <x v="6"/>
    <s v="Footwear and other personal accessory retailing"/>
    <s v="2020-05-01"/>
    <x v="1"/>
    <s v="May      "/>
    <s v="5"/>
    <n v="126.9"/>
    <n v="-33.42"/>
  </r>
  <r>
    <x v="6"/>
    <s v="Footwear and other personal accessory retailing"/>
    <s v="2020-06-01"/>
    <x v="1"/>
    <s v="June     "/>
    <s v="6"/>
    <n v="155.1"/>
    <n v="-11.98"/>
  </r>
  <r>
    <x v="6"/>
    <s v="Footwear and other personal accessory retailing"/>
    <s v="2020-07-01"/>
    <x v="1"/>
    <s v="July     "/>
    <s v="7"/>
    <n v="109.4"/>
    <n v="-33.619999999999997"/>
  </r>
  <r>
    <x v="6"/>
    <s v="Footwear and other personal accessory retailing"/>
    <s v="2020-08-01"/>
    <x v="1"/>
    <s v="August   "/>
    <s v="8"/>
    <n v="78.400000000000006"/>
    <n v="-54.97"/>
  </r>
  <r>
    <x v="6"/>
    <s v="Footwear and other personal accessory retailing"/>
    <s v="2020-09-01"/>
    <x v="1"/>
    <s v="September"/>
    <s v="9"/>
    <n v="69.7"/>
    <n v="-56.14"/>
  </r>
  <r>
    <x v="6"/>
    <s v="Footwear and other personal accessory retailing"/>
    <s v="2020-10-01"/>
    <x v="1"/>
    <s v="October  "/>
    <s v="10"/>
    <n v="102.3"/>
    <n v="-43.39"/>
  </r>
  <r>
    <x v="6"/>
    <s v="Footwear and other personal accessory retailing"/>
    <s v="2020-11-01"/>
    <x v="1"/>
    <s v="November "/>
    <s v="11"/>
    <n v="229.7"/>
    <n v="12.16"/>
  </r>
  <r>
    <x v="6"/>
    <s v="Footwear and other personal accessory retailing"/>
    <s v="2020-12-01"/>
    <x v="1"/>
    <s v="December "/>
    <s v="12"/>
    <n v="331.5"/>
    <n v="2.89"/>
  </r>
  <r>
    <x v="6"/>
    <s v="Footwear and other personal accessory retailing"/>
    <s v="2021-01-01"/>
    <x v="2"/>
    <s v="January  "/>
    <s v="1"/>
    <n v="190.7"/>
    <n v="6.66"/>
  </r>
  <r>
    <x v="6"/>
    <s v="Footwear and other personal accessory retailing"/>
    <s v="2021-02-01"/>
    <x v="2"/>
    <s v="February "/>
    <s v="2"/>
    <n v="154.9"/>
    <n v="3.27"/>
  </r>
  <r>
    <x v="6"/>
    <s v="Footwear and other personal accessory retailing"/>
    <s v="2021-03-01"/>
    <x v="2"/>
    <s v="March    "/>
    <s v="3"/>
    <n v="197.5"/>
    <n v="59.4"/>
  </r>
  <r>
    <x v="6"/>
    <s v="Footwear and other personal accessory retailing"/>
    <s v="2021-04-01"/>
    <x v="2"/>
    <s v="April    "/>
    <s v="4"/>
    <n v="193.9"/>
    <n v="214.77"/>
  </r>
  <r>
    <x v="6"/>
    <s v="Footwear and other personal accessory retailing"/>
    <s v="2021-05-01"/>
    <x v="2"/>
    <s v="May      "/>
    <s v="5"/>
    <n v="199.2"/>
    <n v="56.97"/>
  </r>
  <r>
    <x v="6"/>
    <s v="Footwear and other personal accessory retailing"/>
    <s v="2021-06-01"/>
    <x v="2"/>
    <s v="June     "/>
    <s v="6"/>
    <n v="158.30000000000001"/>
    <n v="2.06"/>
  </r>
  <r>
    <x v="6"/>
    <s v="Footwear and other personal accessory retailing"/>
    <s v="2021-07-01"/>
    <x v="2"/>
    <s v="July     "/>
    <s v="7"/>
    <n v="176.4"/>
    <n v="61.24"/>
  </r>
  <r>
    <x v="6"/>
    <s v="Footwear and other personal accessory retailing"/>
    <s v="2021-08-01"/>
    <x v="2"/>
    <s v="August   "/>
    <s v="8"/>
    <n v="123.5"/>
    <n v="57.53"/>
  </r>
  <r>
    <x v="6"/>
    <s v="Footwear and other personal accessory retailing"/>
    <s v="2021-09-01"/>
    <x v="2"/>
    <s v="September"/>
    <s v="9"/>
    <n v="115.6"/>
    <n v="65.849999999999994"/>
  </r>
  <r>
    <x v="6"/>
    <s v="Footwear and other personal accessory retailing"/>
    <s v="2021-10-01"/>
    <x v="2"/>
    <s v="October  "/>
    <s v="10"/>
    <n v="133.19999999999999"/>
    <n v="30.21"/>
  </r>
  <r>
    <x v="6"/>
    <s v="Footwear and other personal accessory retailing"/>
    <s v="2021-11-01"/>
    <x v="2"/>
    <s v="November "/>
    <s v="11"/>
    <n v="307.60000000000002"/>
    <n v="33.909999999999997"/>
  </r>
  <r>
    <x v="6"/>
    <s v="Footwear and other personal accessory retailing"/>
    <s v="2021-12-01"/>
    <x v="2"/>
    <s v="December "/>
    <s v="12"/>
    <n v="377.9"/>
    <n v="14"/>
  </r>
  <r>
    <x v="6"/>
    <s v="Footwear and other personal accessory retailing"/>
    <s v="2022-01-01"/>
    <x v="3"/>
    <s v="January  "/>
    <s v="1"/>
    <n v="225.6"/>
    <n v="18.3"/>
  </r>
  <r>
    <x v="6"/>
    <s v="Footwear and other personal accessory retailing"/>
    <s v="2022-02-01"/>
    <x v="3"/>
    <s v="February "/>
    <s v="2"/>
    <n v="204.8"/>
    <n v="32.21"/>
  </r>
  <r>
    <x v="6"/>
    <s v="Footwear and other personal accessory retailing"/>
    <s v="2022-03-01"/>
    <x v="3"/>
    <s v="March    "/>
    <s v="3"/>
    <n v="229.8"/>
    <n v="16.350000000000001"/>
  </r>
  <r>
    <x v="6"/>
    <s v="Footwear and other personal accessory retailing"/>
    <s v="2022-04-01"/>
    <x v="3"/>
    <s v="April    "/>
    <s v="4"/>
    <n v="240.4"/>
    <n v="23.98"/>
  </r>
  <r>
    <x v="6"/>
    <s v="Footwear and other personal accessory retailing"/>
    <s v="2022-05-01"/>
    <x v="3"/>
    <s v="May      "/>
    <s v="5"/>
    <n v="241.1"/>
    <n v="21.03"/>
  </r>
  <r>
    <x v="6"/>
    <s v="Footwear and other personal accessory retailing"/>
    <s v="2022-06-01"/>
    <x v="3"/>
    <s v="June     "/>
    <s v="6"/>
    <n v="220.7"/>
    <n v="39.42"/>
  </r>
  <r>
    <x v="6"/>
    <s v="Footwear and other personal accessory retailing"/>
    <s v="2022-07-01"/>
    <x v="3"/>
    <s v="July     "/>
    <s v="7"/>
    <n v="225.3"/>
    <n v="27.72"/>
  </r>
  <r>
    <x v="6"/>
    <s v="Footwear and other personal accessory retailing"/>
    <s v="2022-08-01"/>
    <x v="3"/>
    <s v="August   "/>
    <s v="8"/>
    <n v="231.3"/>
    <n v="87.29"/>
  </r>
  <r>
    <x v="6"/>
    <s v="Footwear and other personal accessory retailing"/>
    <s v="2022-09-01"/>
    <x v="3"/>
    <s v="September"/>
    <s v="9"/>
    <n v="236.1"/>
    <n v="104.24"/>
  </r>
  <r>
    <x v="6"/>
    <s v="Footwear and other personal accessory retailing"/>
    <s v="2022-10-01"/>
    <x v="3"/>
    <s v="October  "/>
    <s v="10"/>
    <n v="244.5"/>
    <n v="83.56"/>
  </r>
  <r>
    <x v="6"/>
    <s v="Footwear and other personal accessory retailing"/>
    <s v="2022-11-01"/>
    <x v="3"/>
    <s v="November "/>
    <s v="11"/>
    <n v="310.89999999999998"/>
    <n v="1.07"/>
  </r>
  <r>
    <x v="6"/>
    <s v="Footwear and other personal accessory retailing"/>
    <s v="2022-12-01"/>
    <x v="3"/>
    <s v="December "/>
    <s v="12"/>
    <n v="429.9"/>
    <n v="13.76"/>
  </r>
  <r>
    <x v="6"/>
    <s v="Footwear and other personal accessory retailing"/>
    <s v="2023-01-01"/>
    <x v="4"/>
    <s v="January  "/>
    <s v="1"/>
    <n v="242.2"/>
    <n v="7.36"/>
  </r>
  <r>
    <x v="6"/>
    <s v="Footwear and other personal accessory retailing"/>
    <s v="2023-02-01"/>
    <x v="4"/>
    <s v="February "/>
    <s v="2"/>
    <n v="220.2"/>
    <n v="7.52"/>
  </r>
  <r>
    <x v="6"/>
    <s v="Footwear and other personal accessory retailing"/>
    <s v="2023-03-01"/>
    <x v="4"/>
    <s v="March    "/>
    <s v="3"/>
    <n v="223"/>
    <n v="-2.96"/>
  </r>
  <r>
    <x v="6"/>
    <s v="Footwear and other personal accessory retailing"/>
    <s v="2023-04-01"/>
    <x v="4"/>
    <s v="April    "/>
    <s v="4"/>
    <n v="217.8"/>
    <n v="-9.4"/>
  </r>
  <r>
    <x v="6"/>
    <s v="Footwear and other personal accessory retailing"/>
    <s v="2023-05-01"/>
    <x v="4"/>
    <s v="May      "/>
    <s v="5"/>
    <n v="244.5"/>
    <n v="1.41"/>
  </r>
  <r>
    <x v="6"/>
    <s v="Footwear and other personal accessory retailing"/>
    <s v="2023-06-01"/>
    <x v="4"/>
    <s v="June     "/>
    <s v="6"/>
    <n v="224"/>
    <n v="1.5"/>
  </r>
  <r>
    <x v="6"/>
    <s v="Footwear and other personal accessory retailing"/>
    <s v="2023-07-01"/>
    <x v="4"/>
    <s v="July     "/>
    <s v="7"/>
    <n v="209.2"/>
    <n v="-7.15"/>
  </r>
  <r>
    <x v="6"/>
    <s v="Footwear and other personal accessory retailing"/>
    <s v="2023-08-01"/>
    <x v="4"/>
    <s v="August   "/>
    <s v="8"/>
    <n v="230.4"/>
    <n v="-0.39"/>
  </r>
  <r>
    <x v="6"/>
    <s v="Footwear and other personal accessory retailing"/>
    <s v="2023-09-01"/>
    <x v="4"/>
    <s v="September"/>
    <s v="9"/>
    <n v="221"/>
    <n v="-6.4"/>
  </r>
  <r>
    <x v="6"/>
    <s v="Footwear and other personal accessory retailing"/>
    <s v="2023-10-01"/>
    <x v="4"/>
    <s v="October  "/>
    <s v="10"/>
    <n v="244.5"/>
    <n v="0"/>
  </r>
  <r>
    <x v="6"/>
    <s v="Footwear and other personal accessory retailing"/>
    <s v="2023-11-01"/>
    <x v="4"/>
    <s v="November "/>
    <s v="11"/>
    <n v="291.8"/>
    <n v="-6.14"/>
  </r>
  <r>
    <x v="6"/>
    <s v="Footwear and other personal accessory retailing"/>
    <s v="2023-12-01"/>
    <x v="4"/>
    <s v="December "/>
    <s v="12"/>
    <n v="411.5"/>
    <n v="-4.28"/>
  </r>
  <r>
    <x v="6"/>
    <s v="Footwear and other personal accessory retailing"/>
    <s v="2024-01-01"/>
    <x v="5"/>
    <s v="January  "/>
    <s v="1"/>
    <n v="231.1"/>
    <n v="-4.58"/>
  </r>
  <r>
    <x v="6"/>
    <s v="Footwear and other personal accessory retailing"/>
    <s v="2024-02-01"/>
    <x v="5"/>
    <s v="February "/>
    <s v="2"/>
    <n v="230.3"/>
    <n v="4.59"/>
  </r>
  <r>
    <x v="6"/>
    <s v="Footwear and other personal accessory retailing"/>
    <s v="2024-03-01"/>
    <x v="5"/>
    <s v="March    "/>
    <s v="3"/>
    <n v="245.2"/>
    <n v="9.9600000000000009"/>
  </r>
  <r>
    <x v="6"/>
    <s v="Footwear and other personal accessory retailing"/>
    <s v="2024-04-01"/>
    <x v="5"/>
    <s v="April    "/>
    <s v="4"/>
    <n v="234.7"/>
    <n v="7.76"/>
  </r>
  <r>
    <x v="6"/>
    <s v="Footwear and other personal accessory retailing"/>
    <s v="2024-05-01"/>
    <x v="5"/>
    <s v="May      "/>
    <s v="5"/>
    <n v="256.5"/>
    <n v="4.91"/>
  </r>
  <r>
    <x v="6"/>
    <s v="Footwear and other personal accessory retailing"/>
    <s v="2024-06-01"/>
    <x v="5"/>
    <s v="June     "/>
    <s v="6"/>
    <n v="230.4"/>
    <n v="2.86"/>
  </r>
  <r>
    <x v="6"/>
    <s v="Footwear and other personal accessory retailing"/>
    <s v="2024-07-01"/>
    <x v="5"/>
    <s v="July     "/>
    <s v="7"/>
    <n v="219.4"/>
    <n v="4.88"/>
  </r>
  <r>
    <x v="6"/>
    <s v="Footwear and other personal accessory retailing"/>
    <s v="2024-08-01"/>
    <x v="5"/>
    <s v="August   "/>
    <s v="8"/>
    <n v="235.7"/>
    <n v="2.2999999999999998"/>
  </r>
  <r>
    <x v="6"/>
    <s v="Footwear and other personal accessory retailing"/>
    <s v="2024-09-01"/>
    <x v="5"/>
    <s v="September"/>
    <s v="9"/>
    <n v="225.1"/>
    <n v="1.86"/>
  </r>
  <r>
    <x v="6"/>
    <s v="Footwear and other personal accessory retailing"/>
    <s v="2024-10-01"/>
    <x v="5"/>
    <s v="October  "/>
    <s v="10"/>
    <n v="244.1"/>
    <n v="-0.16"/>
  </r>
  <r>
    <x v="6"/>
    <s v="Footwear and other personal accessory retailing"/>
    <s v="2024-11-01"/>
    <x v="5"/>
    <s v="November "/>
    <s v="11"/>
    <n v="295"/>
    <n v="1.1000000000000001"/>
  </r>
  <r>
    <x v="6"/>
    <s v="Footwear and other personal accessory retailing"/>
    <s v="2024-12-01"/>
    <x v="5"/>
    <s v="December "/>
    <s v="12"/>
    <n v="406.4"/>
    <n v="-1.24"/>
  </r>
  <r>
    <x v="6"/>
    <s v="Footwear and other personal accessory retailing"/>
    <s v="2025-01-01"/>
    <x v="6"/>
    <s v="January  "/>
    <s v="1"/>
    <n v="239.8"/>
    <n v="3.76"/>
  </r>
  <r>
    <x v="6"/>
    <s v="Footwear and other personal accessory retailing"/>
    <s v="2025-02-01"/>
    <x v="6"/>
    <s v="February "/>
    <s v="2"/>
    <n v="212.3"/>
    <n v="-7.82"/>
  </r>
  <r>
    <x v="6"/>
    <s v="Footwear and other personal accessory retailing"/>
    <s v="2025-03-01"/>
    <x v="6"/>
    <s v="March    "/>
    <s v="3"/>
    <n v="235.7"/>
    <n v="-3.87"/>
  </r>
  <r>
    <x v="6"/>
    <s v="Footwear and other personal accessory retailing"/>
    <s v="2025-04-01"/>
    <x v="6"/>
    <s v="April    "/>
    <s v="4"/>
    <n v="213.7"/>
    <n v="-8.9499999999999993"/>
  </r>
  <r>
    <x v="6"/>
    <s v="Footwear and other personal accessory retailing"/>
    <s v="2025-05-01"/>
    <x v="6"/>
    <s v="May      "/>
    <s v="5"/>
    <n v="245.7"/>
    <n v="-4.21"/>
  </r>
  <r>
    <x v="6"/>
    <s v="Footwear and other personal accessory retailing"/>
    <s v="2025-06-01"/>
    <x v="6"/>
    <s v="June     "/>
    <s v="6"/>
    <n v="216.9"/>
    <n v="-5.86"/>
  </r>
  <r>
    <x v="6"/>
    <s v="Furniture, floor coverings, houseware and textile goods retailing"/>
    <s v="2019-01-01"/>
    <x v="0"/>
    <s v="January  "/>
    <s v="1"/>
    <n v="308.8"/>
    <m/>
  </r>
  <r>
    <x v="6"/>
    <s v="Furniture, floor coverings, houseware and textile goods retailing"/>
    <s v="2019-02-01"/>
    <x v="0"/>
    <s v="February "/>
    <s v="2"/>
    <n v="275.10000000000002"/>
    <m/>
  </r>
  <r>
    <x v="6"/>
    <s v="Furniture, floor coverings, houseware and textile goods retailing"/>
    <s v="2019-03-01"/>
    <x v="0"/>
    <s v="March    "/>
    <s v="3"/>
    <n v="311.2"/>
    <m/>
  </r>
  <r>
    <x v="6"/>
    <s v="Furniture, floor coverings, houseware and textile goods retailing"/>
    <s v="2019-04-01"/>
    <x v="0"/>
    <s v="April    "/>
    <s v="4"/>
    <n v="286.60000000000002"/>
    <m/>
  </r>
  <r>
    <x v="6"/>
    <s v="Furniture, floor coverings, houseware and textile goods retailing"/>
    <s v="2019-05-01"/>
    <x v="0"/>
    <s v="May      "/>
    <s v="5"/>
    <n v="321"/>
    <m/>
  </r>
  <r>
    <x v="6"/>
    <s v="Furniture, floor coverings, houseware and textile goods retailing"/>
    <s v="2019-06-01"/>
    <x v="0"/>
    <s v="June     "/>
    <s v="6"/>
    <n v="336.3"/>
    <m/>
  </r>
  <r>
    <x v="6"/>
    <s v="Furniture, floor coverings, houseware and textile goods retailing"/>
    <s v="2019-07-01"/>
    <x v="0"/>
    <s v="July     "/>
    <s v="7"/>
    <n v="314.3"/>
    <m/>
  </r>
  <r>
    <x v="6"/>
    <s v="Furniture, floor coverings, houseware and textile goods retailing"/>
    <s v="2019-08-01"/>
    <x v="0"/>
    <s v="August   "/>
    <s v="8"/>
    <n v="308.8"/>
    <m/>
  </r>
  <r>
    <x v="6"/>
    <s v="Furniture, floor coverings, houseware and textile goods retailing"/>
    <s v="2019-09-01"/>
    <x v="0"/>
    <s v="September"/>
    <s v="9"/>
    <n v="299.8"/>
    <m/>
  </r>
  <r>
    <x v="6"/>
    <s v="Furniture, floor coverings, houseware and textile goods retailing"/>
    <s v="2019-10-01"/>
    <x v="0"/>
    <s v="October  "/>
    <s v="10"/>
    <n v="320.5"/>
    <m/>
  </r>
  <r>
    <x v="6"/>
    <s v="Furniture, floor coverings, houseware and textile goods retailing"/>
    <s v="2019-11-01"/>
    <x v="0"/>
    <s v="November "/>
    <s v="11"/>
    <n v="359.1"/>
    <m/>
  </r>
  <r>
    <x v="6"/>
    <s v="Furniture, floor coverings, houseware and textile goods retailing"/>
    <s v="2019-12-01"/>
    <x v="0"/>
    <s v="December "/>
    <s v="12"/>
    <n v="408.6"/>
    <m/>
  </r>
  <r>
    <x v="6"/>
    <s v="Furniture, floor coverings, houseware and textile goods retailing"/>
    <s v="2020-01-01"/>
    <x v="1"/>
    <s v="January  "/>
    <s v="1"/>
    <n v="319.8"/>
    <n v="3.56"/>
  </r>
  <r>
    <x v="6"/>
    <s v="Furniture, floor coverings, houseware and textile goods retailing"/>
    <s v="2020-02-01"/>
    <x v="1"/>
    <s v="February "/>
    <s v="2"/>
    <n v="297.2"/>
    <n v="8.0299999999999994"/>
  </r>
  <r>
    <x v="6"/>
    <s v="Furniture, floor coverings, houseware and textile goods retailing"/>
    <s v="2020-03-01"/>
    <x v="1"/>
    <s v="March    "/>
    <s v="3"/>
    <n v="286.5"/>
    <n v="-7.94"/>
  </r>
  <r>
    <x v="6"/>
    <s v="Furniture, floor coverings, houseware and textile goods retailing"/>
    <s v="2020-04-01"/>
    <x v="1"/>
    <s v="April    "/>
    <s v="4"/>
    <n v="228.8"/>
    <n v="-20.170000000000002"/>
  </r>
  <r>
    <x v="6"/>
    <s v="Furniture, floor coverings, houseware and textile goods retailing"/>
    <s v="2020-05-01"/>
    <x v="1"/>
    <s v="May      "/>
    <s v="5"/>
    <n v="342.2"/>
    <n v="6.6"/>
  </r>
  <r>
    <x v="6"/>
    <s v="Furniture, floor coverings, houseware and textile goods retailing"/>
    <s v="2020-06-01"/>
    <x v="1"/>
    <s v="June     "/>
    <s v="6"/>
    <n v="387.1"/>
    <n v="15.11"/>
  </r>
  <r>
    <x v="6"/>
    <s v="Furniture, floor coverings, houseware and textile goods retailing"/>
    <s v="2020-07-01"/>
    <x v="1"/>
    <s v="July     "/>
    <s v="7"/>
    <n v="356.5"/>
    <n v="13.43"/>
  </r>
  <r>
    <x v="6"/>
    <s v="Furniture, floor coverings, houseware and textile goods retailing"/>
    <s v="2020-08-01"/>
    <x v="1"/>
    <s v="August   "/>
    <s v="8"/>
    <n v="260.10000000000002"/>
    <n v="-15.77"/>
  </r>
  <r>
    <x v="6"/>
    <s v="Furniture, floor coverings, houseware and textile goods retailing"/>
    <s v="2020-09-01"/>
    <x v="1"/>
    <s v="September"/>
    <s v="9"/>
    <n v="240"/>
    <n v="-19.95"/>
  </r>
  <r>
    <x v="6"/>
    <s v="Furniture, floor coverings, houseware and textile goods retailing"/>
    <s v="2020-10-01"/>
    <x v="1"/>
    <s v="October  "/>
    <s v="10"/>
    <n v="294.89999999999998"/>
    <n v="-7.99"/>
  </r>
  <r>
    <x v="6"/>
    <s v="Furniture, floor coverings, houseware and textile goods retailing"/>
    <s v="2020-11-01"/>
    <x v="1"/>
    <s v="November "/>
    <s v="11"/>
    <n v="457.8"/>
    <n v="27.49"/>
  </r>
  <r>
    <x v="6"/>
    <s v="Furniture, floor coverings, houseware and textile goods retailing"/>
    <s v="2020-12-01"/>
    <x v="1"/>
    <s v="December "/>
    <s v="12"/>
    <n v="440.9"/>
    <n v="7.91"/>
  </r>
  <r>
    <x v="6"/>
    <s v="Furniture, floor coverings, houseware and textile goods retailing"/>
    <s v="2021-01-01"/>
    <x v="2"/>
    <s v="January  "/>
    <s v="1"/>
    <n v="362"/>
    <n v="13.2"/>
  </r>
  <r>
    <x v="6"/>
    <s v="Furniture, floor coverings, houseware and textile goods retailing"/>
    <s v="2021-02-01"/>
    <x v="2"/>
    <s v="February "/>
    <s v="2"/>
    <n v="301.60000000000002"/>
    <n v="1.48"/>
  </r>
  <r>
    <x v="6"/>
    <s v="Furniture, floor coverings, houseware and textile goods retailing"/>
    <s v="2021-03-01"/>
    <x v="2"/>
    <s v="March    "/>
    <s v="3"/>
    <n v="354.9"/>
    <n v="23.87"/>
  </r>
  <r>
    <x v="6"/>
    <s v="Furniture, floor coverings, houseware and textile goods retailing"/>
    <s v="2021-04-01"/>
    <x v="2"/>
    <s v="April    "/>
    <s v="4"/>
    <n v="324.39999999999998"/>
    <n v="41.78"/>
  </r>
  <r>
    <x v="6"/>
    <s v="Furniture, floor coverings, houseware and textile goods retailing"/>
    <s v="2021-05-01"/>
    <x v="2"/>
    <s v="May      "/>
    <s v="5"/>
    <n v="316.39999999999998"/>
    <n v="-7.54"/>
  </r>
  <r>
    <x v="6"/>
    <s v="Furniture, floor coverings, houseware and textile goods retailing"/>
    <s v="2021-06-01"/>
    <x v="2"/>
    <s v="June     "/>
    <s v="6"/>
    <n v="346.5"/>
    <n v="-10.49"/>
  </r>
  <r>
    <x v="6"/>
    <s v="Furniture, floor coverings, houseware and textile goods retailing"/>
    <s v="2021-07-01"/>
    <x v="2"/>
    <s v="July     "/>
    <s v="7"/>
    <n v="323.39999999999998"/>
    <n v="-9.2799999999999994"/>
  </r>
  <r>
    <x v="6"/>
    <s v="Furniture, floor coverings, houseware and textile goods retailing"/>
    <s v="2021-08-01"/>
    <x v="2"/>
    <s v="August   "/>
    <s v="8"/>
    <n v="284.5"/>
    <n v="9.3800000000000008"/>
  </r>
  <r>
    <x v="6"/>
    <s v="Furniture, floor coverings, houseware and textile goods retailing"/>
    <s v="2021-09-01"/>
    <x v="2"/>
    <s v="September"/>
    <s v="9"/>
    <n v="267"/>
    <n v="11.25"/>
  </r>
  <r>
    <x v="6"/>
    <s v="Furniture, floor coverings, houseware and textile goods retailing"/>
    <s v="2021-10-01"/>
    <x v="2"/>
    <s v="October  "/>
    <s v="10"/>
    <n v="312.3"/>
    <n v="5.9"/>
  </r>
  <r>
    <x v="6"/>
    <s v="Furniture, floor coverings, houseware and textile goods retailing"/>
    <s v="2021-11-01"/>
    <x v="2"/>
    <s v="November "/>
    <s v="11"/>
    <n v="523.79999999999995"/>
    <n v="14.42"/>
  </r>
  <r>
    <x v="6"/>
    <s v="Furniture, floor coverings, houseware and textile goods retailing"/>
    <s v="2021-12-01"/>
    <x v="2"/>
    <s v="December "/>
    <s v="12"/>
    <n v="482.7"/>
    <n v="9.48"/>
  </r>
  <r>
    <x v="6"/>
    <s v="Furniture, floor coverings, houseware and textile goods retailing"/>
    <s v="2022-01-01"/>
    <x v="3"/>
    <s v="January  "/>
    <s v="1"/>
    <n v="402"/>
    <n v="11.05"/>
  </r>
  <r>
    <x v="6"/>
    <s v="Furniture, floor coverings, houseware and textile goods retailing"/>
    <s v="2022-02-01"/>
    <x v="3"/>
    <s v="February "/>
    <s v="2"/>
    <n v="350.3"/>
    <n v="16.149999999999999"/>
  </r>
  <r>
    <x v="6"/>
    <s v="Furniture, floor coverings, houseware and textile goods retailing"/>
    <s v="2022-03-01"/>
    <x v="3"/>
    <s v="March    "/>
    <s v="3"/>
    <n v="398"/>
    <n v="12.14"/>
  </r>
  <r>
    <x v="6"/>
    <s v="Furniture, floor coverings, houseware and textile goods retailing"/>
    <s v="2022-04-01"/>
    <x v="3"/>
    <s v="April    "/>
    <s v="4"/>
    <n v="371.1"/>
    <n v="14.4"/>
  </r>
  <r>
    <x v="6"/>
    <s v="Furniture, floor coverings, houseware and textile goods retailing"/>
    <s v="2022-05-01"/>
    <x v="3"/>
    <s v="May      "/>
    <s v="5"/>
    <n v="394.2"/>
    <n v="24.59"/>
  </r>
  <r>
    <x v="6"/>
    <s v="Furniture, floor coverings, houseware and textile goods retailing"/>
    <s v="2022-06-01"/>
    <x v="3"/>
    <s v="June     "/>
    <s v="6"/>
    <n v="444.1"/>
    <n v="28.17"/>
  </r>
  <r>
    <x v="6"/>
    <s v="Furniture, floor coverings, houseware and textile goods retailing"/>
    <s v="2022-07-01"/>
    <x v="3"/>
    <s v="July     "/>
    <s v="7"/>
    <n v="406.2"/>
    <n v="25.6"/>
  </r>
  <r>
    <x v="6"/>
    <s v="Furniture, floor coverings, houseware and textile goods retailing"/>
    <s v="2022-08-01"/>
    <x v="3"/>
    <s v="August   "/>
    <s v="8"/>
    <n v="432.2"/>
    <n v="51.92"/>
  </r>
  <r>
    <x v="6"/>
    <s v="Furniture, floor coverings, houseware and textile goods retailing"/>
    <s v="2022-09-01"/>
    <x v="3"/>
    <s v="September"/>
    <s v="9"/>
    <n v="403.5"/>
    <n v="51.12"/>
  </r>
  <r>
    <x v="6"/>
    <s v="Furniture, floor coverings, houseware and textile goods retailing"/>
    <s v="2022-10-01"/>
    <x v="3"/>
    <s v="October  "/>
    <s v="10"/>
    <n v="433"/>
    <n v="38.65"/>
  </r>
  <r>
    <x v="6"/>
    <s v="Furniture, floor coverings, houseware and textile goods retailing"/>
    <s v="2022-11-01"/>
    <x v="3"/>
    <s v="November "/>
    <s v="11"/>
    <n v="498.7"/>
    <n v="-4.79"/>
  </r>
  <r>
    <x v="6"/>
    <s v="Furniture, floor coverings, houseware and textile goods retailing"/>
    <s v="2022-12-01"/>
    <x v="3"/>
    <s v="December "/>
    <s v="12"/>
    <n v="523.5"/>
    <n v="8.4499999999999993"/>
  </r>
  <r>
    <x v="6"/>
    <s v="Furniture, floor coverings, houseware and textile goods retailing"/>
    <s v="2023-01-01"/>
    <x v="4"/>
    <s v="January  "/>
    <s v="1"/>
    <n v="435.7"/>
    <n v="8.3800000000000008"/>
  </r>
  <r>
    <x v="6"/>
    <s v="Furniture, floor coverings, houseware and textile goods retailing"/>
    <s v="2023-02-01"/>
    <x v="4"/>
    <s v="February "/>
    <s v="2"/>
    <n v="372.1"/>
    <n v="6.22"/>
  </r>
  <r>
    <x v="6"/>
    <s v="Furniture, floor coverings, houseware and textile goods retailing"/>
    <s v="2023-03-01"/>
    <x v="4"/>
    <s v="March    "/>
    <s v="3"/>
    <n v="388.7"/>
    <n v="-2.34"/>
  </r>
  <r>
    <x v="6"/>
    <s v="Furniture, floor coverings, houseware and textile goods retailing"/>
    <s v="2023-04-01"/>
    <x v="4"/>
    <s v="April    "/>
    <s v="4"/>
    <n v="368.8"/>
    <n v="-0.62"/>
  </r>
  <r>
    <x v="6"/>
    <s v="Furniture, floor coverings, houseware and textile goods retailing"/>
    <s v="2023-05-01"/>
    <x v="4"/>
    <s v="May      "/>
    <s v="5"/>
    <n v="390.5"/>
    <n v="-0.94"/>
  </r>
  <r>
    <x v="6"/>
    <s v="Furniture, floor coverings, houseware and textile goods retailing"/>
    <s v="2023-06-01"/>
    <x v="4"/>
    <s v="June     "/>
    <s v="6"/>
    <n v="419.6"/>
    <n v="-5.52"/>
  </r>
  <r>
    <x v="6"/>
    <s v="Furniture, floor coverings, houseware and textile goods retailing"/>
    <s v="2023-07-01"/>
    <x v="4"/>
    <s v="July     "/>
    <s v="7"/>
    <n v="389.4"/>
    <n v="-4.1399999999999997"/>
  </r>
  <r>
    <x v="6"/>
    <s v="Furniture, floor coverings, houseware and textile goods retailing"/>
    <s v="2023-08-01"/>
    <x v="4"/>
    <s v="August   "/>
    <s v="8"/>
    <n v="383.8"/>
    <n v="-11.2"/>
  </r>
  <r>
    <x v="6"/>
    <s v="Furniture, floor coverings, houseware and textile goods retailing"/>
    <s v="2023-09-01"/>
    <x v="4"/>
    <s v="September"/>
    <s v="9"/>
    <n v="371.2"/>
    <n v="-8"/>
  </r>
  <r>
    <x v="6"/>
    <s v="Furniture, floor coverings, houseware and textile goods retailing"/>
    <s v="2023-10-01"/>
    <x v="4"/>
    <s v="October  "/>
    <s v="10"/>
    <n v="414.4"/>
    <n v="-4.3"/>
  </r>
  <r>
    <x v="6"/>
    <s v="Furniture, floor coverings, houseware and textile goods retailing"/>
    <s v="2023-11-01"/>
    <x v="4"/>
    <s v="November "/>
    <s v="11"/>
    <n v="500.7"/>
    <n v="0.4"/>
  </r>
  <r>
    <x v="6"/>
    <s v="Furniture, floor coverings, houseware and textile goods retailing"/>
    <s v="2023-12-01"/>
    <x v="4"/>
    <s v="December "/>
    <s v="12"/>
    <n v="517.20000000000005"/>
    <n v="-1.2"/>
  </r>
  <r>
    <x v="6"/>
    <s v="Furniture, floor coverings, houseware and textile goods retailing"/>
    <s v="2024-01-01"/>
    <x v="5"/>
    <s v="January  "/>
    <s v="1"/>
    <n v="392.8"/>
    <n v="-9.85"/>
  </r>
  <r>
    <x v="6"/>
    <s v="Furniture, floor coverings, houseware and textile goods retailing"/>
    <s v="2024-02-01"/>
    <x v="5"/>
    <s v="February "/>
    <s v="2"/>
    <n v="353.6"/>
    <n v="-4.97"/>
  </r>
  <r>
    <x v="6"/>
    <s v="Furniture, floor coverings, houseware and textile goods retailing"/>
    <s v="2024-03-01"/>
    <x v="5"/>
    <s v="March    "/>
    <s v="3"/>
    <n v="350.2"/>
    <n v="-9.9"/>
  </r>
  <r>
    <x v="6"/>
    <s v="Furniture, floor coverings, houseware and textile goods retailing"/>
    <s v="2024-04-01"/>
    <x v="5"/>
    <s v="April    "/>
    <s v="4"/>
    <n v="359.9"/>
    <n v="-2.41"/>
  </r>
  <r>
    <x v="6"/>
    <s v="Furniture, floor coverings, houseware and textile goods retailing"/>
    <s v="2024-05-01"/>
    <x v="5"/>
    <s v="May      "/>
    <s v="5"/>
    <n v="391.6"/>
    <n v="0.28000000000000003"/>
  </r>
  <r>
    <x v="6"/>
    <s v="Furniture, floor coverings, houseware and textile goods retailing"/>
    <s v="2024-06-01"/>
    <x v="5"/>
    <s v="June     "/>
    <s v="6"/>
    <n v="422.9"/>
    <n v="0.79"/>
  </r>
  <r>
    <x v="6"/>
    <s v="Furniture, floor coverings, houseware and textile goods retailing"/>
    <s v="2024-07-01"/>
    <x v="5"/>
    <s v="July     "/>
    <s v="7"/>
    <n v="413.9"/>
    <n v="6.29"/>
  </r>
  <r>
    <x v="6"/>
    <s v="Furniture, floor coverings, houseware and textile goods retailing"/>
    <s v="2024-08-01"/>
    <x v="5"/>
    <s v="August   "/>
    <s v="8"/>
    <n v="392.8"/>
    <n v="2.34"/>
  </r>
  <r>
    <x v="6"/>
    <s v="Furniture, floor coverings, houseware and textile goods retailing"/>
    <s v="2024-09-01"/>
    <x v="5"/>
    <s v="September"/>
    <s v="9"/>
    <n v="368.6"/>
    <n v="-0.7"/>
  </r>
  <r>
    <x v="6"/>
    <s v="Furniture, floor coverings, houseware and textile goods retailing"/>
    <s v="2024-10-01"/>
    <x v="5"/>
    <s v="October  "/>
    <s v="10"/>
    <n v="394.8"/>
    <n v="-4.7300000000000004"/>
  </r>
  <r>
    <x v="6"/>
    <s v="Furniture, floor coverings, houseware and textile goods retailing"/>
    <s v="2024-11-01"/>
    <x v="5"/>
    <s v="November "/>
    <s v="11"/>
    <n v="484.9"/>
    <n v="-3.16"/>
  </r>
  <r>
    <x v="6"/>
    <s v="Furniture, floor coverings, houseware and textile goods retailing"/>
    <s v="2024-12-01"/>
    <x v="5"/>
    <s v="December "/>
    <s v="12"/>
    <n v="525.20000000000005"/>
    <n v="1.55"/>
  </r>
  <r>
    <x v="6"/>
    <s v="Furniture, floor coverings, houseware and textile goods retailing"/>
    <s v="2025-01-01"/>
    <x v="6"/>
    <s v="January  "/>
    <s v="1"/>
    <n v="408.4"/>
    <n v="3.97"/>
  </r>
  <r>
    <x v="6"/>
    <s v="Furniture, floor coverings, houseware and textile goods retailing"/>
    <s v="2025-02-01"/>
    <x v="6"/>
    <s v="February "/>
    <s v="2"/>
    <n v="358.6"/>
    <n v="1.41"/>
  </r>
  <r>
    <x v="6"/>
    <s v="Furniture, floor coverings, houseware and textile goods retailing"/>
    <s v="2025-03-01"/>
    <x v="6"/>
    <s v="March    "/>
    <s v="3"/>
    <n v="386.2"/>
    <n v="10.28"/>
  </r>
  <r>
    <x v="6"/>
    <s v="Furniture, floor coverings, houseware and textile goods retailing"/>
    <s v="2025-04-01"/>
    <x v="6"/>
    <s v="April    "/>
    <s v="4"/>
    <n v="353.5"/>
    <n v="-1.78"/>
  </r>
  <r>
    <x v="6"/>
    <s v="Furniture, floor coverings, houseware and textile goods retailing"/>
    <s v="2025-05-01"/>
    <x v="6"/>
    <s v="May      "/>
    <s v="5"/>
    <n v="402.1"/>
    <n v="2.68"/>
  </r>
  <r>
    <x v="6"/>
    <s v="Furniture, floor coverings, houseware and textile goods retailing"/>
    <s v="2025-06-01"/>
    <x v="6"/>
    <s v="June     "/>
    <s v="6"/>
    <n v="441"/>
    <n v="4.28"/>
  </r>
  <r>
    <x v="6"/>
    <s v="Hardware, building and garden supplies retailing"/>
    <s v="2019-01-01"/>
    <x v="0"/>
    <s v="January  "/>
    <s v="1"/>
    <n v="455"/>
    <m/>
  </r>
  <r>
    <x v="6"/>
    <s v="Hardware, building and garden supplies retailing"/>
    <s v="2019-02-01"/>
    <x v="0"/>
    <s v="February "/>
    <s v="2"/>
    <n v="431.6"/>
    <m/>
  </r>
  <r>
    <x v="6"/>
    <s v="Hardware, building and garden supplies retailing"/>
    <s v="2019-03-01"/>
    <x v="0"/>
    <s v="March    "/>
    <s v="3"/>
    <n v="461.3"/>
    <m/>
  </r>
  <r>
    <x v="6"/>
    <s v="Hardware, building and garden supplies retailing"/>
    <s v="2019-04-01"/>
    <x v="0"/>
    <s v="April    "/>
    <s v="4"/>
    <n v="455.1"/>
    <m/>
  </r>
  <r>
    <x v="6"/>
    <s v="Hardware, building and garden supplies retailing"/>
    <s v="2019-05-01"/>
    <x v="0"/>
    <s v="May      "/>
    <s v="5"/>
    <n v="444.7"/>
    <m/>
  </r>
  <r>
    <x v="6"/>
    <s v="Hardware, building and garden supplies retailing"/>
    <s v="2019-06-01"/>
    <x v="0"/>
    <s v="June     "/>
    <s v="6"/>
    <n v="417.3"/>
    <m/>
  </r>
  <r>
    <x v="6"/>
    <s v="Hardware, building and garden supplies retailing"/>
    <s v="2019-07-01"/>
    <x v="0"/>
    <s v="July     "/>
    <s v="7"/>
    <n v="428"/>
    <m/>
  </r>
  <r>
    <x v="6"/>
    <s v="Hardware, building and garden supplies retailing"/>
    <s v="2019-08-01"/>
    <x v="0"/>
    <s v="August   "/>
    <s v="8"/>
    <n v="460.4"/>
    <m/>
  </r>
  <r>
    <x v="6"/>
    <s v="Hardware, building and garden supplies retailing"/>
    <s v="2019-09-01"/>
    <x v="0"/>
    <s v="September"/>
    <s v="9"/>
    <n v="487.6"/>
    <m/>
  </r>
  <r>
    <x v="6"/>
    <s v="Hardware, building and garden supplies retailing"/>
    <s v="2019-10-01"/>
    <x v="0"/>
    <s v="October  "/>
    <s v="10"/>
    <n v="563"/>
    <m/>
  </r>
  <r>
    <x v="6"/>
    <s v="Hardware, building and garden supplies retailing"/>
    <s v="2019-11-01"/>
    <x v="0"/>
    <s v="November "/>
    <s v="11"/>
    <n v="535.4"/>
    <m/>
  </r>
  <r>
    <x v="6"/>
    <s v="Hardware, building and garden supplies retailing"/>
    <s v="2019-12-01"/>
    <x v="0"/>
    <s v="December "/>
    <s v="12"/>
    <n v="547.70000000000005"/>
    <m/>
  </r>
  <r>
    <x v="6"/>
    <s v="Hardware, building and garden supplies retailing"/>
    <s v="2020-01-01"/>
    <x v="1"/>
    <s v="January  "/>
    <s v="1"/>
    <n v="469.3"/>
    <n v="3.14"/>
  </r>
  <r>
    <x v="6"/>
    <s v="Hardware, building and garden supplies retailing"/>
    <s v="2020-02-01"/>
    <x v="1"/>
    <s v="February "/>
    <s v="2"/>
    <n v="458.7"/>
    <n v="6.28"/>
  </r>
  <r>
    <x v="6"/>
    <s v="Hardware, building and garden supplies retailing"/>
    <s v="2020-03-01"/>
    <x v="1"/>
    <s v="March    "/>
    <s v="3"/>
    <n v="570.70000000000005"/>
    <n v="23.72"/>
  </r>
  <r>
    <x v="6"/>
    <s v="Hardware, building and garden supplies retailing"/>
    <s v="2020-04-01"/>
    <x v="1"/>
    <s v="April    "/>
    <s v="4"/>
    <n v="554.1"/>
    <n v="21.75"/>
  </r>
  <r>
    <x v="6"/>
    <s v="Hardware, building and garden supplies retailing"/>
    <s v="2020-05-01"/>
    <x v="1"/>
    <s v="May      "/>
    <s v="5"/>
    <n v="593.9"/>
    <n v="33.549999999999997"/>
  </r>
  <r>
    <x v="6"/>
    <s v="Hardware, building and garden supplies retailing"/>
    <s v="2020-06-01"/>
    <x v="1"/>
    <s v="June     "/>
    <s v="6"/>
    <n v="569.9"/>
    <n v="36.57"/>
  </r>
  <r>
    <x v="6"/>
    <s v="Hardware, building and garden supplies retailing"/>
    <s v="2020-07-01"/>
    <x v="1"/>
    <s v="July     "/>
    <s v="7"/>
    <n v="573.1"/>
    <n v="33.9"/>
  </r>
  <r>
    <x v="6"/>
    <s v="Hardware, building and garden supplies retailing"/>
    <s v="2020-08-01"/>
    <x v="1"/>
    <s v="August   "/>
    <s v="8"/>
    <n v="496"/>
    <n v="7.73"/>
  </r>
  <r>
    <x v="6"/>
    <s v="Hardware, building and garden supplies retailing"/>
    <s v="2020-09-01"/>
    <x v="1"/>
    <s v="September"/>
    <s v="9"/>
    <n v="532"/>
    <n v="9.11"/>
  </r>
  <r>
    <x v="6"/>
    <s v="Hardware, building and garden supplies retailing"/>
    <s v="2020-10-01"/>
    <x v="1"/>
    <s v="October  "/>
    <s v="10"/>
    <n v="592.1"/>
    <n v="5.17"/>
  </r>
  <r>
    <x v="6"/>
    <s v="Hardware, building and garden supplies retailing"/>
    <s v="2020-11-01"/>
    <x v="1"/>
    <s v="November "/>
    <s v="11"/>
    <n v="677.3"/>
    <n v="26.5"/>
  </r>
  <r>
    <x v="6"/>
    <s v="Hardware, building and garden supplies retailing"/>
    <s v="2020-12-01"/>
    <x v="1"/>
    <s v="December "/>
    <s v="12"/>
    <n v="639"/>
    <n v="16.670000000000002"/>
  </r>
  <r>
    <x v="6"/>
    <s v="Hardware, building and garden supplies retailing"/>
    <s v="2021-01-01"/>
    <x v="2"/>
    <s v="January  "/>
    <s v="1"/>
    <n v="512.6"/>
    <n v="9.23"/>
  </r>
  <r>
    <x v="6"/>
    <s v="Hardware, building and garden supplies retailing"/>
    <s v="2021-02-01"/>
    <x v="2"/>
    <s v="February "/>
    <s v="2"/>
    <n v="477.9"/>
    <n v="4.1900000000000004"/>
  </r>
  <r>
    <x v="6"/>
    <s v="Hardware, building and garden supplies retailing"/>
    <s v="2021-03-01"/>
    <x v="2"/>
    <s v="March    "/>
    <s v="3"/>
    <n v="536.9"/>
    <n v="-5.92"/>
  </r>
  <r>
    <x v="6"/>
    <s v="Hardware, building and garden supplies retailing"/>
    <s v="2021-04-01"/>
    <x v="2"/>
    <s v="April    "/>
    <s v="4"/>
    <n v="518.1"/>
    <n v="-6.5"/>
  </r>
  <r>
    <x v="6"/>
    <s v="Hardware, building and garden supplies retailing"/>
    <s v="2021-05-01"/>
    <x v="2"/>
    <s v="May      "/>
    <s v="5"/>
    <n v="514.9"/>
    <n v="-13.3"/>
  </r>
  <r>
    <x v="6"/>
    <s v="Hardware, building and garden supplies retailing"/>
    <s v="2021-06-01"/>
    <x v="2"/>
    <s v="June     "/>
    <s v="6"/>
    <n v="513.4"/>
    <n v="-9.91"/>
  </r>
  <r>
    <x v="6"/>
    <s v="Hardware, building and garden supplies retailing"/>
    <s v="2021-07-01"/>
    <x v="2"/>
    <s v="July     "/>
    <s v="7"/>
    <n v="468"/>
    <n v="-18.34"/>
  </r>
  <r>
    <x v="6"/>
    <s v="Hardware, building and garden supplies retailing"/>
    <s v="2021-08-01"/>
    <x v="2"/>
    <s v="August   "/>
    <s v="8"/>
    <n v="493.3"/>
    <n v="-0.54"/>
  </r>
  <r>
    <x v="6"/>
    <s v="Hardware, building and garden supplies retailing"/>
    <s v="2021-09-01"/>
    <x v="2"/>
    <s v="September"/>
    <s v="9"/>
    <n v="527.4"/>
    <n v="-0.86"/>
  </r>
  <r>
    <x v="6"/>
    <s v="Hardware, building and garden supplies retailing"/>
    <s v="2021-10-01"/>
    <x v="2"/>
    <s v="October  "/>
    <s v="10"/>
    <n v="588.1"/>
    <n v="-0.68"/>
  </r>
  <r>
    <x v="6"/>
    <s v="Hardware, building and garden supplies retailing"/>
    <s v="2021-11-01"/>
    <x v="2"/>
    <s v="November "/>
    <s v="11"/>
    <n v="643.29999999999995"/>
    <n v="-5.0199999999999996"/>
  </r>
  <r>
    <x v="6"/>
    <s v="Hardware, building and garden supplies retailing"/>
    <s v="2021-12-01"/>
    <x v="2"/>
    <s v="December "/>
    <s v="12"/>
    <n v="629.1"/>
    <n v="-1.55"/>
  </r>
  <r>
    <x v="6"/>
    <s v="Hardware, building and garden supplies retailing"/>
    <s v="2022-01-01"/>
    <x v="3"/>
    <s v="January  "/>
    <s v="1"/>
    <n v="540.70000000000005"/>
    <n v="5.48"/>
  </r>
  <r>
    <x v="6"/>
    <s v="Hardware, building and garden supplies retailing"/>
    <s v="2022-02-01"/>
    <x v="3"/>
    <s v="February "/>
    <s v="2"/>
    <n v="536.1"/>
    <n v="12.18"/>
  </r>
  <r>
    <x v="6"/>
    <s v="Hardware, building and garden supplies retailing"/>
    <s v="2022-03-01"/>
    <x v="3"/>
    <s v="March    "/>
    <s v="3"/>
    <n v="567.4"/>
    <n v="5.68"/>
  </r>
  <r>
    <x v="6"/>
    <s v="Hardware, building and garden supplies retailing"/>
    <s v="2022-04-01"/>
    <x v="3"/>
    <s v="April    "/>
    <s v="4"/>
    <n v="535.9"/>
    <n v="3.44"/>
  </r>
  <r>
    <x v="6"/>
    <s v="Hardware, building and garden supplies retailing"/>
    <s v="2022-05-01"/>
    <x v="3"/>
    <s v="May      "/>
    <s v="5"/>
    <n v="530.70000000000005"/>
    <n v="3.07"/>
  </r>
  <r>
    <x v="6"/>
    <s v="Hardware, building and garden supplies retailing"/>
    <s v="2022-06-01"/>
    <x v="3"/>
    <s v="June     "/>
    <s v="6"/>
    <n v="507.6"/>
    <n v="-1.1299999999999999"/>
  </r>
  <r>
    <x v="6"/>
    <s v="Hardware, building and garden supplies retailing"/>
    <s v="2022-07-01"/>
    <x v="3"/>
    <s v="July     "/>
    <s v="7"/>
    <n v="490"/>
    <n v="4.7"/>
  </r>
  <r>
    <x v="6"/>
    <s v="Hardware, building and garden supplies retailing"/>
    <s v="2022-08-01"/>
    <x v="3"/>
    <s v="August   "/>
    <s v="8"/>
    <n v="521"/>
    <n v="5.62"/>
  </r>
  <r>
    <x v="6"/>
    <s v="Hardware, building and garden supplies retailing"/>
    <s v="2022-09-01"/>
    <x v="3"/>
    <s v="September"/>
    <s v="9"/>
    <n v="548.70000000000005"/>
    <n v="4.04"/>
  </r>
  <r>
    <x v="6"/>
    <s v="Hardware, building and garden supplies retailing"/>
    <s v="2022-10-01"/>
    <x v="3"/>
    <s v="October  "/>
    <s v="10"/>
    <n v="592.9"/>
    <n v="0.82"/>
  </r>
  <r>
    <x v="6"/>
    <s v="Hardware, building and garden supplies retailing"/>
    <s v="2022-11-01"/>
    <x v="3"/>
    <s v="November "/>
    <s v="11"/>
    <n v="595.1"/>
    <n v="-7.49"/>
  </r>
  <r>
    <x v="6"/>
    <s v="Hardware, building and garden supplies retailing"/>
    <s v="2022-12-01"/>
    <x v="3"/>
    <s v="December "/>
    <s v="12"/>
    <n v="628.5"/>
    <n v="-0.1"/>
  </r>
  <r>
    <x v="6"/>
    <s v="Hardware, building and garden supplies retailing"/>
    <s v="2023-01-01"/>
    <x v="4"/>
    <s v="January  "/>
    <s v="1"/>
    <n v="531.6"/>
    <n v="-1.68"/>
  </r>
  <r>
    <x v="6"/>
    <s v="Hardware, building and garden supplies retailing"/>
    <s v="2023-02-01"/>
    <x v="4"/>
    <s v="February "/>
    <s v="2"/>
    <n v="505.1"/>
    <n v="-5.78"/>
  </r>
  <r>
    <x v="6"/>
    <s v="Hardware, building and garden supplies retailing"/>
    <s v="2023-03-01"/>
    <x v="4"/>
    <s v="March    "/>
    <s v="3"/>
    <n v="536.70000000000005"/>
    <n v="-5.41"/>
  </r>
  <r>
    <x v="6"/>
    <s v="Hardware, building and garden supplies retailing"/>
    <s v="2023-04-01"/>
    <x v="4"/>
    <s v="April    "/>
    <s v="4"/>
    <n v="509.2"/>
    <n v="-4.9800000000000004"/>
  </r>
  <r>
    <x v="6"/>
    <s v="Hardware, building and garden supplies retailing"/>
    <s v="2023-05-01"/>
    <x v="4"/>
    <s v="May      "/>
    <s v="5"/>
    <n v="517.6"/>
    <n v="-2.4700000000000002"/>
  </r>
  <r>
    <x v="6"/>
    <s v="Hardware, building and garden supplies retailing"/>
    <s v="2023-06-01"/>
    <x v="4"/>
    <s v="June     "/>
    <s v="6"/>
    <n v="507.7"/>
    <n v="0.02"/>
  </r>
  <r>
    <x v="6"/>
    <s v="Hardware, building and garden supplies retailing"/>
    <s v="2023-07-01"/>
    <x v="4"/>
    <s v="July     "/>
    <s v="7"/>
    <n v="509.2"/>
    <n v="3.92"/>
  </r>
  <r>
    <x v="6"/>
    <s v="Hardware, building and garden supplies retailing"/>
    <s v="2023-08-01"/>
    <x v="4"/>
    <s v="August   "/>
    <s v="8"/>
    <n v="535.6"/>
    <n v="2.8"/>
  </r>
  <r>
    <x v="6"/>
    <s v="Hardware, building and garden supplies retailing"/>
    <s v="2023-09-01"/>
    <x v="4"/>
    <s v="September"/>
    <s v="9"/>
    <n v="597.5"/>
    <n v="8.89"/>
  </r>
  <r>
    <x v="6"/>
    <s v="Hardware, building and garden supplies retailing"/>
    <s v="2023-10-01"/>
    <x v="4"/>
    <s v="October  "/>
    <s v="10"/>
    <n v="604.20000000000005"/>
    <n v="1.91"/>
  </r>
  <r>
    <x v="6"/>
    <s v="Hardware, building and garden supplies retailing"/>
    <s v="2023-11-01"/>
    <x v="4"/>
    <s v="November "/>
    <s v="11"/>
    <n v="623.29999999999995"/>
    <n v="4.74"/>
  </r>
  <r>
    <x v="6"/>
    <s v="Hardware, building and garden supplies retailing"/>
    <s v="2023-12-01"/>
    <x v="4"/>
    <s v="December "/>
    <s v="12"/>
    <n v="605"/>
    <n v="-3.74"/>
  </r>
  <r>
    <x v="6"/>
    <s v="Hardware, building and garden supplies retailing"/>
    <s v="2024-01-01"/>
    <x v="5"/>
    <s v="January  "/>
    <s v="1"/>
    <n v="551.29999999999995"/>
    <n v="3.71"/>
  </r>
  <r>
    <x v="6"/>
    <s v="Hardware, building and garden supplies retailing"/>
    <s v="2024-02-01"/>
    <x v="5"/>
    <s v="February "/>
    <s v="2"/>
    <n v="521.1"/>
    <n v="3.17"/>
  </r>
  <r>
    <x v="6"/>
    <s v="Hardware, building and garden supplies retailing"/>
    <s v="2024-03-01"/>
    <x v="5"/>
    <s v="March    "/>
    <s v="3"/>
    <n v="536.1"/>
    <n v="-0.11"/>
  </r>
  <r>
    <x v="6"/>
    <s v="Hardware, building and garden supplies retailing"/>
    <s v="2024-04-01"/>
    <x v="5"/>
    <s v="April    "/>
    <s v="4"/>
    <n v="524.5"/>
    <n v="3"/>
  </r>
  <r>
    <x v="6"/>
    <s v="Hardware, building and garden supplies retailing"/>
    <s v="2024-05-01"/>
    <x v="5"/>
    <s v="May      "/>
    <s v="5"/>
    <n v="533.6"/>
    <n v="3.09"/>
  </r>
  <r>
    <x v="6"/>
    <s v="Hardware, building and garden supplies retailing"/>
    <s v="2024-06-01"/>
    <x v="5"/>
    <s v="June     "/>
    <s v="6"/>
    <n v="495.7"/>
    <n v="-2.36"/>
  </r>
  <r>
    <x v="6"/>
    <s v="Hardware, building and garden supplies retailing"/>
    <s v="2024-07-01"/>
    <x v="5"/>
    <s v="July     "/>
    <s v="7"/>
    <n v="500.9"/>
    <n v="-1.63"/>
  </r>
  <r>
    <x v="6"/>
    <s v="Hardware, building and garden supplies retailing"/>
    <s v="2024-08-01"/>
    <x v="5"/>
    <s v="August   "/>
    <s v="8"/>
    <n v="539.20000000000005"/>
    <n v="0.67"/>
  </r>
  <r>
    <x v="6"/>
    <s v="Hardware, building and garden supplies retailing"/>
    <s v="2024-09-01"/>
    <x v="5"/>
    <s v="September"/>
    <s v="9"/>
    <n v="554.1"/>
    <n v="-7.26"/>
  </r>
  <r>
    <x v="6"/>
    <s v="Hardware, building and garden supplies retailing"/>
    <s v="2024-10-01"/>
    <x v="5"/>
    <s v="October  "/>
    <s v="10"/>
    <n v="634.1"/>
    <n v="4.95"/>
  </r>
  <r>
    <x v="6"/>
    <s v="Hardware, building and garden supplies retailing"/>
    <s v="2024-11-01"/>
    <x v="5"/>
    <s v="November "/>
    <s v="11"/>
    <n v="624"/>
    <n v="0.11"/>
  </r>
  <r>
    <x v="6"/>
    <s v="Hardware, building and garden supplies retailing"/>
    <s v="2024-12-01"/>
    <x v="5"/>
    <s v="December "/>
    <s v="12"/>
    <n v="627.79999999999995"/>
    <n v="3.77"/>
  </r>
  <r>
    <x v="6"/>
    <s v="Hardware, building and garden supplies retailing"/>
    <s v="2025-01-01"/>
    <x v="6"/>
    <s v="January  "/>
    <s v="1"/>
    <n v="539.5"/>
    <n v="-2.14"/>
  </r>
  <r>
    <x v="6"/>
    <s v="Hardware, building and garden supplies retailing"/>
    <s v="2025-02-01"/>
    <x v="6"/>
    <s v="February "/>
    <s v="2"/>
    <n v="497.6"/>
    <n v="-4.51"/>
  </r>
  <r>
    <x v="6"/>
    <s v="Hardware, building and garden supplies retailing"/>
    <s v="2025-03-01"/>
    <x v="6"/>
    <s v="March    "/>
    <s v="3"/>
    <n v="543"/>
    <n v="1.29"/>
  </r>
  <r>
    <x v="6"/>
    <s v="Hardware, building and garden supplies retailing"/>
    <s v="2025-04-01"/>
    <x v="6"/>
    <s v="April    "/>
    <s v="4"/>
    <n v="523.70000000000005"/>
    <n v="-0.15"/>
  </r>
  <r>
    <x v="6"/>
    <s v="Hardware, building and garden supplies retailing"/>
    <s v="2025-05-01"/>
    <x v="6"/>
    <s v="May      "/>
    <s v="5"/>
    <n v="538.9"/>
    <n v="0.99"/>
  </r>
  <r>
    <x v="6"/>
    <s v="Hardware, building and garden supplies retailing"/>
    <s v="2025-06-01"/>
    <x v="6"/>
    <s v="June     "/>
    <s v="6"/>
    <n v="498.4"/>
    <n v="0.54"/>
  </r>
  <r>
    <x v="6"/>
    <s v="Liquor retailing"/>
    <s v="2019-01-01"/>
    <x v="0"/>
    <s v="January  "/>
    <s v="1"/>
    <n v="217.4"/>
    <m/>
  </r>
  <r>
    <x v="6"/>
    <s v="Liquor retailing"/>
    <s v="2019-02-01"/>
    <x v="0"/>
    <s v="February "/>
    <s v="2"/>
    <n v="189.7"/>
    <m/>
  </r>
  <r>
    <x v="6"/>
    <s v="Liquor retailing"/>
    <s v="2019-03-01"/>
    <x v="0"/>
    <s v="March    "/>
    <s v="3"/>
    <n v="216.9"/>
    <m/>
  </r>
  <r>
    <x v="6"/>
    <s v="Liquor retailing"/>
    <s v="2019-04-01"/>
    <x v="0"/>
    <s v="April    "/>
    <s v="4"/>
    <n v="203.6"/>
    <m/>
  </r>
  <r>
    <x v="6"/>
    <s v="Liquor retailing"/>
    <s v="2019-05-01"/>
    <x v="0"/>
    <s v="May      "/>
    <s v="5"/>
    <n v="193.1"/>
    <m/>
  </r>
  <r>
    <x v="6"/>
    <s v="Liquor retailing"/>
    <s v="2019-06-01"/>
    <x v="0"/>
    <s v="June     "/>
    <s v="6"/>
    <n v="186.1"/>
    <m/>
  </r>
  <r>
    <x v="6"/>
    <s v="Liquor retailing"/>
    <s v="2019-07-01"/>
    <x v="0"/>
    <s v="July     "/>
    <s v="7"/>
    <n v="191"/>
    <m/>
  </r>
  <r>
    <x v="6"/>
    <s v="Liquor retailing"/>
    <s v="2019-08-01"/>
    <x v="0"/>
    <s v="August   "/>
    <s v="8"/>
    <n v="206.1"/>
    <m/>
  </r>
  <r>
    <x v="6"/>
    <s v="Liquor retailing"/>
    <s v="2019-09-01"/>
    <x v="0"/>
    <s v="September"/>
    <s v="9"/>
    <n v="205.7"/>
    <m/>
  </r>
  <r>
    <x v="6"/>
    <s v="Liquor retailing"/>
    <s v="2019-10-01"/>
    <x v="0"/>
    <s v="October  "/>
    <s v="10"/>
    <n v="219.9"/>
    <m/>
  </r>
  <r>
    <x v="6"/>
    <s v="Liquor retailing"/>
    <s v="2019-11-01"/>
    <x v="0"/>
    <s v="November "/>
    <s v="11"/>
    <n v="244.3"/>
    <m/>
  </r>
  <r>
    <x v="6"/>
    <s v="Liquor retailing"/>
    <s v="2019-12-01"/>
    <x v="0"/>
    <s v="December "/>
    <s v="12"/>
    <n v="352.4"/>
    <m/>
  </r>
  <r>
    <x v="6"/>
    <s v="Liquor retailing"/>
    <s v="2020-01-01"/>
    <x v="1"/>
    <s v="January  "/>
    <s v="1"/>
    <n v="235.5"/>
    <n v="8.33"/>
  </r>
  <r>
    <x v="6"/>
    <s v="Liquor retailing"/>
    <s v="2020-02-01"/>
    <x v="1"/>
    <s v="February "/>
    <s v="2"/>
    <n v="216.2"/>
    <n v="13.97"/>
  </r>
  <r>
    <x v="6"/>
    <s v="Liquor retailing"/>
    <s v="2020-03-01"/>
    <x v="1"/>
    <s v="March    "/>
    <s v="3"/>
    <n v="299.89999999999998"/>
    <n v="38.270000000000003"/>
  </r>
  <r>
    <x v="6"/>
    <s v="Liquor retailing"/>
    <s v="2020-04-01"/>
    <x v="1"/>
    <s v="April    "/>
    <s v="4"/>
    <n v="245"/>
    <n v="20.329999999999998"/>
  </r>
  <r>
    <x v="6"/>
    <s v="Liquor retailing"/>
    <s v="2020-05-01"/>
    <x v="1"/>
    <s v="May      "/>
    <s v="5"/>
    <n v="312.89999999999998"/>
    <n v="62.04"/>
  </r>
  <r>
    <x v="6"/>
    <s v="Liquor retailing"/>
    <s v="2020-06-01"/>
    <x v="1"/>
    <s v="June     "/>
    <s v="6"/>
    <n v="300"/>
    <n v="61.2"/>
  </r>
  <r>
    <x v="6"/>
    <s v="Liquor retailing"/>
    <s v="2020-07-01"/>
    <x v="1"/>
    <s v="July     "/>
    <s v="7"/>
    <n v="306.3"/>
    <n v="60.37"/>
  </r>
  <r>
    <x v="6"/>
    <s v="Liquor retailing"/>
    <s v="2020-08-01"/>
    <x v="1"/>
    <s v="August   "/>
    <s v="8"/>
    <n v="305.3"/>
    <n v="48.13"/>
  </r>
  <r>
    <x v="6"/>
    <s v="Liquor retailing"/>
    <s v="2020-09-01"/>
    <x v="1"/>
    <s v="September"/>
    <s v="9"/>
    <n v="310"/>
    <n v="50.7"/>
  </r>
  <r>
    <x v="6"/>
    <s v="Liquor retailing"/>
    <s v="2020-10-01"/>
    <x v="1"/>
    <s v="October  "/>
    <s v="10"/>
    <n v="342.8"/>
    <n v="55.89"/>
  </r>
  <r>
    <x v="6"/>
    <s v="Liquor retailing"/>
    <s v="2020-11-01"/>
    <x v="1"/>
    <s v="November "/>
    <s v="11"/>
    <n v="339.8"/>
    <n v="39.090000000000003"/>
  </r>
  <r>
    <x v="6"/>
    <s v="Liquor retailing"/>
    <s v="2020-12-01"/>
    <x v="1"/>
    <s v="December "/>
    <s v="12"/>
    <n v="501.5"/>
    <n v="42.31"/>
  </r>
  <r>
    <x v="6"/>
    <s v="Liquor retailing"/>
    <s v="2021-01-01"/>
    <x v="2"/>
    <s v="January  "/>
    <s v="1"/>
    <n v="314.10000000000002"/>
    <n v="33.380000000000003"/>
  </r>
  <r>
    <x v="6"/>
    <s v="Liquor retailing"/>
    <s v="2021-02-01"/>
    <x v="2"/>
    <s v="February "/>
    <s v="2"/>
    <n v="272.7"/>
    <n v="26.13"/>
  </r>
  <r>
    <x v="6"/>
    <s v="Liquor retailing"/>
    <s v="2021-03-01"/>
    <x v="2"/>
    <s v="March    "/>
    <s v="3"/>
    <n v="307"/>
    <n v="2.37"/>
  </r>
  <r>
    <x v="6"/>
    <s v="Liquor retailing"/>
    <s v="2021-04-01"/>
    <x v="2"/>
    <s v="April    "/>
    <s v="4"/>
    <n v="293.7"/>
    <n v="19.88"/>
  </r>
  <r>
    <x v="6"/>
    <s v="Liquor retailing"/>
    <s v="2021-05-01"/>
    <x v="2"/>
    <s v="May      "/>
    <s v="5"/>
    <n v="278.3"/>
    <n v="-11.06"/>
  </r>
  <r>
    <x v="6"/>
    <s v="Liquor retailing"/>
    <s v="2021-06-01"/>
    <x v="2"/>
    <s v="June     "/>
    <s v="6"/>
    <n v="265.7"/>
    <n v="-11.43"/>
  </r>
  <r>
    <x v="6"/>
    <s v="Liquor retailing"/>
    <s v="2021-07-01"/>
    <x v="2"/>
    <s v="July     "/>
    <s v="7"/>
    <n v="284.3"/>
    <n v="-7.18"/>
  </r>
  <r>
    <x v="6"/>
    <s v="Liquor retailing"/>
    <s v="2021-08-01"/>
    <x v="2"/>
    <s v="August   "/>
    <s v="8"/>
    <n v="320.5"/>
    <n v="4.9800000000000004"/>
  </r>
  <r>
    <x v="6"/>
    <s v="Liquor retailing"/>
    <s v="2021-09-01"/>
    <x v="2"/>
    <s v="September"/>
    <s v="9"/>
    <n v="354.1"/>
    <n v="14.23"/>
  </r>
  <r>
    <x v="6"/>
    <s v="Liquor retailing"/>
    <s v="2021-10-01"/>
    <x v="2"/>
    <s v="October  "/>
    <s v="10"/>
    <n v="354.8"/>
    <n v="3.5"/>
  </r>
  <r>
    <x v="6"/>
    <s v="Liquor retailing"/>
    <s v="2021-11-01"/>
    <x v="2"/>
    <s v="November "/>
    <s v="11"/>
    <n v="341.1"/>
    <n v="0.38"/>
  </r>
  <r>
    <x v="6"/>
    <s v="Liquor retailing"/>
    <s v="2021-12-01"/>
    <x v="2"/>
    <s v="December "/>
    <s v="12"/>
    <n v="549"/>
    <n v="9.4700000000000006"/>
  </r>
  <r>
    <x v="6"/>
    <s v="Liquor retailing"/>
    <s v="2022-01-01"/>
    <x v="3"/>
    <s v="January  "/>
    <s v="1"/>
    <n v="335.6"/>
    <n v="6.84"/>
  </r>
  <r>
    <x v="6"/>
    <s v="Liquor retailing"/>
    <s v="2022-02-01"/>
    <x v="3"/>
    <s v="February "/>
    <s v="2"/>
    <n v="303.60000000000002"/>
    <n v="11.33"/>
  </r>
  <r>
    <x v="6"/>
    <s v="Liquor retailing"/>
    <s v="2022-03-01"/>
    <x v="3"/>
    <s v="March    "/>
    <s v="3"/>
    <n v="343.7"/>
    <n v="11.95"/>
  </r>
  <r>
    <x v="6"/>
    <s v="Liquor retailing"/>
    <s v="2022-04-01"/>
    <x v="3"/>
    <s v="April    "/>
    <s v="4"/>
    <n v="362.2"/>
    <n v="23.32"/>
  </r>
  <r>
    <x v="6"/>
    <s v="Liquor retailing"/>
    <s v="2022-05-01"/>
    <x v="3"/>
    <s v="May      "/>
    <s v="5"/>
    <n v="323.5"/>
    <n v="16.239999999999998"/>
  </r>
  <r>
    <x v="6"/>
    <s v="Liquor retailing"/>
    <s v="2022-06-01"/>
    <x v="3"/>
    <s v="June     "/>
    <s v="6"/>
    <n v="319.60000000000002"/>
    <n v="20.29"/>
  </r>
  <r>
    <x v="6"/>
    <s v="Liquor retailing"/>
    <s v="2022-07-01"/>
    <x v="3"/>
    <s v="July     "/>
    <s v="7"/>
    <n v="324.60000000000002"/>
    <n v="14.18"/>
  </r>
  <r>
    <x v="6"/>
    <s v="Liquor retailing"/>
    <s v="2022-08-01"/>
    <x v="3"/>
    <s v="August   "/>
    <s v="8"/>
    <n v="323.2"/>
    <n v="0.84"/>
  </r>
  <r>
    <x v="6"/>
    <s v="Liquor retailing"/>
    <s v="2022-09-01"/>
    <x v="3"/>
    <s v="September"/>
    <s v="9"/>
    <n v="359.3"/>
    <n v="1.47"/>
  </r>
  <r>
    <x v="6"/>
    <s v="Liquor retailing"/>
    <s v="2022-10-01"/>
    <x v="3"/>
    <s v="October  "/>
    <s v="10"/>
    <n v="355.2"/>
    <n v="0.11"/>
  </r>
  <r>
    <x v="6"/>
    <s v="Liquor retailing"/>
    <s v="2022-11-01"/>
    <x v="3"/>
    <s v="November "/>
    <s v="11"/>
    <n v="358.7"/>
    <n v="5.16"/>
  </r>
  <r>
    <x v="6"/>
    <s v="Liquor retailing"/>
    <s v="2022-12-01"/>
    <x v="3"/>
    <s v="December "/>
    <s v="12"/>
    <n v="585.79999999999995"/>
    <n v="6.7"/>
  </r>
  <r>
    <x v="6"/>
    <s v="Liquor retailing"/>
    <s v="2023-01-01"/>
    <x v="4"/>
    <s v="January  "/>
    <s v="1"/>
    <n v="347.5"/>
    <n v="3.55"/>
  </r>
  <r>
    <x v="6"/>
    <s v="Liquor retailing"/>
    <s v="2023-02-01"/>
    <x v="4"/>
    <s v="February "/>
    <s v="2"/>
    <n v="316.7"/>
    <n v="4.3099999999999996"/>
  </r>
  <r>
    <x v="6"/>
    <s v="Liquor retailing"/>
    <s v="2023-03-01"/>
    <x v="4"/>
    <s v="March    "/>
    <s v="3"/>
    <n v="361.7"/>
    <n v="5.24"/>
  </r>
  <r>
    <x v="6"/>
    <s v="Liquor retailing"/>
    <s v="2023-04-01"/>
    <x v="4"/>
    <s v="April    "/>
    <s v="4"/>
    <n v="345.6"/>
    <n v="-4.58"/>
  </r>
  <r>
    <x v="6"/>
    <s v="Liquor retailing"/>
    <s v="2023-05-01"/>
    <x v="4"/>
    <s v="May      "/>
    <s v="5"/>
    <n v="319.39999999999998"/>
    <n v="-1.27"/>
  </r>
  <r>
    <x v="6"/>
    <s v="Liquor retailing"/>
    <s v="2023-06-01"/>
    <x v="4"/>
    <s v="June     "/>
    <s v="6"/>
    <n v="324.3"/>
    <n v="1.47"/>
  </r>
  <r>
    <x v="6"/>
    <s v="Liquor retailing"/>
    <s v="2023-07-01"/>
    <x v="4"/>
    <s v="July     "/>
    <s v="7"/>
    <n v="321.10000000000002"/>
    <n v="-1.08"/>
  </r>
  <r>
    <x v="6"/>
    <s v="Liquor retailing"/>
    <s v="2023-08-01"/>
    <x v="4"/>
    <s v="August   "/>
    <s v="8"/>
    <n v="326.8"/>
    <n v="1.1100000000000001"/>
  </r>
  <r>
    <x v="6"/>
    <s v="Liquor retailing"/>
    <s v="2023-09-01"/>
    <x v="4"/>
    <s v="September"/>
    <s v="9"/>
    <n v="371"/>
    <n v="3.26"/>
  </r>
  <r>
    <x v="6"/>
    <s v="Liquor retailing"/>
    <s v="2023-10-01"/>
    <x v="4"/>
    <s v="October  "/>
    <s v="10"/>
    <n v="342.6"/>
    <n v="-3.55"/>
  </r>
  <r>
    <x v="6"/>
    <s v="Liquor retailing"/>
    <s v="2023-11-01"/>
    <x v="4"/>
    <s v="November "/>
    <s v="11"/>
    <n v="388.3"/>
    <n v="8.25"/>
  </r>
  <r>
    <x v="6"/>
    <s v="Liquor retailing"/>
    <s v="2023-12-01"/>
    <x v="4"/>
    <s v="December "/>
    <s v="12"/>
    <n v="577.9"/>
    <n v="-1.35"/>
  </r>
  <r>
    <x v="6"/>
    <s v="Liquor retailing"/>
    <s v="2024-01-01"/>
    <x v="5"/>
    <s v="January  "/>
    <s v="1"/>
    <n v="344.6"/>
    <n v="-0.83"/>
  </r>
  <r>
    <x v="6"/>
    <s v="Liquor retailing"/>
    <s v="2024-02-01"/>
    <x v="5"/>
    <s v="February "/>
    <s v="2"/>
    <n v="341.6"/>
    <n v="7.86"/>
  </r>
  <r>
    <x v="6"/>
    <s v="Liquor retailing"/>
    <s v="2024-03-01"/>
    <x v="5"/>
    <s v="March    "/>
    <s v="3"/>
    <n v="389.2"/>
    <n v="7.6"/>
  </r>
  <r>
    <x v="6"/>
    <s v="Liquor retailing"/>
    <s v="2024-04-01"/>
    <x v="5"/>
    <s v="April    "/>
    <s v="4"/>
    <n v="322.10000000000002"/>
    <n v="-6.8"/>
  </r>
  <r>
    <x v="6"/>
    <s v="Liquor retailing"/>
    <s v="2024-05-01"/>
    <x v="5"/>
    <s v="May      "/>
    <s v="5"/>
    <n v="338.6"/>
    <n v="6.01"/>
  </r>
  <r>
    <x v="6"/>
    <s v="Liquor retailing"/>
    <s v="2024-06-01"/>
    <x v="5"/>
    <s v="June     "/>
    <s v="6"/>
    <n v="323.39999999999998"/>
    <n v="-0.28000000000000003"/>
  </r>
  <r>
    <x v="6"/>
    <s v="Liquor retailing"/>
    <s v="2024-07-01"/>
    <x v="5"/>
    <s v="July     "/>
    <s v="7"/>
    <n v="313.89999999999998"/>
    <n v="-2.2400000000000002"/>
  </r>
  <r>
    <x v="6"/>
    <s v="Liquor retailing"/>
    <s v="2024-08-01"/>
    <x v="5"/>
    <s v="August   "/>
    <s v="8"/>
    <n v="357.7"/>
    <n v="9.4600000000000009"/>
  </r>
  <r>
    <x v="6"/>
    <s v="Liquor retailing"/>
    <s v="2024-09-01"/>
    <x v="5"/>
    <s v="September"/>
    <s v="9"/>
    <n v="335.8"/>
    <n v="-9.49"/>
  </r>
  <r>
    <x v="6"/>
    <s v="Liquor retailing"/>
    <s v="2024-10-01"/>
    <x v="5"/>
    <s v="October  "/>
    <s v="10"/>
    <n v="342.5"/>
    <n v="-0.03"/>
  </r>
  <r>
    <x v="6"/>
    <s v="Liquor retailing"/>
    <s v="2024-11-01"/>
    <x v="5"/>
    <s v="November "/>
    <s v="11"/>
    <n v="393.2"/>
    <n v="1.26"/>
  </r>
  <r>
    <x v="6"/>
    <s v="Liquor retailing"/>
    <s v="2024-12-01"/>
    <x v="5"/>
    <s v="December "/>
    <s v="12"/>
    <n v="548.20000000000005"/>
    <n v="-5.14"/>
  </r>
  <r>
    <x v="6"/>
    <s v="Liquor retailing"/>
    <s v="2025-01-01"/>
    <x v="6"/>
    <s v="January  "/>
    <s v="1"/>
    <n v="338"/>
    <n v="-1.92"/>
  </r>
  <r>
    <x v="6"/>
    <s v="Liquor retailing"/>
    <s v="2025-02-01"/>
    <x v="6"/>
    <s v="February "/>
    <s v="2"/>
    <n v="312.8"/>
    <n v="-8.43"/>
  </r>
  <r>
    <x v="6"/>
    <s v="Liquor retailing"/>
    <s v="2025-03-01"/>
    <x v="6"/>
    <s v="March    "/>
    <s v="3"/>
    <n v="349.6"/>
    <n v="-10.17"/>
  </r>
  <r>
    <x v="6"/>
    <s v="Liquor retailing"/>
    <s v="2025-04-01"/>
    <x v="6"/>
    <s v="April    "/>
    <s v="4"/>
    <n v="337.8"/>
    <n v="4.87"/>
  </r>
  <r>
    <x v="6"/>
    <s v="Liquor retailing"/>
    <s v="2025-05-01"/>
    <x v="6"/>
    <s v="May      "/>
    <s v="5"/>
    <n v="329.8"/>
    <n v="-2.6"/>
  </r>
  <r>
    <x v="6"/>
    <s v="Liquor retailing"/>
    <s v="2025-06-01"/>
    <x v="6"/>
    <s v="June     "/>
    <s v="6"/>
    <n v="301.39999999999998"/>
    <n v="-6.8"/>
  </r>
  <r>
    <x v="6"/>
    <s v="Newspaper and book retailing"/>
    <s v="2019-01-01"/>
    <x v="0"/>
    <s v="January  "/>
    <s v="1"/>
    <n v="43.6"/>
    <m/>
  </r>
  <r>
    <x v="6"/>
    <s v="Newspaper and book retailing"/>
    <s v="2019-02-01"/>
    <x v="0"/>
    <s v="February "/>
    <s v="2"/>
    <n v="39"/>
    <m/>
  </r>
  <r>
    <x v="6"/>
    <s v="Newspaper and book retailing"/>
    <s v="2019-03-01"/>
    <x v="0"/>
    <s v="March    "/>
    <s v="3"/>
    <n v="42.7"/>
    <m/>
  </r>
  <r>
    <x v="6"/>
    <s v="Newspaper and book retailing"/>
    <s v="2019-04-01"/>
    <x v="0"/>
    <s v="April    "/>
    <s v="4"/>
    <n v="37.299999999999997"/>
    <m/>
  </r>
  <r>
    <x v="6"/>
    <s v="Newspaper and book retailing"/>
    <s v="2019-05-01"/>
    <x v="0"/>
    <s v="May      "/>
    <s v="5"/>
    <n v="37.9"/>
    <m/>
  </r>
  <r>
    <x v="6"/>
    <s v="Newspaper and book retailing"/>
    <s v="2019-06-01"/>
    <x v="0"/>
    <s v="June     "/>
    <s v="6"/>
    <n v="38.4"/>
    <m/>
  </r>
  <r>
    <x v="6"/>
    <s v="Newspaper and book retailing"/>
    <s v="2019-07-01"/>
    <x v="0"/>
    <s v="July     "/>
    <s v="7"/>
    <n v="36.9"/>
    <m/>
  </r>
  <r>
    <x v="6"/>
    <s v="Newspaper and book retailing"/>
    <s v="2019-08-01"/>
    <x v="0"/>
    <s v="August   "/>
    <s v="8"/>
    <n v="36.4"/>
    <m/>
  </r>
  <r>
    <x v="6"/>
    <s v="Newspaper and book retailing"/>
    <s v="2019-09-01"/>
    <x v="0"/>
    <s v="September"/>
    <s v="9"/>
    <n v="37.1"/>
    <m/>
  </r>
  <r>
    <x v="6"/>
    <s v="Newspaper and book retailing"/>
    <s v="2019-10-01"/>
    <x v="0"/>
    <s v="October  "/>
    <s v="10"/>
    <n v="37.299999999999997"/>
    <m/>
  </r>
  <r>
    <x v="6"/>
    <s v="Newspaper and book retailing"/>
    <s v="2019-11-01"/>
    <x v="0"/>
    <s v="November "/>
    <s v="11"/>
    <n v="39.299999999999997"/>
    <m/>
  </r>
  <r>
    <x v="6"/>
    <s v="Newspaper and book retailing"/>
    <s v="2019-12-01"/>
    <x v="0"/>
    <s v="December "/>
    <s v="12"/>
    <n v="51.8"/>
    <m/>
  </r>
  <r>
    <x v="6"/>
    <s v="Newspaper and book retailing"/>
    <s v="2020-01-01"/>
    <x v="1"/>
    <s v="January  "/>
    <s v="1"/>
    <n v="37"/>
    <n v="-15.14"/>
  </r>
  <r>
    <x v="6"/>
    <s v="Newspaper and book retailing"/>
    <s v="2020-02-01"/>
    <x v="1"/>
    <s v="February "/>
    <s v="2"/>
    <n v="35.4"/>
    <n v="-9.23"/>
  </r>
  <r>
    <x v="6"/>
    <s v="Newspaper and book retailing"/>
    <s v="2020-03-01"/>
    <x v="1"/>
    <s v="March    "/>
    <s v="3"/>
    <n v="31.6"/>
    <n v="-26"/>
  </r>
  <r>
    <x v="6"/>
    <s v="Newspaper and book retailing"/>
    <s v="2020-04-01"/>
    <x v="1"/>
    <s v="April    "/>
    <s v="4"/>
    <n v="21.7"/>
    <n v="-41.82"/>
  </r>
  <r>
    <x v="6"/>
    <s v="Newspaper and book retailing"/>
    <s v="2020-05-01"/>
    <x v="1"/>
    <s v="May      "/>
    <s v="5"/>
    <n v="25"/>
    <n v="-34.04"/>
  </r>
  <r>
    <x v="6"/>
    <s v="Newspaper and book retailing"/>
    <s v="2020-06-01"/>
    <x v="1"/>
    <s v="June     "/>
    <s v="6"/>
    <n v="27.2"/>
    <n v="-29.17"/>
  </r>
  <r>
    <x v="6"/>
    <s v="Newspaper and book retailing"/>
    <s v="2020-07-01"/>
    <x v="1"/>
    <s v="July     "/>
    <s v="7"/>
    <n v="26"/>
    <n v="-29.54"/>
  </r>
  <r>
    <x v="6"/>
    <s v="Newspaper and book retailing"/>
    <s v="2020-08-01"/>
    <x v="1"/>
    <s v="August   "/>
    <s v="8"/>
    <n v="20.7"/>
    <n v="-43.13"/>
  </r>
  <r>
    <x v="6"/>
    <s v="Newspaper and book retailing"/>
    <s v="2020-09-01"/>
    <x v="1"/>
    <s v="September"/>
    <s v="9"/>
    <n v="24.5"/>
    <n v="-33.96"/>
  </r>
  <r>
    <x v="6"/>
    <s v="Newspaper and book retailing"/>
    <s v="2020-10-01"/>
    <x v="1"/>
    <s v="October  "/>
    <s v="10"/>
    <n v="28.7"/>
    <n v="-23.06"/>
  </r>
  <r>
    <x v="6"/>
    <s v="Newspaper and book retailing"/>
    <s v="2020-11-01"/>
    <x v="1"/>
    <s v="November "/>
    <s v="11"/>
    <n v="40.5"/>
    <n v="3.05"/>
  </r>
  <r>
    <x v="6"/>
    <s v="Newspaper and book retailing"/>
    <s v="2020-12-01"/>
    <x v="1"/>
    <s v="December "/>
    <s v="12"/>
    <n v="56"/>
    <n v="8.11"/>
  </r>
  <r>
    <x v="6"/>
    <s v="Newspaper and book retailing"/>
    <s v="2021-01-01"/>
    <x v="2"/>
    <s v="January  "/>
    <s v="1"/>
    <n v="39"/>
    <n v="5.41"/>
  </r>
  <r>
    <x v="6"/>
    <s v="Newspaper and book retailing"/>
    <s v="2021-02-01"/>
    <x v="2"/>
    <s v="February "/>
    <s v="2"/>
    <n v="31.8"/>
    <n v="-10.17"/>
  </r>
  <r>
    <x v="6"/>
    <s v="Newspaper and book retailing"/>
    <s v="2021-03-01"/>
    <x v="2"/>
    <s v="March    "/>
    <s v="3"/>
    <n v="37.1"/>
    <n v="17.41"/>
  </r>
  <r>
    <x v="6"/>
    <s v="Newspaper and book retailing"/>
    <s v="2021-04-01"/>
    <x v="2"/>
    <s v="April    "/>
    <s v="4"/>
    <n v="37.700000000000003"/>
    <n v="73.73"/>
  </r>
  <r>
    <x v="6"/>
    <s v="Newspaper and book retailing"/>
    <s v="2021-05-01"/>
    <x v="2"/>
    <s v="May      "/>
    <s v="5"/>
    <n v="35.9"/>
    <n v="43.6"/>
  </r>
  <r>
    <x v="6"/>
    <s v="Newspaper and book retailing"/>
    <s v="2021-06-01"/>
    <x v="2"/>
    <s v="June     "/>
    <s v="6"/>
    <n v="31.9"/>
    <n v="17.28"/>
  </r>
  <r>
    <x v="6"/>
    <s v="Newspaper and book retailing"/>
    <s v="2021-07-01"/>
    <x v="2"/>
    <s v="July     "/>
    <s v="7"/>
    <n v="29.7"/>
    <n v="14.23"/>
  </r>
  <r>
    <x v="6"/>
    <s v="Newspaper and book retailing"/>
    <s v="2021-08-01"/>
    <x v="2"/>
    <s v="August   "/>
    <s v="8"/>
    <n v="23.2"/>
    <n v="12.08"/>
  </r>
  <r>
    <x v="6"/>
    <s v="Newspaper and book retailing"/>
    <s v="2021-09-01"/>
    <x v="2"/>
    <s v="September"/>
    <s v="9"/>
    <n v="23.2"/>
    <n v="-5.31"/>
  </r>
  <r>
    <x v="6"/>
    <s v="Newspaper and book retailing"/>
    <s v="2021-10-01"/>
    <x v="2"/>
    <s v="October  "/>
    <s v="10"/>
    <n v="30.2"/>
    <n v="5.23"/>
  </r>
  <r>
    <x v="6"/>
    <s v="Newspaper and book retailing"/>
    <s v="2021-11-01"/>
    <x v="2"/>
    <s v="November "/>
    <s v="11"/>
    <n v="42.8"/>
    <n v="5.68"/>
  </r>
  <r>
    <x v="6"/>
    <s v="Newspaper and book retailing"/>
    <s v="2021-12-01"/>
    <x v="2"/>
    <s v="December "/>
    <s v="12"/>
    <n v="61.8"/>
    <n v="10.36"/>
  </r>
  <r>
    <x v="6"/>
    <s v="Newspaper and book retailing"/>
    <s v="2022-01-01"/>
    <x v="3"/>
    <s v="January  "/>
    <s v="1"/>
    <n v="44"/>
    <n v="12.82"/>
  </r>
  <r>
    <x v="6"/>
    <s v="Newspaper and book retailing"/>
    <s v="2022-02-01"/>
    <x v="3"/>
    <s v="February "/>
    <s v="2"/>
    <n v="37.9"/>
    <n v="19.18"/>
  </r>
  <r>
    <x v="6"/>
    <s v="Newspaper and book retailing"/>
    <s v="2022-03-01"/>
    <x v="3"/>
    <s v="March    "/>
    <s v="3"/>
    <n v="37.6"/>
    <n v="1.35"/>
  </r>
  <r>
    <x v="6"/>
    <s v="Newspaper and book retailing"/>
    <s v="2022-04-01"/>
    <x v="3"/>
    <s v="April    "/>
    <s v="4"/>
    <n v="40.299999999999997"/>
    <n v="6.9"/>
  </r>
  <r>
    <x v="6"/>
    <s v="Newspaper and book retailing"/>
    <s v="2022-05-01"/>
    <x v="3"/>
    <s v="May      "/>
    <s v="5"/>
    <n v="42.6"/>
    <n v="18.66"/>
  </r>
  <r>
    <x v="6"/>
    <s v="Newspaper and book retailing"/>
    <s v="2022-06-01"/>
    <x v="3"/>
    <s v="June     "/>
    <s v="6"/>
    <n v="42.9"/>
    <n v="34.479999999999997"/>
  </r>
  <r>
    <x v="6"/>
    <s v="Newspaper and book retailing"/>
    <s v="2022-07-01"/>
    <x v="3"/>
    <s v="July     "/>
    <s v="7"/>
    <n v="38.799999999999997"/>
    <n v="30.64"/>
  </r>
  <r>
    <x v="6"/>
    <s v="Newspaper and book retailing"/>
    <s v="2022-08-01"/>
    <x v="3"/>
    <s v="August   "/>
    <s v="8"/>
    <n v="39.299999999999997"/>
    <n v="69.400000000000006"/>
  </r>
  <r>
    <x v="6"/>
    <s v="Newspaper and book retailing"/>
    <s v="2022-09-01"/>
    <x v="3"/>
    <s v="September"/>
    <s v="9"/>
    <n v="36.5"/>
    <n v="57.33"/>
  </r>
  <r>
    <x v="6"/>
    <s v="Newspaper and book retailing"/>
    <s v="2022-10-01"/>
    <x v="3"/>
    <s v="October  "/>
    <s v="10"/>
    <n v="44.4"/>
    <n v="47.02"/>
  </r>
  <r>
    <x v="6"/>
    <s v="Newspaper and book retailing"/>
    <s v="2022-11-01"/>
    <x v="3"/>
    <s v="November "/>
    <s v="11"/>
    <n v="49.7"/>
    <n v="16.12"/>
  </r>
  <r>
    <x v="6"/>
    <s v="Newspaper and book retailing"/>
    <s v="2022-12-01"/>
    <x v="3"/>
    <s v="December "/>
    <s v="12"/>
    <n v="69.8"/>
    <n v="12.94"/>
  </r>
  <r>
    <x v="6"/>
    <s v="Newspaper and book retailing"/>
    <s v="2023-01-01"/>
    <x v="4"/>
    <s v="January  "/>
    <s v="1"/>
    <n v="48.2"/>
    <n v="9.5500000000000007"/>
  </r>
  <r>
    <x v="6"/>
    <s v="Newspaper and book retailing"/>
    <s v="2023-02-01"/>
    <x v="4"/>
    <s v="February "/>
    <s v="2"/>
    <n v="38.299999999999997"/>
    <n v="1.06"/>
  </r>
  <r>
    <x v="6"/>
    <s v="Newspaper and book retailing"/>
    <s v="2023-03-01"/>
    <x v="4"/>
    <s v="March    "/>
    <s v="3"/>
    <n v="40.5"/>
    <n v="7.71"/>
  </r>
  <r>
    <x v="6"/>
    <s v="Newspaper and book retailing"/>
    <s v="2023-04-01"/>
    <x v="4"/>
    <s v="April    "/>
    <s v="4"/>
    <n v="38.9"/>
    <n v="-3.47"/>
  </r>
  <r>
    <x v="6"/>
    <s v="Newspaper and book retailing"/>
    <s v="2023-05-01"/>
    <x v="4"/>
    <s v="May      "/>
    <s v="5"/>
    <n v="38.799999999999997"/>
    <n v="-8.92"/>
  </r>
  <r>
    <x v="6"/>
    <s v="Newspaper and book retailing"/>
    <s v="2023-06-01"/>
    <x v="4"/>
    <s v="June     "/>
    <s v="6"/>
    <n v="39.700000000000003"/>
    <n v="-7.46"/>
  </r>
  <r>
    <x v="6"/>
    <s v="Newspaper and book retailing"/>
    <s v="2023-07-01"/>
    <x v="4"/>
    <s v="July     "/>
    <s v="7"/>
    <n v="38.200000000000003"/>
    <n v="-1.55"/>
  </r>
  <r>
    <x v="6"/>
    <s v="Newspaper and book retailing"/>
    <s v="2023-08-01"/>
    <x v="4"/>
    <s v="August   "/>
    <s v="8"/>
    <n v="39.299999999999997"/>
    <n v="0"/>
  </r>
  <r>
    <x v="6"/>
    <s v="Newspaper and book retailing"/>
    <s v="2023-09-01"/>
    <x v="4"/>
    <s v="September"/>
    <s v="9"/>
    <n v="37.700000000000003"/>
    <n v="3.29"/>
  </r>
  <r>
    <x v="6"/>
    <s v="Newspaper and book retailing"/>
    <s v="2023-10-01"/>
    <x v="4"/>
    <s v="October  "/>
    <s v="10"/>
    <n v="39.200000000000003"/>
    <n v="-11.71"/>
  </r>
  <r>
    <x v="6"/>
    <s v="Newspaper and book retailing"/>
    <s v="2023-11-01"/>
    <x v="4"/>
    <s v="November "/>
    <s v="11"/>
    <n v="46"/>
    <n v="-7.44"/>
  </r>
  <r>
    <x v="6"/>
    <s v="Newspaper and book retailing"/>
    <s v="2023-12-01"/>
    <x v="4"/>
    <s v="December "/>
    <s v="12"/>
    <n v="74.3"/>
    <n v="6.45"/>
  </r>
  <r>
    <x v="6"/>
    <s v="Newspaper and book retailing"/>
    <s v="2024-01-01"/>
    <x v="5"/>
    <s v="January  "/>
    <s v="1"/>
    <n v="50.3"/>
    <n v="4.3600000000000003"/>
  </r>
  <r>
    <x v="6"/>
    <s v="Newspaper and book retailing"/>
    <s v="2024-02-01"/>
    <x v="5"/>
    <s v="February "/>
    <s v="2"/>
    <n v="38.6"/>
    <n v="0.78"/>
  </r>
  <r>
    <x v="6"/>
    <s v="Newspaper and book retailing"/>
    <s v="2024-03-01"/>
    <x v="5"/>
    <s v="March    "/>
    <s v="3"/>
    <n v="39.200000000000003"/>
    <n v="-3.21"/>
  </r>
  <r>
    <x v="6"/>
    <s v="Newspaper and book retailing"/>
    <s v="2024-04-01"/>
    <x v="5"/>
    <s v="April    "/>
    <s v="4"/>
    <n v="38.299999999999997"/>
    <n v="-1.54"/>
  </r>
  <r>
    <x v="6"/>
    <s v="Newspaper and book retailing"/>
    <s v="2024-05-01"/>
    <x v="5"/>
    <s v="May      "/>
    <s v="5"/>
    <n v="40.200000000000003"/>
    <n v="3.61"/>
  </r>
  <r>
    <x v="6"/>
    <s v="Newspaper and book retailing"/>
    <s v="2024-06-01"/>
    <x v="5"/>
    <s v="June     "/>
    <s v="6"/>
    <n v="34.700000000000003"/>
    <n v="-12.59"/>
  </r>
  <r>
    <x v="6"/>
    <s v="Newspaper and book retailing"/>
    <s v="2024-07-01"/>
    <x v="5"/>
    <s v="July     "/>
    <s v="7"/>
    <n v="35.700000000000003"/>
    <n v="-6.54"/>
  </r>
  <r>
    <x v="6"/>
    <s v="Newspaper and book retailing"/>
    <s v="2024-08-01"/>
    <x v="5"/>
    <s v="August   "/>
    <s v="8"/>
    <n v="37"/>
    <n v="-5.85"/>
  </r>
  <r>
    <x v="6"/>
    <s v="Newspaper and book retailing"/>
    <s v="2024-09-01"/>
    <x v="5"/>
    <s v="September"/>
    <s v="9"/>
    <n v="34.799999999999997"/>
    <n v="-7.69"/>
  </r>
  <r>
    <x v="6"/>
    <s v="Newspaper and book retailing"/>
    <s v="2024-10-01"/>
    <x v="5"/>
    <s v="October  "/>
    <s v="10"/>
    <n v="35"/>
    <n v="-10.71"/>
  </r>
  <r>
    <x v="6"/>
    <s v="Newspaper and book retailing"/>
    <s v="2024-11-01"/>
    <x v="5"/>
    <s v="November "/>
    <s v="11"/>
    <n v="43.9"/>
    <n v="-4.57"/>
  </r>
  <r>
    <x v="6"/>
    <s v="Newspaper and book retailing"/>
    <s v="2024-12-01"/>
    <x v="5"/>
    <s v="December "/>
    <s v="12"/>
    <n v="70.5"/>
    <n v="-5.1100000000000003"/>
  </r>
  <r>
    <x v="6"/>
    <s v="Newspaper and book retailing"/>
    <s v="2025-01-01"/>
    <x v="6"/>
    <s v="January  "/>
    <s v="1"/>
    <n v="45.4"/>
    <n v="-9.74"/>
  </r>
  <r>
    <x v="6"/>
    <s v="Newspaper and book retailing"/>
    <s v="2025-02-01"/>
    <x v="6"/>
    <s v="February "/>
    <s v="2"/>
    <n v="33.299999999999997"/>
    <n v="-13.73"/>
  </r>
  <r>
    <x v="6"/>
    <s v="Newspaper and book retailing"/>
    <s v="2025-03-01"/>
    <x v="6"/>
    <s v="March    "/>
    <s v="3"/>
    <n v="36"/>
    <n v="-8.16"/>
  </r>
  <r>
    <x v="6"/>
    <s v="Newspaper and book retailing"/>
    <s v="2025-04-01"/>
    <x v="6"/>
    <s v="April    "/>
    <s v="4"/>
    <n v="36.5"/>
    <n v="-4.7"/>
  </r>
  <r>
    <x v="6"/>
    <s v="Newspaper and book retailing"/>
    <s v="2025-05-01"/>
    <x v="6"/>
    <s v="May      "/>
    <s v="5"/>
    <n v="37.299999999999997"/>
    <n v="-7.21"/>
  </r>
  <r>
    <x v="6"/>
    <s v="Newspaper and book retailing"/>
    <s v="2025-06-01"/>
    <x v="6"/>
    <s v="June     "/>
    <s v="6"/>
    <n v="35.299999999999997"/>
    <n v="1.73"/>
  </r>
  <r>
    <x v="6"/>
    <s v="Other recreational goods retailing"/>
    <s v="2019-01-01"/>
    <x v="0"/>
    <s v="January  "/>
    <s v="1"/>
    <n v="86.7"/>
    <m/>
  </r>
  <r>
    <x v="6"/>
    <s v="Other recreational goods retailing"/>
    <s v="2019-02-01"/>
    <x v="0"/>
    <s v="February "/>
    <s v="2"/>
    <n v="65.3"/>
    <m/>
  </r>
  <r>
    <x v="6"/>
    <s v="Other recreational goods retailing"/>
    <s v="2019-03-01"/>
    <x v="0"/>
    <s v="March    "/>
    <s v="3"/>
    <n v="74.2"/>
    <m/>
  </r>
  <r>
    <x v="6"/>
    <s v="Other recreational goods retailing"/>
    <s v="2019-04-01"/>
    <x v="0"/>
    <s v="April    "/>
    <s v="4"/>
    <n v="76.3"/>
    <m/>
  </r>
  <r>
    <x v="6"/>
    <s v="Other recreational goods retailing"/>
    <s v="2019-05-01"/>
    <x v="0"/>
    <s v="May      "/>
    <s v="5"/>
    <n v="70"/>
    <m/>
  </r>
  <r>
    <x v="6"/>
    <s v="Other recreational goods retailing"/>
    <s v="2019-06-01"/>
    <x v="0"/>
    <s v="June     "/>
    <s v="6"/>
    <n v="71.599999999999994"/>
    <m/>
  </r>
  <r>
    <x v="6"/>
    <s v="Other recreational goods retailing"/>
    <s v="2019-07-01"/>
    <x v="0"/>
    <s v="July     "/>
    <s v="7"/>
    <n v="77.400000000000006"/>
    <m/>
  </r>
  <r>
    <x v="6"/>
    <s v="Other recreational goods retailing"/>
    <s v="2019-08-01"/>
    <x v="0"/>
    <s v="August   "/>
    <s v="8"/>
    <n v="76.599999999999994"/>
    <m/>
  </r>
  <r>
    <x v="6"/>
    <s v="Other recreational goods retailing"/>
    <s v="2019-09-01"/>
    <x v="0"/>
    <s v="September"/>
    <s v="9"/>
    <n v="76.2"/>
    <m/>
  </r>
  <r>
    <x v="6"/>
    <s v="Other recreational goods retailing"/>
    <s v="2019-10-01"/>
    <x v="0"/>
    <s v="October  "/>
    <s v="10"/>
    <n v="79.3"/>
    <m/>
  </r>
  <r>
    <x v="6"/>
    <s v="Other recreational goods retailing"/>
    <s v="2019-11-01"/>
    <x v="0"/>
    <s v="November "/>
    <s v="11"/>
    <n v="97"/>
    <m/>
  </r>
  <r>
    <x v="6"/>
    <s v="Other recreational goods retailing"/>
    <s v="2019-12-01"/>
    <x v="0"/>
    <s v="December "/>
    <s v="12"/>
    <n v="171.7"/>
    <m/>
  </r>
  <r>
    <x v="6"/>
    <s v="Other recreational goods retailing"/>
    <s v="2020-01-01"/>
    <x v="1"/>
    <s v="January  "/>
    <s v="1"/>
    <n v="81"/>
    <n v="-6.57"/>
  </r>
  <r>
    <x v="6"/>
    <s v="Other recreational goods retailing"/>
    <s v="2020-02-01"/>
    <x v="1"/>
    <s v="February "/>
    <s v="2"/>
    <n v="66.3"/>
    <n v="1.53"/>
  </r>
  <r>
    <x v="6"/>
    <s v="Other recreational goods retailing"/>
    <s v="2020-03-01"/>
    <x v="1"/>
    <s v="March    "/>
    <s v="3"/>
    <n v="87"/>
    <n v="17.25"/>
  </r>
  <r>
    <x v="6"/>
    <s v="Other recreational goods retailing"/>
    <s v="2020-04-01"/>
    <x v="1"/>
    <s v="April    "/>
    <s v="4"/>
    <n v="72"/>
    <n v="-5.64"/>
  </r>
  <r>
    <x v="6"/>
    <s v="Other recreational goods retailing"/>
    <s v="2020-05-01"/>
    <x v="1"/>
    <s v="May      "/>
    <s v="5"/>
    <n v="89.6"/>
    <n v="28"/>
  </r>
  <r>
    <x v="6"/>
    <s v="Other recreational goods retailing"/>
    <s v="2020-06-01"/>
    <x v="1"/>
    <s v="June     "/>
    <s v="6"/>
    <n v="102"/>
    <n v="42.46"/>
  </r>
  <r>
    <x v="6"/>
    <s v="Other recreational goods retailing"/>
    <s v="2020-07-01"/>
    <x v="1"/>
    <s v="July     "/>
    <s v="7"/>
    <n v="101.6"/>
    <n v="31.27"/>
  </r>
  <r>
    <x v="6"/>
    <s v="Other recreational goods retailing"/>
    <s v="2020-08-01"/>
    <x v="1"/>
    <s v="August   "/>
    <s v="8"/>
    <n v="65"/>
    <n v="-15.14"/>
  </r>
  <r>
    <x v="6"/>
    <s v="Other recreational goods retailing"/>
    <s v="2020-09-01"/>
    <x v="1"/>
    <s v="September"/>
    <s v="9"/>
    <n v="78.400000000000006"/>
    <n v="2.89"/>
  </r>
  <r>
    <x v="6"/>
    <s v="Other recreational goods retailing"/>
    <s v="2020-10-01"/>
    <x v="1"/>
    <s v="October  "/>
    <s v="10"/>
    <n v="87.6"/>
    <n v="10.47"/>
  </r>
  <r>
    <x v="6"/>
    <s v="Other recreational goods retailing"/>
    <s v="2020-11-01"/>
    <x v="1"/>
    <s v="November "/>
    <s v="11"/>
    <n v="167.8"/>
    <n v="72.989999999999995"/>
  </r>
  <r>
    <x v="6"/>
    <s v="Other recreational goods retailing"/>
    <s v="2020-12-01"/>
    <x v="1"/>
    <s v="December "/>
    <s v="12"/>
    <n v="210.6"/>
    <n v="22.66"/>
  </r>
  <r>
    <x v="6"/>
    <s v="Other recreational goods retailing"/>
    <s v="2021-01-01"/>
    <x v="2"/>
    <s v="January  "/>
    <s v="1"/>
    <n v="125.4"/>
    <n v="54.81"/>
  </r>
  <r>
    <x v="6"/>
    <s v="Other recreational goods retailing"/>
    <s v="2021-02-01"/>
    <x v="2"/>
    <s v="February "/>
    <s v="2"/>
    <n v="95.3"/>
    <n v="43.74"/>
  </r>
  <r>
    <x v="6"/>
    <s v="Other recreational goods retailing"/>
    <s v="2021-03-01"/>
    <x v="2"/>
    <s v="March    "/>
    <s v="3"/>
    <n v="127.1"/>
    <n v="46.09"/>
  </r>
  <r>
    <x v="6"/>
    <s v="Other recreational goods retailing"/>
    <s v="2021-04-01"/>
    <x v="2"/>
    <s v="April    "/>
    <s v="4"/>
    <n v="128.5"/>
    <n v="78.47"/>
  </r>
  <r>
    <x v="6"/>
    <s v="Other recreational goods retailing"/>
    <s v="2021-05-01"/>
    <x v="2"/>
    <s v="May      "/>
    <s v="5"/>
    <n v="124.8"/>
    <n v="39.29"/>
  </r>
  <r>
    <x v="6"/>
    <s v="Other recreational goods retailing"/>
    <s v="2021-06-01"/>
    <x v="2"/>
    <s v="June     "/>
    <s v="6"/>
    <n v="132"/>
    <n v="29.41"/>
  </r>
  <r>
    <x v="6"/>
    <s v="Other recreational goods retailing"/>
    <s v="2021-07-01"/>
    <x v="2"/>
    <s v="July     "/>
    <s v="7"/>
    <n v="118.6"/>
    <n v="16.73"/>
  </r>
  <r>
    <x v="6"/>
    <s v="Other recreational goods retailing"/>
    <s v="2021-08-01"/>
    <x v="2"/>
    <s v="August   "/>
    <s v="8"/>
    <n v="108.3"/>
    <n v="66.62"/>
  </r>
  <r>
    <x v="6"/>
    <s v="Other recreational goods retailing"/>
    <s v="2021-09-01"/>
    <x v="2"/>
    <s v="September"/>
    <s v="9"/>
    <n v="113.4"/>
    <n v="44.64"/>
  </r>
  <r>
    <x v="6"/>
    <s v="Other recreational goods retailing"/>
    <s v="2021-10-01"/>
    <x v="2"/>
    <s v="October  "/>
    <s v="10"/>
    <n v="134.9"/>
    <n v="54"/>
  </r>
  <r>
    <x v="6"/>
    <s v="Other recreational goods retailing"/>
    <s v="2021-11-01"/>
    <x v="2"/>
    <s v="November "/>
    <s v="11"/>
    <n v="219.2"/>
    <n v="30.63"/>
  </r>
  <r>
    <x v="6"/>
    <s v="Other recreational goods retailing"/>
    <s v="2021-12-01"/>
    <x v="2"/>
    <s v="December "/>
    <s v="12"/>
    <n v="255.8"/>
    <n v="21.46"/>
  </r>
  <r>
    <x v="6"/>
    <s v="Other recreational goods retailing"/>
    <s v="2022-01-01"/>
    <x v="3"/>
    <s v="January  "/>
    <s v="1"/>
    <n v="160.9"/>
    <n v="28.31"/>
  </r>
  <r>
    <x v="6"/>
    <s v="Other recreational goods retailing"/>
    <s v="2022-02-01"/>
    <x v="3"/>
    <s v="February "/>
    <s v="2"/>
    <n v="131.4"/>
    <n v="37.880000000000003"/>
  </r>
  <r>
    <x v="6"/>
    <s v="Other recreational goods retailing"/>
    <s v="2022-03-01"/>
    <x v="3"/>
    <s v="March    "/>
    <s v="3"/>
    <n v="162.30000000000001"/>
    <n v="27.69"/>
  </r>
  <r>
    <x v="6"/>
    <s v="Other recreational goods retailing"/>
    <s v="2022-04-01"/>
    <x v="3"/>
    <s v="April    "/>
    <s v="4"/>
    <n v="172.1"/>
    <n v="33.93"/>
  </r>
  <r>
    <x v="6"/>
    <s v="Other recreational goods retailing"/>
    <s v="2022-05-01"/>
    <x v="3"/>
    <s v="May      "/>
    <s v="5"/>
    <n v="156.80000000000001"/>
    <n v="25.64"/>
  </r>
  <r>
    <x v="6"/>
    <s v="Other recreational goods retailing"/>
    <s v="2022-06-01"/>
    <x v="3"/>
    <s v="June     "/>
    <s v="6"/>
    <n v="175.7"/>
    <n v="33.11"/>
  </r>
  <r>
    <x v="6"/>
    <s v="Other recreational goods retailing"/>
    <s v="2022-07-01"/>
    <x v="3"/>
    <s v="July     "/>
    <s v="7"/>
    <n v="167.7"/>
    <n v="41.4"/>
  </r>
  <r>
    <x v="6"/>
    <s v="Other recreational goods retailing"/>
    <s v="2022-08-01"/>
    <x v="3"/>
    <s v="August   "/>
    <s v="8"/>
    <n v="166.1"/>
    <n v="53.37"/>
  </r>
  <r>
    <x v="6"/>
    <s v="Other recreational goods retailing"/>
    <s v="2022-09-01"/>
    <x v="3"/>
    <s v="September"/>
    <s v="9"/>
    <n v="174.2"/>
    <n v="53.62"/>
  </r>
  <r>
    <x v="6"/>
    <s v="Other recreational goods retailing"/>
    <s v="2022-10-01"/>
    <x v="3"/>
    <s v="October  "/>
    <s v="10"/>
    <n v="175.4"/>
    <n v="30.02"/>
  </r>
  <r>
    <x v="6"/>
    <s v="Other recreational goods retailing"/>
    <s v="2022-11-01"/>
    <x v="3"/>
    <s v="November "/>
    <s v="11"/>
    <n v="204.6"/>
    <n v="-6.66"/>
  </r>
  <r>
    <x v="6"/>
    <s v="Other recreational goods retailing"/>
    <s v="2022-12-01"/>
    <x v="3"/>
    <s v="December "/>
    <s v="12"/>
    <n v="252"/>
    <n v="-1.49"/>
  </r>
  <r>
    <x v="6"/>
    <s v="Other recreational goods retailing"/>
    <s v="2023-01-01"/>
    <x v="4"/>
    <s v="January  "/>
    <s v="1"/>
    <n v="156.69999999999999"/>
    <n v="-2.61"/>
  </r>
  <r>
    <x v="6"/>
    <s v="Other recreational goods retailing"/>
    <s v="2023-02-01"/>
    <x v="4"/>
    <s v="February "/>
    <s v="2"/>
    <n v="137.1"/>
    <n v="4.34"/>
  </r>
  <r>
    <x v="6"/>
    <s v="Other recreational goods retailing"/>
    <s v="2023-03-01"/>
    <x v="4"/>
    <s v="March    "/>
    <s v="3"/>
    <n v="144.80000000000001"/>
    <n v="-10.78"/>
  </r>
  <r>
    <x v="6"/>
    <s v="Other recreational goods retailing"/>
    <s v="2023-04-01"/>
    <x v="4"/>
    <s v="April    "/>
    <s v="4"/>
    <n v="149.1"/>
    <n v="-13.36"/>
  </r>
  <r>
    <x v="6"/>
    <s v="Other recreational goods retailing"/>
    <s v="2023-05-01"/>
    <x v="4"/>
    <s v="May      "/>
    <s v="5"/>
    <n v="141.69999999999999"/>
    <n v="-9.6300000000000008"/>
  </r>
  <r>
    <x v="6"/>
    <s v="Other recreational goods retailing"/>
    <s v="2023-06-01"/>
    <x v="4"/>
    <s v="June     "/>
    <s v="6"/>
    <n v="156.9"/>
    <n v="-10.7"/>
  </r>
  <r>
    <x v="6"/>
    <s v="Other recreational goods retailing"/>
    <s v="2023-07-01"/>
    <x v="4"/>
    <s v="July     "/>
    <s v="7"/>
    <n v="147.30000000000001"/>
    <n v="-12.16"/>
  </r>
  <r>
    <x v="6"/>
    <s v="Other recreational goods retailing"/>
    <s v="2023-08-01"/>
    <x v="4"/>
    <s v="August   "/>
    <s v="8"/>
    <n v="142.9"/>
    <n v="-13.97"/>
  </r>
  <r>
    <x v="6"/>
    <s v="Other recreational goods retailing"/>
    <s v="2023-09-01"/>
    <x v="4"/>
    <s v="September"/>
    <s v="9"/>
    <n v="147.9"/>
    <n v="-15.1"/>
  </r>
  <r>
    <x v="6"/>
    <s v="Other recreational goods retailing"/>
    <s v="2023-10-01"/>
    <x v="4"/>
    <s v="October  "/>
    <s v="10"/>
    <n v="149.19999999999999"/>
    <n v="-14.94"/>
  </r>
  <r>
    <x v="6"/>
    <s v="Other recreational goods retailing"/>
    <s v="2023-11-01"/>
    <x v="4"/>
    <s v="November "/>
    <s v="11"/>
    <n v="187.5"/>
    <n v="-8.36"/>
  </r>
  <r>
    <x v="6"/>
    <s v="Other recreational goods retailing"/>
    <s v="2023-12-01"/>
    <x v="4"/>
    <s v="December "/>
    <s v="12"/>
    <n v="279.7"/>
    <n v="10.99"/>
  </r>
  <r>
    <x v="6"/>
    <s v="Other recreational goods retailing"/>
    <s v="2024-01-01"/>
    <x v="5"/>
    <s v="January  "/>
    <s v="1"/>
    <n v="168.3"/>
    <n v="7.4"/>
  </r>
  <r>
    <x v="6"/>
    <s v="Other recreational goods retailing"/>
    <s v="2024-02-01"/>
    <x v="5"/>
    <s v="February "/>
    <s v="2"/>
    <n v="148.80000000000001"/>
    <n v="8.5299999999999994"/>
  </r>
  <r>
    <x v="6"/>
    <s v="Other recreational goods retailing"/>
    <s v="2024-03-01"/>
    <x v="5"/>
    <s v="March    "/>
    <s v="3"/>
    <n v="152.6"/>
    <n v="5.39"/>
  </r>
  <r>
    <x v="6"/>
    <s v="Other recreational goods retailing"/>
    <s v="2024-04-01"/>
    <x v="5"/>
    <s v="April    "/>
    <s v="4"/>
    <n v="160.80000000000001"/>
    <n v="7.85"/>
  </r>
  <r>
    <x v="6"/>
    <s v="Other recreational goods retailing"/>
    <s v="2024-05-01"/>
    <x v="5"/>
    <s v="May      "/>
    <s v="5"/>
    <n v="140.5"/>
    <n v="-0.85"/>
  </r>
  <r>
    <x v="6"/>
    <s v="Other recreational goods retailing"/>
    <s v="2024-06-01"/>
    <x v="5"/>
    <s v="June     "/>
    <s v="6"/>
    <n v="157.5"/>
    <n v="0.38"/>
  </r>
  <r>
    <x v="6"/>
    <s v="Other recreational goods retailing"/>
    <s v="2024-07-01"/>
    <x v="5"/>
    <s v="July     "/>
    <s v="7"/>
    <n v="145.6"/>
    <n v="-1.1499999999999999"/>
  </r>
  <r>
    <x v="6"/>
    <s v="Other recreational goods retailing"/>
    <s v="2024-08-01"/>
    <x v="5"/>
    <s v="August   "/>
    <s v="8"/>
    <n v="151"/>
    <n v="5.67"/>
  </r>
  <r>
    <x v="6"/>
    <s v="Other recreational goods retailing"/>
    <s v="2024-09-01"/>
    <x v="5"/>
    <s v="September"/>
    <s v="9"/>
    <n v="149"/>
    <n v="0.74"/>
  </r>
  <r>
    <x v="6"/>
    <s v="Other recreational goods retailing"/>
    <s v="2024-10-01"/>
    <x v="5"/>
    <s v="October  "/>
    <s v="10"/>
    <n v="161.5"/>
    <n v="8.24"/>
  </r>
  <r>
    <x v="6"/>
    <s v="Other recreational goods retailing"/>
    <s v="2024-11-01"/>
    <x v="5"/>
    <s v="November "/>
    <s v="11"/>
    <n v="201.9"/>
    <n v="7.68"/>
  </r>
  <r>
    <x v="6"/>
    <s v="Other recreational goods retailing"/>
    <s v="2024-12-01"/>
    <x v="5"/>
    <s v="December "/>
    <s v="12"/>
    <n v="259.60000000000002"/>
    <n v="-7.19"/>
  </r>
  <r>
    <x v="6"/>
    <s v="Other recreational goods retailing"/>
    <s v="2025-01-01"/>
    <x v="6"/>
    <s v="January  "/>
    <s v="1"/>
    <n v="165"/>
    <n v="-1.96"/>
  </r>
  <r>
    <x v="6"/>
    <s v="Other recreational goods retailing"/>
    <s v="2025-02-01"/>
    <x v="6"/>
    <s v="February "/>
    <s v="2"/>
    <n v="136.5"/>
    <n v="-8.27"/>
  </r>
  <r>
    <x v="6"/>
    <s v="Other recreational goods retailing"/>
    <s v="2025-03-01"/>
    <x v="6"/>
    <s v="March    "/>
    <s v="3"/>
    <n v="160.19999999999999"/>
    <n v="4.9800000000000004"/>
  </r>
  <r>
    <x v="6"/>
    <s v="Other recreational goods retailing"/>
    <s v="2025-04-01"/>
    <x v="6"/>
    <s v="April    "/>
    <s v="4"/>
    <n v="162.19999999999999"/>
    <n v="0.87"/>
  </r>
  <r>
    <x v="6"/>
    <s v="Other recreational goods retailing"/>
    <s v="2025-05-01"/>
    <x v="6"/>
    <s v="May      "/>
    <s v="5"/>
    <n v="150.69999999999999"/>
    <n v="7.26"/>
  </r>
  <r>
    <x v="6"/>
    <s v="Other recreational goods retailing"/>
    <s v="2025-06-01"/>
    <x v="6"/>
    <s v="June     "/>
    <s v="6"/>
    <n v="172"/>
    <n v="9.2100000000000009"/>
  </r>
  <r>
    <x v="6"/>
    <s v="Other retailing n.e.c."/>
    <s v="2019-01-01"/>
    <x v="0"/>
    <s v="January  "/>
    <s v="1"/>
    <n v="460.7"/>
    <m/>
  </r>
  <r>
    <x v="6"/>
    <s v="Other retailing n.e.c."/>
    <s v="2019-02-01"/>
    <x v="0"/>
    <s v="February "/>
    <s v="2"/>
    <n v="449.1"/>
    <m/>
  </r>
  <r>
    <x v="6"/>
    <s v="Other retailing n.e.c."/>
    <s v="2019-03-01"/>
    <x v="0"/>
    <s v="March    "/>
    <s v="3"/>
    <n v="470.5"/>
    <m/>
  </r>
  <r>
    <x v="6"/>
    <s v="Other retailing n.e.c."/>
    <s v="2019-04-01"/>
    <x v="0"/>
    <s v="April    "/>
    <s v="4"/>
    <n v="440.6"/>
    <m/>
  </r>
  <r>
    <x v="6"/>
    <s v="Other retailing n.e.c."/>
    <s v="2019-05-01"/>
    <x v="0"/>
    <s v="May      "/>
    <s v="5"/>
    <n v="475.3"/>
    <m/>
  </r>
  <r>
    <x v="6"/>
    <s v="Other retailing n.e.c."/>
    <s v="2019-06-01"/>
    <x v="0"/>
    <s v="June     "/>
    <s v="6"/>
    <n v="465.3"/>
    <m/>
  </r>
  <r>
    <x v="6"/>
    <s v="Other retailing n.e.c."/>
    <s v="2019-07-01"/>
    <x v="0"/>
    <s v="July     "/>
    <s v="7"/>
    <n v="468.7"/>
    <m/>
  </r>
  <r>
    <x v="6"/>
    <s v="Other retailing n.e.c."/>
    <s v="2019-08-01"/>
    <x v="0"/>
    <s v="August   "/>
    <s v="8"/>
    <n v="482.4"/>
    <m/>
  </r>
  <r>
    <x v="6"/>
    <s v="Other retailing n.e.c."/>
    <s v="2019-09-01"/>
    <x v="0"/>
    <s v="September"/>
    <s v="9"/>
    <n v="456.8"/>
    <m/>
  </r>
  <r>
    <x v="6"/>
    <s v="Other retailing n.e.c."/>
    <s v="2019-10-01"/>
    <x v="0"/>
    <s v="October  "/>
    <s v="10"/>
    <n v="472.2"/>
    <m/>
  </r>
  <r>
    <x v="6"/>
    <s v="Other retailing n.e.c."/>
    <s v="2019-11-01"/>
    <x v="0"/>
    <s v="November "/>
    <s v="11"/>
    <n v="517"/>
    <m/>
  </r>
  <r>
    <x v="6"/>
    <s v="Other retailing n.e.c."/>
    <s v="2019-12-01"/>
    <x v="0"/>
    <s v="December "/>
    <s v="12"/>
    <n v="611.20000000000005"/>
    <m/>
  </r>
  <r>
    <x v="6"/>
    <s v="Other retailing n.e.c."/>
    <s v="2020-01-01"/>
    <x v="1"/>
    <s v="January  "/>
    <s v="1"/>
    <n v="443.9"/>
    <n v="-3.65"/>
  </r>
  <r>
    <x v="6"/>
    <s v="Other retailing n.e.c."/>
    <s v="2020-02-01"/>
    <x v="1"/>
    <s v="February "/>
    <s v="2"/>
    <n v="412.9"/>
    <n v="-8.06"/>
  </r>
  <r>
    <x v="6"/>
    <s v="Other retailing n.e.c."/>
    <s v="2020-03-01"/>
    <x v="1"/>
    <s v="March    "/>
    <s v="3"/>
    <n v="473.5"/>
    <n v="0.64"/>
  </r>
  <r>
    <x v="6"/>
    <s v="Other retailing n.e.c."/>
    <s v="2020-04-01"/>
    <x v="1"/>
    <s v="April    "/>
    <s v="4"/>
    <n v="413.3"/>
    <n v="-6.2"/>
  </r>
  <r>
    <x v="6"/>
    <s v="Other retailing n.e.c."/>
    <s v="2020-05-01"/>
    <x v="1"/>
    <s v="May      "/>
    <s v="5"/>
    <n v="443.2"/>
    <n v="-6.75"/>
  </r>
  <r>
    <x v="6"/>
    <s v="Other retailing n.e.c."/>
    <s v="2020-06-01"/>
    <x v="1"/>
    <s v="June     "/>
    <s v="6"/>
    <n v="461.1"/>
    <n v="-0.9"/>
  </r>
  <r>
    <x v="6"/>
    <s v="Other retailing n.e.c."/>
    <s v="2020-07-01"/>
    <x v="1"/>
    <s v="July     "/>
    <s v="7"/>
    <n v="492.1"/>
    <n v="4.99"/>
  </r>
  <r>
    <x v="6"/>
    <s v="Other retailing n.e.c."/>
    <s v="2020-08-01"/>
    <x v="1"/>
    <s v="August   "/>
    <s v="8"/>
    <n v="455.8"/>
    <n v="-5.51"/>
  </r>
  <r>
    <x v="6"/>
    <s v="Other retailing n.e.c."/>
    <s v="2020-09-01"/>
    <x v="1"/>
    <s v="September"/>
    <s v="9"/>
    <n v="413.5"/>
    <n v="-9.48"/>
  </r>
  <r>
    <x v="6"/>
    <s v="Other retailing n.e.c."/>
    <s v="2020-10-01"/>
    <x v="1"/>
    <s v="October  "/>
    <s v="10"/>
    <n v="470.4"/>
    <n v="-0.38"/>
  </r>
  <r>
    <x v="6"/>
    <s v="Other retailing n.e.c."/>
    <s v="2020-11-01"/>
    <x v="1"/>
    <s v="November "/>
    <s v="11"/>
    <n v="659.5"/>
    <n v="27.56"/>
  </r>
  <r>
    <x v="6"/>
    <s v="Other retailing n.e.c."/>
    <s v="2020-12-01"/>
    <x v="1"/>
    <s v="December "/>
    <s v="12"/>
    <n v="689.5"/>
    <n v="12.81"/>
  </r>
  <r>
    <x v="6"/>
    <s v="Other retailing n.e.c."/>
    <s v="2021-01-01"/>
    <x v="2"/>
    <s v="January  "/>
    <s v="1"/>
    <n v="506"/>
    <n v="13.99"/>
  </r>
  <r>
    <x v="6"/>
    <s v="Other retailing n.e.c."/>
    <s v="2021-02-01"/>
    <x v="2"/>
    <s v="February "/>
    <s v="2"/>
    <n v="467.9"/>
    <n v="13.32"/>
  </r>
  <r>
    <x v="6"/>
    <s v="Other retailing n.e.c."/>
    <s v="2021-03-01"/>
    <x v="2"/>
    <s v="March    "/>
    <s v="3"/>
    <n v="529.5"/>
    <n v="11.83"/>
  </r>
  <r>
    <x v="6"/>
    <s v="Other retailing n.e.c."/>
    <s v="2021-04-01"/>
    <x v="2"/>
    <s v="April    "/>
    <s v="4"/>
    <n v="486"/>
    <n v="17.59"/>
  </r>
  <r>
    <x v="6"/>
    <s v="Other retailing n.e.c."/>
    <s v="2021-05-01"/>
    <x v="2"/>
    <s v="May      "/>
    <s v="5"/>
    <n v="534.1"/>
    <n v="20.51"/>
  </r>
  <r>
    <x v="6"/>
    <s v="Other retailing n.e.c."/>
    <s v="2021-06-01"/>
    <x v="2"/>
    <s v="June     "/>
    <s v="6"/>
    <n v="536.20000000000005"/>
    <n v="16.29"/>
  </r>
  <r>
    <x v="6"/>
    <s v="Other retailing n.e.c."/>
    <s v="2021-07-01"/>
    <x v="2"/>
    <s v="July     "/>
    <s v="7"/>
    <n v="533.9"/>
    <n v="8.49"/>
  </r>
  <r>
    <x v="6"/>
    <s v="Other retailing n.e.c."/>
    <s v="2021-08-01"/>
    <x v="2"/>
    <s v="August   "/>
    <s v="8"/>
    <n v="516.9"/>
    <n v="13.41"/>
  </r>
  <r>
    <x v="6"/>
    <s v="Other retailing n.e.c."/>
    <s v="2021-09-01"/>
    <x v="2"/>
    <s v="September"/>
    <s v="9"/>
    <n v="531.20000000000005"/>
    <n v="28.46"/>
  </r>
  <r>
    <x v="6"/>
    <s v="Other retailing n.e.c."/>
    <s v="2021-10-01"/>
    <x v="2"/>
    <s v="October  "/>
    <s v="10"/>
    <n v="590.4"/>
    <n v="25.51"/>
  </r>
  <r>
    <x v="6"/>
    <s v="Other retailing n.e.c."/>
    <s v="2021-11-01"/>
    <x v="2"/>
    <s v="November "/>
    <s v="11"/>
    <n v="771.5"/>
    <n v="16.98"/>
  </r>
  <r>
    <x v="6"/>
    <s v="Other retailing n.e.c."/>
    <s v="2021-12-01"/>
    <x v="2"/>
    <s v="December "/>
    <s v="12"/>
    <n v="854.1"/>
    <n v="23.87"/>
  </r>
  <r>
    <x v="6"/>
    <s v="Other retailing n.e.c."/>
    <s v="2022-01-01"/>
    <x v="3"/>
    <s v="January  "/>
    <s v="1"/>
    <n v="611"/>
    <n v="20.75"/>
  </r>
  <r>
    <x v="6"/>
    <s v="Other retailing n.e.c."/>
    <s v="2022-02-01"/>
    <x v="3"/>
    <s v="February "/>
    <s v="2"/>
    <n v="554.70000000000005"/>
    <n v="18.55"/>
  </r>
  <r>
    <x v="6"/>
    <s v="Other retailing n.e.c."/>
    <s v="2022-03-01"/>
    <x v="3"/>
    <s v="March    "/>
    <s v="3"/>
    <n v="607.20000000000005"/>
    <n v="14.67"/>
  </r>
  <r>
    <x v="6"/>
    <s v="Other retailing n.e.c."/>
    <s v="2022-04-01"/>
    <x v="3"/>
    <s v="April    "/>
    <s v="4"/>
    <n v="561.6"/>
    <n v="15.56"/>
  </r>
  <r>
    <x v="6"/>
    <s v="Other retailing n.e.c."/>
    <s v="2022-05-01"/>
    <x v="3"/>
    <s v="May      "/>
    <s v="5"/>
    <n v="618.79999999999995"/>
    <n v="15.86"/>
  </r>
  <r>
    <x v="6"/>
    <s v="Other retailing n.e.c."/>
    <s v="2022-06-01"/>
    <x v="3"/>
    <s v="June     "/>
    <s v="6"/>
    <n v="618.4"/>
    <n v="15.33"/>
  </r>
  <r>
    <x v="6"/>
    <s v="Other retailing n.e.c."/>
    <s v="2022-07-01"/>
    <x v="3"/>
    <s v="July     "/>
    <s v="7"/>
    <n v="622.6"/>
    <n v="16.61"/>
  </r>
  <r>
    <x v="6"/>
    <s v="Other retailing n.e.c."/>
    <s v="2022-08-01"/>
    <x v="3"/>
    <s v="August   "/>
    <s v="8"/>
    <n v="635.79999999999995"/>
    <n v="23"/>
  </r>
  <r>
    <x v="6"/>
    <s v="Other retailing n.e.c."/>
    <s v="2022-09-01"/>
    <x v="3"/>
    <s v="September"/>
    <s v="9"/>
    <n v="621.6"/>
    <n v="17.02"/>
  </r>
  <r>
    <x v="6"/>
    <s v="Other retailing n.e.c."/>
    <s v="2022-10-01"/>
    <x v="3"/>
    <s v="October  "/>
    <s v="10"/>
    <n v="659"/>
    <n v="11.62"/>
  </r>
  <r>
    <x v="6"/>
    <s v="Other retailing n.e.c."/>
    <s v="2022-11-01"/>
    <x v="3"/>
    <s v="November "/>
    <s v="11"/>
    <n v="763.6"/>
    <n v="-1.02"/>
  </r>
  <r>
    <x v="6"/>
    <s v="Other retailing n.e.c."/>
    <s v="2022-12-01"/>
    <x v="3"/>
    <s v="December "/>
    <s v="12"/>
    <n v="809.7"/>
    <n v="-5.2"/>
  </r>
  <r>
    <x v="6"/>
    <s v="Other retailing n.e.c."/>
    <s v="2023-01-01"/>
    <x v="4"/>
    <s v="January  "/>
    <s v="1"/>
    <n v="586.6"/>
    <n v="-3.99"/>
  </r>
  <r>
    <x v="6"/>
    <s v="Other retailing n.e.c."/>
    <s v="2023-02-01"/>
    <x v="4"/>
    <s v="February "/>
    <s v="2"/>
    <n v="549"/>
    <n v="-1.03"/>
  </r>
  <r>
    <x v="6"/>
    <s v="Other retailing n.e.c."/>
    <s v="2023-03-01"/>
    <x v="4"/>
    <s v="March    "/>
    <s v="3"/>
    <n v="595.1"/>
    <n v="-1.99"/>
  </r>
  <r>
    <x v="6"/>
    <s v="Other retailing n.e.c."/>
    <s v="2023-04-01"/>
    <x v="4"/>
    <s v="April    "/>
    <s v="4"/>
    <n v="517.5"/>
    <n v="-7.85"/>
  </r>
  <r>
    <x v="6"/>
    <s v="Other retailing n.e.c."/>
    <s v="2023-05-01"/>
    <x v="4"/>
    <s v="May      "/>
    <s v="5"/>
    <n v="612.5"/>
    <n v="-1.02"/>
  </r>
  <r>
    <x v="6"/>
    <s v="Other retailing n.e.c."/>
    <s v="2023-06-01"/>
    <x v="4"/>
    <s v="June     "/>
    <s v="6"/>
    <n v="576.5"/>
    <n v="-6.78"/>
  </r>
  <r>
    <x v="6"/>
    <s v="Other retailing n.e.c."/>
    <s v="2023-07-01"/>
    <x v="4"/>
    <s v="July     "/>
    <s v="7"/>
    <n v="551.5"/>
    <n v="-11.42"/>
  </r>
  <r>
    <x v="6"/>
    <s v="Other retailing n.e.c."/>
    <s v="2023-08-01"/>
    <x v="4"/>
    <s v="August   "/>
    <s v="8"/>
    <n v="578.29999999999995"/>
    <n v="-9.0399999999999991"/>
  </r>
  <r>
    <x v="6"/>
    <s v="Other retailing n.e.c."/>
    <s v="2023-09-01"/>
    <x v="4"/>
    <s v="September"/>
    <s v="9"/>
    <n v="562.29999999999995"/>
    <n v="-9.5399999999999991"/>
  </r>
  <r>
    <x v="6"/>
    <s v="Other retailing n.e.c."/>
    <s v="2023-10-01"/>
    <x v="4"/>
    <s v="October  "/>
    <s v="10"/>
    <n v="592.79999999999995"/>
    <n v="-10.050000000000001"/>
  </r>
  <r>
    <x v="6"/>
    <s v="Other retailing n.e.c."/>
    <s v="2023-11-01"/>
    <x v="4"/>
    <s v="November "/>
    <s v="11"/>
    <n v="698.9"/>
    <n v="-8.4700000000000006"/>
  </r>
  <r>
    <x v="6"/>
    <s v="Other retailing n.e.c."/>
    <s v="2023-12-01"/>
    <x v="4"/>
    <s v="December "/>
    <s v="12"/>
    <n v="739.4"/>
    <n v="-8.68"/>
  </r>
  <r>
    <x v="6"/>
    <s v="Other retailing n.e.c."/>
    <s v="2024-01-01"/>
    <x v="5"/>
    <s v="January  "/>
    <s v="1"/>
    <n v="564.6"/>
    <n v="-3.75"/>
  </r>
  <r>
    <x v="6"/>
    <s v="Other retailing n.e.c."/>
    <s v="2024-02-01"/>
    <x v="5"/>
    <s v="February "/>
    <s v="2"/>
    <n v="560.5"/>
    <n v="2.09"/>
  </r>
  <r>
    <x v="6"/>
    <s v="Other retailing n.e.c."/>
    <s v="2024-03-01"/>
    <x v="5"/>
    <s v="March    "/>
    <s v="3"/>
    <n v="550.79999999999995"/>
    <n v="-7.44"/>
  </r>
  <r>
    <x v="6"/>
    <s v="Other retailing n.e.c."/>
    <s v="2024-04-01"/>
    <x v="5"/>
    <s v="April    "/>
    <s v="4"/>
    <n v="557.29999999999995"/>
    <n v="7.69"/>
  </r>
  <r>
    <x v="6"/>
    <s v="Other retailing n.e.c."/>
    <s v="2024-05-01"/>
    <x v="5"/>
    <s v="May      "/>
    <s v="5"/>
    <n v="598.29999999999995"/>
    <n v="-2.3199999999999998"/>
  </r>
  <r>
    <x v="6"/>
    <s v="Other retailing n.e.c."/>
    <s v="2024-06-01"/>
    <x v="5"/>
    <s v="June     "/>
    <s v="6"/>
    <n v="589"/>
    <n v="2.17"/>
  </r>
  <r>
    <x v="6"/>
    <s v="Other retailing n.e.c."/>
    <s v="2024-07-01"/>
    <x v="5"/>
    <s v="July     "/>
    <s v="7"/>
    <n v="620.4"/>
    <n v="12.49"/>
  </r>
  <r>
    <x v="6"/>
    <s v="Other retailing n.e.c."/>
    <s v="2024-08-01"/>
    <x v="5"/>
    <s v="August   "/>
    <s v="8"/>
    <n v="633.6"/>
    <n v="9.56"/>
  </r>
  <r>
    <x v="6"/>
    <s v="Other retailing n.e.c."/>
    <s v="2024-09-01"/>
    <x v="5"/>
    <s v="September"/>
    <s v="9"/>
    <n v="607"/>
    <n v="7.95"/>
  </r>
  <r>
    <x v="6"/>
    <s v="Other retailing n.e.c."/>
    <s v="2024-10-01"/>
    <x v="5"/>
    <s v="October  "/>
    <s v="10"/>
    <n v="685.8"/>
    <n v="15.69"/>
  </r>
  <r>
    <x v="6"/>
    <s v="Other retailing n.e.c."/>
    <s v="2024-11-01"/>
    <x v="5"/>
    <s v="November "/>
    <s v="11"/>
    <n v="797.1"/>
    <n v="14.05"/>
  </r>
  <r>
    <x v="6"/>
    <s v="Other retailing n.e.c."/>
    <s v="2024-12-01"/>
    <x v="5"/>
    <s v="December "/>
    <s v="12"/>
    <n v="842"/>
    <n v="13.88"/>
  </r>
  <r>
    <x v="6"/>
    <s v="Other retailing n.e.c."/>
    <s v="2025-01-01"/>
    <x v="6"/>
    <s v="January  "/>
    <s v="1"/>
    <n v="643.5"/>
    <n v="13.97"/>
  </r>
  <r>
    <x v="6"/>
    <s v="Other retailing n.e.c."/>
    <s v="2025-02-01"/>
    <x v="6"/>
    <s v="February "/>
    <s v="2"/>
    <n v="592.4"/>
    <n v="5.69"/>
  </r>
  <r>
    <x v="6"/>
    <s v="Other retailing n.e.c."/>
    <s v="2025-03-01"/>
    <x v="6"/>
    <s v="March    "/>
    <s v="3"/>
    <n v="648"/>
    <n v="17.649999999999999"/>
  </r>
  <r>
    <x v="6"/>
    <s v="Other retailing n.e.c."/>
    <s v="2025-04-01"/>
    <x v="6"/>
    <s v="April    "/>
    <s v="4"/>
    <n v="611.6"/>
    <n v="9.74"/>
  </r>
  <r>
    <x v="6"/>
    <s v="Other retailing n.e.c."/>
    <s v="2025-05-01"/>
    <x v="6"/>
    <s v="May      "/>
    <s v="5"/>
    <n v="663.6"/>
    <n v="10.91"/>
  </r>
  <r>
    <x v="6"/>
    <s v="Other retailing n.e.c."/>
    <s v="2025-06-01"/>
    <x v="6"/>
    <s v="June     "/>
    <s v="6"/>
    <n v="700.6"/>
    <n v="18.95"/>
  </r>
  <r>
    <x v="6"/>
    <s v="Other specialised food retailing"/>
    <s v="2019-01-01"/>
    <x v="0"/>
    <s v="January  "/>
    <s v="1"/>
    <n v="188.1"/>
    <m/>
  </r>
  <r>
    <x v="6"/>
    <s v="Other specialised food retailing"/>
    <s v="2019-02-01"/>
    <x v="0"/>
    <s v="February "/>
    <s v="2"/>
    <n v="198.4"/>
    <m/>
  </r>
  <r>
    <x v="6"/>
    <s v="Other specialised food retailing"/>
    <s v="2019-03-01"/>
    <x v="0"/>
    <s v="March    "/>
    <s v="3"/>
    <n v="226.2"/>
    <m/>
  </r>
  <r>
    <x v="6"/>
    <s v="Other specialised food retailing"/>
    <s v="2019-04-01"/>
    <x v="0"/>
    <s v="April    "/>
    <s v="4"/>
    <n v="230.4"/>
    <m/>
  </r>
  <r>
    <x v="6"/>
    <s v="Other specialised food retailing"/>
    <s v="2019-05-01"/>
    <x v="0"/>
    <s v="May      "/>
    <s v="5"/>
    <n v="219.4"/>
    <m/>
  </r>
  <r>
    <x v="6"/>
    <s v="Other specialised food retailing"/>
    <s v="2019-06-01"/>
    <x v="0"/>
    <s v="June     "/>
    <s v="6"/>
    <n v="203.3"/>
    <m/>
  </r>
  <r>
    <x v="6"/>
    <s v="Other specialised food retailing"/>
    <s v="2019-07-01"/>
    <x v="0"/>
    <s v="July     "/>
    <s v="7"/>
    <n v="212.9"/>
    <m/>
  </r>
  <r>
    <x v="6"/>
    <s v="Other specialised food retailing"/>
    <s v="2019-08-01"/>
    <x v="0"/>
    <s v="August   "/>
    <s v="8"/>
    <n v="214.5"/>
    <m/>
  </r>
  <r>
    <x v="6"/>
    <s v="Other specialised food retailing"/>
    <s v="2019-09-01"/>
    <x v="0"/>
    <s v="September"/>
    <s v="9"/>
    <n v="219.3"/>
    <m/>
  </r>
  <r>
    <x v="6"/>
    <s v="Other specialised food retailing"/>
    <s v="2019-10-01"/>
    <x v="0"/>
    <s v="October  "/>
    <s v="10"/>
    <n v="225.2"/>
    <m/>
  </r>
  <r>
    <x v="6"/>
    <s v="Other specialised food retailing"/>
    <s v="2019-11-01"/>
    <x v="0"/>
    <s v="November "/>
    <s v="11"/>
    <n v="218.7"/>
    <m/>
  </r>
  <r>
    <x v="6"/>
    <s v="Other specialised food retailing"/>
    <s v="2019-12-01"/>
    <x v="0"/>
    <s v="December "/>
    <s v="12"/>
    <n v="259.39999999999998"/>
    <m/>
  </r>
  <r>
    <x v="6"/>
    <s v="Other specialised food retailing"/>
    <s v="2020-01-01"/>
    <x v="1"/>
    <s v="January  "/>
    <s v="1"/>
    <n v="195.6"/>
    <n v="3.99"/>
  </r>
  <r>
    <x v="6"/>
    <s v="Other specialised food retailing"/>
    <s v="2020-02-01"/>
    <x v="1"/>
    <s v="February "/>
    <s v="2"/>
    <n v="201.4"/>
    <n v="1.51"/>
  </r>
  <r>
    <x v="6"/>
    <s v="Other specialised food retailing"/>
    <s v="2020-03-01"/>
    <x v="1"/>
    <s v="March    "/>
    <s v="3"/>
    <n v="276.10000000000002"/>
    <n v="22.06"/>
  </r>
  <r>
    <x v="6"/>
    <s v="Other specialised food retailing"/>
    <s v="2020-04-01"/>
    <x v="1"/>
    <s v="April    "/>
    <s v="4"/>
    <n v="224.3"/>
    <n v="-2.65"/>
  </r>
  <r>
    <x v="6"/>
    <s v="Other specialised food retailing"/>
    <s v="2020-05-01"/>
    <x v="1"/>
    <s v="May      "/>
    <s v="5"/>
    <n v="239.9"/>
    <n v="9.34"/>
  </r>
  <r>
    <x v="6"/>
    <s v="Other specialised food retailing"/>
    <s v="2020-06-01"/>
    <x v="1"/>
    <s v="June     "/>
    <s v="6"/>
    <n v="237.3"/>
    <n v="16.72"/>
  </r>
  <r>
    <x v="6"/>
    <s v="Other specialised food retailing"/>
    <s v="2020-07-01"/>
    <x v="1"/>
    <s v="July     "/>
    <s v="7"/>
    <n v="239.6"/>
    <n v="12.54"/>
  </r>
  <r>
    <x v="6"/>
    <s v="Other specialised food retailing"/>
    <s v="2020-08-01"/>
    <x v="1"/>
    <s v="August   "/>
    <s v="8"/>
    <n v="240.6"/>
    <n v="12.17"/>
  </r>
  <r>
    <x v="6"/>
    <s v="Other specialised food retailing"/>
    <s v="2020-09-01"/>
    <x v="1"/>
    <s v="September"/>
    <s v="9"/>
    <n v="237.1"/>
    <n v="8.1199999999999992"/>
  </r>
  <r>
    <x v="6"/>
    <s v="Other specialised food retailing"/>
    <s v="2020-10-01"/>
    <x v="1"/>
    <s v="October  "/>
    <s v="10"/>
    <n v="252.9"/>
    <n v="12.3"/>
  </r>
  <r>
    <x v="6"/>
    <s v="Other specialised food retailing"/>
    <s v="2020-11-01"/>
    <x v="1"/>
    <s v="November "/>
    <s v="11"/>
    <n v="253.8"/>
    <n v="16.05"/>
  </r>
  <r>
    <x v="6"/>
    <s v="Other specialised food retailing"/>
    <s v="2020-12-01"/>
    <x v="1"/>
    <s v="December "/>
    <s v="12"/>
    <n v="303.10000000000002"/>
    <n v="16.850000000000001"/>
  </r>
  <r>
    <x v="6"/>
    <s v="Other specialised food retailing"/>
    <s v="2021-01-01"/>
    <x v="2"/>
    <s v="January  "/>
    <s v="1"/>
    <n v="230.8"/>
    <n v="18"/>
  </r>
  <r>
    <x v="6"/>
    <s v="Other specialised food retailing"/>
    <s v="2021-02-01"/>
    <x v="2"/>
    <s v="February "/>
    <s v="2"/>
    <n v="234.6"/>
    <n v="16.48"/>
  </r>
  <r>
    <x v="6"/>
    <s v="Other specialised food retailing"/>
    <s v="2021-03-01"/>
    <x v="2"/>
    <s v="March    "/>
    <s v="3"/>
    <n v="269"/>
    <n v="-2.57"/>
  </r>
  <r>
    <x v="6"/>
    <s v="Other specialised food retailing"/>
    <s v="2021-04-01"/>
    <x v="2"/>
    <s v="April    "/>
    <s v="4"/>
    <n v="240.3"/>
    <n v="7.13"/>
  </r>
  <r>
    <x v="6"/>
    <s v="Other specialised food retailing"/>
    <s v="2021-05-01"/>
    <x v="2"/>
    <s v="May      "/>
    <s v="5"/>
    <n v="235.2"/>
    <n v="-1.96"/>
  </r>
  <r>
    <x v="6"/>
    <s v="Other specialised food retailing"/>
    <s v="2021-06-01"/>
    <x v="2"/>
    <s v="June     "/>
    <s v="6"/>
    <n v="232.7"/>
    <n v="-1.94"/>
  </r>
  <r>
    <x v="6"/>
    <s v="Other specialised food retailing"/>
    <s v="2021-07-01"/>
    <x v="2"/>
    <s v="July     "/>
    <s v="7"/>
    <n v="237.4"/>
    <n v="-0.92"/>
  </r>
  <r>
    <x v="6"/>
    <s v="Other specialised food retailing"/>
    <s v="2021-08-01"/>
    <x v="2"/>
    <s v="August   "/>
    <s v="8"/>
    <n v="232.7"/>
    <n v="-3.28"/>
  </r>
  <r>
    <x v="6"/>
    <s v="Other specialised food retailing"/>
    <s v="2021-09-01"/>
    <x v="2"/>
    <s v="September"/>
    <s v="9"/>
    <n v="234.5"/>
    <n v="-1.1000000000000001"/>
  </r>
  <r>
    <x v="6"/>
    <s v="Other specialised food retailing"/>
    <s v="2021-10-01"/>
    <x v="2"/>
    <s v="October  "/>
    <s v="10"/>
    <n v="239"/>
    <n v="-5.5"/>
  </r>
  <r>
    <x v="6"/>
    <s v="Other specialised food retailing"/>
    <s v="2021-11-01"/>
    <x v="2"/>
    <s v="November "/>
    <s v="11"/>
    <n v="221.2"/>
    <n v="-12.84"/>
  </r>
  <r>
    <x v="6"/>
    <s v="Other specialised food retailing"/>
    <s v="2021-12-01"/>
    <x v="2"/>
    <s v="December "/>
    <s v="12"/>
    <n v="280.7"/>
    <n v="-7.39"/>
  </r>
  <r>
    <x v="6"/>
    <s v="Other specialised food retailing"/>
    <s v="2022-01-01"/>
    <x v="3"/>
    <s v="January  "/>
    <s v="1"/>
    <n v="213.5"/>
    <n v="-7.5"/>
  </r>
  <r>
    <x v="6"/>
    <s v="Other specialised food retailing"/>
    <s v="2022-02-01"/>
    <x v="3"/>
    <s v="February "/>
    <s v="2"/>
    <n v="207"/>
    <n v="-11.76"/>
  </r>
  <r>
    <x v="6"/>
    <s v="Other specialised food retailing"/>
    <s v="2022-03-01"/>
    <x v="3"/>
    <s v="March    "/>
    <s v="3"/>
    <n v="224.1"/>
    <n v="-16.690000000000001"/>
  </r>
  <r>
    <x v="6"/>
    <s v="Other specialised food retailing"/>
    <s v="2022-04-01"/>
    <x v="3"/>
    <s v="April    "/>
    <s v="4"/>
    <n v="225.5"/>
    <n v="-6.16"/>
  </r>
  <r>
    <x v="6"/>
    <s v="Other specialised food retailing"/>
    <s v="2022-05-01"/>
    <x v="3"/>
    <s v="May      "/>
    <s v="5"/>
    <n v="215.7"/>
    <n v="-8.2899999999999991"/>
  </r>
  <r>
    <x v="6"/>
    <s v="Other specialised food retailing"/>
    <s v="2022-06-01"/>
    <x v="3"/>
    <s v="June     "/>
    <s v="6"/>
    <n v="215.5"/>
    <n v="-7.39"/>
  </r>
  <r>
    <x v="6"/>
    <s v="Other specialised food retailing"/>
    <s v="2022-07-01"/>
    <x v="3"/>
    <s v="July     "/>
    <s v="7"/>
    <n v="227.2"/>
    <n v="-4.3"/>
  </r>
  <r>
    <x v="6"/>
    <s v="Other specialised food retailing"/>
    <s v="2022-08-01"/>
    <x v="3"/>
    <s v="August   "/>
    <s v="8"/>
    <n v="224"/>
    <n v="-3.74"/>
  </r>
  <r>
    <x v="6"/>
    <s v="Other specialised food retailing"/>
    <s v="2022-09-01"/>
    <x v="3"/>
    <s v="September"/>
    <s v="9"/>
    <n v="223.8"/>
    <n v="-4.5599999999999996"/>
  </r>
  <r>
    <x v="6"/>
    <s v="Other specialised food retailing"/>
    <s v="2022-10-01"/>
    <x v="3"/>
    <s v="October  "/>
    <s v="10"/>
    <n v="222.7"/>
    <n v="-6.82"/>
  </r>
  <r>
    <x v="6"/>
    <s v="Other specialised food retailing"/>
    <s v="2022-11-01"/>
    <x v="3"/>
    <s v="November "/>
    <s v="11"/>
    <n v="234"/>
    <n v="5.79"/>
  </r>
  <r>
    <x v="6"/>
    <s v="Other specialised food retailing"/>
    <s v="2022-12-01"/>
    <x v="3"/>
    <s v="December "/>
    <s v="12"/>
    <n v="284.10000000000002"/>
    <n v="1.21"/>
  </r>
  <r>
    <x v="6"/>
    <s v="Other specialised food retailing"/>
    <s v="2023-01-01"/>
    <x v="4"/>
    <s v="January  "/>
    <s v="1"/>
    <n v="211.6"/>
    <n v="-0.89"/>
  </r>
  <r>
    <x v="6"/>
    <s v="Other specialised food retailing"/>
    <s v="2023-02-01"/>
    <x v="4"/>
    <s v="February "/>
    <s v="2"/>
    <n v="206.2"/>
    <n v="-0.39"/>
  </r>
  <r>
    <x v="6"/>
    <s v="Other specialised food retailing"/>
    <s v="2023-03-01"/>
    <x v="4"/>
    <s v="March    "/>
    <s v="3"/>
    <n v="225.9"/>
    <n v="0.8"/>
  </r>
  <r>
    <x v="6"/>
    <s v="Other specialised food retailing"/>
    <s v="2023-04-01"/>
    <x v="4"/>
    <s v="April    "/>
    <s v="4"/>
    <n v="222.7"/>
    <n v="-1.24"/>
  </r>
  <r>
    <x v="6"/>
    <s v="Other specialised food retailing"/>
    <s v="2023-05-01"/>
    <x v="4"/>
    <s v="May      "/>
    <s v="5"/>
    <n v="229"/>
    <n v="6.17"/>
  </r>
  <r>
    <x v="6"/>
    <s v="Other specialised food retailing"/>
    <s v="2023-06-01"/>
    <x v="4"/>
    <s v="June     "/>
    <s v="6"/>
    <n v="211.7"/>
    <n v="-1.76"/>
  </r>
  <r>
    <x v="6"/>
    <s v="Other specialised food retailing"/>
    <s v="2023-07-01"/>
    <x v="4"/>
    <s v="July     "/>
    <s v="7"/>
    <n v="223.4"/>
    <n v="-1.67"/>
  </r>
  <r>
    <x v="6"/>
    <s v="Other specialised food retailing"/>
    <s v="2023-08-01"/>
    <x v="4"/>
    <s v="August   "/>
    <s v="8"/>
    <n v="217.2"/>
    <n v="-3.04"/>
  </r>
  <r>
    <x v="6"/>
    <s v="Other specialised food retailing"/>
    <s v="2023-09-01"/>
    <x v="4"/>
    <s v="September"/>
    <s v="9"/>
    <n v="213.8"/>
    <n v="-4.47"/>
  </r>
  <r>
    <x v="6"/>
    <s v="Other specialised food retailing"/>
    <s v="2023-10-01"/>
    <x v="4"/>
    <s v="October  "/>
    <s v="10"/>
    <n v="217.9"/>
    <n v="-2.16"/>
  </r>
  <r>
    <x v="6"/>
    <s v="Other specialised food retailing"/>
    <s v="2023-11-01"/>
    <x v="4"/>
    <s v="November "/>
    <s v="11"/>
    <n v="218"/>
    <n v="-6.84"/>
  </r>
  <r>
    <x v="6"/>
    <s v="Other specialised food retailing"/>
    <s v="2023-12-01"/>
    <x v="4"/>
    <s v="December "/>
    <s v="12"/>
    <n v="266"/>
    <n v="-6.37"/>
  </r>
  <r>
    <x v="6"/>
    <s v="Other specialised food retailing"/>
    <s v="2024-01-01"/>
    <x v="5"/>
    <s v="January  "/>
    <s v="1"/>
    <n v="211.8"/>
    <n v="0.09"/>
  </r>
  <r>
    <x v="6"/>
    <s v="Other specialised food retailing"/>
    <s v="2024-02-01"/>
    <x v="5"/>
    <s v="February "/>
    <s v="2"/>
    <n v="211.6"/>
    <n v="2.62"/>
  </r>
  <r>
    <x v="6"/>
    <s v="Other specialised food retailing"/>
    <s v="2024-03-01"/>
    <x v="5"/>
    <s v="March    "/>
    <s v="3"/>
    <n v="229.9"/>
    <n v="1.77"/>
  </r>
  <r>
    <x v="6"/>
    <s v="Other specialised food retailing"/>
    <s v="2024-04-01"/>
    <x v="5"/>
    <s v="April    "/>
    <s v="4"/>
    <n v="239.2"/>
    <n v="7.41"/>
  </r>
  <r>
    <x v="6"/>
    <s v="Other specialised food retailing"/>
    <s v="2024-05-01"/>
    <x v="5"/>
    <s v="May      "/>
    <s v="5"/>
    <n v="235.4"/>
    <n v="2.79"/>
  </r>
  <r>
    <x v="6"/>
    <s v="Other specialised food retailing"/>
    <s v="2024-06-01"/>
    <x v="5"/>
    <s v="June     "/>
    <s v="6"/>
    <n v="219.2"/>
    <n v="3.54"/>
  </r>
  <r>
    <x v="6"/>
    <s v="Other specialised food retailing"/>
    <s v="2024-07-01"/>
    <x v="5"/>
    <s v="July     "/>
    <s v="7"/>
    <n v="234.6"/>
    <n v="5.01"/>
  </r>
  <r>
    <x v="6"/>
    <s v="Other specialised food retailing"/>
    <s v="2024-08-01"/>
    <x v="5"/>
    <s v="August   "/>
    <s v="8"/>
    <n v="229.7"/>
    <n v="5.76"/>
  </r>
  <r>
    <x v="6"/>
    <s v="Other specialised food retailing"/>
    <s v="2024-09-01"/>
    <x v="5"/>
    <s v="September"/>
    <s v="9"/>
    <n v="233.3"/>
    <n v="9.1199999999999992"/>
  </r>
  <r>
    <x v="6"/>
    <s v="Other specialised food retailing"/>
    <s v="2024-10-01"/>
    <x v="5"/>
    <s v="October  "/>
    <s v="10"/>
    <n v="240.6"/>
    <n v="10.42"/>
  </r>
  <r>
    <x v="6"/>
    <s v="Other specialised food retailing"/>
    <s v="2024-11-01"/>
    <x v="5"/>
    <s v="November "/>
    <s v="11"/>
    <n v="237.6"/>
    <n v="8.99"/>
  </r>
  <r>
    <x v="6"/>
    <s v="Other specialised food retailing"/>
    <s v="2024-12-01"/>
    <x v="5"/>
    <s v="December "/>
    <s v="12"/>
    <n v="326.8"/>
    <n v="22.86"/>
  </r>
  <r>
    <x v="6"/>
    <s v="Other specialised food retailing"/>
    <s v="2025-01-01"/>
    <x v="6"/>
    <s v="January  "/>
    <s v="1"/>
    <n v="249.7"/>
    <n v="17.89"/>
  </r>
  <r>
    <x v="6"/>
    <s v="Other specialised food retailing"/>
    <s v="2025-02-01"/>
    <x v="6"/>
    <s v="February "/>
    <s v="2"/>
    <n v="237.6"/>
    <n v="12.29"/>
  </r>
  <r>
    <x v="6"/>
    <s v="Other specialised food retailing"/>
    <s v="2025-03-01"/>
    <x v="6"/>
    <s v="March    "/>
    <s v="3"/>
    <n v="262.8"/>
    <n v="14.31"/>
  </r>
  <r>
    <x v="6"/>
    <s v="Other specialised food retailing"/>
    <s v="2025-04-01"/>
    <x v="6"/>
    <s v="April    "/>
    <s v="4"/>
    <n v="279.2"/>
    <n v="16.72"/>
  </r>
  <r>
    <x v="6"/>
    <s v="Other specialised food retailing"/>
    <s v="2025-05-01"/>
    <x v="6"/>
    <s v="May      "/>
    <s v="5"/>
    <n v="268.10000000000002"/>
    <n v="13.89"/>
  </r>
  <r>
    <x v="6"/>
    <s v="Other specialised food retailing"/>
    <s v="2025-06-01"/>
    <x v="6"/>
    <s v="June     "/>
    <s v="6"/>
    <n v="261.5"/>
    <n v="19.3"/>
  </r>
  <r>
    <x v="6"/>
    <s v="Pharmaceutical, cosmetic and toiletry goods retailing"/>
    <s v="2019-01-01"/>
    <x v="0"/>
    <s v="January  "/>
    <s v="1"/>
    <n v="472.1"/>
    <m/>
  </r>
  <r>
    <x v="6"/>
    <s v="Pharmaceutical, cosmetic and toiletry goods retailing"/>
    <s v="2019-02-01"/>
    <x v="0"/>
    <s v="February "/>
    <s v="2"/>
    <n v="458.3"/>
    <m/>
  </r>
  <r>
    <x v="6"/>
    <s v="Pharmaceutical, cosmetic and toiletry goods retailing"/>
    <s v="2019-03-01"/>
    <x v="0"/>
    <s v="March    "/>
    <s v="3"/>
    <n v="495.1"/>
    <m/>
  </r>
  <r>
    <x v="6"/>
    <s v="Pharmaceutical, cosmetic and toiletry goods retailing"/>
    <s v="2019-04-01"/>
    <x v="0"/>
    <s v="April    "/>
    <s v="4"/>
    <n v="491.7"/>
    <m/>
  </r>
  <r>
    <x v="6"/>
    <s v="Pharmaceutical, cosmetic and toiletry goods retailing"/>
    <s v="2019-05-01"/>
    <x v="0"/>
    <s v="May      "/>
    <s v="5"/>
    <n v="530.79999999999995"/>
    <m/>
  </r>
  <r>
    <x v="6"/>
    <s v="Pharmaceutical, cosmetic and toiletry goods retailing"/>
    <s v="2019-06-01"/>
    <x v="0"/>
    <s v="June     "/>
    <s v="6"/>
    <n v="515"/>
    <m/>
  </r>
  <r>
    <x v="6"/>
    <s v="Pharmaceutical, cosmetic and toiletry goods retailing"/>
    <s v="2019-07-01"/>
    <x v="0"/>
    <s v="July     "/>
    <s v="7"/>
    <n v="528.9"/>
    <m/>
  </r>
  <r>
    <x v="6"/>
    <s v="Pharmaceutical, cosmetic and toiletry goods retailing"/>
    <s v="2019-08-01"/>
    <x v="0"/>
    <s v="August   "/>
    <s v="8"/>
    <n v="551.70000000000005"/>
    <m/>
  </r>
  <r>
    <x v="6"/>
    <s v="Pharmaceutical, cosmetic and toiletry goods retailing"/>
    <s v="2019-09-01"/>
    <x v="0"/>
    <s v="September"/>
    <s v="9"/>
    <n v="532"/>
    <m/>
  </r>
  <r>
    <x v="6"/>
    <s v="Pharmaceutical, cosmetic and toiletry goods retailing"/>
    <s v="2019-10-01"/>
    <x v="0"/>
    <s v="October  "/>
    <s v="10"/>
    <n v="538.6"/>
    <m/>
  </r>
  <r>
    <x v="6"/>
    <s v="Pharmaceutical, cosmetic and toiletry goods retailing"/>
    <s v="2019-11-01"/>
    <x v="0"/>
    <s v="November "/>
    <s v="11"/>
    <n v="552.1"/>
    <m/>
  </r>
  <r>
    <x v="6"/>
    <s v="Pharmaceutical, cosmetic and toiletry goods retailing"/>
    <s v="2019-12-01"/>
    <x v="0"/>
    <s v="December "/>
    <s v="12"/>
    <n v="644.5"/>
    <m/>
  </r>
  <r>
    <x v="6"/>
    <s v="Pharmaceutical, cosmetic and toiletry goods retailing"/>
    <s v="2020-01-01"/>
    <x v="1"/>
    <s v="January  "/>
    <s v="1"/>
    <n v="487.6"/>
    <n v="3.28"/>
  </r>
  <r>
    <x v="6"/>
    <s v="Pharmaceutical, cosmetic and toiletry goods retailing"/>
    <s v="2020-02-01"/>
    <x v="1"/>
    <s v="February "/>
    <s v="2"/>
    <n v="507.6"/>
    <n v="10.76"/>
  </r>
  <r>
    <x v="6"/>
    <s v="Pharmaceutical, cosmetic and toiletry goods retailing"/>
    <s v="2020-03-01"/>
    <x v="1"/>
    <s v="March    "/>
    <s v="3"/>
    <n v="671.2"/>
    <n v="35.57"/>
  </r>
  <r>
    <x v="6"/>
    <s v="Pharmaceutical, cosmetic and toiletry goods retailing"/>
    <s v="2020-04-01"/>
    <x v="1"/>
    <s v="April    "/>
    <s v="4"/>
    <n v="465.5"/>
    <n v="-5.33"/>
  </r>
  <r>
    <x v="6"/>
    <s v="Pharmaceutical, cosmetic and toiletry goods retailing"/>
    <s v="2020-05-01"/>
    <x v="1"/>
    <s v="May      "/>
    <s v="5"/>
    <n v="540.9"/>
    <n v="1.9"/>
  </r>
  <r>
    <x v="6"/>
    <s v="Pharmaceutical, cosmetic and toiletry goods retailing"/>
    <s v="2020-06-01"/>
    <x v="1"/>
    <s v="June     "/>
    <s v="6"/>
    <n v="510.6"/>
    <n v="-0.85"/>
  </r>
  <r>
    <x v="6"/>
    <s v="Pharmaceutical, cosmetic and toiletry goods retailing"/>
    <s v="2020-07-01"/>
    <x v="1"/>
    <s v="July     "/>
    <s v="7"/>
    <n v="558.5"/>
    <n v="5.6"/>
  </r>
  <r>
    <x v="6"/>
    <s v="Pharmaceutical, cosmetic and toiletry goods retailing"/>
    <s v="2020-08-01"/>
    <x v="1"/>
    <s v="August   "/>
    <s v="8"/>
    <n v="495.8"/>
    <n v="-10.130000000000001"/>
  </r>
  <r>
    <x v="6"/>
    <s v="Pharmaceutical, cosmetic and toiletry goods retailing"/>
    <s v="2020-09-01"/>
    <x v="1"/>
    <s v="September"/>
    <s v="9"/>
    <n v="504.8"/>
    <n v="-5.1100000000000003"/>
  </r>
  <r>
    <x v="6"/>
    <s v="Pharmaceutical, cosmetic and toiletry goods retailing"/>
    <s v="2020-10-01"/>
    <x v="1"/>
    <s v="October  "/>
    <s v="10"/>
    <n v="555.1"/>
    <n v="3.06"/>
  </r>
  <r>
    <x v="6"/>
    <s v="Pharmaceutical, cosmetic and toiletry goods retailing"/>
    <s v="2020-11-01"/>
    <x v="1"/>
    <s v="November "/>
    <s v="11"/>
    <n v="583.70000000000005"/>
    <n v="5.72"/>
  </r>
  <r>
    <x v="6"/>
    <s v="Pharmaceutical, cosmetic and toiletry goods retailing"/>
    <s v="2020-12-01"/>
    <x v="1"/>
    <s v="December "/>
    <s v="12"/>
    <n v="706.9"/>
    <n v="9.68"/>
  </r>
  <r>
    <x v="6"/>
    <s v="Pharmaceutical, cosmetic and toiletry goods retailing"/>
    <s v="2021-01-01"/>
    <x v="2"/>
    <s v="January  "/>
    <s v="1"/>
    <n v="508"/>
    <n v="4.18"/>
  </r>
  <r>
    <x v="6"/>
    <s v="Pharmaceutical, cosmetic and toiletry goods retailing"/>
    <s v="2021-02-01"/>
    <x v="2"/>
    <s v="February "/>
    <s v="2"/>
    <n v="499.7"/>
    <n v="-1.56"/>
  </r>
  <r>
    <x v="6"/>
    <s v="Pharmaceutical, cosmetic and toiletry goods retailing"/>
    <s v="2021-03-01"/>
    <x v="2"/>
    <s v="March    "/>
    <s v="3"/>
    <n v="566.9"/>
    <n v="-15.54"/>
  </r>
  <r>
    <x v="6"/>
    <s v="Pharmaceutical, cosmetic and toiletry goods retailing"/>
    <s v="2021-04-01"/>
    <x v="2"/>
    <s v="April    "/>
    <s v="4"/>
    <n v="552"/>
    <n v="18.579999999999998"/>
  </r>
  <r>
    <x v="6"/>
    <s v="Pharmaceutical, cosmetic and toiletry goods retailing"/>
    <s v="2021-05-01"/>
    <x v="2"/>
    <s v="May      "/>
    <s v="5"/>
    <n v="574.20000000000005"/>
    <n v="6.16"/>
  </r>
  <r>
    <x v="6"/>
    <s v="Pharmaceutical, cosmetic and toiletry goods retailing"/>
    <s v="2021-06-01"/>
    <x v="2"/>
    <s v="June     "/>
    <s v="6"/>
    <n v="510.6"/>
    <n v="0"/>
  </r>
  <r>
    <x v="6"/>
    <s v="Pharmaceutical, cosmetic and toiletry goods retailing"/>
    <s v="2021-07-01"/>
    <x v="2"/>
    <s v="July     "/>
    <s v="7"/>
    <n v="544.4"/>
    <n v="-2.52"/>
  </r>
  <r>
    <x v="6"/>
    <s v="Pharmaceutical, cosmetic and toiletry goods retailing"/>
    <s v="2021-08-01"/>
    <x v="2"/>
    <s v="August   "/>
    <s v="8"/>
    <n v="562.6"/>
    <n v="13.47"/>
  </r>
  <r>
    <x v="6"/>
    <s v="Pharmaceutical, cosmetic and toiletry goods retailing"/>
    <s v="2021-09-01"/>
    <x v="2"/>
    <s v="September"/>
    <s v="9"/>
    <n v="560"/>
    <n v="10.94"/>
  </r>
  <r>
    <x v="6"/>
    <s v="Pharmaceutical, cosmetic and toiletry goods retailing"/>
    <s v="2021-10-01"/>
    <x v="2"/>
    <s v="October  "/>
    <s v="10"/>
    <n v="569.4"/>
    <n v="2.58"/>
  </r>
  <r>
    <x v="6"/>
    <s v="Pharmaceutical, cosmetic and toiletry goods retailing"/>
    <s v="2021-11-01"/>
    <x v="2"/>
    <s v="November "/>
    <s v="11"/>
    <n v="628.79999999999995"/>
    <n v="7.73"/>
  </r>
  <r>
    <x v="6"/>
    <s v="Pharmaceutical, cosmetic and toiletry goods retailing"/>
    <s v="2021-12-01"/>
    <x v="2"/>
    <s v="December "/>
    <s v="12"/>
    <n v="791.3"/>
    <n v="11.94"/>
  </r>
  <r>
    <x v="6"/>
    <s v="Pharmaceutical, cosmetic and toiletry goods retailing"/>
    <s v="2022-01-01"/>
    <x v="3"/>
    <s v="January  "/>
    <s v="1"/>
    <n v="595"/>
    <n v="17.13"/>
  </r>
  <r>
    <x v="6"/>
    <s v="Pharmaceutical, cosmetic and toiletry goods retailing"/>
    <s v="2022-02-01"/>
    <x v="3"/>
    <s v="February "/>
    <s v="2"/>
    <n v="540.70000000000005"/>
    <n v="8.1999999999999993"/>
  </r>
  <r>
    <x v="6"/>
    <s v="Pharmaceutical, cosmetic and toiletry goods retailing"/>
    <s v="2022-03-01"/>
    <x v="3"/>
    <s v="March    "/>
    <s v="3"/>
    <n v="612.9"/>
    <n v="8.11"/>
  </r>
  <r>
    <x v="6"/>
    <s v="Pharmaceutical, cosmetic and toiletry goods retailing"/>
    <s v="2022-04-01"/>
    <x v="3"/>
    <s v="April    "/>
    <s v="4"/>
    <n v="599.20000000000005"/>
    <n v="8.5500000000000007"/>
  </r>
  <r>
    <x v="6"/>
    <s v="Pharmaceutical, cosmetic and toiletry goods retailing"/>
    <s v="2022-05-01"/>
    <x v="3"/>
    <s v="May      "/>
    <s v="5"/>
    <n v="661.9"/>
    <n v="15.27"/>
  </r>
  <r>
    <x v="6"/>
    <s v="Pharmaceutical, cosmetic and toiletry goods retailing"/>
    <s v="2022-06-01"/>
    <x v="3"/>
    <s v="June     "/>
    <s v="6"/>
    <n v="635.5"/>
    <n v="24.46"/>
  </r>
  <r>
    <x v="6"/>
    <s v="Pharmaceutical, cosmetic and toiletry goods retailing"/>
    <s v="2022-07-01"/>
    <x v="3"/>
    <s v="July     "/>
    <s v="7"/>
    <n v="651.4"/>
    <n v="19.649999999999999"/>
  </r>
  <r>
    <x v="6"/>
    <s v="Pharmaceutical, cosmetic and toiletry goods retailing"/>
    <s v="2022-08-01"/>
    <x v="3"/>
    <s v="August   "/>
    <s v="8"/>
    <n v="639.9"/>
    <n v="13.74"/>
  </r>
  <r>
    <x v="6"/>
    <s v="Pharmaceutical, cosmetic and toiletry goods retailing"/>
    <s v="2022-09-01"/>
    <x v="3"/>
    <s v="September"/>
    <s v="9"/>
    <n v="624.4"/>
    <n v="11.5"/>
  </r>
  <r>
    <x v="6"/>
    <s v="Pharmaceutical, cosmetic and toiletry goods retailing"/>
    <s v="2022-10-01"/>
    <x v="3"/>
    <s v="October  "/>
    <s v="10"/>
    <n v="626"/>
    <n v="9.94"/>
  </r>
  <r>
    <x v="6"/>
    <s v="Pharmaceutical, cosmetic and toiletry goods retailing"/>
    <s v="2022-11-01"/>
    <x v="3"/>
    <s v="November "/>
    <s v="11"/>
    <n v="692.9"/>
    <n v="10.19"/>
  </r>
  <r>
    <x v="6"/>
    <s v="Pharmaceutical, cosmetic and toiletry goods retailing"/>
    <s v="2022-12-01"/>
    <x v="3"/>
    <s v="December "/>
    <s v="12"/>
    <n v="847.9"/>
    <n v="7.15"/>
  </r>
  <r>
    <x v="6"/>
    <s v="Pharmaceutical, cosmetic and toiletry goods retailing"/>
    <s v="2023-01-01"/>
    <x v="4"/>
    <s v="January  "/>
    <s v="1"/>
    <n v="608.1"/>
    <n v="2.2000000000000002"/>
  </r>
  <r>
    <x v="6"/>
    <s v="Pharmaceutical, cosmetic and toiletry goods retailing"/>
    <s v="2023-02-01"/>
    <x v="4"/>
    <s v="February "/>
    <s v="2"/>
    <n v="571.70000000000005"/>
    <n v="5.73"/>
  </r>
  <r>
    <x v="6"/>
    <s v="Pharmaceutical, cosmetic and toiletry goods retailing"/>
    <s v="2023-03-01"/>
    <x v="4"/>
    <s v="March    "/>
    <s v="3"/>
    <n v="651.5"/>
    <n v="6.3"/>
  </r>
  <r>
    <x v="6"/>
    <s v="Pharmaceutical, cosmetic and toiletry goods retailing"/>
    <s v="2023-04-01"/>
    <x v="4"/>
    <s v="April    "/>
    <s v="4"/>
    <n v="623"/>
    <n v="3.97"/>
  </r>
  <r>
    <x v="6"/>
    <s v="Pharmaceutical, cosmetic and toiletry goods retailing"/>
    <s v="2023-05-01"/>
    <x v="4"/>
    <s v="May      "/>
    <s v="5"/>
    <n v="690.6"/>
    <n v="4.34"/>
  </r>
  <r>
    <x v="6"/>
    <s v="Pharmaceutical, cosmetic and toiletry goods retailing"/>
    <s v="2023-06-01"/>
    <x v="4"/>
    <s v="June     "/>
    <s v="6"/>
    <n v="658.8"/>
    <n v="3.67"/>
  </r>
  <r>
    <x v="6"/>
    <s v="Pharmaceutical, cosmetic and toiletry goods retailing"/>
    <s v="2023-07-01"/>
    <x v="4"/>
    <s v="July     "/>
    <s v="7"/>
    <n v="679"/>
    <n v="4.24"/>
  </r>
  <r>
    <x v="6"/>
    <s v="Pharmaceutical, cosmetic and toiletry goods retailing"/>
    <s v="2023-08-01"/>
    <x v="4"/>
    <s v="August   "/>
    <s v="8"/>
    <n v="705.1"/>
    <n v="10.19"/>
  </r>
  <r>
    <x v="6"/>
    <s v="Pharmaceutical, cosmetic and toiletry goods retailing"/>
    <s v="2023-09-01"/>
    <x v="4"/>
    <s v="September"/>
    <s v="9"/>
    <n v="704"/>
    <n v="12.75"/>
  </r>
  <r>
    <x v="6"/>
    <s v="Pharmaceutical, cosmetic and toiletry goods retailing"/>
    <s v="2023-10-01"/>
    <x v="4"/>
    <s v="October  "/>
    <s v="10"/>
    <n v="700.2"/>
    <n v="11.85"/>
  </r>
  <r>
    <x v="6"/>
    <s v="Pharmaceutical, cosmetic and toiletry goods retailing"/>
    <s v="2023-11-01"/>
    <x v="4"/>
    <s v="November "/>
    <s v="11"/>
    <n v="742.6"/>
    <n v="7.17"/>
  </r>
  <r>
    <x v="6"/>
    <s v="Pharmaceutical, cosmetic and toiletry goods retailing"/>
    <s v="2023-12-01"/>
    <x v="4"/>
    <s v="December "/>
    <s v="12"/>
    <n v="872.8"/>
    <n v="2.94"/>
  </r>
  <r>
    <x v="6"/>
    <s v="Pharmaceutical, cosmetic and toiletry goods retailing"/>
    <s v="2024-01-01"/>
    <x v="5"/>
    <s v="January  "/>
    <s v="1"/>
    <n v="650.4"/>
    <n v="6.96"/>
  </r>
  <r>
    <x v="6"/>
    <s v="Pharmaceutical, cosmetic and toiletry goods retailing"/>
    <s v="2024-02-01"/>
    <x v="5"/>
    <s v="February "/>
    <s v="2"/>
    <n v="627.4"/>
    <n v="9.74"/>
  </r>
  <r>
    <x v="6"/>
    <s v="Pharmaceutical, cosmetic and toiletry goods retailing"/>
    <s v="2024-03-01"/>
    <x v="5"/>
    <s v="March    "/>
    <s v="3"/>
    <n v="673.3"/>
    <n v="3.35"/>
  </r>
  <r>
    <x v="6"/>
    <s v="Pharmaceutical, cosmetic and toiletry goods retailing"/>
    <s v="2024-04-01"/>
    <x v="5"/>
    <s v="April    "/>
    <s v="4"/>
    <n v="678.4"/>
    <n v="8.89"/>
  </r>
  <r>
    <x v="6"/>
    <s v="Pharmaceutical, cosmetic and toiletry goods retailing"/>
    <s v="2024-05-01"/>
    <x v="5"/>
    <s v="May      "/>
    <s v="5"/>
    <n v="758.1"/>
    <n v="9.77"/>
  </r>
  <r>
    <x v="6"/>
    <s v="Pharmaceutical, cosmetic and toiletry goods retailing"/>
    <s v="2024-06-01"/>
    <x v="5"/>
    <s v="June     "/>
    <s v="6"/>
    <n v="695"/>
    <n v="5.49"/>
  </r>
  <r>
    <x v="6"/>
    <s v="Pharmaceutical, cosmetic and toiletry goods retailing"/>
    <s v="2024-07-01"/>
    <x v="5"/>
    <s v="July     "/>
    <s v="7"/>
    <n v="729.6"/>
    <n v="7.45"/>
  </r>
  <r>
    <x v="6"/>
    <s v="Pharmaceutical, cosmetic and toiletry goods retailing"/>
    <s v="2024-08-01"/>
    <x v="5"/>
    <s v="August   "/>
    <s v="8"/>
    <n v="763"/>
    <n v="8.2100000000000009"/>
  </r>
  <r>
    <x v="6"/>
    <s v="Pharmaceutical, cosmetic and toiletry goods retailing"/>
    <s v="2024-09-01"/>
    <x v="5"/>
    <s v="September"/>
    <s v="9"/>
    <n v="741.6"/>
    <n v="5.34"/>
  </r>
  <r>
    <x v="6"/>
    <s v="Pharmaceutical, cosmetic and toiletry goods retailing"/>
    <s v="2024-10-01"/>
    <x v="5"/>
    <s v="October  "/>
    <s v="10"/>
    <n v="784.3"/>
    <n v="12.01"/>
  </r>
  <r>
    <x v="6"/>
    <s v="Pharmaceutical, cosmetic and toiletry goods retailing"/>
    <s v="2024-11-01"/>
    <x v="5"/>
    <s v="November "/>
    <s v="11"/>
    <n v="831.6"/>
    <n v="11.98"/>
  </r>
  <r>
    <x v="6"/>
    <s v="Pharmaceutical, cosmetic and toiletry goods retailing"/>
    <s v="2024-12-01"/>
    <x v="5"/>
    <s v="December "/>
    <s v="12"/>
    <n v="959.6"/>
    <n v="9.9499999999999993"/>
  </r>
  <r>
    <x v="6"/>
    <s v="Pharmaceutical, cosmetic and toiletry goods retailing"/>
    <s v="2025-01-01"/>
    <x v="6"/>
    <s v="January  "/>
    <s v="1"/>
    <n v="741.2"/>
    <n v="13.96"/>
  </r>
  <r>
    <x v="6"/>
    <s v="Pharmaceutical, cosmetic and toiletry goods retailing"/>
    <s v="2025-02-01"/>
    <x v="6"/>
    <s v="February "/>
    <s v="2"/>
    <n v="696.8"/>
    <n v="11.06"/>
  </r>
  <r>
    <x v="6"/>
    <s v="Pharmaceutical, cosmetic and toiletry goods retailing"/>
    <s v="2025-03-01"/>
    <x v="6"/>
    <s v="March    "/>
    <s v="3"/>
    <n v="770.2"/>
    <n v="14.39"/>
  </r>
  <r>
    <x v="6"/>
    <s v="Pharmaceutical, cosmetic and toiletry goods retailing"/>
    <s v="2025-04-01"/>
    <x v="6"/>
    <s v="April    "/>
    <s v="4"/>
    <n v="755.4"/>
    <n v="11.35"/>
  </r>
  <r>
    <x v="6"/>
    <s v="Pharmaceutical, cosmetic and toiletry goods retailing"/>
    <s v="2025-05-01"/>
    <x v="6"/>
    <s v="May      "/>
    <s v="5"/>
    <n v="837.9"/>
    <n v="10.53"/>
  </r>
  <r>
    <x v="6"/>
    <s v="Pharmaceutical, cosmetic and toiletry goods retailing"/>
    <s v="2025-06-01"/>
    <x v="6"/>
    <s v="June     "/>
    <s v="6"/>
    <n v="771.4"/>
    <n v="10.99"/>
  </r>
  <r>
    <x v="6"/>
    <s v="Supermarket and grocery stores"/>
    <s v="2019-01-01"/>
    <x v="0"/>
    <s v="January  "/>
    <s v="1"/>
    <n v="2365"/>
    <m/>
  </r>
  <r>
    <x v="6"/>
    <s v="Supermarket and grocery stores"/>
    <s v="2019-02-01"/>
    <x v="0"/>
    <s v="February "/>
    <s v="2"/>
    <n v="2168.1999999999998"/>
    <m/>
  </r>
  <r>
    <x v="6"/>
    <s v="Supermarket and grocery stores"/>
    <s v="2019-03-01"/>
    <x v="0"/>
    <s v="March    "/>
    <s v="3"/>
    <n v="2414.3000000000002"/>
    <m/>
  </r>
  <r>
    <x v="6"/>
    <s v="Supermarket and grocery stores"/>
    <s v="2019-04-01"/>
    <x v="0"/>
    <s v="April    "/>
    <s v="4"/>
    <n v="2299.1999999999998"/>
    <m/>
  </r>
  <r>
    <x v="6"/>
    <s v="Supermarket and grocery stores"/>
    <s v="2019-05-01"/>
    <x v="0"/>
    <s v="May      "/>
    <s v="5"/>
    <n v="2319.8000000000002"/>
    <m/>
  </r>
  <r>
    <x v="6"/>
    <s v="Supermarket and grocery stores"/>
    <s v="2019-06-01"/>
    <x v="0"/>
    <s v="June     "/>
    <s v="6"/>
    <n v="2224.9"/>
    <m/>
  </r>
  <r>
    <x v="6"/>
    <s v="Supermarket and grocery stores"/>
    <s v="2019-07-01"/>
    <x v="0"/>
    <s v="July     "/>
    <s v="7"/>
    <n v="2307.6"/>
    <m/>
  </r>
  <r>
    <x v="6"/>
    <s v="Supermarket and grocery stores"/>
    <s v="2019-08-01"/>
    <x v="0"/>
    <s v="August   "/>
    <s v="8"/>
    <n v="2374.3000000000002"/>
    <m/>
  </r>
  <r>
    <x v="6"/>
    <s v="Supermarket and grocery stores"/>
    <s v="2019-09-01"/>
    <x v="0"/>
    <s v="September"/>
    <s v="9"/>
    <n v="2300.4"/>
    <m/>
  </r>
  <r>
    <x v="6"/>
    <s v="Supermarket and grocery stores"/>
    <s v="2019-10-01"/>
    <x v="0"/>
    <s v="October  "/>
    <s v="10"/>
    <n v="2444.9"/>
    <m/>
  </r>
  <r>
    <x v="6"/>
    <s v="Supermarket and grocery stores"/>
    <s v="2019-11-01"/>
    <x v="0"/>
    <s v="November "/>
    <s v="11"/>
    <n v="2457.3000000000002"/>
    <m/>
  </r>
  <r>
    <x v="6"/>
    <s v="Supermarket and grocery stores"/>
    <s v="2019-12-01"/>
    <x v="0"/>
    <s v="December "/>
    <s v="12"/>
    <n v="2749"/>
    <m/>
  </r>
  <r>
    <x v="6"/>
    <s v="Supermarket and grocery stores"/>
    <s v="2020-01-01"/>
    <x v="1"/>
    <s v="January  "/>
    <s v="1"/>
    <n v="2477.1"/>
    <n v="4.74"/>
  </r>
  <r>
    <x v="6"/>
    <s v="Supermarket and grocery stores"/>
    <s v="2020-02-01"/>
    <x v="1"/>
    <s v="February "/>
    <s v="2"/>
    <n v="2374.5"/>
    <n v="9.51"/>
  </r>
  <r>
    <x v="6"/>
    <s v="Supermarket and grocery stores"/>
    <s v="2020-03-01"/>
    <x v="1"/>
    <s v="March    "/>
    <s v="3"/>
    <n v="3077.5"/>
    <n v="27.47"/>
  </r>
  <r>
    <x v="6"/>
    <s v="Supermarket and grocery stores"/>
    <s v="2020-04-01"/>
    <x v="1"/>
    <s v="April    "/>
    <s v="4"/>
    <n v="2414"/>
    <n v="4.99"/>
  </r>
  <r>
    <x v="6"/>
    <s v="Supermarket and grocery stores"/>
    <s v="2020-05-01"/>
    <x v="1"/>
    <s v="May      "/>
    <s v="5"/>
    <n v="2562.6"/>
    <n v="10.47"/>
  </r>
  <r>
    <x v="6"/>
    <s v="Supermarket and grocery stores"/>
    <s v="2020-06-01"/>
    <x v="1"/>
    <s v="June     "/>
    <s v="6"/>
    <n v="2485.1999999999998"/>
    <n v="11.7"/>
  </r>
  <r>
    <x v="6"/>
    <s v="Supermarket and grocery stores"/>
    <s v="2020-07-01"/>
    <x v="1"/>
    <s v="July     "/>
    <s v="7"/>
    <n v="2672.5"/>
    <n v="15.81"/>
  </r>
  <r>
    <x v="6"/>
    <s v="Supermarket and grocery stores"/>
    <s v="2020-08-01"/>
    <x v="1"/>
    <s v="August   "/>
    <s v="8"/>
    <n v="2693.2"/>
    <n v="13.43"/>
  </r>
  <r>
    <x v="6"/>
    <s v="Supermarket and grocery stores"/>
    <s v="2020-09-01"/>
    <x v="1"/>
    <s v="September"/>
    <s v="9"/>
    <n v="2608.6"/>
    <n v="13.4"/>
  </r>
  <r>
    <x v="6"/>
    <s v="Supermarket and grocery stores"/>
    <s v="2020-10-01"/>
    <x v="1"/>
    <s v="October  "/>
    <s v="10"/>
    <n v="2726.8"/>
    <n v="11.53"/>
  </r>
  <r>
    <x v="6"/>
    <s v="Supermarket and grocery stores"/>
    <s v="2020-11-01"/>
    <x v="1"/>
    <s v="November "/>
    <s v="11"/>
    <n v="2600.1999999999998"/>
    <n v="5.82"/>
  </r>
  <r>
    <x v="6"/>
    <s v="Supermarket and grocery stores"/>
    <s v="2020-12-01"/>
    <x v="1"/>
    <s v="December "/>
    <s v="12"/>
    <n v="2834.8"/>
    <n v="3.12"/>
  </r>
  <r>
    <x v="6"/>
    <s v="Supermarket and grocery stores"/>
    <s v="2021-01-01"/>
    <x v="2"/>
    <s v="January  "/>
    <s v="1"/>
    <n v="2612.3000000000002"/>
    <n v="5.46"/>
  </r>
  <r>
    <x v="6"/>
    <s v="Supermarket and grocery stores"/>
    <s v="2021-02-01"/>
    <x v="2"/>
    <s v="February "/>
    <s v="2"/>
    <n v="2361.6"/>
    <n v="-0.54"/>
  </r>
  <r>
    <x v="6"/>
    <s v="Supermarket and grocery stores"/>
    <s v="2021-03-01"/>
    <x v="2"/>
    <s v="March    "/>
    <s v="3"/>
    <n v="2533"/>
    <n v="-17.690000000000001"/>
  </r>
  <r>
    <x v="6"/>
    <s v="Supermarket and grocery stores"/>
    <s v="2021-04-01"/>
    <x v="2"/>
    <s v="April    "/>
    <s v="4"/>
    <n v="2407.6"/>
    <n v="-0.27"/>
  </r>
  <r>
    <x v="6"/>
    <s v="Supermarket and grocery stores"/>
    <s v="2021-05-01"/>
    <x v="2"/>
    <s v="May      "/>
    <s v="5"/>
    <n v="2579"/>
    <n v="0.64"/>
  </r>
  <r>
    <x v="6"/>
    <s v="Supermarket and grocery stores"/>
    <s v="2021-06-01"/>
    <x v="2"/>
    <s v="June     "/>
    <s v="6"/>
    <n v="2435.5"/>
    <n v="-2"/>
  </r>
  <r>
    <x v="6"/>
    <s v="Supermarket and grocery stores"/>
    <s v="2021-07-01"/>
    <x v="2"/>
    <s v="July     "/>
    <s v="7"/>
    <n v="2627"/>
    <n v="-1.7"/>
  </r>
  <r>
    <x v="6"/>
    <s v="Supermarket and grocery stores"/>
    <s v="2021-08-01"/>
    <x v="2"/>
    <s v="August   "/>
    <s v="8"/>
    <n v="2771"/>
    <n v="2.89"/>
  </r>
  <r>
    <x v="6"/>
    <s v="Supermarket and grocery stores"/>
    <s v="2021-09-01"/>
    <x v="2"/>
    <s v="September"/>
    <s v="9"/>
    <n v="2703.1"/>
    <n v="3.62"/>
  </r>
  <r>
    <x v="6"/>
    <s v="Supermarket and grocery stores"/>
    <s v="2021-10-01"/>
    <x v="2"/>
    <s v="October  "/>
    <s v="10"/>
    <n v="2778.1"/>
    <n v="1.88"/>
  </r>
  <r>
    <x v="6"/>
    <s v="Supermarket and grocery stores"/>
    <s v="2021-11-01"/>
    <x v="2"/>
    <s v="November "/>
    <s v="11"/>
    <n v="2612.3000000000002"/>
    <n v="0.47"/>
  </r>
  <r>
    <x v="6"/>
    <s v="Supermarket and grocery stores"/>
    <s v="2021-12-01"/>
    <x v="2"/>
    <s v="December "/>
    <s v="12"/>
    <n v="2953.4"/>
    <n v="4.18"/>
  </r>
  <r>
    <x v="6"/>
    <s v="Supermarket and grocery stores"/>
    <s v="2022-01-01"/>
    <x v="3"/>
    <s v="January  "/>
    <s v="1"/>
    <n v="2760.2"/>
    <n v="5.66"/>
  </r>
  <r>
    <x v="6"/>
    <s v="Supermarket and grocery stores"/>
    <s v="2022-02-01"/>
    <x v="3"/>
    <s v="February "/>
    <s v="2"/>
    <n v="2456.6999999999998"/>
    <n v="4.03"/>
  </r>
  <r>
    <x v="6"/>
    <s v="Supermarket and grocery stores"/>
    <s v="2022-03-01"/>
    <x v="3"/>
    <s v="March    "/>
    <s v="3"/>
    <n v="2674.1"/>
    <n v="5.57"/>
  </r>
  <r>
    <x v="6"/>
    <s v="Supermarket and grocery stores"/>
    <s v="2022-04-01"/>
    <x v="3"/>
    <s v="April    "/>
    <s v="4"/>
    <n v="2630.4"/>
    <n v="9.25"/>
  </r>
  <r>
    <x v="6"/>
    <s v="Supermarket and grocery stores"/>
    <s v="2022-05-01"/>
    <x v="3"/>
    <s v="May      "/>
    <s v="5"/>
    <n v="2639.4"/>
    <n v="2.34"/>
  </r>
  <r>
    <x v="6"/>
    <s v="Supermarket and grocery stores"/>
    <s v="2022-06-01"/>
    <x v="3"/>
    <s v="June     "/>
    <s v="6"/>
    <n v="2524.4"/>
    <n v="3.65"/>
  </r>
  <r>
    <x v="6"/>
    <s v="Supermarket and grocery stores"/>
    <s v="2022-07-01"/>
    <x v="3"/>
    <s v="July     "/>
    <s v="7"/>
    <n v="2685.1"/>
    <n v="2.21"/>
  </r>
  <r>
    <x v="6"/>
    <s v="Supermarket and grocery stores"/>
    <s v="2022-08-01"/>
    <x v="3"/>
    <s v="August   "/>
    <s v="8"/>
    <n v="2696"/>
    <n v="-2.71"/>
  </r>
  <r>
    <x v="6"/>
    <s v="Supermarket and grocery stores"/>
    <s v="2022-09-01"/>
    <x v="3"/>
    <s v="September"/>
    <s v="9"/>
    <n v="2691.9"/>
    <n v="-0.41"/>
  </r>
  <r>
    <x v="6"/>
    <s v="Supermarket and grocery stores"/>
    <s v="2022-10-01"/>
    <x v="3"/>
    <s v="October  "/>
    <s v="10"/>
    <n v="2880.6"/>
    <n v="3.69"/>
  </r>
  <r>
    <x v="6"/>
    <s v="Supermarket and grocery stores"/>
    <s v="2022-11-01"/>
    <x v="3"/>
    <s v="November "/>
    <s v="11"/>
    <n v="2843.2"/>
    <n v="8.84"/>
  </r>
  <r>
    <x v="6"/>
    <s v="Supermarket and grocery stores"/>
    <s v="2022-12-01"/>
    <x v="3"/>
    <s v="December "/>
    <s v="12"/>
    <n v="3260.5"/>
    <n v="10.4"/>
  </r>
  <r>
    <x v="6"/>
    <s v="Supermarket and grocery stores"/>
    <s v="2023-01-01"/>
    <x v="4"/>
    <s v="January  "/>
    <s v="1"/>
    <n v="2907.6"/>
    <n v="5.34"/>
  </r>
  <r>
    <x v="6"/>
    <s v="Supermarket and grocery stores"/>
    <s v="2023-02-01"/>
    <x v="4"/>
    <s v="February "/>
    <s v="2"/>
    <n v="2666.7"/>
    <n v="8.5500000000000007"/>
  </r>
  <r>
    <x v="6"/>
    <s v="Supermarket and grocery stores"/>
    <s v="2023-03-01"/>
    <x v="4"/>
    <s v="March    "/>
    <s v="3"/>
    <n v="2933.7"/>
    <n v="9.7100000000000009"/>
  </r>
  <r>
    <x v="6"/>
    <s v="Supermarket and grocery stores"/>
    <s v="2023-04-01"/>
    <x v="4"/>
    <s v="April    "/>
    <s v="4"/>
    <n v="2839.6"/>
    <n v="7.95"/>
  </r>
  <r>
    <x v="6"/>
    <s v="Supermarket and grocery stores"/>
    <s v="2023-05-01"/>
    <x v="4"/>
    <s v="May      "/>
    <s v="5"/>
    <n v="2838.2"/>
    <n v="7.53"/>
  </r>
  <r>
    <x v="6"/>
    <s v="Supermarket and grocery stores"/>
    <s v="2023-06-01"/>
    <x v="4"/>
    <s v="June     "/>
    <s v="6"/>
    <n v="2700.2"/>
    <n v="6.96"/>
  </r>
  <r>
    <x v="6"/>
    <s v="Supermarket and grocery stores"/>
    <s v="2023-07-01"/>
    <x v="4"/>
    <s v="July     "/>
    <s v="7"/>
    <n v="2826.9"/>
    <n v="5.28"/>
  </r>
  <r>
    <x v="6"/>
    <s v="Supermarket and grocery stores"/>
    <s v="2023-08-01"/>
    <x v="4"/>
    <s v="August   "/>
    <s v="8"/>
    <n v="2827.1"/>
    <n v="4.8600000000000003"/>
  </r>
  <r>
    <x v="6"/>
    <s v="Supermarket and grocery stores"/>
    <s v="2023-09-01"/>
    <x v="4"/>
    <s v="September"/>
    <s v="9"/>
    <n v="2793.9"/>
    <n v="3.79"/>
  </r>
  <r>
    <x v="6"/>
    <s v="Supermarket and grocery stores"/>
    <s v="2023-10-01"/>
    <x v="4"/>
    <s v="October  "/>
    <s v="10"/>
    <n v="2933.3"/>
    <n v="1.83"/>
  </r>
  <r>
    <x v="6"/>
    <s v="Supermarket and grocery stores"/>
    <s v="2023-11-01"/>
    <x v="4"/>
    <s v="November "/>
    <s v="11"/>
    <n v="2925.7"/>
    <n v="2.9"/>
  </r>
  <r>
    <x v="6"/>
    <s v="Supermarket and grocery stores"/>
    <s v="2023-12-01"/>
    <x v="4"/>
    <s v="December "/>
    <s v="12"/>
    <n v="3272.1"/>
    <n v="0.36"/>
  </r>
  <r>
    <x v="6"/>
    <s v="Supermarket and grocery stores"/>
    <s v="2024-01-01"/>
    <x v="5"/>
    <s v="January  "/>
    <s v="1"/>
    <n v="2924.9"/>
    <n v="0.59"/>
  </r>
  <r>
    <x v="6"/>
    <s v="Supermarket and grocery stores"/>
    <s v="2024-02-01"/>
    <x v="5"/>
    <s v="February "/>
    <s v="2"/>
    <n v="2803.9"/>
    <n v="5.14"/>
  </r>
  <r>
    <x v="6"/>
    <s v="Supermarket and grocery stores"/>
    <s v="2024-03-01"/>
    <x v="5"/>
    <s v="March    "/>
    <s v="3"/>
    <n v="3066.8"/>
    <n v="4.54"/>
  </r>
  <r>
    <x v="6"/>
    <s v="Supermarket and grocery stores"/>
    <s v="2024-04-01"/>
    <x v="5"/>
    <s v="April    "/>
    <s v="4"/>
    <n v="2812.6"/>
    <n v="-0.95"/>
  </r>
  <r>
    <x v="6"/>
    <s v="Supermarket and grocery stores"/>
    <s v="2024-05-01"/>
    <x v="5"/>
    <s v="May      "/>
    <s v="5"/>
    <n v="2899.2"/>
    <n v="2.15"/>
  </r>
  <r>
    <x v="6"/>
    <s v="Supermarket and grocery stores"/>
    <s v="2024-06-01"/>
    <x v="5"/>
    <s v="June     "/>
    <s v="6"/>
    <n v="2796.3"/>
    <n v="3.56"/>
  </r>
  <r>
    <x v="6"/>
    <s v="Supermarket and grocery stores"/>
    <s v="2024-07-01"/>
    <x v="5"/>
    <s v="July     "/>
    <s v="7"/>
    <n v="2871.5"/>
    <n v="1.58"/>
  </r>
  <r>
    <x v="6"/>
    <s v="Supermarket and grocery stores"/>
    <s v="2024-08-01"/>
    <x v="5"/>
    <s v="August   "/>
    <s v="8"/>
    <n v="2957.6"/>
    <n v="4.62"/>
  </r>
  <r>
    <x v="6"/>
    <s v="Supermarket and grocery stores"/>
    <s v="2024-09-01"/>
    <x v="5"/>
    <s v="September"/>
    <s v="9"/>
    <n v="2851.1"/>
    <n v="2.0499999999999998"/>
  </r>
  <r>
    <x v="6"/>
    <s v="Supermarket and grocery stores"/>
    <s v="2024-10-01"/>
    <x v="5"/>
    <s v="October  "/>
    <s v="10"/>
    <n v="3000.5"/>
    <n v="2.29"/>
  </r>
  <r>
    <x v="6"/>
    <s v="Supermarket and grocery stores"/>
    <s v="2024-11-01"/>
    <x v="5"/>
    <s v="November "/>
    <s v="11"/>
    <n v="3028.8"/>
    <n v="3.52"/>
  </r>
  <r>
    <x v="6"/>
    <s v="Supermarket and grocery stores"/>
    <s v="2024-12-01"/>
    <x v="5"/>
    <s v="December "/>
    <s v="12"/>
    <n v="3323.2"/>
    <n v="1.56"/>
  </r>
  <r>
    <x v="6"/>
    <s v="Supermarket and grocery stores"/>
    <s v="2025-01-01"/>
    <x v="6"/>
    <s v="January  "/>
    <s v="1"/>
    <n v="3027.2"/>
    <n v="3.5"/>
  </r>
  <r>
    <x v="6"/>
    <s v="Supermarket and grocery stores"/>
    <s v="2025-02-01"/>
    <x v="6"/>
    <s v="February "/>
    <s v="2"/>
    <n v="2802.9"/>
    <n v="-0.04"/>
  </r>
  <r>
    <x v="6"/>
    <s v="Supermarket and grocery stores"/>
    <s v="2025-03-01"/>
    <x v="6"/>
    <s v="March    "/>
    <s v="3"/>
    <n v="3123.9"/>
    <n v="1.86"/>
  </r>
  <r>
    <x v="6"/>
    <s v="Supermarket and grocery stores"/>
    <s v="2025-04-01"/>
    <x v="6"/>
    <s v="April    "/>
    <s v="4"/>
    <n v="2946.4"/>
    <n v="4.76"/>
  </r>
  <r>
    <x v="6"/>
    <s v="Supermarket and grocery stores"/>
    <s v="2025-05-01"/>
    <x v="6"/>
    <s v="May      "/>
    <s v="5"/>
    <n v="3005"/>
    <n v="3.65"/>
  </r>
  <r>
    <x v="6"/>
    <s v="Supermarket and grocery stores"/>
    <s v="2025-06-01"/>
    <x v="6"/>
    <s v="June     "/>
    <s v="6"/>
    <n v="2875.5"/>
    <n v="2.83"/>
  </r>
  <r>
    <x v="6"/>
    <s v="Takeaway food services"/>
    <s v="2019-01-01"/>
    <x v="0"/>
    <s v="January  "/>
    <s v="1"/>
    <n v="348"/>
    <m/>
  </r>
  <r>
    <x v="6"/>
    <s v="Takeaway food services"/>
    <s v="2019-02-01"/>
    <x v="0"/>
    <s v="February "/>
    <s v="2"/>
    <n v="312.39999999999998"/>
    <m/>
  </r>
  <r>
    <x v="6"/>
    <s v="Takeaway food services"/>
    <s v="2019-03-01"/>
    <x v="0"/>
    <s v="March    "/>
    <s v="3"/>
    <n v="353.6"/>
    <m/>
  </r>
  <r>
    <x v="6"/>
    <s v="Takeaway food services"/>
    <s v="2019-04-01"/>
    <x v="0"/>
    <s v="April    "/>
    <s v="4"/>
    <n v="328.6"/>
    <m/>
  </r>
  <r>
    <x v="6"/>
    <s v="Takeaway food services"/>
    <s v="2019-05-01"/>
    <x v="0"/>
    <s v="May      "/>
    <s v="5"/>
    <n v="329.7"/>
    <m/>
  </r>
  <r>
    <x v="6"/>
    <s v="Takeaway food services"/>
    <s v="2019-06-01"/>
    <x v="0"/>
    <s v="June     "/>
    <s v="6"/>
    <n v="336.4"/>
    <m/>
  </r>
  <r>
    <x v="6"/>
    <s v="Takeaway food services"/>
    <s v="2019-07-01"/>
    <x v="0"/>
    <s v="July     "/>
    <s v="7"/>
    <n v="352.7"/>
    <m/>
  </r>
  <r>
    <x v="6"/>
    <s v="Takeaway food services"/>
    <s v="2019-08-01"/>
    <x v="0"/>
    <s v="August   "/>
    <s v="8"/>
    <n v="361.6"/>
    <m/>
  </r>
  <r>
    <x v="6"/>
    <s v="Takeaway food services"/>
    <s v="2019-09-01"/>
    <x v="0"/>
    <s v="September"/>
    <s v="9"/>
    <n v="354.1"/>
    <m/>
  </r>
  <r>
    <x v="6"/>
    <s v="Takeaway food services"/>
    <s v="2019-10-01"/>
    <x v="0"/>
    <s v="October  "/>
    <s v="10"/>
    <n v="356.4"/>
    <m/>
  </r>
  <r>
    <x v="6"/>
    <s v="Takeaway food services"/>
    <s v="2019-11-01"/>
    <x v="0"/>
    <s v="November "/>
    <s v="11"/>
    <n v="360.3"/>
    <m/>
  </r>
  <r>
    <x v="6"/>
    <s v="Takeaway food services"/>
    <s v="2019-12-01"/>
    <x v="0"/>
    <s v="December "/>
    <s v="12"/>
    <n v="396.2"/>
    <m/>
  </r>
  <r>
    <x v="6"/>
    <s v="Takeaway food services"/>
    <s v="2020-01-01"/>
    <x v="1"/>
    <s v="January  "/>
    <s v="1"/>
    <n v="348.6"/>
    <n v="0.17"/>
  </r>
  <r>
    <x v="6"/>
    <s v="Takeaway food services"/>
    <s v="2020-02-01"/>
    <x v="1"/>
    <s v="February "/>
    <s v="2"/>
    <n v="333.3"/>
    <n v="6.69"/>
  </r>
  <r>
    <x v="6"/>
    <s v="Takeaway food services"/>
    <s v="2020-03-01"/>
    <x v="1"/>
    <s v="March    "/>
    <s v="3"/>
    <n v="318.7"/>
    <n v="-9.8699999999999992"/>
  </r>
  <r>
    <x v="6"/>
    <s v="Takeaway food services"/>
    <s v="2020-04-01"/>
    <x v="1"/>
    <s v="April    "/>
    <s v="4"/>
    <n v="264.60000000000002"/>
    <n v="-19.48"/>
  </r>
  <r>
    <x v="6"/>
    <s v="Takeaway food services"/>
    <s v="2020-05-01"/>
    <x v="1"/>
    <s v="May      "/>
    <s v="5"/>
    <n v="324.8"/>
    <n v="-1.49"/>
  </r>
  <r>
    <x v="6"/>
    <s v="Takeaway food services"/>
    <s v="2020-06-01"/>
    <x v="1"/>
    <s v="June     "/>
    <s v="6"/>
    <n v="334.5"/>
    <n v="-0.56000000000000005"/>
  </r>
  <r>
    <x v="6"/>
    <s v="Takeaway food services"/>
    <s v="2020-07-01"/>
    <x v="1"/>
    <s v="July     "/>
    <s v="7"/>
    <n v="305.8"/>
    <n v="-13.3"/>
  </r>
  <r>
    <x v="6"/>
    <s v="Takeaway food services"/>
    <s v="2020-08-01"/>
    <x v="1"/>
    <s v="August   "/>
    <s v="8"/>
    <n v="286.2"/>
    <n v="-20.85"/>
  </r>
  <r>
    <x v="6"/>
    <s v="Takeaway food services"/>
    <s v="2020-09-01"/>
    <x v="1"/>
    <s v="September"/>
    <s v="9"/>
    <n v="305.5"/>
    <n v="-13.72"/>
  </r>
  <r>
    <x v="6"/>
    <s v="Takeaway food services"/>
    <s v="2020-10-01"/>
    <x v="1"/>
    <s v="October  "/>
    <s v="10"/>
    <n v="350.3"/>
    <n v="-1.71"/>
  </r>
  <r>
    <x v="6"/>
    <s v="Takeaway food services"/>
    <s v="2020-11-01"/>
    <x v="1"/>
    <s v="November "/>
    <s v="11"/>
    <n v="376.7"/>
    <n v="4.55"/>
  </r>
  <r>
    <x v="6"/>
    <s v="Takeaway food services"/>
    <s v="2020-12-01"/>
    <x v="1"/>
    <s v="December "/>
    <s v="12"/>
    <n v="424.9"/>
    <n v="7.24"/>
  </r>
  <r>
    <x v="6"/>
    <s v="Takeaway food services"/>
    <s v="2021-01-01"/>
    <x v="2"/>
    <s v="January  "/>
    <s v="1"/>
    <n v="366.4"/>
    <n v="5.1100000000000003"/>
  </r>
  <r>
    <x v="6"/>
    <s v="Takeaway food services"/>
    <s v="2021-02-01"/>
    <x v="2"/>
    <s v="February "/>
    <s v="2"/>
    <n v="311.89999999999998"/>
    <n v="-6.42"/>
  </r>
  <r>
    <x v="6"/>
    <s v="Takeaway food services"/>
    <s v="2021-03-01"/>
    <x v="2"/>
    <s v="March    "/>
    <s v="3"/>
    <n v="381.4"/>
    <n v="19.670000000000002"/>
  </r>
  <r>
    <x v="6"/>
    <s v="Takeaway food services"/>
    <s v="2021-04-01"/>
    <x v="2"/>
    <s v="April    "/>
    <s v="4"/>
    <n v="378.7"/>
    <n v="43.12"/>
  </r>
  <r>
    <x v="6"/>
    <s v="Takeaway food services"/>
    <s v="2021-05-01"/>
    <x v="2"/>
    <s v="May      "/>
    <s v="5"/>
    <n v="378.9"/>
    <n v="16.66"/>
  </r>
  <r>
    <x v="6"/>
    <s v="Takeaway food services"/>
    <s v="2021-06-01"/>
    <x v="2"/>
    <s v="June     "/>
    <s v="6"/>
    <n v="360.6"/>
    <n v="7.8"/>
  </r>
  <r>
    <x v="6"/>
    <s v="Takeaway food services"/>
    <s v="2021-07-01"/>
    <x v="2"/>
    <s v="July     "/>
    <s v="7"/>
    <n v="367.5"/>
    <n v="20.18"/>
  </r>
  <r>
    <x v="6"/>
    <s v="Takeaway food services"/>
    <s v="2021-08-01"/>
    <x v="2"/>
    <s v="August   "/>
    <s v="8"/>
    <n v="380"/>
    <n v="32.770000000000003"/>
  </r>
  <r>
    <x v="6"/>
    <s v="Takeaway food services"/>
    <s v="2021-09-01"/>
    <x v="2"/>
    <s v="September"/>
    <s v="9"/>
    <n v="357.5"/>
    <n v="17.02"/>
  </r>
  <r>
    <x v="6"/>
    <s v="Takeaway food services"/>
    <s v="2021-10-01"/>
    <x v="2"/>
    <s v="October  "/>
    <s v="10"/>
    <n v="413.2"/>
    <n v="17.96"/>
  </r>
  <r>
    <x v="6"/>
    <s v="Takeaway food services"/>
    <s v="2021-11-01"/>
    <x v="2"/>
    <s v="November "/>
    <s v="11"/>
    <n v="418.5"/>
    <n v="11.1"/>
  </r>
  <r>
    <x v="6"/>
    <s v="Takeaway food services"/>
    <s v="2021-12-01"/>
    <x v="2"/>
    <s v="December "/>
    <s v="12"/>
    <n v="419.8"/>
    <n v="-1.2"/>
  </r>
  <r>
    <x v="6"/>
    <s v="Takeaway food services"/>
    <s v="2022-01-01"/>
    <x v="3"/>
    <s v="January  "/>
    <s v="1"/>
    <n v="360.4"/>
    <n v="-1.64"/>
  </r>
  <r>
    <x v="6"/>
    <s v="Takeaway food services"/>
    <s v="2022-02-01"/>
    <x v="3"/>
    <s v="February "/>
    <s v="2"/>
    <n v="343.7"/>
    <n v="10.199999999999999"/>
  </r>
  <r>
    <x v="6"/>
    <s v="Takeaway food services"/>
    <s v="2022-03-01"/>
    <x v="3"/>
    <s v="March    "/>
    <s v="3"/>
    <n v="397.3"/>
    <n v="4.17"/>
  </r>
  <r>
    <x v="6"/>
    <s v="Takeaway food services"/>
    <s v="2022-04-01"/>
    <x v="3"/>
    <s v="April    "/>
    <s v="4"/>
    <n v="405.7"/>
    <n v="7.13"/>
  </r>
  <r>
    <x v="6"/>
    <s v="Takeaway food services"/>
    <s v="2022-05-01"/>
    <x v="3"/>
    <s v="May      "/>
    <s v="5"/>
    <n v="417.3"/>
    <n v="10.130000000000001"/>
  </r>
  <r>
    <x v="6"/>
    <s v="Takeaway food services"/>
    <s v="2022-06-01"/>
    <x v="3"/>
    <s v="June     "/>
    <s v="6"/>
    <n v="417.3"/>
    <n v="15.72"/>
  </r>
  <r>
    <x v="6"/>
    <s v="Takeaway food services"/>
    <s v="2022-07-01"/>
    <x v="3"/>
    <s v="July     "/>
    <s v="7"/>
    <n v="431.7"/>
    <n v="17.47"/>
  </r>
  <r>
    <x v="6"/>
    <s v="Takeaway food services"/>
    <s v="2022-08-01"/>
    <x v="3"/>
    <s v="August   "/>
    <s v="8"/>
    <n v="423"/>
    <n v="11.32"/>
  </r>
  <r>
    <x v="6"/>
    <s v="Takeaway food services"/>
    <s v="2022-09-01"/>
    <x v="3"/>
    <s v="September"/>
    <s v="9"/>
    <n v="435.8"/>
    <n v="21.9"/>
  </r>
  <r>
    <x v="6"/>
    <s v="Takeaway food services"/>
    <s v="2022-10-01"/>
    <x v="3"/>
    <s v="October  "/>
    <s v="10"/>
    <n v="441.3"/>
    <n v="6.8"/>
  </r>
  <r>
    <x v="6"/>
    <s v="Takeaway food services"/>
    <s v="2022-11-01"/>
    <x v="3"/>
    <s v="November "/>
    <s v="11"/>
    <n v="440.7"/>
    <n v="5.3"/>
  </r>
  <r>
    <x v="6"/>
    <s v="Takeaway food services"/>
    <s v="2022-12-01"/>
    <x v="3"/>
    <s v="December "/>
    <s v="12"/>
    <n v="471.9"/>
    <n v="12.41"/>
  </r>
  <r>
    <x v="6"/>
    <s v="Takeaway food services"/>
    <s v="2023-01-01"/>
    <x v="4"/>
    <s v="January  "/>
    <s v="1"/>
    <n v="425.5"/>
    <n v="18.059999999999999"/>
  </r>
  <r>
    <x v="6"/>
    <s v="Takeaway food services"/>
    <s v="2023-02-01"/>
    <x v="4"/>
    <s v="February "/>
    <s v="2"/>
    <n v="397.9"/>
    <n v="15.77"/>
  </r>
  <r>
    <x v="6"/>
    <s v="Takeaway food services"/>
    <s v="2023-03-01"/>
    <x v="4"/>
    <s v="March    "/>
    <s v="3"/>
    <n v="459.6"/>
    <n v="15.68"/>
  </r>
  <r>
    <x v="6"/>
    <s v="Takeaway food services"/>
    <s v="2023-04-01"/>
    <x v="4"/>
    <s v="April    "/>
    <s v="4"/>
    <n v="470.7"/>
    <n v="16.02"/>
  </r>
  <r>
    <x v="6"/>
    <s v="Takeaway food services"/>
    <s v="2023-05-01"/>
    <x v="4"/>
    <s v="May      "/>
    <s v="5"/>
    <n v="468.4"/>
    <n v="12.25"/>
  </r>
  <r>
    <x v="6"/>
    <s v="Takeaway food services"/>
    <s v="2023-06-01"/>
    <x v="4"/>
    <s v="June     "/>
    <s v="6"/>
    <n v="458.4"/>
    <n v="9.85"/>
  </r>
  <r>
    <x v="6"/>
    <s v="Takeaway food services"/>
    <s v="2023-07-01"/>
    <x v="4"/>
    <s v="July     "/>
    <s v="7"/>
    <n v="482.2"/>
    <n v="11.7"/>
  </r>
  <r>
    <x v="6"/>
    <s v="Takeaway food services"/>
    <s v="2023-08-01"/>
    <x v="4"/>
    <s v="August   "/>
    <s v="8"/>
    <n v="486.2"/>
    <n v="14.94"/>
  </r>
  <r>
    <x v="6"/>
    <s v="Takeaway food services"/>
    <s v="2023-09-01"/>
    <x v="4"/>
    <s v="September"/>
    <s v="9"/>
    <n v="488.5"/>
    <n v="12.09"/>
  </r>
  <r>
    <x v="6"/>
    <s v="Takeaway food services"/>
    <s v="2023-10-01"/>
    <x v="4"/>
    <s v="October  "/>
    <s v="10"/>
    <n v="490.4"/>
    <n v="11.13"/>
  </r>
  <r>
    <x v="6"/>
    <s v="Takeaway food services"/>
    <s v="2023-11-01"/>
    <x v="4"/>
    <s v="November "/>
    <s v="11"/>
    <n v="473.8"/>
    <n v="7.51"/>
  </r>
  <r>
    <x v="6"/>
    <s v="Takeaway food services"/>
    <s v="2023-12-01"/>
    <x v="4"/>
    <s v="December "/>
    <s v="12"/>
    <n v="503.8"/>
    <n v="6.76"/>
  </r>
  <r>
    <x v="6"/>
    <s v="Takeaway food services"/>
    <s v="2024-01-01"/>
    <x v="5"/>
    <s v="January  "/>
    <s v="1"/>
    <n v="442.7"/>
    <n v="4.04"/>
  </r>
  <r>
    <x v="6"/>
    <s v="Takeaway food services"/>
    <s v="2024-02-01"/>
    <x v="5"/>
    <s v="February "/>
    <s v="2"/>
    <n v="443.6"/>
    <n v="11.49"/>
  </r>
  <r>
    <x v="6"/>
    <s v="Takeaway food services"/>
    <s v="2024-03-01"/>
    <x v="5"/>
    <s v="March    "/>
    <s v="3"/>
    <n v="474.4"/>
    <n v="3.22"/>
  </r>
  <r>
    <x v="6"/>
    <s v="Takeaway food services"/>
    <s v="2024-04-01"/>
    <x v="5"/>
    <s v="April    "/>
    <s v="4"/>
    <n v="456.8"/>
    <n v="-2.95"/>
  </r>
  <r>
    <x v="6"/>
    <s v="Takeaway food services"/>
    <s v="2024-05-01"/>
    <x v="5"/>
    <s v="May      "/>
    <s v="5"/>
    <n v="463"/>
    <n v="-1.1499999999999999"/>
  </r>
  <r>
    <x v="6"/>
    <s v="Takeaway food services"/>
    <s v="2024-06-01"/>
    <x v="5"/>
    <s v="June     "/>
    <s v="6"/>
    <n v="447.8"/>
    <n v="-2.31"/>
  </r>
  <r>
    <x v="6"/>
    <s v="Takeaway food services"/>
    <s v="2024-07-01"/>
    <x v="5"/>
    <s v="July     "/>
    <s v="7"/>
    <n v="460"/>
    <n v="-4.5999999999999996"/>
  </r>
  <r>
    <x v="6"/>
    <s v="Takeaway food services"/>
    <s v="2024-08-01"/>
    <x v="5"/>
    <s v="August   "/>
    <s v="8"/>
    <n v="476.6"/>
    <n v="-1.97"/>
  </r>
  <r>
    <x v="6"/>
    <s v="Takeaway food services"/>
    <s v="2024-09-01"/>
    <x v="5"/>
    <s v="September"/>
    <s v="9"/>
    <n v="476"/>
    <n v="-2.56"/>
  </r>
  <r>
    <x v="6"/>
    <s v="Takeaway food services"/>
    <s v="2024-10-01"/>
    <x v="5"/>
    <s v="October  "/>
    <s v="10"/>
    <n v="490.3"/>
    <n v="-0.02"/>
  </r>
  <r>
    <x v="6"/>
    <s v="Takeaway food services"/>
    <s v="2024-11-01"/>
    <x v="5"/>
    <s v="November "/>
    <s v="11"/>
    <n v="485.4"/>
    <n v="2.4500000000000002"/>
  </r>
  <r>
    <x v="6"/>
    <s v="Takeaway food services"/>
    <s v="2024-12-01"/>
    <x v="5"/>
    <s v="December "/>
    <s v="12"/>
    <n v="538.9"/>
    <n v="6.97"/>
  </r>
  <r>
    <x v="6"/>
    <s v="Takeaway food services"/>
    <s v="2025-01-01"/>
    <x v="6"/>
    <s v="January  "/>
    <s v="1"/>
    <n v="461.2"/>
    <n v="4.18"/>
  </r>
  <r>
    <x v="6"/>
    <s v="Takeaway food services"/>
    <s v="2025-02-01"/>
    <x v="6"/>
    <s v="February "/>
    <s v="2"/>
    <n v="434.4"/>
    <n v="-2.0699999999999998"/>
  </r>
  <r>
    <x v="6"/>
    <s v="Takeaway food services"/>
    <s v="2025-03-01"/>
    <x v="6"/>
    <s v="March    "/>
    <s v="3"/>
    <n v="489.2"/>
    <n v="3.12"/>
  </r>
  <r>
    <x v="6"/>
    <s v="Takeaway food services"/>
    <s v="2025-04-01"/>
    <x v="6"/>
    <s v="April    "/>
    <s v="4"/>
    <n v="497.2"/>
    <n v="8.84"/>
  </r>
  <r>
    <x v="6"/>
    <s v="Takeaway food services"/>
    <s v="2025-05-01"/>
    <x v="6"/>
    <s v="May      "/>
    <s v="5"/>
    <n v="493.9"/>
    <n v="6.67"/>
  </r>
  <r>
    <x v="6"/>
    <s v="Takeaway food services"/>
    <s v="2025-06-01"/>
    <x v="6"/>
    <s v="June     "/>
    <s v="6"/>
    <n v="465.8"/>
    <n v="4.0199999999999996"/>
  </r>
  <r>
    <x v="7"/>
    <s v="Cafes, restaurants and catering services"/>
    <s v="2019-01-01"/>
    <x v="0"/>
    <s v="January  "/>
    <s v="1"/>
    <n v="282.5"/>
    <m/>
  </r>
  <r>
    <x v="7"/>
    <s v="Cafes, restaurants and catering services"/>
    <s v="2019-02-01"/>
    <x v="0"/>
    <s v="February "/>
    <s v="2"/>
    <n v="275.39999999999998"/>
    <m/>
  </r>
  <r>
    <x v="7"/>
    <s v="Cafes, restaurants and catering services"/>
    <s v="2019-03-01"/>
    <x v="0"/>
    <s v="March    "/>
    <s v="3"/>
    <n v="302.8"/>
    <m/>
  </r>
  <r>
    <x v="7"/>
    <s v="Cafes, restaurants and catering services"/>
    <s v="2019-04-01"/>
    <x v="0"/>
    <s v="April    "/>
    <s v="4"/>
    <n v="288"/>
    <m/>
  </r>
  <r>
    <x v="7"/>
    <s v="Cafes, restaurants and catering services"/>
    <s v="2019-05-01"/>
    <x v="0"/>
    <s v="May      "/>
    <s v="5"/>
    <n v="289.8"/>
    <m/>
  </r>
  <r>
    <x v="7"/>
    <s v="Cafes, restaurants and catering services"/>
    <s v="2019-06-01"/>
    <x v="0"/>
    <s v="June     "/>
    <s v="6"/>
    <n v="289.3"/>
    <m/>
  </r>
  <r>
    <x v="7"/>
    <s v="Cafes, restaurants and catering services"/>
    <s v="2019-07-01"/>
    <x v="0"/>
    <s v="July     "/>
    <s v="7"/>
    <n v="314.89999999999998"/>
    <m/>
  </r>
  <r>
    <x v="7"/>
    <s v="Cafes, restaurants and catering services"/>
    <s v="2019-08-01"/>
    <x v="0"/>
    <s v="August   "/>
    <s v="8"/>
    <n v="300.8"/>
    <m/>
  </r>
  <r>
    <x v="7"/>
    <s v="Cafes, restaurants and catering services"/>
    <s v="2019-09-01"/>
    <x v="0"/>
    <s v="September"/>
    <s v="9"/>
    <n v="308.2"/>
    <m/>
  </r>
  <r>
    <x v="7"/>
    <s v="Cafes, restaurants and catering services"/>
    <s v="2019-10-01"/>
    <x v="0"/>
    <s v="October  "/>
    <s v="10"/>
    <n v="315.10000000000002"/>
    <m/>
  </r>
  <r>
    <x v="7"/>
    <s v="Cafes, restaurants and catering services"/>
    <s v="2019-11-01"/>
    <x v="0"/>
    <s v="November "/>
    <s v="11"/>
    <n v="301.7"/>
    <m/>
  </r>
  <r>
    <x v="7"/>
    <s v="Cafes, restaurants and catering services"/>
    <s v="2019-12-01"/>
    <x v="0"/>
    <s v="December "/>
    <s v="12"/>
    <n v="334.8"/>
    <m/>
  </r>
  <r>
    <x v="7"/>
    <s v="Cafes, restaurants and catering services"/>
    <s v="2020-01-01"/>
    <x v="1"/>
    <s v="January  "/>
    <s v="1"/>
    <n v="288.7"/>
    <n v="2.19"/>
  </r>
  <r>
    <x v="7"/>
    <s v="Cafes, restaurants and catering services"/>
    <s v="2020-02-01"/>
    <x v="1"/>
    <s v="February "/>
    <s v="2"/>
    <n v="283.7"/>
    <n v="3.01"/>
  </r>
  <r>
    <x v="7"/>
    <s v="Cafes, restaurants and catering services"/>
    <s v="2020-03-01"/>
    <x v="1"/>
    <s v="March    "/>
    <s v="3"/>
    <n v="237.5"/>
    <n v="-21.57"/>
  </r>
  <r>
    <x v="7"/>
    <s v="Cafes, restaurants and catering services"/>
    <s v="2020-04-01"/>
    <x v="1"/>
    <s v="April    "/>
    <s v="4"/>
    <n v="145.69999999999999"/>
    <n v="-49.41"/>
  </r>
  <r>
    <x v="7"/>
    <s v="Cafes, restaurants and catering services"/>
    <s v="2020-05-01"/>
    <x v="1"/>
    <s v="May      "/>
    <s v="5"/>
    <n v="202.7"/>
    <n v="-30.06"/>
  </r>
  <r>
    <x v="7"/>
    <s v="Cafes, restaurants and catering services"/>
    <s v="2020-06-01"/>
    <x v="1"/>
    <s v="June     "/>
    <s v="6"/>
    <n v="271.5"/>
    <n v="-6.15"/>
  </r>
  <r>
    <x v="7"/>
    <s v="Cafes, restaurants and catering services"/>
    <s v="2020-07-01"/>
    <x v="1"/>
    <s v="July     "/>
    <s v="7"/>
    <n v="311"/>
    <n v="-1.24"/>
  </r>
  <r>
    <x v="7"/>
    <s v="Cafes, restaurants and catering services"/>
    <s v="2020-08-01"/>
    <x v="1"/>
    <s v="August   "/>
    <s v="8"/>
    <n v="314.2"/>
    <n v="4.45"/>
  </r>
  <r>
    <x v="7"/>
    <s v="Cafes, restaurants and catering services"/>
    <s v="2020-09-01"/>
    <x v="1"/>
    <s v="September"/>
    <s v="9"/>
    <n v="313.5"/>
    <n v="1.72"/>
  </r>
  <r>
    <x v="7"/>
    <s v="Cafes, restaurants and catering services"/>
    <s v="2020-10-01"/>
    <x v="1"/>
    <s v="October  "/>
    <s v="10"/>
    <n v="329.1"/>
    <n v="4.4400000000000004"/>
  </r>
  <r>
    <x v="7"/>
    <s v="Cafes, restaurants and catering services"/>
    <s v="2020-11-01"/>
    <x v="1"/>
    <s v="November "/>
    <s v="11"/>
    <n v="319.10000000000002"/>
    <n v="5.77"/>
  </r>
  <r>
    <x v="7"/>
    <s v="Cafes, restaurants and catering services"/>
    <s v="2020-12-01"/>
    <x v="1"/>
    <s v="December "/>
    <s v="12"/>
    <n v="337.1"/>
    <n v="0.69"/>
  </r>
  <r>
    <x v="7"/>
    <s v="Cafes, restaurants and catering services"/>
    <s v="2021-01-01"/>
    <x v="2"/>
    <s v="January  "/>
    <s v="1"/>
    <n v="288.89999999999998"/>
    <n v="7.0000000000000007E-2"/>
  </r>
  <r>
    <x v="7"/>
    <s v="Cafes, restaurants and catering services"/>
    <s v="2021-02-01"/>
    <x v="2"/>
    <s v="February "/>
    <s v="2"/>
    <n v="263.2"/>
    <n v="-7.23"/>
  </r>
  <r>
    <x v="7"/>
    <s v="Cafes, restaurants and catering services"/>
    <s v="2021-03-01"/>
    <x v="2"/>
    <s v="March    "/>
    <s v="3"/>
    <n v="336.5"/>
    <n v="41.68"/>
  </r>
  <r>
    <x v="7"/>
    <s v="Cafes, restaurants and catering services"/>
    <s v="2021-04-01"/>
    <x v="2"/>
    <s v="April    "/>
    <s v="4"/>
    <n v="301.89999999999998"/>
    <n v="107.21"/>
  </r>
  <r>
    <x v="7"/>
    <s v="Cafes, restaurants and catering services"/>
    <s v="2021-05-01"/>
    <x v="2"/>
    <s v="May      "/>
    <s v="5"/>
    <n v="324.10000000000002"/>
    <n v="59.89"/>
  </r>
  <r>
    <x v="7"/>
    <s v="Cafes, restaurants and catering services"/>
    <s v="2021-06-01"/>
    <x v="2"/>
    <s v="June     "/>
    <s v="6"/>
    <n v="309.5"/>
    <n v="14"/>
  </r>
  <r>
    <x v="7"/>
    <s v="Cafes, restaurants and catering services"/>
    <s v="2021-07-01"/>
    <x v="2"/>
    <s v="July     "/>
    <s v="7"/>
    <n v="319.5"/>
    <n v="2.73"/>
  </r>
  <r>
    <x v="7"/>
    <s v="Cafes, restaurants and catering services"/>
    <s v="2021-08-01"/>
    <x v="2"/>
    <s v="August   "/>
    <s v="8"/>
    <n v="354.4"/>
    <n v="12.79"/>
  </r>
  <r>
    <x v="7"/>
    <s v="Cafes, restaurants and catering services"/>
    <s v="2021-09-01"/>
    <x v="2"/>
    <s v="September"/>
    <s v="9"/>
    <n v="363.4"/>
    <n v="15.92"/>
  </r>
  <r>
    <x v="7"/>
    <s v="Cafes, restaurants and catering services"/>
    <s v="2021-10-01"/>
    <x v="2"/>
    <s v="October  "/>
    <s v="10"/>
    <n v="393.3"/>
    <n v="19.510000000000002"/>
  </r>
  <r>
    <x v="7"/>
    <s v="Cafes, restaurants and catering services"/>
    <s v="2021-11-01"/>
    <x v="2"/>
    <s v="November "/>
    <s v="11"/>
    <n v="391.3"/>
    <n v="22.63"/>
  </r>
  <r>
    <x v="7"/>
    <s v="Cafes, restaurants and catering services"/>
    <s v="2021-12-01"/>
    <x v="2"/>
    <s v="December "/>
    <s v="12"/>
    <n v="400.8"/>
    <n v="18.899999999999999"/>
  </r>
  <r>
    <x v="7"/>
    <s v="Cafes, restaurants and catering services"/>
    <s v="2022-01-01"/>
    <x v="3"/>
    <s v="January  "/>
    <s v="1"/>
    <n v="350.5"/>
    <n v="21.32"/>
  </r>
  <r>
    <x v="7"/>
    <s v="Cafes, restaurants and catering services"/>
    <s v="2022-02-01"/>
    <x v="3"/>
    <s v="February "/>
    <s v="2"/>
    <n v="339.1"/>
    <n v="28.84"/>
  </r>
  <r>
    <x v="7"/>
    <s v="Cafes, restaurants and catering services"/>
    <s v="2022-03-01"/>
    <x v="3"/>
    <s v="March    "/>
    <s v="3"/>
    <n v="366.1"/>
    <n v="8.8000000000000007"/>
  </r>
  <r>
    <x v="7"/>
    <s v="Cafes, restaurants and catering services"/>
    <s v="2022-04-01"/>
    <x v="3"/>
    <s v="April    "/>
    <s v="4"/>
    <n v="364.5"/>
    <n v="20.74"/>
  </r>
  <r>
    <x v="7"/>
    <s v="Cafes, restaurants and catering services"/>
    <s v="2022-05-01"/>
    <x v="3"/>
    <s v="May      "/>
    <s v="5"/>
    <n v="373.1"/>
    <n v="15.12"/>
  </r>
  <r>
    <x v="7"/>
    <s v="Cafes, restaurants and catering services"/>
    <s v="2022-06-01"/>
    <x v="3"/>
    <s v="June     "/>
    <s v="6"/>
    <n v="375.7"/>
    <n v="21.39"/>
  </r>
  <r>
    <x v="7"/>
    <s v="Cafes, restaurants and catering services"/>
    <s v="2022-07-01"/>
    <x v="3"/>
    <s v="July     "/>
    <s v="7"/>
    <n v="399.8"/>
    <n v="25.13"/>
  </r>
  <r>
    <x v="7"/>
    <s v="Cafes, restaurants and catering services"/>
    <s v="2022-08-01"/>
    <x v="3"/>
    <s v="August   "/>
    <s v="8"/>
    <n v="418.8"/>
    <n v="18.170000000000002"/>
  </r>
  <r>
    <x v="7"/>
    <s v="Cafes, restaurants and catering services"/>
    <s v="2022-09-01"/>
    <x v="3"/>
    <s v="September"/>
    <s v="9"/>
    <n v="419"/>
    <n v="15.3"/>
  </r>
  <r>
    <x v="7"/>
    <s v="Cafes, restaurants and catering services"/>
    <s v="2022-10-01"/>
    <x v="3"/>
    <s v="October  "/>
    <s v="10"/>
    <n v="430"/>
    <n v="9.33"/>
  </r>
  <r>
    <x v="7"/>
    <s v="Cafes, restaurants and catering services"/>
    <s v="2022-11-01"/>
    <x v="3"/>
    <s v="November "/>
    <s v="11"/>
    <n v="437.6"/>
    <n v="11.83"/>
  </r>
  <r>
    <x v="7"/>
    <s v="Cafes, restaurants and catering services"/>
    <s v="2022-12-01"/>
    <x v="3"/>
    <s v="December "/>
    <s v="12"/>
    <n v="438.6"/>
    <n v="9.43"/>
  </r>
  <r>
    <x v="7"/>
    <s v="Cafes, restaurants and catering services"/>
    <s v="2023-01-01"/>
    <x v="4"/>
    <s v="January  "/>
    <s v="1"/>
    <n v="400.7"/>
    <n v="14.32"/>
  </r>
  <r>
    <x v="7"/>
    <s v="Cafes, restaurants and catering services"/>
    <s v="2023-02-01"/>
    <x v="4"/>
    <s v="February "/>
    <s v="2"/>
    <n v="383.9"/>
    <n v="13.21"/>
  </r>
  <r>
    <x v="7"/>
    <s v="Cafes, restaurants and catering services"/>
    <s v="2023-03-01"/>
    <x v="4"/>
    <s v="March    "/>
    <s v="3"/>
    <n v="407.4"/>
    <n v="11.28"/>
  </r>
  <r>
    <x v="7"/>
    <s v="Cafes, restaurants and catering services"/>
    <s v="2023-04-01"/>
    <x v="4"/>
    <s v="April    "/>
    <s v="4"/>
    <n v="391.3"/>
    <n v="7.35"/>
  </r>
  <r>
    <x v="7"/>
    <s v="Cafes, restaurants and catering services"/>
    <s v="2023-05-01"/>
    <x v="4"/>
    <s v="May      "/>
    <s v="5"/>
    <n v="411.7"/>
    <n v="10.35"/>
  </r>
  <r>
    <x v="7"/>
    <s v="Cafes, restaurants and catering services"/>
    <s v="2023-06-01"/>
    <x v="4"/>
    <s v="June     "/>
    <s v="6"/>
    <n v="399.9"/>
    <n v="6.44"/>
  </r>
  <r>
    <x v="7"/>
    <s v="Cafes, restaurants and catering services"/>
    <s v="2023-07-01"/>
    <x v="4"/>
    <s v="July     "/>
    <s v="7"/>
    <n v="413.8"/>
    <n v="3.5"/>
  </r>
  <r>
    <x v="7"/>
    <s v="Cafes, restaurants and catering services"/>
    <s v="2023-08-01"/>
    <x v="4"/>
    <s v="August   "/>
    <s v="8"/>
    <n v="417.8"/>
    <n v="-0.24"/>
  </r>
  <r>
    <x v="7"/>
    <s v="Cafes, restaurants and catering services"/>
    <s v="2023-09-01"/>
    <x v="4"/>
    <s v="September"/>
    <s v="9"/>
    <n v="413.4"/>
    <n v="-1.34"/>
  </r>
  <r>
    <x v="7"/>
    <s v="Cafes, restaurants and catering services"/>
    <s v="2023-10-01"/>
    <x v="4"/>
    <s v="October  "/>
    <s v="10"/>
    <n v="427.9"/>
    <n v="-0.49"/>
  </r>
  <r>
    <x v="7"/>
    <s v="Cafes, restaurants and catering services"/>
    <s v="2023-11-01"/>
    <x v="4"/>
    <s v="November "/>
    <s v="11"/>
    <n v="427.9"/>
    <n v="-2.2200000000000002"/>
  </r>
  <r>
    <x v="7"/>
    <s v="Cafes, restaurants and catering services"/>
    <s v="2023-12-01"/>
    <x v="4"/>
    <s v="December "/>
    <s v="12"/>
    <n v="430.2"/>
    <n v="-1.92"/>
  </r>
  <r>
    <x v="7"/>
    <s v="Cafes, restaurants and catering services"/>
    <s v="2024-01-01"/>
    <x v="5"/>
    <s v="January  "/>
    <s v="1"/>
    <n v="400.9"/>
    <n v="0.05"/>
  </r>
  <r>
    <x v="7"/>
    <s v="Cafes, restaurants and catering services"/>
    <s v="2024-02-01"/>
    <x v="5"/>
    <s v="February "/>
    <s v="2"/>
    <n v="388.3"/>
    <n v="1.1499999999999999"/>
  </r>
  <r>
    <x v="7"/>
    <s v="Cafes, restaurants and catering services"/>
    <s v="2024-03-01"/>
    <x v="5"/>
    <s v="March    "/>
    <s v="3"/>
    <n v="409.2"/>
    <n v="0.44"/>
  </r>
  <r>
    <x v="7"/>
    <s v="Cafes, restaurants and catering services"/>
    <s v="2024-04-01"/>
    <x v="5"/>
    <s v="April    "/>
    <s v="4"/>
    <n v="405.7"/>
    <n v="3.68"/>
  </r>
  <r>
    <x v="7"/>
    <s v="Cafes, restaurants and catering services"/>
    <s v="2024-05-01"/>
    <x v="5"/>
    <s v="May      "/>
    <s v="5"/>
    <n v="419"/>
    <n v="1.77"/>
  </r>
  <r>
    <x v="7"/>
    <s v="Cafes, restaurants and catering services"/>
    <s v="2024-06-01"/>
    <x v="5"/>
    <s v="June     "/>
    <s v="6"/>
    <n v="409.3"/>
    <n v="2.35"/>
  </r>
  <r>
    <x v="7"/>
    <s v="Cafes, restaurants and catering services"/>
    <s v="2024-07-01"/>
    <x v="5"/>
    <s v="July     "/>
    <s v="7"/>
    <n v="424.1"/>
    <n v="2.4900000000000002"/>
  </r>
  <r>
    <x v="7"/>
    <s v="Cafes, restaurants and catering services"/>
    <s v="2024-08-01"/>
    <x v="5"/>
    <s v="August   "/>
    <s v="8"/>
    <n v="437.5"/>
    <n v="4.72"/>
  </r>
  <r>
    <x v="7"/>
    <s v="Cafes, restaurants and catering services"/>
    <s v="2024-09-01"/>
    <x v="5"/>
    <s v="September"/>
    <s v="9"/>
    <n v="433.9"/>
    <n v="4.96"/>
  </r>
  <r>
    <x v="7"/>
    <s v="Cafes, restaurants and catering services"/>
    <s v="2024-10-01"/>
    <x v="5"/>
    <s v="October  "/>
    <s v="10"/>
    <n v="436.4"/>
    <n v="1.99"/>
  </r>
  <r>
    <x v="7"/>
    <s v="Cafes, restaurants and catering services"/>
    <s v="2024-11-01"/>
    <x v="5"/>
    <s v="November "/>
    <s v="11"/>
    <n v="444.3"/>
    <n v="3.83"/>
  </r>
  <r>
    <x v="7"/>
    <s v="Cafes, restaurants and catering services"/>
    <s v="2024-12-01"/>
    <x v="5"/>
    <s v="December "/>
    <s v="12"/>
    <n v="444"/>
    <n v="3.21"/>
  </r>
  <r>
    <x v="7"/>
    <s v="Cafes, restaurants and catering services"/>
    <s v="2025-01-01"/>
    <x v="6"/>
    <s v="January  "/>
    <s v="1"/>
    <n v="414.5"/>
    <n v="3.39"/>
  </r>
  <r>
    <x v="7"/>
    <s v="Cafes, restaurants and catering services"/>
    <s v="2025-02-01"/>
    <x v="6"/>
    <s v="February "/>
    <s v="2"/>
    <n v="399.6"/>
    <n v="2.91"/>
  </r>
  <r>
    <x v="7"/>
    <s v="Cafes, restaurants and catering services"/>
    <s v="2025-03-01"/>
    <x v="6"/>
    <s v="March    "/>
    <s v="3"/>
    <n v="446.8"/>
    <n v="9.19"/>
  </r>
  <r>
    <x v="7"/>
    <s v="Cafes, restaurants and catering services"/>
    <s v="2025-04-01"/>
    <x v="6"/>
    <s v="April    "/>
    <s v="4"/>
    <n v="434.6"/>
    <n v="7.12"/>
  </r>
  <r>
    <x v="7"/>
    <s v="Cafes, restaurants and catering services"/>
    <s v="2025-05-01"/>
    <x v="6"/>
    <s v="May      "/>
    <s v="5"/>
    <n v="455.6"/>
    <n v="8.74"/>
  </r>
  <r>
    <x v="7"/>
    <s v="Cafes, restaurants and catering services"/>
    <s v="2025-06-01"/>
    <x v="6"/>
    <s v="June     "/>
    <s v="6"/>
    <n v="433.5"/>
    <n v="5.91"/>
  </r>
  <r>
    <x v="7"/>
    <s v="Clothing retailing"/>
    <s v="2019-01-01"/>
    <x v="0"/>
    <s v="January  "/>
    <s v="1"/>
    <n v="89.5"/>
    <m/>
  </r>
  <r>
    <x v="7"/>
    <s v="Clothing retailing"/>
    <s v="2019-02-01"/>
    <x v="0"/>
    <s v="February "/>
    <s v="2"/>
    <n v="74"/>
    <m/>
  </r>
  <r>
    <x v="7"/>
    <s v="Clothing retailing"/>
    <s v="2019-03-01"/>
    <x v="0"/>
    <s v="March    "/>
    <s v="3"/>
    <n v="88.6"/>
    <m/>
  </r>
  <r>
    <x v="7"/>
    <s v="Clothing retailing"/>
    <s v="2019-04-01"/>
    <x v="0"/>
    <s v="April    "/>
    <s v="4"/>
    <n v="92.7"/>
    <m/>
  </r>
  <r>
    <x v="7"/>
    <s v="Clothing retailing"/>
    <s v="2019-05-01"/>
    <x v="0"/>
    <s v="May      "/>
    <s v="5"/>
    <n v="101.5"/>
    <m/>
  </r>
  <r>
    <x v="7"/>
    <s v="Clothing retailing"/>
    <s v="2019-06-01"/>
    <x v="0"/>
    <s v="June     "/>
    <s v="6"/>
    <n v="98.9"/>
    <m/>
  </r>
  <r>
    <x v="7"/>
    <s v="Clothing retailing"/>
    <s v="2019-07-01"/>
    <x v="0"/>
    <s v="July     "/>
    <s v="7"/>
    <n v="93.6"/>
    <m/>
  </r>
  <r>
    <x v="7"/>
    <s v="Clothing retailing"/>
    <s v="2019-08-01"/>
    <x v="0"/>
    <s v="August   "/>
    <s v="8"/>
    <n v="88.6"/>
    <m/>
  </r>
  <r>
    <x v="7"/>
    <s v="Clothing retailing"/>
    <s v="2019-09-01"/>
    <x v="0"/>
    <s v="September"/>
    <s v="9"/>
    <n v="87.6"/>
    <m/>
  </r>
  <r>
    <x v="7"/>
    <s v="Clothing retailing"/>
    <s v="2019-10-01"/>
    <x v="0"/>
    <s v="October  "/>
    <s v="10"/>
    <n v="93.1"/>
    <m/>
  </r>
  <r>
    <x v="7"/>
    <s v="Clothing retailing"/>
    <s v="2019-11-01"/>
    <x v="0"/>
    <s v="November "/>
    <s v="11"/>
    <n v="112.5"/>
    <m/>
  </r>
  <r>
    <x v="7"/>
    <s v="Clothing retailing"/>
    <s v="2019-12-01"/>
    <x v="0"/>
    <s v="December "/>
    <s v="12"/>
    <n v="152.30000000000001"/>
    <m/>
  </r>
  <r>
    <x v="7"/>
    <s v="Clothing retailing"/>
    <s v="2020-01-01"/>
    <x v="1"/>
    <s v="January  "/>
    <s v="1"/>
    <n v="92.7"/>
    <n v="3.58"/>
  </r>
  <r>
    <x v="7"/>
    <s v="Clothing retailing"/>
    <s v="2020-02-01"/>
    <x v="1"/>
    <s v="February "/>
    <s v="2"/>
    <n v="74.8"/>
    <n v="1.08"/>
  </r>
  <r>
    <x v="7"/>
    <s v="Clothing retailing"/>
    <s v="2020-03-01"/>
    <x v="1"/>
    <s v="March    "/>
    <s v="3"/>
    <n v="52.5"/>
    <n v="-40.74"/>
  </r>
  <r>
    <x v="7"/>
    <s v="Clothing retailing"/>
    <s v="2020-04-01"/>
    <x v="1"/>
    <s v="April    "/>
    <s v="4"/>
    <n v="23"/>
    <n v="-75.19"/>
  </r>
  <r>
    <x v="7"/>
    <s v="Clothing retailing"/>
    <s v="2020-05-01"/>
    <x v="1"/>
    <s v="May      "/>
    <s v="5"/>
    <n v="73.5"/>
    <n v="-27.59"/>
  </r>
  <r>
    <x v="7"/>
    <s v="Clothing retailing"/>
    <s v="2020-06-01"/>
    <x v="1"/>
    <s v="June     "/>
    <s v="6"/>
    <n v="100.8"/>
    <n v="1.92"/>
  </r>
  <r>
    <x v="7"/>
    <s v="Clothing retailing"/>
    <s v="2020-07-01"/>
    <x v="1"/>
    <s v="July     "/>
    <s v="7"/>
    <n v="120.8"/>
    <n v="29.06"/>
  </r>
  <r>
    <x v="7"/>
    <s v="Clothing retailing"/>
    <s v="2020-08-01"/>
    <x v="1"/>
    <s v="August   "/>
    <s v="8"/>
    <n v="104.2"/>
    <n v="17.61"/>
  </r>
  <r>
    <x v="7"/>
    <s v="Clothing retailing"/>
    <s v="2020-09-01"/>
    <x v="1"/>
    <s v="September"/>
    <s v="9"/>
    <n v="101.5"/>
    <n v="15.87"/>
  </r>
  <r>
    <x v="7"/>
    <s v="Clothing retailing"/>
    <s v="2020-10-01"/>
    <x v="1"/>
    <s v="October  "/>
    <s v="10"/>
    <n v="115.6"/>
    <n v="24.17"/>
  </r>
  <r>
    <x v="7"/>
    <s v="Clothing retailing"/>
    <s v="2020-11-01"/>
    <x v="1"/>
    <s v="November "/>
    <s v="11"/>
    <n v="121.5"/>
    <n v="8"/>
  </r>
  <r>
    <x v="7"/>
    <s v="Clothing retailing"/>
    <s v="2020-12-01"/>
    <x v="1"/>
    <s v="December "/>
    <s v="12"/>
    <n v="174.7"/>
    <n v="14.71"/>
  </r>
  <r>
    <x v="7"/>
    <s v="Clothing retailing"/>
    <s v="2021-01-01"/>
    <x v="2"/>
    <s v="January  "/>
    <s v="1"/>
    <n v="102.4"/>
    <n v="10.46"/>
  </r>
  <r>
    <x v="7"/>
    <s v="Clothing retailing"/>
    <s v="2021-02-01"/>
    <x v="2"/>
    <s v="February "/>
    <s v="2"/>
    <n v="70.2"/>
    <n v="-6.15"/>
  </r>
  <r>
    <x v="7"/>
    <s v="Clothing retailing"/>
    <s v="2021-03-01"/>
    <x v="2"/>
    <s v="March    "/>
    <s v="3"/>
    <n v="101.4"/>
    <n v="93.14"/>
  </r>
  <r>
    <x v="7"/>
    <s v="Clothing retailing"/>
    <s v="2021-04-01"/>
    <x v="2"/>
    <s v="April    "/>
    <s v="4"/>
    <n v="100.1"/>
    <n v="335.22"/>
  </r>
  <r>
    <x v="7"/>
    <s v="Clothing retailing"/>
    <s v="2021-05-01"/>
    <x v="2"/>
    <s v="May      "/>
    <s v="5"/>
    <n v="113.3"/>
    <n v="54.15"/>
  </r>
  <r>
    <x v="7"/>
    <s v="Clothing retailing"/>
    <s v="2021-06-01"/>
    <x v="2"/>
    <s v="June     "/>
    <s v="6"/>
    <n v="115.6"/>
    <n v="14.68"/>
  </r>
  <r>
    <x v="7"/>
    <s v="Clothing retailing"/>
    <s v="2021-07-01"/>
    <x v="2"/>
    <s v="July     "/>
    <s v="7"/>
    <n v="110.6"/>
    <n v="-8.44"/>
  </r>
  <r>
    <x v="7"/>
    <s v="Clothing retailing"/>
    <s v="2021-08-01"/>
    <x v="2"/>
    <s v="August   "/>
    <s v="8"/>
    <n v="107.6"/>
    <n v="3.26"/>
  </r>
  <r>
    <x v="7"/>
    <s v="Clothing retailing"/>
    <s v="2021-09-01"/>
    <x v="2"/>
    <s v="September"/>
    <s v="9"/>
    <n v="116.9"/>
    <n v="15.17"/>
  </r>
  <r>
    <x v="7"/>
    <s v="Clothing retailing"/>
    <s v="2021-10-01"/>
    <x v="2"/>
    <s v="October  "/>
    <s v="10"/>
    <n v="133.19999999999999"/>
    <n v="15.22"/>
  </r>
  <r>
    <x v="7"/>
    <s v="Clothing retailing"/>
    <s v="2021-11-01"/>
    <x v="2"/>
    <s v="November "/>
    <s v="11"/>
    <n v="147"/>
    <n v="20.99"/>
  </r>
  <r>
    <x v="7"/>
    <s v="Clothing retailing"/>
    <s v="2021-12-01"/>
    <x v="2"/>
    <s v="December "/>
    <s v="12"/>
    <n v="199.4"/>
    <n v="14.14"/>
  </r>
  <r>
    <x v="7"/>
    <s v="Clothing retailing"/>
    <s v="2022-01-01"/>
    <x v="3"/>
    <s v="January  "/>
    <s v="1"/>
    <n v="117.4"/>
    <n v="14.65"/>
  </r>
  <r>
    <x v="7"/>
    <s v="Clothing retailing"/>
    <s v="2022-02-01"/>
    <x v="3"/>
    <s v="February "/>
    <s v="2"/>
    <n v="95.3"/>
    <n v="35.75"/>
  </r>
  <r>
    <x v="7"/>
    <s v="Clothing retailing"/>
    <s v="2022-03-01"/>
    <x v="3"/>
    <s v="March    "/>
    <s v="3"/>
    <n v="113"/>
    <n v="11.44"/>
  </r>
  <r>
    <x v="7"/>
    <s v="Clothing retailing"/>
    <s v="2022-04-01"/>
    <x v="3"/>
    <s v="April    "/>
    <s v="4"/>
    <n v="126.8"/>
    <n v="26.67"/>
  </r>
  <r>
    <x v="7"/>
    <s v="Clothing retailing"/>
    <s v="2022-05-01"/>
    <x v="3"/>
    <s v="May      "/>
    <s v="5"/>
    <n v="131"/>
    <n v="15.62"/>
  </r>
  <r>
    <x v="7"/>
    <s v="Clothing retailing"/>
    <s v="2022-06-01"/>
    <x v="3"/>
    <s v="June     "/>
    <s v="6"/>
    <n v="133.9"/>
    <n v="15.83"/>
  </r>
  <r>
    <x v="7"/>
    <s v="Clothing retailing"/>
    <s v="2022-07-01"/>
    <x v="3"/>
    <s v="July     "/>
    <s v="7"/>
    <n v="131.9"/>
    <n v="19.260000000000002"/>
  </r>
  <r>
    <x v="7"/>
    <s v="Clothing retailing"/>
    <s v="2022-08-01"/>
    <x v="3"/>
    <s v="August   "/>
    <s v="8"/>
    <n v="121.1"/>
    <n v="12.55"/>
  </r>
  <r>
    <x v="7"/>
    <s v="Clothing retailing"/>
    <s v="2022-09-01"/>
    <x v="3"/>
    <s v="September"/>
    <s v="9"/>
    <n v="122.5"/>
    <n v="4.79"/>
  </r>
  <r>
    <x v="7"/>
    <s v="Clothing retailing"/>
    <s v="2022-10-01"/>
    <x v="3"/>
    <s v="October  "/>
    <s v="10"/>
    <n v="128.9"/>
    <n v="-3.23"/>
  </r>
  <r>
    <x v="7"/>
    <s v="Clothing retailing"/>
    <s v="2022-11-01"/>
    <x v="3"/>
    <s v="November "/>
    <s v="11"/>
    <n v="148.19999999999999"/>
    <n v="0.82"/>
  </r>
  <r>
    <x v="7"/>
    <s v="Clothing retailing"/>
    <s v="2022-12-01"/>
    <x v="3"/>
    <s v="December "/>
    <s v="12"/>
    <n v="201.4"/>
    <n v="1"/>
  </r>
  <r>
    <x v="7"/>
    <s v="Clothing retailing"/>
    <s v="2023-01-01"/>
    <x v="4"/>
    <s v="January  "/>
    <s v="1"/>
    <n v="117.9"/>
    <n v="0.43"/>
  </r>
  <r>
    <x v="7"/>
    <s v="Clothing retailing"/>
    <s v="2023-02-01"/>
    <x v="4"/>
    <s v="February "/>
    <s v="2"/>
    <n v="99"/>
    <n v="3.88"/>
  </r>
  <r>
    <x v="7"/>
    <s v="Clothing retailing"/>
    <s v="2023-03-01"/>
    <x v="4"/>
    <s v="March    "/>
    <s v="3"/>
    <n v="121.6"/>
    <n v="7.61"/>
  </r>
  <r>
    <x v="7"/>
    <s v="Clothing retailing"/>
    <s v="2023-04-01"/>
    <x v="4"/>
    <s v="April    "/>
    <s v="4"/>
    <n v="134.5"/>
    <n v="6.07"/>
  </r>
  <r>
    <x v="7"/>
    <s v="Clothing retailing"/>
    <s v="2023-05-01"/>
    <x v="4"/>
    <s v="May      "/>
    <s v="5"/>
    <n v="136.19999999999999"/>
    <n v="3.97"/>
  </r>
  <r>
    <x v="7"/>
    <s v="Clothing retailing"/>
    <s v="2023-06-01"/>
    <x v="4"/>
    <s v="June     "/>
    <s v="6"/>
    <n v="138.30000000000001"/>
    <n v="3.29"/>
  </r>
  <r>
    <x v="7"/>
    <s v="Clothing retailing"/>
    <s v="2023-07-01"/>
    <x v="4"/>
    <s v="July     "/>
    <s v="7"/>
    <n v="131.1"/>
    <n v="-0.61"/>
  </r>
  <r>
    <x v="7"/>
    <s v="Clothing retailing"/>
    <s v="2023-08-01"/>
    <x v="4"/>
    <s v="August   "/>
    <s v="8"/>
    <n v="122.9"/>
    <n v="1.49"/>
  </r>
  <r>
    <x v="7"/>
    <s v="Clothing retailing"/>
    <s v="2023-09-01"/>
    <x v="4"/>
    <s v="September"/>
    <s v="9"/>
    <n v="128.80000000000001"/>
    <n v="5.14"/>
  </r>
  <r>
    <x v="7"/>
    <s v="Clothing retailing"/>
    <s v="2023-10-01"/>
    <x v="4"/>
    <s v="October  "/>
    <s v="10"/>
    <n v="138.80000000000001"/>
    <n v="7.68"/>
  </r>
  <r>
    <x v="7"/>
    <s v="Clothing retailing"/>
    <s v="2023-11-01"/>
    <x v="4"/>
    <s v="November "/>
    <s v="11"/>
    <n v="163.80000000000001"/>
    <n v="10.53"/>
  </r>
  <r>
    <x v="7"/>
    <s v="Clothing retailing"/>
    <s v="2023-12-01"/>
    <x v="4"/>
    <s v="December "/>
    <s v="12"/>
    <n v="207.2"/>
    <n v="2.88"/>
  </r>
  <r>
    <x v="7"/>
    <s v="Clothing retailing"/>
    <s v="2024-01-01"/>
    <x v="5"/>
    <s v="January  "/>
    <s v="1"/>
    <n v="125.1"/>
    <n v="6.11"/>
  </r>
  <r>
    <x v="7"/>
    <s v="Clothing retailing"/>
    <s v="2024-02-01"/>
    <x v="5"/>
    <s v="February "/>
    <s v="2"/>
    <n v="110.1"/>
    <n v="11.21"/>
  </r>
  <r>
    <x v="7"/>
    <s v="Clothing retailing"/>
    <s v="2024-03-01"/>
    <x v="5"/>
    <s v="March    "/>
    <s v="3"/>
    <n v="122.1"/>
    <n v="0.41"/>
  </r>
  <r>
    <x v="7"/>
    <s v="Clothing retailing"/>
    <s v="2024-04-01"/>
    <x v="5"/>
    <s v="April    "/>
    <s v="4"/>
    <n v="123.2"/>
    <n v="-8.4"/>
  </r>
  <r>
    <x v="7"/>
    <s v="Clothing retailing"/>
    <s v="2024-05-01"/>
    <x v="5"/>
    <s v="May      "/>
    <s v="5"/>
    <n v="134.19999999999999"/>
    <n v="-1.47"/>
  </r>
  <r>
    <x v="7"/>
    <s v="Clothing retailing"/>
    <s v="2024-06-01"/>
    <x v="5"/>
    <s v="June     "/>
    <s v="6"/>
    <n v="140"/>
    <n v="1.23"/>
  </r>
  <r>
    <x v="7"/>
    <s v="Clothing retailing"/>
    <s v="2024-07-01"/>
    <x v="5"/>
    <s v="July     "/>
    <s v="7"/>
    <n v="129.5"/>
    <n v="-1.22"/>
  </r>
  <r>
    <x v="7"/>
    <s v="Clothing retailing"/>
    <s v="2024-08-01"/>
    <x v="5"/>
    <s v="August   "/>
    <s v="8"/>
    <n v="126"/>
    <n v="2.52"/>
  </r>
  <r>
    <x v="7"/>
    <s v="Clothing retailing"/>
    <s v="2024-09-01"/>
    <x v="5"/>
    <s v="September"/>
    <s v="9"/>
    <n v="129.19999999999999"/>
    <n v="0.31"/>
  </r>
  <r>
    <x v="7"/>
    <s v="Clothing retailing"/>
    <s v="2024-10-01"/>
    <x v="5"/>
    <s v="October  "/>
    <s v="10"/>
    <n v="136.5"/>
    <n v="-1.66"/>
  </r>
  <r>
    <x v="7"/>
    <s v="Clothing retailing"/>
    <s v="2024-11-01"/>
    <x v="5"/>
    <s v="November "/>
    <s v="11"/>
    <n v="159.9"/>
    <n v="-2.38"/>
  </r>
  <r>
    <x v="7"/>
    <s v="Clothing retailing"/>
    <s v="2024-12-01"/>
    <x v="5"/>
    <s v="December "/>
    <s v="12"/>
    <n v="217.6"/>
    <n v="5.0199999999999996"/>
  </r>
  <r>
    <x v="7"/>
    <s v="Clothing retailing"/>
    <s v="2025-01-01"/>
    <x v="6"/>
    <s v="January  "/>
    <s v="1"/>
    <n v="132.1"/>
    <n v="5.6"/>
  </r>
  <r>
    <x v="7"/>
    <s v="Clothing retailing"/>
    <s v="2025-02-01"/>
    <x v="6"/>
    <s v="February "/>
    <s v="2"/>
    <n v="107.8"/>
    <n v="-2.09"/>
  </r>
  <r>
    <x v="7"/>
    <s v="Clothing retailing"/>
    <s v="2025-03-01"/>
    <x v="6"/>
    <s v="March    "/>
    <s v="3"/>
    <n v="123.8"/>
    <n v="1.39"/>
  </r>
  <r>
    <x v="7"/>
    <s v="Clothing retailing"/>
    <s v="2025-04-01"/>
    <x v="6"/>
    <s v="April    "/>
    <s v="4"/>
    <n v="131.30000000000001"/>
    <n v="6.57"/>
  </r>
  <r>
    <x v="7"/>
    <s v="Clothing retailing"/>
    <s v="2025-05-01"/>
    <x v="6"/>
    <s v="May      "/>
    <s v="5"/>
    <n v="144.4"/>
    <n v="7.6"/>
  </r>
  <r>
    <x v="7"/>
    <s v="Clothing retailing"/>
    <s v="2025-06-01"/>
    <x v="6"/>
    <s v="June     "/>
    <s v="6"/>
    <n v="143.69999999999999"/>
    <n v="2.64"/>
  </r>
  <r>
    <x v="7"/>
    <s v="Department stores"/>
    <s v="2019-01-01"/>
    <x v="0"/>
    <s v="January  "/>
    <s v="1"/>
    <n v="145.5"/>
    <m/>
  </r>
  <r>
    <x v="7"/>
    <s v="Department stores"/>
    <s v="2019-02-01"/>
    <x v="0"/>
    <s v="February "/>
    <s v="2"/>
    <n v="120.6"/>
    <m/>
  </r>
  <r>
    <x v="7"/>
    <s v="Department stores"/>
    <s v="2019-03-01"/>
    <x v="0"/>
    <s v="March    "/>
    <s v="3"/>
    <n v="142.30000000000001"/>
    <m/>
  </r>
  <r>
    <x v="7"/>
    <s v="Department stores"/>
    <s v="2019-04-01"/>
    <x v="0"/>
    <s v="April    "/>
    <s v="4"/>
    <n v="157.1"/>
    <m/>
  </r>
  <r>
    <x v="7"/>
    <s v="Department stores"/>
    <s v="2019-05-01"/>
    <x v="0"/>
    <s v="May      "/>
    <s v="5"/>
    <n v="163.1"/>
    <m/>
  </r>
  <r>
    <x v="7"/>
    <s v="Department stores"/>
    <s v="2019-06-01"/>
    <x v="0"/>
    <s v="June     "/>
    <s v="6"/>
    <n v="163.5"/>
    <m/>
  </r>
  <r>
    <x v="7"/>
    <s v="Department stores"/>
    <s v="2019-07-01"/>
    <x v="0"/>
    <s v="July     "/>
    <s v="7"/>
    <n v="155.6"/>
    <m/>
  </r>
  <r>
    <x v="7"/>
    <s v="Department stores"/>
    <s v="2019-08-01"/>
    <x v="0"/>
    <s v="August   "/>
    <s v="8"/>
    <n v="148.5"/>
    <m/>
  </r>
  <r>
    <x v="7"/>
    <s v="Department stores"/>
    <s v="2019-09-01"/>
    <x v="0"/>
    <s v="September"/>
    <s v="9"/>
    <n v="146.1"/>
    <m/>
  </r>
  <r>
    <x v="7"/>
    <s v="Department stores"/>
    <s v="2019-10-01"/>
    <x v="0"/>
    <s v="October  "/>
    <s v="10"/>
    <n v="164.4"/>
    <m/>
  </r>
  <r>
    <x v="7"/>
    <s v="Department stores"/>
    <s v="2019-11-01"/>
    <x v="0"/>
    <s v="November "/>
    <s v="11"/>
    <n v="196.9"/>
    <m/>
  </r>
  <r>
    <x v="7"/>
    <s v="Department stores"/>
    <s v="2019-12-01"/>
    <x v="0"/>
    <s v="December "/>
    <s v="12"/>
    <n v="299.2"/>
    <m/>
  </r>
  <r>
    <x v="7"/>
    <s v="Department stores"/>
    <s v="2020-01-01"/>
    <x v="1"/>
    <s v="January  "/>
    <s v="1"/>
    <n v="145.9"/>
    <n v="0.27"/>
  </r>
  <r>
    <x v="7"/>
    <s v="Department stores"/>
    <s v="2020-02-01"/>
    <x v="1"/>
    <s v="February "/>
    <s v="2"/>
    <n v="128.6"/>
    <n v="6.63"/>
  </r>
  <r>
    <x v="7"/>
    <s v="Department stores"/>
    <s v="2020-03-01"/>
    <x v="1"/>
    <s v="March    "/>
    <s v="3"/>
    <n v="130.80000000000001"/>
    <n v="-8.08"/>
  </r>
  <r>
    <x v="7"/>
    <s v="Department stores"/>
    <s v="2020-04-01"/>
    <x v="1"/>
    <s v="April    "/>
    <s v="4"/>
    <n v="128.4"/>
    <n v="-18.27"/>
  </r>
  <r>
    <x v="7"/>
    <s v="Department stores"/>
    <s v="2020-05-01"/>
    <x v="1"/>
    <s v="May      "/>
    <s v="5"/>
    <n v="189.4"/>
    <n v="16.13"/>
  </r>
  <r>
    <x v="7"/>
    <s v="Department stores"/>
    <s v="2020-06-01"/>
    <x v="1"/>
    <s v="June     "/>
    <s v="6"/>
    <n v="166.2"/>
    <n v="1.65"/>
  </r>
  <r>
    <x v="7"/>
    <s v="Department stores"/>
    <s v="2020-07-01"/>
    <x v="1"/>
    <s v="July     "/>
    <s v="7"/>
    <n v="183.1"/>
    <n v="17.670000000000002"/>
  </r>
  <r>
    <x v="7"/>
    <s v="Department stores"/>
    <s v="2020-08-01"/>
    <x v="1"/>
    <s v="August   "/>
    <s v="8"/>
    <n v="160.4"/>
    <n v="8.01"/>
  </r>
  <r>
    <x v="7"/>
    <s v="Department stores"/>
    <s v="2020-09-01"/>
    <x v="1"/>
    <s v="September"/>
    <s v="9"/>
    <n v="166.7"/>
    <n v="14.1"/>
  </r>
  <r>
    <x v="7"/>
    <s v="Department stores"/>
    <s v="2020-10-01"/>
    <x v="1"/>
    <s v="October  "/>
    <s v="10"/>
    <n v="192.2"/>
    <n v="16.91"/>
  </r>
  <r>
    <x v="7"/>
    <s v="Department stores"/>
    <s v="2020-11-01"/>
    <x v="1"/>
    <s v="November "/>
    <s v="11"/>
    <n v="221.2"/>
    <n v="12.34"/>
  </r>
  <r>
    <x v="7"/>
    <s v="Department stores"/>
    <s v="2020-12-01"/>
    <x v="1"/>
    <s v="December "/>
    <s v="12"/>
    <n v="336.9"/>
    <n v="12.6"/>
  </r>
  <r>
    <x v="7"/>
    <s v="Department stores"/>
    <s v="2021-01-01"/>
    <x v="2"/>
    <s v="January  "/>
    <s v="1"/>
    <n v="167.3"/>
    <n v="14.67"/>
  </r>
  <r>
    <x v="7"/>
    <s v="Department stores"/>
    <s v="2021-02-01"/>
    <x v="2"/>
    <s v="February "/>
    <s v="2"/>
    <n v="124.1"/>
    <n v="-3.5"/>
  </r>
  <r>
    <x v="7"/>
    <s v="Department stores"/>
    <s v="2021-03-01"/>
    <x v="2"/>
    <s v="March    "/>
    <s v="3"/>
    <n v="178.2"/>
    <n v="36.24"/>
  </r>
  <r>
    <x v="7"/>
    <s v="Department stores"/>
    <s v="2021-04-01"/>
    <x v="2"/>
    <s v="April    "/>
    <s v="4"/>
    <n v="165.5"/>
    <n v="28.89"/>
  </r>
  <r>
    <x v="7"/>
    <s v="Department stores"/>
    <s v="2021-05-01"/>
    <x v="2"/>
    <s v="May      "/>
    <s v="5"/>
    <n v="182.6"/>
    <n v="-3.59"/>
  </r>
  <r>
    <x v="7"/>
    <s v="Department stores"/>
    <s v="2021-06-01"/>
    <x v="2"/>
    <s v="June     "/>
    <s v="6"/>
    <n v="180.6"/>
    <n v="8.66"/>
  </r>
  <r>
    <x v="7"/>
    <s v="Department stores"/>
    <s v="2021-07-01"/>
    <x v="2"/>
    <s v="July     "/>
    <s v="7"/>
    <n v="179.9"/>
    <n v="-1.75"/>
  </r>
  <r>
    <x v="7"/>
    <s v="Department stores"/>
    <s v="2021-08-01"/>
    <x v="2"/>
    <s v="August   "/>
    <s v="8"/>
    <n v="168.5"/>
    <n v="5.05"/>
  </r>
  <r>
    <x v="7"/>
    <s v="Department stores"/>
    <s v="2021-09-01"/>
    <x v="2"/>
    <s v="September"/>
    <s v="9"/>
    <n v="181"/>
    <n v="8.58"/>
  </r>
  <r>
    <x v="7"/>
    <s v="Department stores"/>
    <s v="2021-10-01"/>
    <x v="2"/>
    <s v="October  "/>
    <s v="10"/>
    <n v="200.8"/>
    <n v="4.47"/>
  </r>
  <r>
    <x v="7"/>
    <s v="Department stores"/>
    <s v="2021-11-01"/>
    <x v="2"/>
    <s v="November "/>
    <s v="11"/>
    <n v="228.6"/>
    <n v="3.35"/>
  </r>
  <r>
    <x v="7"/>
    <s v="Department stores"/>
    <s v="2021-12-01"/>
    <x v="2"/>
    <s v="December "/>
    <s v="12"/>
    <n v="323.2"/>
    <n v="-4.07"/>
  </r>
  <r>
    <x v="7"/>
    <s v="Department stores"/>
    <s v="2022-01-01"/>
    <x v="3"/>
    <s v="January  "/>
    <s v="1"/>
    <n v="172"/>
    <n v="2.81"/>
  </r>
  <r>
    <x v="7"/>
    <s v="Department stores"/>
    <s v="2022-02-01"/>
    <x v="3"/>
    <s v="February "/>
    <s v="2"/>
    <n v="132.80000000000001"/>
    <n v="7.01"/>
  </r>
  <r>
    <x v="7"/>
    <s v="Department stores"/>
    <s v="2022-03-01"/>
    <x v="3"/>
    <s v="March    "/>
    <s v="3"/>
    <n v="165.4"/>
    <n v="-7.18"/>
  </r>
  <r>
    <x v="7"/>
    <s v="Department stores"/>
    <s v="2022-04-01"/>
    <x v="3"/>
    <s v="April    "/>
    <s v="4"/>
    <n v="189.6"/>
    <n v="14.56"/>
  </r>
  <r>
    <x v="7"/>
    <s v="Department stores"/>
    <s v="2022-05-01"/>
    <x v="3"/>
    <s v="May      "/>
    <s v="5"/>
    <n v="194.6"/>
    <n v="6.57"/>
  </r>
  <r>
    <x v="7"/>
    <s v="Department stores"/>
    <s v="2022-06-01"/>
    <x v="3"/>
    <s v="June     "/>
    <s v="6"/>
    <n v="200.7"/>
    <n v="11.13"/>
  </r>
  <r>
    <x v="7"/>
    <s v="Department stores"/>
    <s v="2022-07-01"/>
    <x v="3"/>
    <s v="July     "/>
    <s v="7"/>
    <n v="201.5"/>
    <n v="12.01"/>
  </r>
  <r>
    <x v="7"/>
    <s v="Department stores"/>
    <s v="2022-08-01"/>
    <x v="3"/>
    <s v="August   "/>
    <s v="8"/>
    <n v="187.1"/>
    <n v="11.04"/>
  </r>
  <r>
    <x v="7"/>
    <s v="Department stores"/>
    <s v="2022-09-01"/>
    <x v="3"/>
    <s v="September"/>
    <s v="9"/>
    <n v="193.6"/>
    <n v="6.96"/>
  </r>
  <r>
    <x v="7"/>
    <s v="Department stores"/>
    <s v="2022-10-01"/>
    <x v="3"/>
    <s v="October  "/>
    <s v="10"/>
    <n v="211.1"/>
    <n v="5.13"/>
  </r>
  <r>
    <x v="7"/>
    <s v="Department stores"/>
    <s v="2022-11-01"/>
    <x v="3"/>
    <s v="November "/>
    <s v="11"/>
    <n v="263.10000000000002"/>
    <n v="15.09"/>
  </r>
  <r>
    <x v="7"/>
    <s v="Department stores"/>
    <s v="2022-12-01"/>
    <x v="3"/>
    <s v="December "/>
    <s v="12"/>
    <n v="358.2"/>
    <n v="10.83"/>
  </r>
  <r>
    <x v="7"/>
    <s v="Department stores"/>
    <s v="2023-01-01"/>
    <x v="4"/>
    <s v="January  "/>
    <s v="1"/>
    <n v="192.9"/>
    <n v="12.15"/>
  </r>
  <r>
    <x v="7"/>
    <s v="Department stores"/>
    <s v="2023-02-01"/>
    <x v="4"/>
    <s v="February "/>
    <s v="2"/>
    <n v="159.4"/>
    <n v="20.03"/>
  </r>
  <r>
    <x v="7"/>
    <s v="Department stores"/>
    <s v="2023-03-01"/>
    <x v="4"/>
    <s v="March    "/>
    <s v="3"/>
    <n v="194.7"/>
    <n v="17.71"/>
  </r>
  <r>
    <x v="7"/>
    <s v="Department stores"/>
    <s v="2023-04-01"/>
    <x v="4"/>
    <s v="April    "/>
    <s v="4"/>
    <n v="212.7"/>
    <n v="12.18"/>
  </r>
  <r>
    <x v="7"/>
    <s v="Department stores"/>
    <s v="2023-05-01"/>
    <x v="4"/>
    <s v="May      "/>
    <s v="5"/>
    <n v="204.5"/>
    <n v="5.09"/>
  </r>
  <r>
    <x v="7"/>
    <s v="Department stores"/>
    <s v="2023-06-01"/>
    <x v="4"/>
    <s v="June     "/>
    <s v="6"/>
    <n v="212.5"/>
    <n v="5.88"/>
  </r>
  <r>
    <x v="7"/>
    <s v="Department stores"/>
    <s v="2023-07-01"/>
    <x v="4"/>
    <s v="July     "/>
    <s v="7"/>
    <n v="206.2"/>
    <n v="2.33"/>
  </r>
  <r>
    <x v="7"/>
    <s v="Department stores"/>
    <s v="2023-08-01"/>
    <x v="4"/>
    <s v="August   "/>
    <s v="8"/>
    <n v="190.7"/>
    <n v="1.92"/>
  </r>
  <r>
    <x v="7"/>
    <s v="Department stores"/>
    <s v="2023-09-01"/>
    <x v="4"/>
    <s v="September"/>
    <s v="9"/>
    <n v="203.7"/>
    <n v="5.22"/>
  </r>
  <r>
    <x v="7"/>
    <s v="Department stores"/>
    <s v="2023-10-01"/>
    <x v="4"/>
    <s v="October  "/>
    <s v="10"/>
    <n v="221.4"/>
    <n v="4.88"/>
  </r>
  <r>
    <x v="7"/>
    <s v="Department stores"/>
    <s v="2023-11-01"/>
    <x v="4"/>
    <s v="November "/>
    <s v="11"/>
    <n v="276.7"/>
    <n v="5.17"/>
  </r>
  <r>
    <x v="7"/>
    <s v="Department stores"/>
    <s v="2023-12-01"/>
    <x v="4"/>
    <s v="December "/>
    <s v="12"/>
    <n v="370.3"/>
    <n v="3.38"/>
  </r>
  <r>
    <x v="7"/>
    <s v="Department stores"/>
    <s v="2024-01-01"/>
    <x v="5"/>
    <s v="January  "/>
    <s v="1"/>
    <n v="191.5"/>
    <n v="-0.73"/>
  </r>
  <r>
    <x v="7"/>
    <s v="Department stores"/>
    <s v="2024-02-01"/>
    <x v="5"/>
    <s v="February "/>
    <s v="2"/>
    <n v="168.3"/>
    <n v="5.58"/>
  </r>
  <r>
    <x v="7"/>
    <s v="Department stores"/>
    <s v="2024-03-01"/>
    <x v="5"/>
    <s v="March    "/>
    <s v="3"/>
    <n v="201"/>
    <n v="3.24"/>
  </r>
  <r>
    <x v="7"/>
    <s v="Department stores"/>
    <s v="2024-04-01"/>
    <x v="5"/>
    <s v="April    "/>
    <s v="4"/>
    <n v="189"/>
    <n v="-11.14"/>
  </r>
  <r>
    <x v="7"/>
    <s v="Department stores"/>
    <s v="2024-05-01"/>
    <x v="5"/>
    <s v="May      "/>
    <s v="5"/>
    <n v="205.8"/>
    <n v="0.64"/>
  </r>
  <r>
    <x v="7"/>
    <s v="Department stores"/>
    <s v="2024-06-01"/>
    <x v="5"/>
    <s v="June     "/>
    <s v="6"/>
    <n v="218.3"/>
    <n v="2.73"/>
  </r>
  <r>
    <x v="7"/>
    <s v="Department stores"/>
    <s v="2024-07-01"/>
    <x v="5"/>
    <s v="July     "/>
    <s v="7"/>
    <n v="207.2"/>
    <n v="0.48"/>
  </r>
  <r>
    <x v="7"/>
    <s v="Department stores"/>
    <s v="2024-08-01"/>
    <x v="5"/>
    <s v="August   "/>
    <s v="8"/>
    <n v="201.1"/>
    <n v="5.45"/>
  </r>
  <r>
    <x v="7"/>
    <s v="Department stores"/>
    <s v="2024-09-01"/>
    <x v="5"/>
    <s v="September"/>
    <s v="9"/>
    <n v="203.8"/>
    <n v="0.05"/>
  </r>
  <r>
    <x v="7"/>
    <s v="Department stores"/>
    <s v="2024-10-01"/>
    <x v="5"/>
    <s v="October  "/>
    <s v="10"/>
    <n v="223.4"/>
    <n v="0.9"/>
  </r>
  <r>
    <x v="7"/>
    <s v="Department stores"/>
    <s v="2024-11-01"/>
    <x v="5"/>
    <s v="November "/>
    <s v="11"/>
    <n v="278.39999999999998"/>
    <n v="0.61"/>
  </r>
  <r>
    <x v="7"/>
    <s v="Department stores"/>
    <s v="2024-12-01"/>
    <x v="5"/>
    <s v="December "/>
    <s v="12"/>
    <n v="378.4"/>
    <n v="2.19"/>
  </r>
  <r>
    <x v="7"/>
    <s v="Department stores"/>
    <s v="2025-01-01"/>
    <x v="6"/>
    <s v="January  "/>
    <s v="1"/>
    <n v="201.2"/>
    <n v="5.07"/>
  </r>
  <r>
    <x v="7"/>
    <s v="Department stores"/>
    <s v="2025-02-01"/>
    <x v="6"/>
    <s v="February "/>
    <s v="2"/>
    <n v="172.3"/>
    <n v="2.38"/>
  </r>
  <r>
    <x v="7"/>
    <s v="Department stores"/>
    <s v="2025-03-01"/>
    <x v="6"/>
    <s v="March    "/>
    <s v="3"/>
    <n v="200.3"/>
    <n v="-0.35"/>
  </r>
  <r>
    <x v="7"/>
    <s v="Department stores"/>
    <s v="2025-04-01"/>
    <x v="6"/>
    <s v="April    "/>
    <s v="4"/>
    <n v="208.5"/>
    <n v="10.32"/>
  </r>
  <r>
    <x v="7"/>
    <s v="Department stores"/>
    <s v="2025-05-01"/>
    <x v="6"/>
    <s v="May      "/>
    <s v="5"/>
    <n v="222.5"/>
    <n v="8.11"/>
  </r>
  <r>
    <x v="7"/>
    <s v="Department stores"/>
    <s v="2025-06-01"/>
    <x v="6"/>
    <s v="June     "/>
    <s v="6"/>
    <n v="223.2"/>
    <n v="2.2400000000000002"/>
  </r>
  <r>
    <x v="7"/>
    <s v="Electrical and electronic goods retailing"/>
    <s v="2019-01-01"/>
    <x v="0"/>
    <s v="January  "/>
    <s v="1"/>
    <n v="159.1"/>
    <m/>
  </r>
  <r>
    <x v="7"/>
    <s v="Electrical and electronic goods retailing"/>
    <s v="2019-02-01"/>
    <x v="0"/>
    <s v="February "/>
    <s v="2"/>
    <n v="140.19999999999999"/>
    <m/>
  </r>
  <r>
    <x v="7"/>
    <s v="Electrical and electronic goods retailing"/>
    <s v="2019-03-01"/>
    <x v="0"/>
    <s v="March    "/>
    <s v="3"/>
    <n v="151.4"/>
    <m/>
  </r>
  <r>
    <x v="7"/>
    <s v="Electrical and electronic goods retailing"/>
    <s v="2019-04-01"/>
    <x v="0"/>
    <s v="April    "/>
    <s v="4"/>
    <n v="137.9"/>
    <m/>
  </r>
  <r>
    <x v="7"/>
    <s v="Electrical and electronic goods retailing"/>
    <s v="2019-05-01"/>
    <x v="0"/>
    <s v="May      "/>
    <s v="5"/>
    <n v="156.5"/>
    <m/>
  </r>
  <r>
    <x v="7"/>
    <s v="Electrical and electronic goods retailing"/>
    <s v="2019-06-01"/>
    <x v="0"/>
    <s v="June     "/>
    <s v="6"/>
    <n v="175"/>
    <m/>
  </r>
  <r>
    <x v="7"/>
    <s v="Electrical and electronic goods retailing"/>
    <s v="2019-07-01"/>
    <x v="0"/>
    <s v="July     "/>
    <s v="7"/>
    <n v="162.6"/>
    <m/>
  </r>
  <r>
    <x v="7"/>
    <s v="Electrical and electronic goods retailing"/>
    <s v="2019-08-01"/>
    <x v="0"/>
    <s v="August   "/>
    <s v="8"/>
    <n v="161.1"/>
    <m/>
  </r>
  <r>
    <x v="7"/>
    <s v="Electrical and electronic goods retailing"/>
    <s v="2019-09-01"/>
    <x v="0"/>
    <s v="September"/>
    <s v="9"/>
    <n v="150.19999999999999"/>
    <m/>
  </r>
  <r>
    <x v="7"/>
    <s v="Electrical and electronic goods retailing"/>
    <s v="2019-10-01"/>
    <x v="0"/>
    <s v="October  "/>
    <s v="10"/>
    <n v="169.2"/>
    <m/>
  </r>
  <r>
    <x v="7"/>
    <s v="Electrical and electronic goods retailing"/>
    <s v="2019-11-01"/>
    <x v="0"/>
    <s v="November "/>
    <s v="11"/>
    <n v="197.6"/>
    <m/>
  </r>
  <r>
    <x v="7"/>
    <s v="Electrical and electronic goods retailing"/>
    <s v="2019-12-01"/>
    <x v="0"/>
    <s v="December "/>
    <s v="12"/>
    <n v="267.89999999999998"/>
    <m/>
  </r>
  <r>
    <x v="7"/>
    <s v="Electrical and electronic goods retailing"/>
    <s v="2020-01-01"/>
    <x v="1"/>
    <s v="January  "/>
    <s v="1"/>
    <n v="162.6"/>
    <n v="2.2000000000000002"/>
  </r>
  <r>
    <x v="7"/>
    <s v="Electrical and electronic goods retailing"/>
    <s v="2020-02-01"/>
    <x v="1"/>
    <s v="February "/>
    <s v="2"/>
    <n v="151.69999999999999"/>
    <n v="8.1999999999999993"/>
  </r>
  <r>
    <x v="7"/>
    <s v="Electrical and electronic goods retailing"/>
    <s v="2020-03-01"/>
    <x v="1"/>
    <s v="March    "/>
    <s v="3"/>
    <n v="183.8"/>
    <n v="21.4"/>
  </r>
  <r>
    <x v="7"/>
    <s v="Electrical and electronic goods retailing"/>
    <s v="2020-04-01"/>
    <x v="1"/>
    <s v="April    "/>
    <s v="4"/>
    <n v="156.30000000000001"/>
    <n v="13.34"/>
  </r>
  <r>
    <x v="7"/>
    <s v="Electrical and electronic goods retailing"/>
    <s v="2020-05-01"/>
    <x v="1"/>
    <s v="May      "/>
    <s v="5"/>
    <n v="218.2"/>
    <n v="39.42"/>
  </r>
  <r>
    <x v="7"/>
    <s v="Electrical and electronic goods retailing"/>
    <s v="2020-06-01"/>
    <x v="1"/>
    <s v="June     "/>
    <s v="6"/>
    <n v="237"/>
    <n v="35.43"/>
  </r>
  <r>
    <x v="7"/>
    <s v="Electrical and electronic goods retailing"/>
    <s v="2020-07-01"/>
    <x v="1"/>
    <s v="July     "/>
    <s v="7"/>
    <n v="236.2"/>
    <n v="45.26"/>
  </r>
  <r>
    <x v="7"/>
    <s v="Electrical and electronic goods retailing"/>
    <s v="2020-08-01"/>
    <x v="1"/>
    <s v="August   "/>
    <s v="8"/>
    <n v="224.7"/>
    <n v="39.479999999999997"/>
  </r>
  <r>
    <x v="7"/>
    <s v="Electrical and electronic goods retailing"/>
    <s v="2020-09-01"/>
    <x v="1"/>
    <s v="September"/>
    <s v="9"/>
    <n v="197.6"/>
    <n v="31.56"/>
  </r>
  <r>
    <x v="7"/>
    <s v="Electrical and electronic goods retailing"/>
    <s v="2020-10-01"/>
    <x v="1"/>
    <s v="October  "/>
    <s v="10"/>
    <n v="206"/>
    <n v="21.75"/>
  </r>
  <r>
    <x v="7"/>
    <s v="Electrical and electronic goods retailing"/>
    <s v="2020-11-01"/>
    <x v="1"/>
    <s v="November "/>
    <s v="11"/>
    <n v="259"/>
    <n v="31.07"/>
  </r>
  <r>
    <x v="7"/>
    <s v="Electrical and electronic goods retailing"/>
    <s v="2020-12-01"/>
    <x v="1"/>
    <s v="December "/>
    <s v="12"/>
    <n v="309.60000000000002"/>
    <n v="15.57"/>
  </r>
  <r>
    <x v="7"/>
    <s v="Electrical and electronic goods retailing"/>
    <s v="2021-01-01"/>
    <x v="2"/>
    <s v="January  "/>
    <s v="1"/>
    <n v="209.4"/>
    <n v="28.78"/>
  </r>
  <r>
    <x v="7"/>
    <s v="Electrical and electronic goods retailing"/>
    <s v="2021-02-01"/>
    <x v="2"/>
    <s v="February "/>
    <s v="2"/>
    <n v="172.9"/>
    <n v="13.97"/>
  </r>
  <r>
    <x v="7"/>
    <s v="Electrical and electronic goods retailing"/>
    <s v="2021-03-01"/>
    <x v="2"/>
    <s v="March    "/>
    <s v="3"/>
    <n v="199.3"/>
    <n v="8.43"/>
  </r>
  <r>
    <x v="7"/>
    <s v="Electrical and electronic goods retailing"/>
    <s v="2021-04-01"/>
    <x v="2"/>
    <s v="April    "/>
    <s v="4"/>
    <n v="172.1"/>
    <n v="10.11"/>
  </r>
  <r>
    <x v="7"/>
    <s v="Electrical and electronic goods retailing"/>
    <s v="2021-05-01"/>
    <x v="2"/>
    <s v="May      "/>
    <s v="5"/>
    <n v="203.8"/>
    <n v="-6.6"/>
  </r>
  <r>
    <x v="7"/>
    <s v="Electrical and electronic goods retailing"/>
    <s v="2021-06-01"/>
    <x v="2"/>
    <s v="June     "/>
    <s v="6"/>
    <n v="223.2"/>
    <n v="-5.82"/>
  </r>
  <r>
    <x v="7"/>
    <s v="Electrical and electronic goods retailing"/>
    <s v="2021-07-01"/>
    <x v="2"/>
    <s v="July     "/>
    <s v="7"/>
    <n v="221.5"/>
    <n v="-6.22"/>
  </r>
  <r>
    <x v="7"/>
    <s v="Electrical and electronic goods retailing"/>
    <s v="2021-08-01"/>
    <x v="2"/>
    <s v="August   "/>
    <s v="8"/>
    <n v="221"/>
    <n v="-1.65"/>
  </r>
  <r>
    <x v="7"/>
    <s v="Electrical and electronic goods retailing"/>
    <s v="2021-09-01"/>
    <x v="2"/>
    <s v="September"/>
    <s v="9"/>
    <n v="226.1"/>
    <n v="14.42"/>
  </r>
  <r>
    <x v="7"/>
    <s v="Electrical and electronic goods retailing"/>
    <s v="2021-10-01"/>
    <x v="2"/>
    <s v="October  "/>
    <s v="10"/>
    <n v="229.2"/>
    <n v="11.26"/>
  </r>
  <r>
    <x v="7"/>
    <s v="Electrical and electronic goods retailing"/>
    <s v="2021-11-01"/>
    <x v="2"/>
    <s v="November "/>
    <s v="11"/>
    <n v="265.2"/>
    <n v="2.39"/>
  </r>
  <r>
    <x v="7"/>
    <s v="Electrical and electronic goods retailing"/>
    <s v="2021-12-01"/>
    <x v="2"/>
    <s v="December "/>
    <s v="12"/>
    <n v="323.10000000000002"/>
    <n v="4.3600000000000003"/>
  </r>
  <r>
    <x v="7"/>
    <s v="Electrical and electronic goods retailing"/>
    <s v="2022-01-01"/>
    <x v="3"/>
    <s v="January  "/>
    <s v="1"/>
    <n v="227.2"/>
    <n v="8.5"/>
  </r>
  <r>
    <x v="7"/>
    <s v="Electrical and electronic goods retailing"/>
    <s v="2022-02-01"/>
    <x v="3"/>
    <s v="February "/>
    <s v="2"/>
    <n v="203.5"/>
    <n v="17.7"/>
  </r>
  <r>
    <x v="7"/>
    <s v="Electrical and electronic goods retailing"/>
    <s v="2022-03-01"/>
    <x v="3"/>
    <s v="March    "/>
    <s v="3"/>
    <n v="226.5"/>
    <n v="13.65"/>
  </r>
  <r>
    <x v="7"/>
    <s v="Electrical and electronic goods retailing"/>
    <s v="2022-04-01"/>
    <x v="3"/>
    <s v="April    "/>
    <s v="4"/>
    <n v="210.3"/>
    <n v="22.2"/>
  </r>
  <r>
    <x v="7"/>
    <s v="Electrical and electronic goods retailing"/>
    <s v="2022-05-01"/>
    <x v="3"/>
    <s v="May      "/>
    <s v="5"/>
    <n v="225.6"/>
    <n v="10.7"/>
  </r>
  <r>
    <x v="7"/>
    <s v="Electrical and electronic goods retailing"/>
    <s v="2022-06-01"/>
    <x v="3"/>
    <s v="June     "/>
    <s v="6"/>
    <n v="252.7"/>
    <n v="13.22"/>
  </r>
  <r>
    <x v="7"/>
    <s v="Electrical and electronic goods retailing"/>
    <s v="2022-07-01"/>
    <x v="3"/>
    <s v="July     "/>
    <s v="7"/>
    <n v="232.7"/>
    <n v="5.0599999999999996"/>
  </r>
  <r>
    <x v="7"/>
    <s v="Electrical and electronic goods retailing"/>
    <s v="2022-08-01"/>
    <x v="3"/>
    <s v="August   "/>
    <s v="8"/>
    <n v="223.4"/>
    <n v="1.0900000000000001"/>
  </r>
  <r>
    <x v="7"/>
    <s v="Electrical and electronic goods retailing"/>
    <s v="2022-09-01"/>
    <x v="3"/>
    <s v="September"/>
    <s v="9"/>
    <n v="222.5"/>
    <n v="-1.59"/>
  </r>
  <r>
    <x v="7"/>
    <s v="Electrical and electronic goods retailing"/>
    <s v="2022-10-01"/>
    <x v="3"/>
    <s v="October  "/>
    <s v="10"/>
    <n v="230.1"/>
    <n v="0.39"/>
  </r>
  <r>
    <x v="7"/>
    <s v="Electrical and electronic goods retailing"/>
    <s v="2022-11-01"/>
    <x v="3"/>
    <s v="November "/>
    <s v="11"/>
    <n v="286.10000000000002"/>
    <n v="7.88"/>
  </r>
  <r>
    <x v="7"/>
    <s v="Electrical and electronic goods retailing"/>
    <s v="2022-12-01"/>
    <x v="3"/>
    <s v="December "/>
    <s v="12"/>
    <n v="316.89999999999998"/>
    <n v="-1.92"/>
  </r>
  <r>
    <x v="7"/>
    <s v="Electrical and electronic goods retailing"/>
    <s v="2023-01-01"/>
    <x v="4"/>
    <s v="January  "/>
    <s v="1"/>
    <n v="215.1"/>
    <n v="-5.33"/>
  </r>
  <r>
    <x v="7"/>
    <s v="Electrical and electronic goods retailing"/>
    <s v="2023-02-01"/>
    <x v="4"/>
    <s v="February "/>
    <s v="2"/>
    <n v="200.3"/>
    <n v="-1.57"/>
  </r>
  <r>
    <x v="7"/>
    <s v="Electrical and electronic goods retailing"/>
    <s v="2023-03-01"/>
    <x v="4"/>
    <s v="March    "/>
    <s v="3"/>
    <n v="207.4"/>
    <n v="-8.43"/>
  </r>
  <r>
    <x v="7"/>
    <s v="Electrical and electronic goods retailing"/>
    <s v="2023-04-01"/>
    <x v="4"/>
    <s v="April    "/>
    <s v="4"/>
    <n v="186.5"/>
    <n v="-11.32"/>
  </r>
  <r>
    <x v="7"/>
    <s v="Electrical and electronic goods retailing"/>
    <s v="2023-05-01"/>
    <x v="4"/>
    <s v="May      "/>
    <s v="5"/>
    <n v="206.4"/>
    <n v="-8.51"/>
  </r>
  <r>
    <x v="7"/>
    <s v="Electrical and electronic goods retailing"/>
    <s v="2023-06-01"/>
    <x v="4"/>
    <s v="June     "/>
    <s v="6"/>
    <n v="244.4"/>
    <n v="-3.28"/>
  </r>
  <r>
    <x v="7"/>
    <s v="Electrical and electronic goods retailing"/>
    <s v="2023-07-01"/>
    <x v="4"/>
    <s v="July     "/>
    <s v="7"/>
    <n v="209"/>
    <n v="-10.18"/>
  </r>
  <r>
    <x v="7"/>
    <s v="Electrical and electronic goods retailing"/>
    <s v="2023-08-01"/>
    <x v="4"/>
    <s v="August   "/>
    <s v="8"/>
    <n v="210.5"/>
    <n v="-5.77"/>
  </r>
  <r>
    <x v="7"/>
    <s v="Electrical and electronic goods retailing"/>
    <s v="2023-09-01"/>
    <x v="4"/>
    <s v="September"/>
    <s v="9"/>
    <n v="216.6"/>
    <n v="-2.65"/>
  </r>
  <r>
    <x v="7"/>
    <s v="Electrical and electronic goods retailing"/>
    <s v="2023-10-01"/>
    <x v="4"/>
    <s v="October  "/>
    <s v="10"/>
    <n v="223.4"/>
    <n v="-2.91"/>
  </r>
  <r>
    <x v="7"/>
    <s v="Electrical and electronic goods retailing"/>
    <s v="2023-11-01"/>
    <x v="4"/>
    <s v="November "/>
    <s v="11"/>
    <n v="302.8"/>
    <n v="5.84"/>
  </r>
  <r>
    <x v="7"/>
    <s v="Electrical and electronic goods retailing"/>
    <s v="2023-12-01"/>
    <x v="4"/>
    <s v="December "/>
    <s v="12"/>
    <n v="309.2"/>
    <n v="-2.4300000000000002"/>
  </r>
  <r>
    <x v="7"/>
    <s v="Electrical and electronic goods retailing"/>
    <s v="2024-01-01"/>
    <x v="5"/>
    <s v="January  "/>
    <s v="1"/>
    <n v="212"/>
    <n v="-1.44"/>
  </r>
  <r>
    <x v="7"/>
    <s v="Electrical and electronic goods retailing"/>
    <s v="2024-02-01"/>
    <x v="5"/>
    <s v="February "/>
    <s v="2"/>
    <n v="200.1"/>
    <n v="-0.1"/>
  </r>
  <r>
    <x v="7"/>
    <s v="Electrical and electronic goods retailing"/>
    <s v="2024-03-01"/>
    <x v="5"/>
    <s v="March    "/>
    <s v="3"/>
    <n v="202.2"/>
    <n v="-2.5099999999999998"/>
  </r>
  <r>
    <x v="7"/>
    <s v="Electrical and electronic goods retailing"/>
    <s v="2024-04-01"/>
    <x v="5"/>
    <s v="April    "/>
    <s v="4"/>
    <n v="185.7"/>
    <n v="-0.43"/>
  </r>
  <r>
    <x v="7"/>
    <s v="Electrical and electronic goods retailing"/>
    <s v="2024-05-01"/>
    <x v="5"/>
    <s v="May      "/>
    <s v="5"/>
    <n v="208.7"/>
    <n v="1.1100000000000001"/>
  </r>
  <r>
    <x v="7"/>
    <s v="Electrical and electronic goods retailing"/>
    <s v="2024-06-01"/>
    <x v="5"/>
    <s v="June     "/>
    <s v="6"/>
    <n v="254.9"/>
    <n v="4.3"/>
  </r>
  <r>
    <x v="7"/>
    <s v="Electrical and electronic goods retailing"/>
    <s v="2024-07-01"/>
    <x v="5"/>
    <s v="July     "/>
    <s v="7"/>
    <n v="220.8"/>
    <n v="5.65"/>
  </r>
  <r>
    <x v="7"/>
    <s v="Electrical and electronic goods retailing"/>
    <s v="2024-08-01"/>
    <x v="5"/>
    <s v="August   "/>
    <s v="8"/>
    <n v="216"/>
    <n v="2.61"/>
  </r>
  <r>
    <x v="7"/>
    <s v="Electrical and electronic goods retailing"/>
    <s v="2024-09-01"/>
    <x v="5"/>
    <s v="September"/>
    <s v="9"/>
    <n v="210.2"/>
    <n v="-2.95"/>
  </r>
  <r>
    <x v="7"/>
    <s v="Electrical and electronic goods retailing"/>
    <s v="2024-10-01"/>
    <x v="5"/>
    <s v="October  "/>
    <s v="10"/>
    <n v="234.1"/>
    <n v="4.79"/>
  </r>
  <r>
    <x v="7"/>
    <s v="Electrical and electronic goods retailing"/>
    <s v="2024-11-01"/>
    <x v="5"/>
    <s v="November "/>
    <s v="11"/>
    <n v="307.7"/>
    <n v="1.62"/>
  </r>
  <r>
    <x v="7"/>
    <s v="Electrical and electronic goods retailing"/>
    <s v="2024-12-01"/>
    <x v="5"/>
    <s v="December "/>
    <s v="12"/>
    <n v="351.4"/>
    <n v="13.65"/>
  </r>
  <r>
    <x v="7"/>
    <s v="Electrical and electronic goods retailing"/>
    <s v="2025-01-01"/>
    <x v="6"/>
    <s v="January  "/>
    <s v="1"/>
    <n v="221.1"/>
    <n v="4.29"/>
  </r>
  <r>
    <x v="7"/>
    <s v="Electrical and electronic goods retailing"/>
    <s v="2025-02-01"/>
    <x v="6"/>
    <s v="February "/>
    <s v="2"/>
    <n v="208"/>
    <n v="3.95"/>
  </r>
  <r>
    <x v="7"/>
    <s v="Electrical and electronic goods retailing"/>
    <s v="2025-03-01"/>
    <x v="6"/>
    <s v="March    "/>
    <s v="3"/>
    <n v="216.5"/>
    <n v="7.07"/>
  </r>
  <r>
    <x v="7"/>
    <s v="Electrical and electronic goods retailing"/>
    <s v="2025-04-01"/>
    <x v="6"/>
    <s v="April    "/>
    <s v="4"/>
    <n v="199.2"/>
    <n v="7.27"/>
  </r>
  <r>
    <x v="7"/>
    <s v="Electrical and electronic goods retailing"/>
    <s v="2025-05-01"/>
    <x v="6"/>
    <s v="May      "/>
    <s v="5"/>
    <n v="229.3"/>
    <n v="9.8699999999999992"/>
  </r>
  <r>
    <x v="7"/>
    <s v="Electrical and electronic goods retailing"/>
    <s v="2025-06-01"/>
    <x v="6"/>
    <s v="June     "/>
    <s v="6"/>
    <n v="276.3"/>
    <n v="8.4"/>
  </r>
  <r>
    <x v="7"/>
    <s v="Footwear and other personal accessory retailing"/>
    <s v="2019-01-01"/>
    <x v="0"/>
    <s v="January  "/>
    <s v="1"/>
    <n v="68.099999999999994"/>
    <m/>
  </r>
  <r>
    <x v="7"/>
    <s v="Footwear and other personal accessory retailing"/>
    <s v="2019-02-01"/>
    <x v="0"/>
    <s v="February "/>
    <s v="2"/>
    <n v="62.4"/>
    <m/>
  </r>
  <r>
    <x v="7"/>
    <s v="Footwear and other personal accessory retailing"/>
    <s v="2019-03-01"/>
    <x v="0"/>
    <s v="March    "/>
    <s v="3"/>
    <n v="67.900000000000006"/>
    <m/>
  </r>
  <r>
    <x v="7"/>
    <s v="Footwear and other personal accessory retailing"/>
    <s v="2019-04-01"/>
    <x v="0"/>
    <s v="April    "/>
    <s v="4"/>
    <n v="63.2"/>
    <m/>
  </r>
  <r>
    <x v="7"/>
    <s v="Footwear and other personal accessory retailing"/>
    <s v="2019-05-01"/>
    <x v="0"/>
    <s v="May      "/>
    <s v="5"/>
    <n v="75.099999999999994"/>
    <m/>
  </r>
  <r>
    <x v="7"/>
    <s v="Footwear and other personal accessory retailing"/>
    <s v="2019-06-01"/>
    <x v="0"/>
    <s v="June     "/>
    <s v="6"/>
    <n v="67.400000000000006"/>
    <m/>
  </r>
  <r>
    <x v="7"/>
    <s v="Footwear and other personal accessory retailing"/>
    <s v="2019-07-01"/>
    <x v="0"/>
    <s v="July     "/>
    <s v="7"/>
    <n v="71.099999999999994"/>
    <m/>
  </r>
  <r>
    <x v="7"/>
    <s v="Footwear and other personal accessory retailing"/>
    <s v="2019-08-01"/>
    <x v="0"/>
    <s v="August   "/>
    <s v="8"/>
    <n v="73.8"/>
    <m/>
  </r>
  <r>
    <x v="7"/>
    <s v="Footwear and other personal accessory retailing"/>
    <s v="2019-09-01"/>
    <x v="0"/>
    <s v="September"/>
    <s v="9"/>
    <n v="69.099999999999994"/>
    <m/>
  </r>
  <r>
    <x v="7"/>
    <s v="Footwear and other personal accessory retailing"/>
    <s v="2019-10-01"/>
    <x v="0"/>
    <s v="October  "/>
    <s v="10"/>
    <n v="72.900000000000006"/>
    <m/>
  </r>
  <r>
    <x v="7"/>
    <s v="Footwear and other personal accessory retailing"/>
    <s v="2019-11-01"/>
    <x v="0"/>
    <s v="November "/>
    <s v="11"/>
    <n v="77.7"/>
    <m/>
  </r>
  <r>
    <x v="7"/>
    <s v="Footwear and other personal accessory retailing"/>
    <s v="2019-12-01"/>
    <x v="0"/>
    <s v="December "/>
    <s v="12"/>
    <n v="125"/>
    <m/>
  </r>
  <r>
    <x v="7"/>
    <s v="Footwear and other personal accessory retailing"/>
    <s v="2020-01-01"/>
    <x v="1"/>
    <s v="January  "/>
    <s v="1"/>
    <n v="68.400000000000006"/>
    <n v="0.44"/>
  </r>
  <r>
    <x v="7"/>
    <s v="Footwear and other personal accessory retailing"/>
    <s v="2020-02-01"/>
    <x v="1"/>
    <s v="February "/>
    <s v="2"/>
    <n v="61.6"/>
    <n v="-1.28"/>
  </r>
  <r>
    <x v="7"/>
    <s v="Footwear and other personal accessory retailing"/>
    <s v="2020-03-01"/>
    <x v="1"/>
    <s v="March    "/>
    <s v="3"/>
    <n v="53"/>
    <n v="-21.94"/>
  </r>
  <r>
    <x v="7"/>
    <s v="Footwear and other personal accessory retailing"/>
    <s v="2020-04-01"/>
    <x v="1"/>
    <s v="April    "/>
    <s v="4"/>
    <n v="21.2"/>
    <n v="-66.459999999999994"/>
  </r>
  <r>
    <x v="7"/>
    <s v="Footwear and other personal accessory retailing"/>
    <s v="2020-05-01"/>
    <x v="1"/>
    <s v="May      "/>
    <s v="5"/>
    <n v="58.4"/>
    <n v="-22.24"/>
  </r>
  <r>
    <x v="7"/>
    <s v="Footwear and other personal accessory retailing"/>
    <s v="2020-06-01"/>
    <x v="1"/>
    <s v="June     "/>
    <s v="6"/>
    <n v="64.900000000000006"/>
    <n v="-3.71"/>
  </r>
  <r>
    <x v="7"/>
    <s v="Footwear and other personal accessory retailing"/>
    <s v="2020-07-01"/>
    <x v="1"/>
    <s v="July     "/>
    <s v="7"/>
    <n v="82.2"/>
    <n v="15.61"/>
  </r>
  <r>
    <x v="7"/>
    <s v="Footwear and other personal accessory retailing"/>
    <s v="2020-08-01"/>
    <x v="1"/>
    <s v="August   "/>
    <s v="8"/>
    <n v="80.7"/>
    <n v="9.35"/>
  </r>
  <r>
    <x v="7"/>
    <s v="Footwear and other personal accessory retailing"/>
    <s v="2020-09-01"/>
    <x v="1"/>
    <s v="September"/>
    <s v="9"/>
    <n v="77.5"/>
    <n v="12.16"/>
  </r>
  <r>
    <x v="7"/>
    <s v="Footwear and other personal accessory retailing"/>
    <s v="2020-10-01"/>
    <x v="1"/>
    <s v="October  "/>
    <s v="10"/>
    <n v="83.2"/>
    <n v="14.13"/>
  </r>
  <r>
    <x v="7"/>
    <s v="Footwear and other personal accessory retailing"/>
    <s v="2020-11-01"/>
    <x v="1"/>
    <s v="November "/>
    <s v="11"/>
    <n v="90.3"/>
    <n v="16.22"/>
  </r>
  <r>
    <x v="7"/>
    <s v="Footwear and other personal accessory retailing"/>
    <s v="2020-12-01"/>
    <x v="1"/>
    <s v="December "/>
    <s v="12"/>
    <n v="144.69999999999999"/>
    <n v="15.76"/>
  </r>
  <r>
    <x v="7"/>
    <s v="Footwear and other personal accessory retailing"/>
    <s v="2021-01-01"/>
    <x v="2"/>
    <s v="January  "/>
    <s v="1"/>
    <n v="79.5"/>
    <n v="16.23"/>
  </r>
  <r>
    <x v="7"/>
    <s v="Footwear and other personal accessory retailing"/>
    <s v="2021-02-01"/>
    <x v="2"/>
    <s v="February "/>
    <s v="2"/>
    <n v="58.5"/>
    <n v="-5.03"/>
  </r>
  <r>
    <x v="7"/>
    <s v="Footwear and other personal accessory retailing"/>
    <s v="2021-03-01"/>
    <x v="2"/>
    <s v="March    "/>
    <s v="3"/>
    <n v="71.599999999999994"/>
    <n v="35.090000000000003"/>
  </r>
  <r>
    <x v="7"/>
    <s v="Footwear and other personal accessory retailing"/>
    <s v="2021-04-01"/>
    <x v="2"/>
    <s v="April    "/>
    <s v="4"/>
    <n v="65.599999999999994"/>
    <n v="209.43"/>
  </r>
  <r>
    <x v="7"/>
    <s v="Footwear and other personal accessory retailing"/>
    <s v="2021-05-01"/>
    <x v="2"/>
    <s v="May      "/>
    <s v="5"/>
    <n v="74.099999999999994"/>
    <n v="26.88"/>
  </r>
  <r>
    <x v="7"/>
    <s v="Footwear and other personal accessory retailing"/>
    <s v="2021-06-01"/>
    <x v="2"/>
    <s v="June     "/>
    <s v="6"/>
    <n v="71.8"/>
    <n v="10.63"/>
  </r>
  <r>
    <x v="7"/>
    <s v="Footwear and other personal accessory retailing"/>
    <s v="2021-07-01"/>
    <x v="2"/>
    <s v="July     "/>
    <s v="7"/>
    <n v="79.900000000000006"/>
    <n v="-2.8"/>
  </r>
  <r>
    <x v="7"/>
    <s v="Footwear and other personal accessory retailing"/>
    <s v="2021-08-01"/>
    <x v="2"/>
    <s v="August   "/>
    <s v="8"/>
    <n v="78.8"/>
    <n v="-2.35"/>
  </r>
  <r>
    <x v="7"/>
    <s v="Footwear and other personal accessory retailing"/>
    <s v="2021-09-01"/>
    <x v="2"/>
    <s v="September"/>
    <s v="9"/>
    <n v="85.1"/>
    <n v="9.81"/>
  </r>
  <r>
    <x v="7"/>
    <s v="Footwear and other personal accessory retailing"/>
    <s v="2021-10-01"/>
    <x v="2"/>
    <s v="October  "/>
    <s v="10"/>
    <n v="91.9"/>
    <n v="10.46"/>
  </r>
  <r>
    <x v="7"/>
    <s v="Footwear and other personal accessory retailing"/>
    <s v="2021-11-01"/>
    <x v="2"/>
    <s v="November "/>
    <s v="11"/>
    <n v="99.9"/>
    <n v="10.63"/>
  </r>
  <r>
    <x v="7"/>
    <s v="Footwear and other personal accessory retailing"/>
    <s v="2021-12-01"/>
    <x v="2"/>
    <s v="December "/>
    <s v="12"/>
    <n v="148.4"/>
    <n v="2.56"/>
  </r>
  <r>
    <x v="7"/>
    <s v="Footwear and other personal accessory retailing"/>
    <s v="2022-01-01"/>
    <x v="3"/>
    <s v="January  "/>
    <s v="1"/>
    <n v="79.400000000000006"/>
    <n v="-0.13"/>
  </r>
  <r>
    <x v="7"/>
    <s v="Footwear and other personal accessory retailing"/>
    <s v="2022-02-01"/>
    <x v="3"/>
    <s v="February "/>
    <s v="2"/>
    <n v="69.8"/>
    <n v="19.32"/>
  </r>
  <r>
    <x v="7"/>
    <s v="Footwear and other personal accessory retailing"/>
    <s v="2022-03-01"/>
    <x v="3"/>
    <s v="March    "/>
    <s v="3"/>
    <n v="72.099999999999994"/>
    <n v="0.7"/>
  </r>
  <r>
    <x v="7"/>
    <s v="Footwear and other personal accessory retailing"/>
    <s v="2022-04-01"/>
    <x v="3"/>
    <s v="April    "/>
    <s v="4"/>
    <n v="76.7"/>
    <n v="16.920000000000002"/>
  </r>
  <r>
    <x v="7"/>
    <s v="Footwear and other personal accessory retailing"/>
    <s v="2022-05-01"/>
    <x v="3"/>
    <s v="May      "/>
    <s v="5"/>
    <n v="88.2"/>
    <n v="19.03"/>
  </r>
  <r>
    <x v="7"/>
    <s v="Footwear and other personal accessory retailing"/>
    <s v="2022-06-01"/>
    <x v="3"/>
    <s v="June     "/>
    <s v="6"/>
    <n v="89.4"/>
    <n v="24.51"/>
  </r>
  <r>
    <x v="7"/>
    <s v="Footwear and other personal accessory retailing"/>
    <s v="2022-07-01"/>
    <x v="3"/>
    <s v="July     "/>
    <s v="7"/>
    <n v="89.6"/>
    <n v="12.14"/>
  </r>
  <r>
    <x v="7"/>
    <s v="Footwear and other personal accessory retailing"/>
    <s v="2022-08-01"/>
    <x v="3"/>
    <s v="August   "/>
    <s v="8"/>
    <n v="88.4"/>
    <n v="12.18"/>
  </r>
  <r>
    <x v="7"/>
    <s v="Footwear and other personal accessory retailing"/>
    <s v="2022-09-01"/>
    <x v="3"/>
    <s v="September"/>
    <s v="9"/>
    <n v="90.8"/>
    <n v="6.7"/>
  </r>
  <r>
    <x v="7"/>
    <s v="Footwear and other personal accessory retailing"/>
    <s v="2022-10-01"/>
    <x v="3"/>
    <s v="October  "/>
    <s v="10"/>
    <n v="97.2"/>
    <n v="5.77"/>
  </r>
  <r>
    <x v="7"/>
    <s v="Footwear and other personal accessory retailing"/>
    <s v="2022-11-01"/>
    <x v="3"/>
    <s v="November "/>
    <s v="11"/>
    <n v="111"/>
    <n v="11.11"/>
  </r>
  <r>
    <x v="7"/>
    <s v="Footwear and other personal accessory retailing"/>
    <s v="2022-12-01"/>
    <x v="3"/>
    <s v="December "/>
    <s v="12"/>
    <n v="156.80000000000001"/>
    <n v="5.66"/>
  </r>
  <r>
    <x v="7"/>
    <s v="Footwear and other personal accessory retailing"/>
    <s v="2023-01-01"/>
    <x v="4"/>
    <s v="January  "/>
    <s v="1"/>
    <n v="94.5"/>
    <n v="19.02"/>
  </r>
  <r>
    <x v="7"/>
    <s v="Footwear and other personal accessory retailing"/>
    <s v="2023-02-01"/>
    <x v="4"/>
    <s v="February "/>
    <s v="2"/>
    <n v="80.7"/>
    <n v="15.62"/>
  </r>
  <r>
    <x v="7"/>
    <s v="Footwear and other personal accessory retailing"/>
    <s v="2023-03-01"/>
    <x v="4"/>
    <s v="March    "/>
    <s v="3"/>
    <n v="82.9"/>
    <n v="14.98"/>
  </r>
  <r>
    <x v="7"/>
    <s v="Footwear and other personal accessory retailing"/>
    <s v="2023-04-01"/>
    <x v="4"/>
    <s v="April    "/>
    <s v="4"/>
    <n v="82.3"/>
    <n v="7.3"/>
  </r>
  <r>
    <x v="7"/>
    <s v="Footwear and other personal accessory retailing"/>
    <s v="2023-05-01"/>
    <x v="4"/>
    <s v="May      "/>
    <s v="5"/>
    <n v="90.3"/>
    <n v="2.38"/>
  </r>
  <r>
    <x v="7"/>
    <s v="Footwear and other personal accessory retailing"/>
    <s v="2023-06-01"/>
    <x v="4"/>
    <s v="June     "/>
    <s v="6"/>
    <n v="90.1"/>
    <n v="0.78"/>
  </r>
  <r>
    <x v="7"/>
    <s v="Footwear and other personal accessory retailing"/>
    <s v="2023-07-01"/>
    <x v="4"/>
    <s v="July     "/>
    <s v="7"/>
    <n v="86.8"/>
    <n v="-3.13"/>
  </r>
  <r>
    <x v="7"/>
    <s v="Footwear and other personal accessory retailing"/>
    <s v="2023-08-01"/>
    <x v="4"/>
    <s v="August   "/>
    <s v="8"/>
    <n v="89.7"/>
    <n v="1.47"/>
  </r>
  <r>
    <x v="7"/>
    <s v="Footwear and other personal accessory retailing"/>
    <s v="2023-09-01"/>
    <x v="4"/>
    <s v="September"/>
    <s v="9"/>
    <n v="89.6"/>
    <n v="-1.32"/>
  </r>
  <r>
    <x v="7"/>
    <s v="Footwear and other personal accessory retailing"/>
    <s v="2023-10-01"/>
    <x v="4"/>
    <s v="October  "/>
    <s v="10"/>
    <n v="96.6"/>
    <n v="-0.62"/>
  </r>
  <r>
    <x v="7"/>
    <s v="Footwear and other personal accessory retailing"/>
    <s v="2023-11-01"/>
    <x v="4"/>
    <s v="November "/>
    <s v="11"/>
    <n v="112.1"/>
    <n v="0.99"/>
  </r>
  <r>
    <x v="7"/>
    <s v="Footwear and other personal accessory retailing"/>
    <s v="2023-12-01"/>
    <x v="4"/>
    <s v="December "/>
    <s v="12"/>
    <n v="158.30000000000001"/>
    <n v="0.96"/>
  </r>
  <r>
    <x v="7"/>
    <s v="Footwear and other personal accessory retailing"/>
    <s v="2024-01-01"/>
    <x v="5"/>
    <s v="January  "/>
    <s v="1"/>
    <n v="89.3"/>
    <n v="-5.5"/>
  </r>
  <r>
    <x v="7"/>
    <s v="Footwear and other personal accessory retailing"/>
    <s v="2024-02-01"/>
    <x v="5"/>
    <s v="February "/>
    <s v="2"/>
    <n v="81"/>
    <n v="0.37"/>
  </r>
  <r>
    <x v="7"/>
    <s v="Footwear and other personal accessory retailing"/>
    <s v="2024-03-01"/>
    <x v="5"/>
    <s v="March    "/>
    <s v="3"/>
    <n v="84.8"/>
    <n v="2.29"/>
  </r>
  <r>
    <x v="7"/>
    <s v="Footwear and other personal accessory retailing"/>
    <s v="2024-04-01"/>
    <x v="5"/>
    <s v="April    "/>
    <s v="4"/>
    <n v="82.8"/>
    <n v="0.61"/>
  </r>
  <r>
    <x v="7"/>
    <s v="Footwear and other personal accessory retailing"/>
    <s v="2024-05-01"/>
    <x v="5"/>
    <s v="May      "/>
    <s v="5"/>
    <n v="91"/>
    <n v="0.78"/>
  </r>
  <r>
    <x v="7"/>
    <s v="Footwear and other personal accessory retailing"/>
    <s v="2024-06-01"/>
    <x v="5"/>
    <s v="June     "/>
    <s v="6"/>
    <n v="88.4"/>
    <n v="-1.89"/>
  </r>
  <r>
    <x v="7"/>
    <s v="Footwear and other personal accessory retailing"/>
    <s v="2024-07-01"/>
    <x v="5"/>
    <s v="July     "/>
    <s v="7"/>
    <n v="88.7"/>
    <n v="2.19"/>
  </r>
  <r>
    <x v="7"/>
    <s v="Footwear and other personal accessory retailing"/>
    <s v="2024-08-01"/>
    <x v="5"/>
    <s v="August   "/>
    <s v="8"/>
    <n v="90.9"/>
    <n v="1.34"/>
  </r>
  <r>
    <x v="7"/>
    <s v="Footwear and other personal accessory retailing"/>
    <s v="2024-09-01"/>
    <x v="5"/>
    <s v="September"/>
    <s v="9"/>
    <n v="93"/>
    <n v="3.79"/>
  </r>
  <r>
    <x v="7"/>
    <s v="Footwear and other personal accessory retailing"/>
    <s v="2024-10-01"/>
    <x v="5"/>
    <s v="October  "/>
    <s v="10"/>
    <n v="99.7"/>
    <n v="3.21"/>
  </r>
  <r>
    <x v="7"/>
    <s v="Footwear and other personal accessory retailing"/>
    <s v="2024-11-01"/>
    <x v="5"/>
    <s v="November "/>
    <s v="11"/>
    <n v="120.1"/>
    <n v="7.14"/>
  </r>
  <r>
    <x v="7"/>
    <s v="Footwear and other personal accessory retailing"/>
    <s v="2024-12-01"/>
    <x v="5"/>
    <s v="December "/>
    <s v="12"/>
    <n v="170.5"/>
    <n v="7.71"/>
  </r>
  <r>
    <x v="7"/>
    <s v="Footwear and other personal accessory retailing"/>
    <s v="2025-01-01"/>
    <x v="6"/>
    <s v="January  "/>
    <s v="1"/>
    <n v="99.6"/>
    <n v="11.53"/>
  </r>
  <r>
    <x v="7"/>
    <s v="Footwear and other personal accessory retailing"/>
    <s v="2025-02-01"/>
    <x v="6"/>
    <s v="February "/>
    <s v="2"/>
    <n v="90.9"/>
    <n v="12.22"/>
  </r>
  <r>
    <x v="7"/>
    <s v="Footwear and other personal accessory retailing"/>
    <s v="2025-03-01"/>
    <x v="6"/>
    <s v="March    "/>
    <s v="3"/>
    <n v="92.5"/>
    <n v="9.08"/>
  </r>
  <r>
    <x v="7"/>
    <s v="Footwear and other personal accessory retailing"/>
    <s v="2025-04-01"/>
    <x v="6"/>
    <s v="April    "/>
    <s v="4"/>
    <n v="89"/>
    <n v="7.49"/>
  </r>
  <r>
    <x v="7"/>
    <s v="Footwear and other personal accessory retailing"/>
    <s v="2025-05-01"/>
    <x v="6"/>
    <s v="May      "/>
    <s v="5"/>
    <n v="105.7"/>
    <n v="16.149999999999999"/>
  </r>
  <r>
    <x v="7"/>
    <s v="Footwear and other personal accessory retailing"/>
    <s v="2025-06-01"/>
    <x v="6"/>
    <s v="June     "/>
    <s v="6"/>
    <n v="100.7"/>
    <n v="13.91"/>
  </r>
  <r>
    <x v="7"/>
    <s v="Furniture, floor coverings, houseware and textile goods retailing"/>
    <s v="2019-01-01"/>
    <x v="0"/>
    <s v="January  "/>
    <s v="1"/>
    <n v="123.6"/>
    <m/>
  </r>
  <r>
    <x v="7"/>
    <s v="Furniture, floor coverings, houseware and textile goods retailing"/>
    <s v="2019-02-01"/>
    <x v="0"/>
    <s v="February "/>
    <s v="2"/>
    <n v="103.6"/>
    <m/>
  </r>
  <r>
    <x v="7"/>
    <s v="Furniture, floor coverings, houseware and textile goods retailing"/>
    <s v="2019-03-01"/>
    <x v="0"/>
    <s v="March    "/>
    <s v="3"/>
    <n v="115.8"/>
    <m/>
  </r>
  <r>
    <x v="7"/>
    <s v="Furniture, floor coverings, houseware and textile goods retailing"/>
    <s v="2019-04-01"/>
    <x v="0"/>
    <s v="April    "/>
    <s v="4"/>
    <n v="106.1"/>
    <m/>
  </r>
  <r>
    <x v="7"/>
    <s v="Furniture, floor coverings, houseware and textile goods retailing"/>
    <s v="2019-05-01"/>
    <x v="0"/>
    <s v="May      "/>
    <s v="5"/>
    <n v="118.3"/>
    <m/>
  </r>
  <r>
    <x v="7"/>
    <s v="Furniture, floor coverings, houseware and textile goods retailing"/>
    <s v="2019-06-01"/>
    <x v="0"/>
    <s v="June     "/>
    <s v="6"/>
    <n v="125.5"/>
    <m/>
  </r>
  <r>
    <x v="7"/>
    <s v="Furniture, floor coverings, houseware and textile goods retailing"/>
    <s v="2019-07-01"/>
    <x v="0"/>
    <s v="July     "/>
    <s v="7"/>
    <n v="127.2"/>
    <m/>
  </r>
  <r>
    <x v="7"/>
    <s v="Furniture, floor coverings, houseware and textile goods retailing"/>
    <s v="2019-08-01"/>
    <x v="0"/>
    <s v="August   "/>
    <s v="8"/>
    <n v="125.9"/>
    <m/>
  </r>
  <r>
    <x v="7"/>
    <s v="Furniture, floor coverings, houseware and textile goods retailing"/>
    <s v="2019-09-01"/>
    <x v="0"/>
    <s v="September"/>
    <s v="9"/>
    <n v="116.9"/>
    <m/>
  </r>
  <r>
    <x v="7"/>
    <s v="Furniture, floor coverings, houseware and textile goods retailing"/>
    <s v="2019-10-01"/>
    <x v="0"/>
    <s v="October  "/>
    <s v="10"/>
    <n v="134.5"/>
    <m/>
  </r>
  <r>
    <x v="7"/>
    <s v="Furniture, floor coverings, houseware and textile goods retailing"/>
    <s v="2019-11-01"/>
    <x v="0"/>
    <s v="November "/>
    <s v="11"/>
    <n v="132.1"/>
    <m/>
  </r>
  <r>
    <x v="7"/>
    <s v="Furniture, floor coverings, houseware and textile goods retailing"/>
    <s v="2019-12-01"/>
    <x v="0"/>
    <s v="December "/>
    <s v="12"/>
    <n v="145.80000000000001"/>
    <m/>
  </r>
  <r>
    <x v="7"/>
    <s v="Furniture, floor coverings, houseware and textile goods retailing"/>
    <s v="2020-01-01"/>
    <x v="1"/>
    <s v="January  "/>
    <s v="1"/>
    <n v="120.1"/>
    <n v="-2.83"/>
  </r>
  <r>
    <x v="7"/>
    <s v="Furniture, floor coverings, houseware and textile goods retailing"/>
    <s v="2020-02-01"/>
    <x v="1"/>
    <s v="February "/>
    <s v="2"/>
    <n v="109.4"/>
    <n v="5.6"/>
  </r>
  <r>
    <x v="7"/>
    <s v="Furniture, floor coverings, houseware and textile goods retailing"/>
    <s v="2020-03-01"/>
    <x v="1"/>
    <s v="March    "/>
    <s v="3"/>
    <n v="110.4"/>
    <n v="-4.66"/>
  </r>
  <r>
    <x v="7"/>
    <s v="Furniture, floor coverings, houseware and textile goods retailing"/>
    <s v="2020-04-01"/>
    <x v="1"/>
    <s v="April    "/>
    <s v="4"/>
    <n v="100.5"/>
    <n v="-5.28"/>
  </r>
  <r>
    <x v="7"/>
    <s v="Furniture, floor coverings, houseware and textile goods retailing"/>
    <s v="2020-05-01"/>
    <x v="1"/>
    <s v="May      "/>
    <s v="5"/>
    <n v="153.4"/>
    <n v="29.67"/>
  </r>
  <r>
    <x v="7"/>
    <s v="Furniture, floor coverings, houseware and textile goods retailing"/>
    <s v="2020-06-01"/>
    <x v="1"/>
    <s v="June     "/>
    <s v="6"/>
    <n v="166.7"/>
    <n v="32.83"/>
  </r>
  <r>
    <x v="7"/>
    <s v="Furniture, floor coverings, houseware and textile goods retailing"/>
    <s v="2020-07-01"/>
    <x v="1"/>
    <s v="July     "/>
    <s v="7"/>
    <n v="178.6"/>
    <n v="40.409999999999997"/>
  </r>
  <r>
    <x v="7"/>
    <s v="Furniture, floor coverings, houseware and textile goods retailing"/>
    <s v="2020-08-01"/>
    <x v="1"/>
    <s v="August   "/>
    <s v="8"/>
    <n v="175.4"/>
    <n v="39.32"/>
  </r>
  <r>
    <x v="7"/>
    <s v="Furniture, floor coverings, houseware and textile goods retailing"/>
    <s v="2020-09-01"/>
    <x v="1"/>
    <s v="September"/>
    <s v="9"/>
    <n v="166.2"/>
    <n v="42.17"/>
  </r>
  <r>
    <x v="7"/>
    <s v="Furniture, floor coverings, houseware and textile goods retailing"/>
    <s v="2020-10-01"/>
    <x v="1"/>
    <s v="October  "/>
    <s v="10"/>
    <n v="173.9"/>
    <n v="29.29"/>
  </r>
  <r>
    <x v="7"/>
    <s v="Furniture, floor coverings, houseware and textile goods retailing"/>
    <s v="2020-11-01"/>
    <x v="1"/>
    <s v="November "/>
    <s v="11"/>
    <n v="176.7"/>
    <n v="33.76"/>
  </r>
  <r>
    <x v="7"/>
    <s v="Furniture, floor coverings, houseware and textile goods retailing"/>
    <s v="2020-12-01"/>
    <x v="1"/>
    <s v="December "/>
    <s v="12"/>
    <n v="191.3"/>
    <n v="31.21"/>
  </r>
  <r>
    <x v="7"/>
    <s v="Furniture, floor coverings, houseware and textile goods retailing"/>
    <s v="2021-01-01"/>
    <x v="2"/>
    <s v="January  "/>
    <s v="1"/>
    <n v="160.4"/>
    <n v="33.56"/>
  </r>
  <r>
    <x v="7"/>
    <s v="Furniture, floor coverings, houseware and textile goods retailing"/>
    <s v="2021-02-01"/>
    <x v="2"/>
    <s v="February "/>
    <s v="2"/>
    <n v="137.9"/>
    <n v="26.05"/>
  </r>
  <r>
    <x v="7"/>
    <s v="Furniture, floor coverings, houseware and textile goods retailing"/>
    <s v="2021-03-01"/>
    <x v="2"/>
    <s v="March    "/>
    <s v="3"/>
    <n v="164.3"/>
    <n v="48.82"/>
  </r>
  <r>
    <x v="7"/>
    <s v="Furniture, floor coverings, houseware and textile goods retailing"/>
    <s v="2021-04-01"/>
    <x v="2"/>
    <s v="April    "/>
    <s v="4"/>
    <n v="153.19999999999999"/>
    <n v="52.44"/>
  </r>
  <r>
    <x v="7"/>
    <s v="Furniture, floor coverings, houseware and textile goods retailing"/>
    <s v="2021-05-01"/>
    <x v="2"/>
    <s v="May      "/>
    <s v="5"/>
    <n v="172.9"/>
    <n v="12.71"/>
  </r>
  <r>
    <x v="7"/>
    <s v="Furniture, floor coverings, houseware and textile goods retailing"/>
    <s v="2021-06-01"/>
    <x v="2"/>
    <s v="June     "/>
    <s v="6"/>
    <n v="175.7"/>
    <n v="5.4"/>
  </r>
  <r>
    <x v="7"/>
    <s v="Furniture, floor coverings, houseware and textile goods retailing"/>
    <s v="2021-07-01"/>
    <x v="2"/>
    <s v="July     "/>
    <s v="7"/>
    <n v="182.6"/>
    <n v="2.2400000000000002"/>
  </r>
  <r>
    <x v="7"/>
    <s v="Furniture, floor coverings, houseware and textile goods retailing"/>
    <s v="2021-08-01"/>
    <x v="2"/>
    <s v="August   "/>
    <s v="8"/>
    <n v="186.4"/>
    <n v="6.27"/>
  </r>
  <r>
    <x v="7"/>
    <s v="Furniture, floor coverings, houseware and textile goods retailing"/>
    <s v="2021-09-01"/>
    <x v="2"/>
    <s v="September"/>
    <s v="9"/>
    <n v="179.3"/>
    <n v="7.88"/>
  </r>
  <r>
    <x v="7"/>
    <s v="Furniture, floor coverings, houseware and textile goods retailing"/>
    <s v="2021-10-01"/>
    <x v="2"/>
    <s v="October  "/>
    <s v="10"/>
    <n v="182.2"/>
    <n v="4.7699999999999996"/>
  </r>
  <r>
    <x v="7"/>
    <s v="Furniture, floor coverings, houseware and textile goods retailing"/>
    <s v="2021-11-01"/>
    <x v="2"/>
    <s v="November "/>
    <s v="11"/>
    <n v="195.1"/>
    <n v="10.41"/>
  </r>
  <r>
    <x v="7"/>
    <s v="Furniture, floor coverings, houseware and textile goods retailing"/>
    <s v="2021-12-01"/>
    <x v="2"/>
    <s v="December "/>
    <s v="12"/>
    <n v="203.1"/>
    <n v="6.17"/>
  </r>
  <r>
    <x v="7"/>
    <s v="Furniture, floor coverings, houseware and textile goods retailing"/>
    <s v="2022-01-01"/>
    <x v="3"/>
    <s v="January  "/>
    <s v="1"/>
    <n v="160.5"/>
    <n v="0.06"/>
  </r>
  <r>
    <x v="7"/>
    <s v="Furniture, floor coverings, houseware and textile goods retailing"/>
    <s v="2022-02-01"/>
    <x v="3"/>
    <s v="February "/>
    <s v="2"/>
    <n v="141.9"/>
    <n v="2.9"/>
  </r>
  <r>
    <x v="7"/>
    <s v="Furniture, floor coverings, houseware and textile goods retailing"/>
    <s v="2022-03-01"/>
    <x v="3"/>
    <s v="March    "/>
    <s v="3"/>
    <n v="169.8"/>
    <n v="3.35"/>
  </r>
  <r>
    <x v="7"/>
    <s v="Furniture, floor coverings, houseware and textile goods retailing"/>
    <s v="2022-04-01"/>
    <x v="3"/>
    <s v="April    "/>
    <s v="4"/>
    <n v="148.9"/>
    <n v="-2.81"/>
  </r>
  <r>
    <x v="7"/>
    <s v="Furniture, floor coverings, houseware and textile goods retailing"/>
    <s v="2022-05-01"/>
    <x v="3"/>
    <s v="May      "/>
    <s v="5"/>
    <n v="172.2"/>
    <n v="-0.4"/>
  </r>
  <r>
    <x v="7"/>
    <s v="Furniture, floor coverings, houseware and textile goods retailing"/>
    <s v="2022-06-01"/>
    <x v="3"/>
    <s v="June     "/>
    <s v="6"/>
    <n v="177.8"/>
    <n v="1.2"/>
  </r>
  <r>
    <x v="7"/>
    <s v="Furniture, floor coverings, houseware and textile goods retailing"/>
    <s v="2022-07-01"/>
    <x v="3"/>
    <s v="July     "/>
    <s v="7"/>
    <n v="178.6"/>
    <n v="-2.19"/>
  </r>
  <r>
    <x v="7"/>
    <s v="Furniture, floor coverings, houseware and textile goods retailing"/>
    <s v="2022-08-01"/>
    <x v="3"/>
    <s v="August   "/>
    <s v="8"/>
    <n v="184.3"/>
    <n v="-1.1299999999999999"/>
  </r>
  <r>
    <x v="7"/>
    <s v="Furniture, floor coverings, houseware and textile goods retailing"/>
    <s v="2022-09-01"/>
    <x v="3"/>
    <s v="September"/>
    <s v="9"/>
    <n v="170.4"/>
    <n v="-4.96"/>
  </r>
  <r>
    <x v="7"/>
    <s v="Furniture, floor coverings, houseware and textile goods retailing"/>
    <s v="2022-10-01"/>
    <x v="3"/>
    <s v="October  "/>
    <s v="10"/>
    <n v="188.1"/>
    <n v="3.24"/>
  </r>
  <r>
    <x v="7"/>
    <s v="Furniture, floor coverings, houseware and textile goods retailing"/>
    <s v="2022-11-01"/>
    <x v="3"/>
    <s v="November "/>
    <s v="11"/>
    <n v="213.6"/>
    <n v="9.48"/>
  </r>
  <r>
    <x v="7"/>
    <s v="Furniture, floor coverings, houseware and textile goods retailing"/>
    <s v="2022-12-01"/>
    <x v="3"/>
    <s v="December "/>
    <s v="12"/>
    <n v="215.1"/>
    <n v="5.91"/>
  </r>
  <r>
    <x v="7"/>
    <s v="Furniture, floor coverings, houseware and textile goods retailing"/>
    <s v="2023-01-01"/>
    <x v="4"/>
    <s v="January  "/>
    <s v="1"/>
    <n v="171.4"/>
    <n v="6.79"/>
  </r>
  <r>
    <x v="7"/>
    <s v="Furniture, floor coverings, houseware and textile goods retailing"/>
    <s v="2023-02-01"/>
    <x v="4"/>
    <s v="February "/>
    <s v="2"/>
    <n v="149.80000000000001"/>
    <n v="5.57"/>
  </r>
  <r>
    <x v="7"/>
    <s v="Furniture, floor coverings, houseware and textile goods retailing"/>
    <s v="2023-03-01"/>
    <x v="4"/>
    <s v="March    "/>
    <s v="3"/>
    <n v="166.3"/>
    <n v="-2.06"/>
  </r>
  <r>
    <x v="7"/>
    <s v="Furniture, floor coverings, houseware and textile goods retailing"/>
    <s v="2023-04-01"/>
    <x v="4"/>
    <s v="April    "/>
    <s v="4"/>
    <n v="160.80000000000001"/>
    <n v="7.99"/>
  </r>
  <r>
    <x v="7"/>
    <s v="Furniture, floor coverings, houseware and textile goods retailing"/>
    <s v="2023-05-01"/>
    <x v="4"/>
    <s v="May      "/>
    <s v="5"/>
    <n v="169"/>
    <n v="-1.86"/>
  </r>
  <r>
    <x v="7"/>
    <s v="Furniture, floor coverings, houseware and textile goods retailing"/>
    <s v="2023-06-01"/>
    <x v="4"/>
    <s v="June     "/>
    <s v="6"/>
    <n v="171.7"/>
    <n v="-3.43"/>
  </r>
  <r>
    <x v="7"/>
    <s v="Furniture, floor coverings, houseware and textile goods retailing"/>
    <s v="2023-07-01"/>
    <x v="4"/>
    <s v="July     "/>
    <s v="7"/>
    <n v="165.9"/>
    <n v="-7.11"/>
  </r>
  <r>
    <x v="7"/>
    <s v="Furniture, floor coverings, houseware and textile goods retailing"/>
    <s v="2023-08-01"/>
    <x v="4"/>
    <s v="August   "/>
    <s v="8"/>
    <n v="169.3"/>
    <n v="-8.14"/>
  </r>
  <r>
    <x v="7"/>
    <s v="Furniture, floor coverings, houseware and textile goods retailing"/>
    <s v="2023-09-01"/>
    <x v="4"/>
    <s v="September"/>
    <s v="9"/>
    <n v="161.69999999999999"/>
    <n v="-5.1100000000000003"/>
  </r>
  <r>
    <x v="7"/>
    <s v="Furniture, floor coverings, houseware and textile goods retailing"/>
    <s v="2023-10-01"/>
    <x v="4"/>
    <s v="October  "/>
    <s v="10"/>
    <n v="176.4"/>
    <n v="-6.22"/>
  </r>
  <r>
    <x v="7"/>
    <s v="Furniture, floor coverings, houseware and textile goods retailing"/>
    <s v="2023-11-01"/>
    <x v="4"/>
    <s v="November "/>
    <s v="11"/>
    <n v="205.3"/>
    <n v="-3.89"/>
  </r>
  <r>
    <x v="7"/>
    <s v="Furniture, floor coverings, houseware and textile goods retailing"/>
    <s v="2023-12-01"/>
    <x v="4"/>
    <s v="December "/>
    <s v="12"/>
    <n v="200.7"/>
    <n v="-6.69"/>
  </r>
  <r>
    <x v="7"/>
    <s v="Furniture, floor coverings, houseware and textile goods retailing"/>
    <s v="2024-01-01"/>
    <x v="5"/>
    <s v="January  "/>
    <s v="1"/>
    <n v="165.6"/>
    <n v="-3.38"/>
  </r>
  <r>
    <x v="7"/>
    <s v="Furniture, floor coverings, houseware and textile goods retailing"/>
    <s v="2024-02-01"/>
    <x v="5"/>
    <s v="February "/>
    <s v="2"/>
    <n v="152.69999999999999"/>
    <n v="1.94"/>
  </r>
  <r>
    <x v="7"/>
    <s v="Furniture, floor coverings, houseware and textile goods retailing"/>
    <s v="2024-03-01"/>
    <x v="5"/>
    <s v="March    "/>
    <s v="3"/>
    <n v="161.30000000000001"/>
    <n v="-3.01"/>
  </r>
  <r>
    <x v="7"/>
    <s v="Furniture, floor coverings, houseware and textile goods retailing"/>
    <s v="2024-04-01"/>
    <x v="5"/>
    <s v="April    "/>
    <s v="4"/>
    <n v="158.4"/>
    <n v="-1.49"/>
  </r>
  <r>
    <x v="7"/>
    <s v="Furniture, floor coverings, houseware and textile goods retailing"/>
    <s v="2024-05-01"/>
    <x v="5"/>
    <s v="May      "/>
    <s v="5"/>
    <n v="183.9"/>
    <n v="8.82"/>
  </r>
  <r>
    <x v="7"/>
    <s v="Furniture, floor coverings, houseware and textile goods retailing"/>
    <s v="2024-06-01"/>
    <x v="5"/>
    <s v="June     "/>
    <s v="6"/>
    <n v="198.9"/>
    <n v="15.84"/>
  </r>
  <r>
    <x v="7"/>
    <s v="Furniture, floor coverings, houseware and textile goods retailing"/>
    <s v="2024-07-01"/>
    <x v="5"/>
    <s v="July     "/>
    <s v="7"/>
    <n v="190.5"/>
    <n v="14.83"/>
  </r>
  <r>
    <x v="7"/>
    <s v="Furniture, floor coverings, houseware and textile goods retailing"/>
    <s v="2024-08-01"/>
    <x v="5"/>
    <s v="August   "/>
    <s v="8"/>
    <n v="190.4"/>
    <n v="12.46"/>
  </r>
  <r>
    <x v="7"/>
    <s v="Furniture, floor coverings, houseware and textile goods retailing"/>
    <s v="2024-09-01"/>
    <x v="5"/>
    <s v="September"/>
    <s v="9"/>
    <n v="175.1"/>
    <n v="8.2899999999999991"/>
  </r>
  <r>
    <x v="7"/>
    <s v="Furniture, floor coverings, houseware and textile goods retailing"/>
    <s v="2024-10-01"/>
    <x v="5"/>
    <s v="October  "/>
    <s v="10"/>
    <n v="196.6"/>
    <n v="11.45"/>
  </r>
  <r>
    <x v="7"/>
    <s v="Furniture, floor coverings, houseware and textile goods retailing"/>
    <s v="2024-11-01"/>
    <x v="5"/>
    <s v="November "/>
    <s v="11"/>
    <n v="236.1"/>
    <n v="15"/>
  </r>
  <r>
    <x v="7"/>
    <s v="Furniture, floor coverings, houseware and textile goods retailing"/>
    <s v="2024-12-01"/>
    <x v="5"/>
    <s v="December "/>
    <s v="12"/>
    <n v="237.3"/>
    <n v="18.239999999999998"/>
  </r>
  <r>
    <x v="7"/>
    <s v="Furniture, floor coverings, houseware and textile goods retailing"/>
    <s v="2025-01-01"/>
    <x v="6"/>
    <s v="January  "/>
    <s v="1"/>
    <n v="184.7"/>
    <n v="11.53"/>
  </r>
  <r>
    <x v="7"/>
    <s v="Furniture, floor coverings, houseware and textile goods retailing"/>
    <s v="2025-02-01"/>
    <x v="6"/>
    <s v="February "/>
    <s v="2"/>
    <n v="158.69999999999999"/>
    <n v="3.93"/>
  </r>
  <r>
    <x v="7"/>
    <s v="Furniture, floor coverings, houseware and textile goods retailing"/>
    <s v="2025-03-01"/>
    <x v="6"/>
    <s v="March    "/>
    <s v="3"/>
    <n v="181.2"/>
    <n v="12.34"/>
  </r>
  <r>
    <x v="7"/>
    <s v="Furniture, floor coverings, houseware and textile goods retailing"/>
    <s v="2025-04-01"/>
    <x v="6"/>
    <s v="April    "/>
    <s v="4"/>
    <n v="167"/>
    <n v="5.43"/>
  </r>
  <r>
    <x v="7"/>
    <s v="Furniture, floor coverings, houseware and textile goods retailing"/>
    <s v="2025-05-01"/>
    <x v="6"/>
    <s v="May      "/>
    <s v="5"/>
    <n v="188.5"/>
    <n v="2.5"/>
  </r>
  <r>
    <x v="7"/>
    <s v="Furniture, floor coverings, houseware and textile goods retailing"/>
    <s v="2025-06-01"/>
    <x v="6"/>
    <s v="June     "/>
    <s v="6"/>
    <n v="211.5"/>
    <n v="6.33"/>
  </r>
  <r>
    <x v="7"/>
    <s v="Hardware, building and garden supplies retailing"/>
    <s v="2019-01-01"/>
    <x v="0"/>
    <s v="January  "/>
    <s v="1"/>
    <n v="163.5"/>
    <m/>
  </r>
  <r>
    <x v="7"/>
    <s v="Hardware, building and garden supplies retailing"/>
    <s v="2019-02-01"/>
    <x v="0"/>
    <s v="February "/>
    <s v="2"/>
    <n v="148.80000000000001"/>
    <m/>
  </r>
  <r>
    <x v="7"/>
    <s v="Hardware, building and garden supplies retailing"/>
    <s v="2019-03-01"/>
    <x v="0"/>
    <s v="March    "/>
    <s v="3"/>
    <n v="161.9"/>
    <m/>
  </r>
  <r>
    <x v="7"/>
    <s v="Hardware, building and garden supplies retailing"/>
    <s v="2019-04-01"/>
    <x v="0"/>
    <s v="April    "/>
    <s v="4"/>
    <n v="153.30000000000001"/>
    <m/>
  </r>
  <r>
    <x v="7"/>
    <s v="Hardware, building and garden supplies retailing"/>
    <s v="2019-05-01"/>
    <x v="0"/>
    <s v="May      "/>
    <s v="5"/>
    <n v="150.9"/>
    <m/>
  </r>
  <r>
    <x v="7"/>
    <s v="Hardware, building and garden supplies retailing"/>
    <s v="2019-06-01"/>
    <x v="0"/>
    <s v="June     "/>
    <s v="6"/>
    <n v="151.19999999999999"/>
    <m/>
  </r>
  <r>
    <x v="7"/>
    <s v="Hardware, building and garden supplies retailing"/>
    <s v="2019-07-01"/>
    <x v="0"/>
    <s v="July     "/>
    <s v="7"/>
    <n v="152.80000000000001"/>
    <m/>
  </r>
  <r>
    <x v="7"/>
    <s v="Hardware, building and garden supplies retailing"/>
    <s v="2019-08-01"/>
    <x v="0"/>
    <s v="August   "/>
    <s v="8"/>
    <n v="160.19999999999999"/>
    <m/>
  </r>
  <r>
    <x v="7"/>
    <s v="Hardware, building and garden supplies retailing"/>
    <s v="2019-09-01"/>
    <x v="0"/>
    <s v="September"/>
    <s v="9"/>
    <n v="174.3"/>
    <m/>
  </r>
  <r>
    <x v="7"/>
    <s v="Hardware, building and garden supplies retailing"/>
    <s v="2019-10-01"/>
    <x v="0"/>
    <s v="October  "/>
    <s v="10"/>
    <n v="187.5"/>
    <m/>
  </r>
  <r>
    <x v="7"/>
    <s v="Hardware, building and garden supplies retailing"/>
    <s v="2019-11-01"/>
    <x v="0"/>
    <s v="November "/>
    <s v="11"/>
    <n v="189.5"/>
    <m/>
  </r>
  <r>
    <x v="7"/>
    <s v="Hardware, building and garden supplies retailing"/>
    <s v="2019-12-01"/>
    <x v="0"/>
    <s v="December "/>
    <s v="12"/>
    <n v="197.3"/>
    <m/>
  </r>
  <r>
    <x v="7"/>
    <s v="Hardware, building and garden supplies retailing"/>
    <s v="2020-01-01"/>
    <x v="1"/>
    <s v="January  "/>
    <s v="1"/>
    <n v="169.2"/>
    <n v="3.49"/>
  </r>
  <r>
    <x v="7"/>
    <s v="Hardware, building and garden supplies retailing"/>
    <s v="2020-02-01"/>
    <x v="1"/>
    <s v="February "/>
    <s v="2"/>
    <n v="161.5"/>
    <n v="8.5299999999999994"/>
  </r>
  <r>
    <x v="7"/>
    <s v="Hardware, building and garden supplies retailing"/>
    <s v="2020-03-01"/>
    <x v="1"/>
    <s v="March    "/>
    <s v="3"/>
    <n v="187.2"/>
    <n v="15.63"/>
  </r>
  <r>
    <x v="7"/>
    <s v="Hardware, building and garden supplies retailing"/>
    <s v="2020-04-01"/>
    <x v="1"/>
    <s v="April    "/>
    <s v="4"/>
    <n v="196.9"/>
    <n v="28.44"/>
  </r>
  <r>
    <x v="7"/>
    <s v="Hardware, building and garden supplies retailing"/>
    <s v="2020-05-01"/>
    <x v="1"/>
    <s v="May      "/>
    <s v="5"/>
    <n v="211.9"/>
    <n v="40.42"/>
  </r>
  <r>
    <x v="7"/>
    <s v="Hardware, building and garden supplies retailing"/>
    <s v="2020-06-01"/>
    <x v="1"/>
    <s v="June     "/>
    <s v="6"/>
    <n v="192.4"/>
    <n v="27.25"/>
  </r>
  <r>
    <x v="7"/>
    <s v="Hardware, building and garden supplies retailing"/>
    <s v="2020-07-01"/>
    <x v="1"/>
    <s v="July     "/>
    <s v="7"/>
    <n v="193.3"/>
    <n v="26.51"/>
  </r>
  <r>
    <x v="7"/>
    <s v="Hardware, building and garden supplies retailing"/>
    <s v="2020-08-01"/>
    <x v="1"/>
    <s v="August   "/>
    <s v="8"/>
    <n v="192.5"/>
    <n v="20.16"/>
  </r>
  <r>
    <x v="7"/>
    <s v="Hardware, building and garden supplies retailing"/>
    <s v="2020-09-01"/>
    <x v="1"/>
    <s v="September"/>
    <s v="9"/>
    <n v="201.7"/>
    <n v="15.72"/>
  </r>
  <r>
    <x v="7"/>
    <s v="Hardware, building and garden supplies retailing"/>
    <s v="2020-10-01"/>
    <x v="1"/>
    <s v="October  "/>
    <s v="10"/>
    <n v="228.6"/>
    <n v="21.92"/>
  </r>
  <r>
    <x v="7"/>
    <s v="Hardware, building and garden supplies retailing"/>
    <s v="2020-11-01"/>
    <x v="1"/>
    <s v="November "/>
    <s v="11"/>
    <n v="212.9"/>
    <n v="12.35"/>
  </r>
  <r>
    <x v="7"/>
    <s v="Hardware, building and garden supplies retailing"/>
    <s v="2020-12-01"/>
    <x v="1"/>
    <s v="December "/>
    <s v="12"/>
    <n v="235.9"/>
    <n v="19.559999999999999"/>
  </r>
  <r>
    <x v="7"/>
    <s v="Hardware, building and garden supplies retailing"/>
    <s v="2021-01-01"/>
    <x v="2"/>
    <s v="January  "/>
    <s v="1"/>
    <n v="201.6"/>
    <n v="19.149999999999999"/>
  </r>
  <r>
    <x v="7"/>
    <s v="Hardware, building and garden supplies retailing"/>
    <s v="2021-02-01"/>
    <x v="2"/>
    <s v="February "/>
    <s v="2"/>
    <n v="174"/>
    <n v="7.74"/>
  </r>
  <r>
    <x v="7"/>
    <s v="Hardware, building and garden supplies retailing"/>
    <s v="2021-03-01"/>
    <x v="2"/>
    <s v="March    "/>
    <s v="3"/>
    <n v="195.4"/>
    <n v="4.38"/>
  </r>
  <r>
    <x v="7"/>
    <s v="Hardware, building and garden supplies retailing"/>
    <s v="2021-04-01"/>
    <x v="2"/>
    <s v="April    "/>
    <s v="4"/>
    <n v="189.4"/>
    <n v="-3.81"/>
  </r>
  <r>
    <x v="7"/>
    <s v="Hardware, building and garden supplies retailing"/>
    <s v="2021-05-01"/>
    <x v="2"/>
    <s v="May      "/>
    <s v="5"/>
    <n v="187.1"/>
    <n v="-11.7"/>
  </r>
  <r>
    <x v="7"/>
    <s v="Hardware, building and garden supplies retailing"/>
    <s v="2021-06-01"/>
    <x v="2"/>
    <s v="June     "/>
    <s v="6"/>
    <n v="184.3"/>
    <n v="-4.21"/>
  </r>
  <r>
    <x v="7"/>
    <s v="Hardware, building and garden supplies retailing"/>
    <s v="2021-07-01"/>
    <x v="2"/>
    <s v="July     "/>
    <s v="7"/>
    <n v="190.6"/>
    <n v="-1.4"/>
  </r>
  <r>
    <x v="7"/>
    <s v="Hardware, building and garden supplies retailing"/>
    <s v="2021-08-01"/>
    <x v="2"/>
    <s v="August   "/>
    <s v="8"/>
    <n v="201.7"/>
    <n v="4.78"/>
  </r>
  <r>
    <x v="7"/>
    <s v="Hardware, building and garden supplies retailing"/>
    <s v="2021-09-01"/>
    <x v="2"/>
    <s v="September"/>
    <s v="9"/>
    <n v="221.7"/>
    <n v="9.92"/>
  </r>
  <r>
    <x v="7"/>
    <s v="Hardware, building and garden supplies retailing"/>
    <s v="2021-10-01"/>
    <x v="2"/>
    <s v="October  "/>
    <s v="10"/>
    <n v="239.6"/>
    <n v="4.8099999999999996"/>
  </r>
  <r>
    <x v="7"/>
    <s v="Hardware, building and garden supplies retailing"/>
    <s v="2021-11-01"/>
    <x v="2"/>
    <s v="November "/>
    <s v="11"/>
    <n v="243.1"/>
    <n v="14.19"/>
  </r>
  <r>
    <x v="7"/>
    <s v="Hardware, building and garden supplies retailing"/>
    <s v="2021-12-01"/>
    <x v="2"/>
    <s v="December "/>
    <s v="12"/>
    <n v="255.8"/>
    <n v="8.44"/>
  </r>
  <r>
    <x v="7"/>
    <s v="Hardware, building and garden supplies retailing"/>
    <s v="2022-01-01"/>
    <x v="3"/>
    <s v="January  "/>
    <s v="1"/>
    <n v="219.7"/>
    <n v="8.98"/>
  </r>
  <r>
    <x v="7"/>
    <s v="Hardware, building and garden supplies retailing"/>
    <s v="2022-02-01"/>
    <x v="3"/>
    <s v="February "/>
    <s v="2"/>
    <n v="190.6"/>
    <n v="9.5399999999999991"/>
  </r>
  <r>
    <x v="7"/>
    <s v="Hardware, building and garden supplies retailing"/>
    <s v="2022-03-01"/>
    <x v="3"/>
    <s v="March    "/>
    <s v="3"/>
    <n v="219.9"/>
    <n v="12.54"/>
  </r>
  <r>
    <x v="7"/>
    <s v="Hardware, building and garden supplies retailing"/>
    <s v="2022-04-01"/>
    <x v="3"/>
    <s v="April    "/>
    <s v="4"/>
    <n v="215.8"/>
    <n v="13.94"/>
  </r>
  <r>
    <x v="7"/>
    <s v="Hardware, building and garden supplies retailing"/>
    <s v="2022-05-01"/>
    <x v="3"/>
    <s v="May      "/>
    <s v="5"/>
    <n v="208.7"/>
    <n v="11.54"/>
  </r>
  <r>
    <x v="7"/>
    <s v="Hardware, building and garden supplies retailing"/>
    <s v="2022-06-01"/>
    <x v="3"/>
    <s v="June     "/>
    <s v="6"/>
    <n v="195.9"/>
    <n v="6.29"/>
  </r>
  <r>
    <x v="7"/>
    <s v="Hardware, building and garden supplies retailing"/>
    <s v="2022-07-01"/>
    <x v="3"/>
    <s v="July     "/>
    <s v="7"/>
    <n v="208.1"/>
    <n v="9.18"/>
  </r>
  <r>
    <x v="7"/>
    <s v="Hardware, building and garden supplies retailing"/>
    <s v="2022-08-01"/>
    <x v="3"/>
    <s v="August   "/>
    <s v="8"/>
    <n v="224.1"/>
    <n v="11.11"/>
  </r>
  <r>
    <x v="7"/>
    <s v="Hardware, building and garden supplies retailing"/>
    <s v="2022-09-01"/>
    <x v="3"/>
    <s v="September"/>
    <s v="9"/>
    <n v="241.6"/>
    <n v="8.98"/>
  </r>
  <r>
    <x v="7"/>
    <s v="Hardware, building and garden supplies retailing"/>
    <s v="2022-10-01"/>
    <x v="3"/>
    <s v="October  "/>
    <s v="10"/>
    <n v="262.10000000000002"/>
    <n v="9.39"/>
  </r>
  <r>
    <x v="7"/>
    <s v="Hardware, building and garden supplies retailing"/>
    <s v="2022-11-01"/>
    <x v="3"/>
    <s v="November "/>
    <s v="11"/>
    <n v="257.2"/>
    <n v="5.8"/>
  </r>
  <r>
    <x v="7"/>
    <s v="Hardware, building and garden supplies retailing"/>
    <s v="2022-12-01"/>
    <x v="3"/>
    <s v="December "/>
    <s v="12"/>
    <n v="269"/>
    <n v="5.16"/>
  </r>
  <r>
    <x v="7"/>
    <s v="Hardware, building and garden supplies retailing"/>
    <s v="2023-01-01"/>
    <x v="4"/>
    <s v="January  "/>
    <s v="1"/>
    <n v="226.9"/>
    <n v="3.28"/>
  </r>
  <r>
    <x v="7"/>
    <s v="Hardware, building and garden supplies retailing"/>
    <s v="2023-02-01"/>
    <x v="4"/>
    <s v="February "/>
    <s v="2"/>
    <n v="205.7"/>
    <n v="7.92"/>
  </r>
  <r>
    <x v="7"/>
    <s v="Hardware, building and garden supplies retailing"/>
    <s v="2023-03-01"/>
    <x v="4"/>
    <s v="March    "/>
    <s v="3"/>
    <n v="226.1"/>
    <n v="2.82"/>
  </r>
  <r>
    <x v="7"/>
    <s v="Hardware, building and garden supplies retailing"/>
    <s v="2023-04-01"/>
    <x v="4"/>
    <s v="April    "/>
    <s v="4"/>
    <n v="209.9"/>
    <n v="-2.73"/>
  </r>
  <r>
    <x v="7"/>
    <s v="Hardware, building and garden supplies retailing"/>
    <s v="2023-05-01"/>
    <x v="4"/>
    <s v="May      "/>
    <s v="5"/>
    <n v="214.5"/>
    <n v="2.78"/>
  </r>
  <r>
    <x v="7"/>
    <s v="Hardware, building and garden supplies retailing"/>
    <s v="2023-06-01"/>
    <x v="4"/>
    <s v="June     "/>
    <s v="6"/>
    <n v="203.6"/>
    <n v="3.93"/>
  </r>
  <r>
    <x v="7"/>
    <s v="Hardware, building and garden supplies retailing"/>
    <s v="2023-07-01"/>
    <x v="4"/>
    <s v="July     "/>
    <s v="7"/>
    <n v="211.1"/>
    <n v="1.44"/>
  </r>
  <r>
    <x v="7"/>
    <s v="Hardware, building and garden supplies retailing"/>
    <s v="2023-08-01"/>
    <x v="4"/>
    <s v="August   "/>
    <s v="8"/>
    <n v="232.7"/>
    <n v="3.84"/>
  </r>
  <r>
    <x v="7"/>
    <s v="Hardware, building and garden supplies retailing"/>
    <s v="2023-09-01"/>
    <x v="4"/>
    <s v="September"/>
    <s v="9"/>
    <n v="247.5"/>
    <n v="2.44"/>
  </r>
  <r>
    <x v="7"/>
    <s v="Hardware, building and garden supplies retailing"/>
    <s v="2023-10-01"/>
    <x v="4"/>
    <s v="October  "/>
    <s v="10"/>
    <n v="271.7"/>
    <n v="3.66"/>
  </r>
  <r>
    <x v="7"/>
    <s v="Hardware, building and garden supplies retailing"/>
    <s v="2023-11-01"/>
    <x v="4"/>
    <s v="November "/>
    <s v="11"/>
    <n v="263.3"/>
    <n v="2.37"/>
  </r>
  <r>
    <x v="7"/>
    <s v="Hardware, building and garden supplies retailing"/>
    <s v="2023-12-01"/>
    <x v="4"/>
    <s v="December "/>
    <s v="12"/>
    <n v="270.39999999999998"/>
    <n v="0.52"/>
  </r>
  <r>
    <x v="7"/>
    <s v="Hardware, building and garden supplies retailing"/>
    <s v="2024-01-01"/>
    <x v="5"/>
    <s v="January  "/>
    <s v="1"/>
    <n v="236.8"/>
    <n v="4.3600000000000003"/>
  </r>
  <r>
    <x v="7"/>
    <s v="Hardware, building and garden supplies retailing"/>
    <s v="2024-02-01"/>
    <x v="5"/>
    <s v="February "/>
    <s v="2"/>
    <n v="215.7"/>
    <n v="4.8600000000000003"/>
  </r>
  <r>
    <x v="7"/>
    <s v="Hardware, building and garden supplies retailing"/>
    <s v="2024-03-01"/>
    <x v="5"/>
    <s v="March    "/>
    <s v="3"/>
    <n v="228.5"/>
    <n v="1.06"/>
  </r>
  <r>
    <x v="7"/>
    <s v="Hardware, building and garden supplies retailing"/>
    <s v="2024-04-01"/>
    <x v="5"/>
    <s v="April    "/>
    <s v="4"/>
    <n v="228.4"/>
    <n v="8.81"/>
  </r>
  <r>
    <x v="7"/>
    <s v="Hardware, building and garden supplies retailing"/>
    <s v="2024-05-01"/>
    <x v="5"/>
    <s v="May      "/>
    <s v="5"/>
    <n v="230.7"/>
    <n v="7.55"/>
  </r>
  <r>
    <x v="7"/>
    <s v="Hardware, building and garden supplies retailing"/>
    <s v="2024-06-01"/>
    <x v="5"/>
    <s v="June     "/>
    <s v="6"/>
    <n v="222.4"/>
    <n v="9.23"/>
  </r>
  <r>
    <x v="7"/>
    <s v="Hardware, building and garden supplies retailing"/>
    <s v="2024-07-01"/>
    <x v="5"/>
    <s v="July     "/>
    <s v="7"/>
    <n v="219.8"/>
    <n v="4.12"/>
  </r>
  <r>
    <x v="7"/>
    <s v="Hardware, building and garden supplies retailing"/>
    <s v="2024-08-01"/>
    <x v="5"/>
    <s v="August   "/>
    <s v="8"/>
    <n v="228.1"/>
    <n v="-1.98"/>
  </r>
  <r>
    <x v="7"/>
    <s v="Hardware, building and garden supplies retailing"/>
    <s v="2024-09-01"/>
    <x v="5"/>
    <s v="September"/>
    <s v="9"/>
    <n v="271.39999999999998"/>
    <n v="9.66"/>
  </r>
  <r>
    <x v="7"/>
    <s v="Hardware, building and garden supplies retailing"/>
    <s v="2024-10-01"/>
    <x v="5"/>
    <s v="October  "/>
    <s v="10"/>
    <n v="286.39999999999998"/>
    <n v="5.41"/>
  </r>
  <r>
    <x v="7"/>
    <s v="Hardware, building and garden supplies retailing"/>
    <s v="2024-11-01"/>
    <x v="5"/>
    <s v="November "/>
    <s v="11"/>
    <n v="283.5"/>
    <n v="7.67"/>
  </r>
  <r>
    <x v="7"/>
    <s v="Hardware, building and garden supplies retailing"/>
    <s v="2024-12-01"/>
    <x v="5"/>
    <s v="December "/>
    <s v="12"/>
    <n v="287.89999999999998"/>
    <n v="6.47"/>
  </r>
  <r>
    <x v="7"/>
    <s v="Hardware, building and garden supplies retailing"/>
    <s v="2025-01-01"/>
    <x v="6"/>
    <s v="January  "/>
    <s v="1"/>
    <n v="249.4"/>
    <n v="5.32"/>
  </r>
  <r>
    <x v="7"/>
    <s v="Hardware, building and garden supplies retailing"/>
    <s v="2025-02-01"/>
    <x v="6"/>
    <s v="February "/>
    <s v="2"/>
    <n v="228.5"/>
    <n v="5.93"/>
  </r>
  <r>
    <x v="7"/>
    <s v="Hardware, building and garden supplies retailing"/>
    <s v="2025-03-01"/>
    <x v="6"/>
    <s v="March    "/>
    <s v="3"/>
    <n v="250"/>
    <n v="9.41"/>
  </r>
  <r>
    <x v="7"/>
    <s v="Hardware, building and garden supplies retailing"/>
    <s v="2025-04-01"/>
    <x v="6"/>
    <s v="April    "/>
    <s v="4"/>
    <n v="240.4"/>
    <n v="5.25"/>
  </r>
  <r>
    <x v="7"/>
    <s v="Hardware, building and garden supplies retailing"/>
    <s v="2025-05-01"/>
    <x v="6"/>
    <s v="May      "/>
    <s v="5"/>
    <n v="246.8"/>
    <n v="6.98"/>
  </r>
  <r>
    <x v="7"/>
    <s v="Hardware, building and garden supplies retailing"/>
    <s v="2025-06-01"/>
    <x v="6"/>
    <s v="June     "/>
    <s v="6"/>
    <n v="231.5"/>
    <n v="4.09"/>
  </r>
  <r>
    <x v="7"/>
    <s v="Liquor retailing"/>
    <s v="2019-01-01"/>
    <x v="0"/>
    <s v="January  "/>
    <s v="1"/>
    <n v="128.4"/>
    <m/>
  </r>
  <r>
    <x v="7"/>
    <s v="Liquor retailing"/>
    <s v="2019-02-01"/>
    <x v="0"/>
    <s v="February "/>
    <s v="2"/>
    <n v="113.4"/>
    <m/>
  </r>
  <r>
    <x v="7"/>
    <s v="Liquor retailing"/>
    <s v="2019-03-01"/>
    <x v="0"/>
    <s v="March    "/>
    <s v="3"/>
    <n v="128.6"/>
    <m/>
  </r>
  <r>
    <x v="7"/>
    <s v="Liquor retailing"/>
    <s v="2019-04-01"/>
    <x v="0"/>
    <s v="April    "/>
    <s v="4"/>
    <n v="123.3"/>
    <m/>
  </r>
  <r>
    <x v="7"/>
    <s v="Liquor retailing"/>
    <s v="2019-05-01"/>
    <x v="0"/>
    <s v="May      "/>
    <s v="5"/>
    <n v="121"/>
    <m/>
  </r>
  <r>
    <x v="7"/>
    <s v="Liquor retailing"/>
    <s v="2019-06-01"/>
    <x v="0"/>
    <s v="June     "/>
    <s v="6"/>
    <n v="114.2"/>
    <m/>
  </r>
  <r>
    <x v="7"/>
    <s v="Liquor retailing"/>
    <s v="2019-07-01"/>
    <x v="0"/>
    <s v="July     "/>
    <s v="7"/>
    <n v="119.7"/>
    <m/>
  </r>
  <r>
    <x v="7"/>
    <s v="Liquor retailing"/>
    <s v="2019-08-01"/>
    <x v="0"/>
    <s v="August   "/>
    <s v="8"/>
    <n v="127.2"/>
    <m/>
  </r>
  <r>
    <x v="7"/>
    <s v="Liquor retailing"/>
    <s v="2019-09-01"/>
    <x v="0"/>
    <s v="September"/>
    <s v="9"/>
    <n v="130"/>
    <m/>
  </r>
  <r>
    <x v="7"/>
    <s v="Liquor retailing"/>
    <s v="2019-10-01"/>
    <x v="0"/>
    <s v="October  "/>
    <s v="10"/>
    <n v="131.19999999999999"/>
    <m/>
  </r>
  <r>
    <x v="7"/>
    <s v="Liquor retailing"/>
    <s v="2019-11-01"/>
    <x v="0"/>
    <s v="November "/>
    <s v="11"/>
    <n v="143.6"/>
    <m/>
  </r>
  <r>
    <x v="7"/>
    <s v="Liquor retailing"/>
    <s v="2019-12-01"/>
    <x v="0"/>
    <s v="December "/>
    <s v="12"/>
    <n v="195.8"/>
    <m/>
  </r>
  <r>
    <x v="7"/>
    <s v="Liquor retailing"/>
    <s v="2020-01-01"/>
    <x v="1"/>
    <s v="January  "/>
    <s v="1"/>
    <n v="134.6"/>
    <n v="4.83"/>
  </r>
  <r>
    <x v="7"/>
    <s v="Liquor retailing"/>
    <s v="2020-02-01"/>
    <x v="1"/>
    <s v="February "/>
    <s v="2"/>
    <n v="127.5"/>
    <n v="12.43"/>
  </r>
  <r>
    <x v="7"/>
    <s v="Liquor retailing"/>
    <s v="2020-03-01"/>
    <x v="1"/>
    <s v="March    "/>
    <s v="3"/>
    <n v="168.7"/>
    <n v="31.18"/>
  </r>
  <r>
    <x v="7"/>
    <s v="Liquor retailing"/>
    <s v="2020-04-01"/>
    <x v="1"/>
    <s v="April    "/>
    <s v="4"/>
    <n v="146.9"/>
    <n v="19.14"/>
  </r>
  <r>
    <x v="7"/>
    <s v="Liquor retailing"/>
    <s v="2020-05-01"/>
    <x v="1"/>
    <s v="May      "/>
    <s v="5"/>
    <n v="182.9"/>
    <n v="51.16"/>
  </r>
  <r>
    <x v="7"/>
    <s v="Liquor retailing"/>
    <s v="2020-06-01"/>
    <x v="1"/>
    <s v="June     "/>
    <s v="6"/>
    <n v="162.80000000000001"/>
    <n v="42.56"/>
  </r>
  <r>
    <x v="7"/>
    <s v="Liquor retailing"/>
    <s v="2020-07-01"/>
    <x v="1"/>
    <s v="July     "/>
    <s v="7"/>
    <n v="169.1"/>
    <n v="41.27"/>
  </r>
  <r>
    <x v="7"/>
    <s v="Liquor retailing"/>
    <s v="2020-08-01"/>
    <x v="1"/>
    <s v="August   "/>
    <s v="8"/>
    <n v="167.2"/>
    <n v="31.45"/>
  </r>
  <r>
    <x v="7"/>
    <s v="Liquor retailing"/>
    <s v="2020-09-01"/>
    <x v="1"/>
    <s v="September"/>
    <s v="9"/>
    <n v="169.9"/>
    <n v="30.69"/>
  </r>
  <r>
    <x v="7"/>
    <s v="Liquor retailing"/>
    <s v="2020-10-01"/>
    <x v="1"/>
    <s v="October  "/>
    <s v="10"/>
    <n v="182.4"/>
    <n v="39.020000000000003"/>
  </r>
  <r>
    <x v="7"/>
    <s v="Liquor retailing"/>
    <s v="2020-11-01"/>
    <x v="1"/>
    <s v="November "/>
    <s v="11"/>
    <n v="174.2"/>
    <n v="21.31"/>
  </r>
  <r>
    <x v="7"/>
    <s v="Liquor retailing"/>
    <s v="2020-12-01"/>
    <x v="1"/>
    <s v="December "/>
    <s v="12"/>
    <n v="267.10000000000002"/>
    <n v="36.409999999999997"/>
  </r>
  <r>
    <x v="7"/>
    <s v="Liquor retailing"/>
    <s v="2021-01-01"/>
    <x v="2"/>
    <s v="January  "/>
    <s v="1"/>
    <n v="191.6"/>
    <n v="42.35"/>
  </r>
  <r>
    <x v="7"/>
    <s v="Liquor retailing"/>
    <s v="2021-02-01"/>
    <x v="2"/>
    <s v="February "/>
    <s v="2"/>
    <n v="155.19999999999999"/>
    <n v="21.73"/>
  </r>
  <r>
    <x v="7"/>
    <s v="Liquor retailing"/>
    <s v="2021-03-01"/>
    <x v="2"/>
    <s v="March    "/>
    <s v="3"/>
    <n v="177.5"/>
    <n v="5.22"/>
  </r>
  <r>
    <x v="7"/>
    <s v="Liquor retailing"/>
    <s v="2021-04-01"/>
    <x v="2"/>
    <s v="April    "/>
    <s v="4"/>
    <n v="173"/>
    <n v="17.77"/>
  </r>
  <r>
    <x v="7"/>
    <s v="Liquor retailing"/>
    <s v="2021-05-01"/>
    <x v="2"/>
    <s v="May      "/>
    <s v="5"/>
    <n v="160.30000000000001"/>
    <n v="-12.36"/>
  </r>
  <r>
    <x v="7"/>
    <s v="Liquor retailing"/>
    <s v="2021-06-01"/>
    <x v="2"/>
    <s v="June     "/>
    <s v="6"/>
    <n v="153.19999999999999"/>
    <n v="-5.9"/>
  </r>
  <r>
    <x v="7"/>
    <s v="Liquor retailing"/>
    <s v="2021-07-01"/>
    <x v="2"/>
    <s v="July     "/>
    <s v="7"/>
    <n v="166.4"/>
    <n v="-1.6"/>
  </r>
  <r>
    <x v="7"/>
    <s v="Liquor retailing"/>
    <s v="2021-08-01"/>
    <x v="2"/>
    <s v="August   "/>
    <s v="8"/>
    <n v="154"/>
    <n v="-7.89"/>
  </r>
  <r>
    <x v="7"/>
    <s v="Liquor retailing"/>
    <s v="2021-09-01"/>
    <x v="2"/>
    <s v="September"/>
    <s v="9"/>
    <n v="166"/>
    <n v="-2.2999999999999998"/>
  </r>
  <r>
    <x v="7"/>
    <s v="Liquor retailing"/>
    <s v="2021-10-01"/>
    <x v="2"/>
    <s v="October  "/>
    <s v="10"/>
    <n v="168"/>
    <n v="-7.89"/>
  </r>
  <r>
    <x v="7"/>
    <s v="Liquor retailing"/>
    <s v="2021-11-01"/>
    <x v="2"/>
    <s v="November "/>
    <s v="11"/>
    <n v="174.4"/>
    <n v="0.11"/>
  </r>
  <r>
    <x v="7"/>
    <s v="Liquor retailing"/>
    <s v="2021-12-01"/>
    <x v="2"/>
    <s v="December "/>
    <s v="12"/>
    <n v="275.3"/>
    <n v="3.07"/>
  </r>
  <r>
    <x v="7"/>
    <s v="Liquor retailing"/>
    <s v="2022-01-01"/>
    <x v="3"/>
    <s v="January  "/>
    <s v="1"/>
    <n v="179.2"/>
    <n v="-6.47"/>
  </r>
  <r>
    <x v="7"/>
    <s v="Liquor retailing"/>
    <s v="2022-02-01"/>
    <x v="3"/>
    <s v="February "/>
    <s v="2"/>
    <n v="158.69999999999999"/>
    <n v="2.2599999999999998"/>
  </r>
  <r>
    <x v="7"/>
    <s v="Liquor retailing"/>
    <s v="2022-03-01"/>
    <x v="3"/>
    <s v="March    "/>
    <s v="3"/>
    <n v="179.1"/>
    <n v="0.9"/>
  </r>
  <r>
    <x v="7"/>
    <s v="Liquor retailing"/>
    <s v="2022-04-01"/>
    <x v="3"/>
    <s v="April    "/>
    <s v="4"/>
    <n v="185.9"/>
    <n v="7.46"/>
  </r>
  <r>
    <x v="7"/>
    <s v="Liquor retailing"/>
    <s v="2022-05-01"/>
    <x v="3"/>
    <s v="May      "/>
    <s v="5"/>
    <n v="162"/>
    <n v="1.06"/>
  </r>
  <r>
    <x v="7"/>
    <s v="Liquor retailing"/>
    <s v="2022-06-01"/>
    <x v="3"/>
    <s v="June     "/>
    <s v="6"/>
    <n v="158.9"/>
    <n v="3.72"/>
  </r>
  <r>
    <x v="7"/>
    <s v="Liquor retailing"/>
    <s v="2022-07-01"/>
    <x v="3"/>
    <s v="July     "/>
    <s v="7"/>
    <n v="161.80000000000001"/>
    <n v="-2.76"/>
  </r>
  <r>
    <x v="7"/>
    <s v="Liquor retailing"/>
    <s v="2022-08-01"/>
    <x v="3"/>
    <s v="August   "/>
    <s v="8"/>
    <n v="160.19999999999999"/>
    <n v="4.03"/>
  </r>
  <r>
    <x v="7"/>
    <s v="Liquor retailing"/>
    <s v="2022-09-01"/>
    <x v="3"/>
    <s v="September"/>
    <s v="9"/>
    <n v="174.2"/>
    <n v="4.9400000000000004"/>
  </r>
  <r>
    <x v="7"/>
    <s v="Liquor retailing"/>
    <s v="2022-10-01"/>
    <x v="3"/>
    <s v="October  "/>
    <s v="10"/>
    <n v="171.4"/>
    <n v="2.02"/>
  </r>
  <r>
    <x v="7"/>
    <s v="Liquor retailing"/>
    <s v="2022-11-01"/>
    <x v="3"/>
    <s v="November "/>
    <s v="11"/>
    <n v="175.1"/>
    <n v="0.4"/>
  </r>
  <r>
    <x v="7"/>
    <s v="Liquor retailing"/>
    <s v="2022-12-01"/>
    <x v="3"/>
    <s v="December "/>
    <s v="12"/>
    <n v="269.2"/>
    <n v="-2.2200000000000002"/>
  </r>
  <r>
    <x v="7"/>
    <s v="Liquor retailing"/>
    <s v="2023-01-01"/>
    <x v="4"/>
    <s v="January  "/>
    <s v="1"/>
    <n v="169.6"/>
    <n v="-5.36"/>
  </r>
  <r>
    <x v="7"/>
    <s v="Liquor retailing"/>
    <s v="2023-02-01"/>
    <x v="4"/>
    <s v="February "/>
    <s v="2"/>
    <n v="156"/>
    <n v="-1.7"/>
  </r>
  <r>
    <x v="7"/>
    <s v="Liquor retailing"/>
    <s v="2023-03-01"/>
    <x v="4"/>
    <s v="March    "/>
    <s v="3"/>
    <n v="177"/>
    <n v="-1.17"/>
  </r>
  <r>
    <x v="7"/>
    <s v="Liquor retailing"/>
    <s v="2023-04-01"/>
    <x v="4"/>
    <s v="April    "/>
    <s v="4"/>
    <n v="171.9"/>
    <n v="-7.53"/>
  </r>
  <r>
    <x v="7"/>
    <s v="Liquor retailing"/>
    <s v="2023-05-01"/>
    <x v="4"/>
    <s v="May      "/>
    <s v="5"/>
    <n v="157.6"/>
    <n v="-2.72"/>
  </r>
  <r>
    <x v="7"/>
    <s v="Liquor retailing"/>
    <s v="2023-06-01"/>
    <x v="4"/>
    <s v="June     "/>
    <s v="6"/>
    <n v="155.19999999999999"/>
    <n v="-2.33"/>
  </r>
  <r>
    <x v="7"/>
    <s v="Liquor retailing"/>
    <s v="2023-07-01"/>
    <x v="4"/>
    <s v="July     "/>
    <s v="7"/>
    <n v="154.9"/>
    <n v="-4.26"/>
  </r>
  <r>
    <x v="7"/>
    <s v="Liquor retailing"/>
    <s v="2023-08-01"/>
    <x v="4"/>
    <s v="August   "/>
    <s v="8"/>
    <n v="159.6"/>
    <n v="-0.37"/>
  </r>
  <r>
    <x v="7"/>
    <s v="Liquor retailing"/>
    <s v="2023-09-01"/>
    <x v="4"/>
    <s v="September"/>
    <s v="9"/>
    <n v="177.3"/>
    <n v="1.78"/>
  </r>
  <r>
    <x v="7"/>
    <s v="Liquor retailing"/>
    <s v="2023-10-01"/>
    <x v="4"/>
    <s v="October  "/>
    <s v="10"/>
    <n v="173.8"/>
    <n v="1.4"/>
  </r>
  <r>
    <x v="7"/>
    <s v="Liquor retailing"/>
    <s v="2023-11-01"/>
    <x v="4"/>
    <s v="November "/>
    <s v="11"/>
    <n v="184.6"/>
    <n v="5.43"/>
  </r>
  <r>
    <x v="7"/>
    <s v="Liquor retailing"/>
    <s v="2023-12-01"/>
    <x v="4"/>
    <s v="December "/>
    <s v="12"/>
    <n v="272.8"/>
    <n v="1.34"/>
  </r>
  <r>
    <x v="7"/>
    <s v="Liquor retailing"/>
    <s v="2024-01-01"/>
    <x v="5"/>
    <s v="January  "/>
    <s v="1"/>
    <n v="169.8"/>
    <n v="0.12"/>
  </r>
  <r>
    <x v="7"/>
    <s v="Liquor retailing"/>
    <s v="2024-02-01"/>
    <x v="5"/>
    <s v="February "/>
    <s v="2"/>
    <n v="165.6"/>
    <n v="6.15"/>
  </r>
  <r>
    <x v="7"/>
    <s v="Liquor retailing"/>
    <s v="2024-03-01"/>
    <x v="5"/>
    <s v="March    "/>
    <s v="3"/>
    <n v="189.1"/>
    <n v="6.84"/>
  </r>
  <r>
    <x v="7"/>
    <s v="Liquor retailing"/>
    <s v="2024-04-01"/>
    <x v="5"/>
    <s v="April    "/>
    <s v="4"/>
    <n v="165.4"/>
    <n v="-3.78"/>
  </r>
  <r>
    <x v="7"/>
    <s v="Liquor retailing"/>
    <s v="2024-05-01"/>
    <x v="5"/>
    <s v="May      "/>
    <s v="5"/>
    <n v="169.3"/>
    <n v="7.42"/>
  </r>
  <r>
    <x v="7"/>
    <s v="Liquor retailing"/>
    <s v="2024-06-01"/>
    <x v="5"/>
    <s v="June     "/>
    <s v="6"/>
    <n v="159.6"/>
    <n v="2.84"/>
  </r>
  <r>
    <x v="7"/>
    <s v="Liquor retailing"/>
    <s v="2024-07-01"/>
    <x v="5"/>
    <s v="July     "/>
    <s v="7"/>
    <n v="161.80000000000001"/>
    <n v="4.45"/>
  </r>
  <r>
    <x v="7"/>
    <s v="Liquor retailing"/>
    <s v="2024-08-01"/>
    <x v="5"/>
    <s v="August   "/>
    <s v="8"/>
    <n v="173.6"/>
    <n v="8.77"/>
  </r>
  <r>
    <x v="7"/>
    <s v="Liquor retailing"/>
    <s v="2024-09-01"/>
    <x v="5"/>
    <s v="September"/>
    <s v="9"/>
    <n v="172.9"/>
    <n v="-2.48"/>
  </r>
  <r>
    <x v="7"/>
    <s v="Liquor retailing"/>
    <s v="2024-10-01"/>
    <x v="5"/>
    <s v="October  "/>
    <s v="10"/>
    <n v="174.3"/>
    <n v="0.28999999999999998"/>
  </r>
  <r>
    <x v="7"/>
    <s v="Liquor retailing"/>
    <s v="2024-11-01"/>
    <x v="5"/>
    <s v="November "/>
    <s v="11"/>
    <n v="189.5"/>
    <n v="2.65"/>
  </r>
  <r>
    <x v="7"/>
    <s v="Liquor retailing"/>
    <s v="2024-12-01"/>
    <x v="5"/>
    <s v="December "/>
    <s v="12"/>
    <n v="273.5"/>
    <n v="0.26"/>
  </r>
  <r>
    <x v="7"/>
    <s v="Liquor retailing"/>
    <s v="2025-01-01"/>
    <x v="6"/>
    <s v="January  "/>
    <s v="1"/>
    <n v="173.2"/>
    <n v="2"/>
  </r>
  <r>
    <x v="7"/>
    <s v="Liquor retailing"/>
    <s v="2025-02-01"/>
    <x v="6"/>
    <s v="February "/>
    <s v="2"/>
    <n v="159.5"/>
    <n v="-3.68"/>
  </r>
  <r>
    <x v="7"/>
    <s v="Liquor retailing"/>
    <s v="2025-03-01"/>
    <x v="6"/>
    <s v="March    "/>
    <s v="3"/>
    <n v="179.4"/>
    <n v="-5.13"/>
  </r>
  <r>
    <x v="7"/>
    <s v="Liquor retailing"/>
    <s v="2025-04-01"/>
    <x v="6"/>
    <s v="April    "/>
    <s v="4"/>
    <n v="176.9"/>
    <n v="6.95"/>
  </r>
  <r>
    <x v="7"/>
    <s v="Liquor retailing"/>
    <s v="2025-05-01"/>
    <x v="6"/>
    <s v="May      "/>
    <s v="5"/>
    <n v="174.2"/>
    <n v="2.89"/>
  </r>
  <r>
    <x v="7"/>
    <s v="Liquor retailing"/>
    <s v="2025-06-01"/>
    <x v="6"/>
    <s v="June     "/>
    <s v="6"/>
    <n v="156.5"/>
    <n v="-1.94"/>
  </r>
  <r>
    <x v="7"/>
    <s v="Newspaper and book retailing"/>
    <s v="2019-01-01"/>
    <x v="0"/>
    <s v="January  "/>
    <s v="1"/>
    <n v="41.3"/>
    <m/>
  </r>
  <r>
    <x v="7"/>
    <s v="Newspaper and book retailing"/>
    <s v="2019-02-01"/>
    <x v="0"/>
    <s v="February "/>
    <s v="2"/>
    <n v="33.200000000000003"/>
    <m/>
  </r>
  <r>
    <x v="7"/>
    <s v="Newspaper and book retailing"/>
    <s v="2019-03-01"/>
    <x v="0"/>
    <s v="March    "/>
    <s v="3"/>
    <n v="30.4"/>
    <m/>
  </r>
  <r>
    <x v="7"/>
    <s v="Newspaper and book retailing"/>
    <s v="2019-04-01"/>
    <x v="0"/>
    <s v="April    "/>
    <s v="4"/>
    <n v="28.5"/>
    <m/>
  </r>
  <r>
    <x v="7"/>
    <s v="Newspaper and book retailing"/>
    <s v="2019-05-01"/>
    <x v="0"/>
    <s v="May      "/>
    <s v="5"/>
    <n v="29.7"/>
    <m/>
  </r>
  <r>
    <x v="7"/>
    <s v="Newspaper and book retailing"/>
    <s v="2019-06-01"/>
    <x v="0"/>
    <s v="June     "/>
    <s v="6"/>
    <n v="28.5"/>
    <m/>
  </r>
  <r>
    <x v="7"/>
    <s v="Newspaper and book retailing"/>
    <s v="2019-07-01"/>
    <x v="0"/>
    <s v="July     "/>
    <s v="7"/>
    <n v="31.2"/>
    <m/>
  </r>
  <r>
    <x v="7"/>
    <s v="Newspaper and book retailing"/>
    <s v="2019-08-01"/>
    <x v="0"/>
    <s v="August   "/>
    <s v="8"/>
    <n v="31.4"/>
    <m/>
  </r>
  <r>
    <x v="7"/>
    <s v="Newspaper and book retailing"/>
    <s v="2019-09-01"/>
    <x v="0"/>
    <s v="September"/>
    <s v="9"/>
    <n v="30.3"/>
    <m/>
  </r>
  <r>
    <x v="7"/>
    <s v="Newspaper and book retailing"/>
    <s v="2019-10-01"/>
    <x v="0"/>
    <s v="October  "/>
    <s v="10"/>
    <n v="30.5"/>
    <m/>
  </r>
  <r>
    <x v="7"/>
    <s v="Newspaper and book retailing"/>
    <s v="2019-11-01"/>
    <x v="0"/>
    <s v="November "/>
    <s v="11"/>
    <n v="33.799999999999997"/>
    <m/>
  </r>
  <r>
    <x v="7"/>
    <s v="Newspaper and book retailing"/>
    <s v="2019-12-01"/>
    <x v="0"/>
    <s v="December "/>
    <s v="12"/>
    <n v="43.9"/>
    <m/>
  </r>
  <r>
    <x v="7"/>
    <s v="Newspaper and book retailing"/>
    <s v="2020-01-01"/>
    <x v="1"/>
    <s v="January  "/>
    <s v="1"/>
    <n v="30.3"/>
    <n v="-26.63"/>
  </r>
  <r>
    <x v="7"/>
    <s v="Newspaper and book retailing"/>
    <s v="2020-02-01"/>
    <x v="1"/>
    <s v="February "/>
    <s v="2"/>
    <n v="27.4"/>
    <n v="-17.47"/>
  </r>
  <r>
    <x v="7"/>
    <s v="Newspaper and book retailing"/>
    <s v="2020-03-01"/>
    <x v="1"/>
    <s v="March    "/>
    <s v="3"/>
    <n v="25.6"/>
    <n v="-15.79"/>
  </r>
  <r>
    <x v="7"/>
    <s v="Newspaper and book retailing"/>
    <s v="2020-04-01"/>
    <x v="1"/>
    <s v="April    "/>
    <s v="4"/>
    <n v="20.5"/>
    <n v="-28.07"/>
  </r>
  <r>
    <x v="7"/>
    <s v="Newspaper and book retailing"/>
    <s v="2020-05-01"/>
    <x v="1"/>
    <s v="May      "/>
    <s v="5"/>
    <n v="25.3"/>
    <n v="-14.81"/>
  </r>
  <r>
    <x v="7"/>
    <s v="Newspaper and book retailing"/>
    <s v="2020-06-01"/>
    <x v="1"/>
    <s v="June     "/>
    <s v="6"/>
    <n v="25.6"/>
    <n v="-10.18"/>
  </r>
  <r>
    <x v="7"/>
    <s v="Newspaper and book retailing"/>
    <s v="2020-07-01"/>
    <x v="1"/>
    <s v="July     "/>
    <s v="7"/>
    <n v="28.1"/>
    <n v="-9.94"/>
  </r>
  <r>
    <x v="7"/>
    <s v="Newspaper and book retailing"/>
    <s v="2020-08-01"/>
    <x v="1"/>
    <s v="August   "/>
    <s v="8"/>
    <n v="28.7"/>
    <n v="-8.6"/>
  </r>
  <r>
    <x v="7"/>
    <s v="Newspaper and book retailing"/>
    <s v="2020-09-01"/>
    <x v="1"/>
    <s v="September"/>
    <s v="9"/>
    <n v="31.2"/>
    <n v="2.97"/>
  </r>
  <r>
    <x v="7"/>
    <s v="Newspaper and book retailing"/>
    <s v="2020-10-01"/>
    <x v="1"/>
    <s v="October  "/>
    <s v="10"/>
    <n v="32.700000000000003"/>
    <n v="7.21"/>
  </r>
  <r>
    <x v="7"/>
    <s v="Newspaper and book retailing"/>
    <s v="2020-11-01"/>
    <x v="1"/>
    <s v="November "/>
    <s v="11"/>
    <n v="33.799999999999997"/>
    <n v="0"/>
  </r>
  <r>
    <x v="7"/>
    <s v="Newspaper and book retailing"/>
    <s v="2020-12-01"/>
    <x v="1"/>
    <s v="December "/>
    <s v="12"/>
    <n v="48.7"/>
    <n v="10.93"/>
  </r>
  <r>
    <x v="7"/>
    <s v="Newspaper and book retailing"/>
    <s v="2021-01-01"/>
    <x v="2"/>
    <s v="January  "/>
    <s v="1"/>
    <n v="31.9"/>
    <n v="5.28"/>
  </r>
  <r>
    <x v="7"/>
    <s v="Newspaper and book retailing"/>
    <s v="2021-02-01"/>
    <x v="2"/>
    <s v="February "/>
    <s v="2"/>
    <n v="29.6"/>
    <n v="8.0299999999999994"/>
  </r>
  <r>
    <x v="7"/>
    <s v="Newspaper and book retailing"/>
    <s v="2021-03-01"/>
    <x v="2"/>
    <s v="March    "/>
    <s v="3"/>
    <n v="33.5"/>
    <n v="30.86"/>
  </r>
  <r>
    <x v="7"/>
    <s v="Newspaper and book retailing"/>
    <s v="2021-04-01"/>
    <x v="2"/>
    <s v="April    "/>
    <s v="4"/>
    <n v="29.4"/>
    <n v="43.41"/>
  </r>
  <r>
    <x v="7"/>
    <s v="Newspaper and book retailing"/>
    <s v="2021-05-01"/>
    <x v="2"/>
    <s v="May      "/>
    <s v="5"/>
    <n v="28.7"/>
    <n v="13.44"/>
  </r>
  <r>
    <x v="7"/>
    <s v="Newspaper and book retailing"/>
    <s v="2021-06-01"/>
    <x v="2"/>
    <s v="June     "/>
    <s v="6"/>
    <n v="29.3"/>
    <n v="14.45"/>
  </r>
  <r>
    <x v="7"/>
    <s v="Newspaper and book retailing"/>
    <s v="2021-07-01"/>
    <x v="2"/>
    <s v="July     "/>
    <s v="7"/>
    <n v="29.8"/>
    <n v="6.05"/>
  </r>
  <r>
    <x v="7"/>
    <s v="Newspaper and book retailing"/>
    <s v="2021-08-01"/>
    <x v="2"/>
    <s v="August   "/>
    <s v="8"/>
    <n v="30.6"/>
    <n v="6.62"/>
  </r>
  <r>
    <x v="7"/>
    <s v="Newspaper and book retailing"/>
    <s v="2021-09-01"/>
    <x v="2"/>
    <s v="September"/>
    <s v="9"/>
    <n v="28.9"/>
    <n v="-7.37"/>
  </r>
  <r>
    <x v="7"/>
    <s v="Newspaper and book retailing"/>
    <s v="2021-10-01"/>
    <x v="2"/>
    <s v="October  "/>
    <s v="10"/>
    <n v="24.5"/>
    <n v="-25.08"/>
  </r>
  <r>
    <x v="7"/>
    <s v="Newspaper and book retailing"/>
    <s v="2021-11-01"/>
    <x v="2"/>
    <s v="November "/>
    <s v="11"/>
    <n v="26.6"/>
    <n v="-21.3"/>
  </r>
  <r>
    <x v="7"/>
    <s v="Newspaper and book retailing"/>
    <s v="2021-12-01"/>
    <x v="2"/>
    <s v="December "/>
    <s v="12"/>
    <n v="33.9"/>
    <n v="-30.39"/>
  </r>
  <r>
    <x v="7"/>
    <s v="Newspaper and book retailing"/>
    <s v="2022-01-01"/>
    <x v="3"/>
    <s v="January  "/>
    <s v="1"/>
    <n v="21.8"/>
    <n v="-31.66"/>
  </r>
  <r>
    <x v="7"/>
    <s v="Newspaper and book retailing"/>
    <s v="2022-02-01"/>
    <x v="3"/>
    <s v="February "/>
    <s v="2"/>
    <n v="22.3"/>
    <n v="-24.66"/>
  </r>
  <r>
    <x v="7"/>
    <s v="Newspaper and book retailing"/>
    <s v="2022-03-01"/>
    <x v="3"/>
    <s v="March    "/>
    <s v="3"/>
    <n v="23.3"/>
    <n v="-30.45"/>
  </r>
  <r>
    <x v="7"/>
    <s v="Newspaper and book retailing"/>
    <s v="2022-04-01"/>
    <x v="3"/>
    <s v="April    "/>
    <s v="4"/>
    <n v="22"/>
    <n v="-25.17"/>
  </r>
  <r>
    <x v="7"/>
    <s v="Newspaper and book retailing"/>
    <s v="2022-05-01"/>
    <x v="3"/>
    <s v="May      "/>
    <s v="5"/>
    <n v="26"/>
    <n v="-9.41"/>
  </r>
  <r>
    <x v="7"/>
    <s v="Newspaper and book retailing"/>
    <s v="2022-06-01"/>
    <x v="3"/>
    <s v="June     "/>
    <s v="6"/>
    <n v="22.8"/>
    <n v="-22.18"/>
  </r>
  <r>
    <x v="7"/>
    <s v="Newspaper and book retailing"/>
    <s v="2022-07-01"/>
    <x v="3"/>
    <s v="July     "/>
    <s v="7"/>
    <n v="21.2"/>
    <n v="-28.86"/>
  </r>
  <r>
    <x v="7"/>
    <s v="Newspaper and book retailing"/>
    <s v="2022-08-01"/>
    <x v="3"/>
    <s v="August   "/>
    <s v="8"/>
    <n v="22.5"/>
    <n v="-26.47"/>
  </r>
  <r>
    <x v="7"/>
    <s v="Newspaper and book retailing"/>
    <s v="2022-09-01"/>
    <x v="3"/>
    <s v="September"/>
    <s v="9"/>
    <n v="22.5"/>
    <n v="-22.15"/>
  </r>
  <r>
    <x v="7"/>
    <s v="Newspaper and book retailing"/>
    <s v="2022-10-01"/>
    <x v="3"/>
    <s v="October  "/>
    <s v="10"/>
    <n v="23.3"/>
    <n v="-4.9000000000000004"/>
  </r>
  <r>
    <x v="7"/>
    <s v="Newspaper and book retailing"/>
    <s v="2022-11-01"/>
    <x v="3"/>
    <s v="November "/>
    <s v="11"/>
    <n v="22.6"/>
    <n v="-15.04"/>
  </r>
  <r>
    <x v="7"/>
    <s v="Newspaper and book retailing"/>
    <s v="2022-12-01"/>
    <x v="3"/>
    <s v="December "/>
    <s v="12"/>
    <n v="29.2"/>
    <n v="-13.86"/>
  </r>
  <r>
    <x v="7"/>
    <s v="Newspaper and book retailing"/>
    <s v="2023-01-01"/>
    <x v="4"/>
    <s v="January  "/>
    <s v="1"/>
    <n v="19.899999999999999"/>
    <n v="-8.7200000000000006"/>
  </r>
  <r>
    <x v="7"/>
    <s v="Newspaper and book retailing"/>
    <s v="2023-02-01"/>
    <x v="4"/>
    <s v="February "/>
    <s v="2"/>
    <n v="18.899999999999999"/>
    <n v="-15.25"/>
  </r>
  <r>
    <x v="7"/>
    <s v="Newspaper and book retailing"/>
    <s v="2023-03-01"/>
    <x v="4"/>
    <s v="March    "/>
    <s v="3"/>
    <n v="19.399999999999999"/>
    <n v="-16.739999999999998"/>
  </r>
  <r>
    <x v="7"/>
    <s v="Newspaper and book retailing"/>
    <s v="2023-04-01"/>
    <x v="4"/>
    <s v="April    "/>
    <s v="4"/>
    <n v="17.7"/>
    <n v="-19.55"/>
  </r>
  <r>
    <x v="7"/>
    <s v="Newspaper and book retailing"/>
    <s v="2023-05-01"/>
    <x v="4"/>
    <s v="May      "/>
    <s v="5"/>
    <n v="19.5"/>
    <n v="-25"/>
  </r>
  <r>
    <x v="7"/>
    <s v="Newspaper and book retailing"/>
    <s v="2023-06-01"/>
    <x v="4"/>
    <s v="June     "/>
    <s v="6"/>
    <n v="21.4"/>
    <n v="-6.14"/>
  </r>
  <r>
    <x v="7"/>
    <s v="Newspaper and book retailing"/>
    <s v="2023-07-01"/>
    <x v="4"/>
    <s v="July     "/>
    <s v="7"/>
    <n v="20.2"/>
    <n v="-4.72"/>
  </r>
  <r>
    <x v="7"/>
    <s v="Newspaper and book retailing"/>
    <s v="2023-08-01"/>
    <x v="4"/>
    <s v="August   "/>
    <s v="8"/>
    <n v="20.5"/>
    <n v="-8.89"/>
  </r>
  <r>
    <x v="7"/>
    <s v="Newspaper and book retailing"/>
    <s v="2023-09-01"/>
    <x v="4"/>
    <s v="September"/>
    <s v="9"/>
    <n v="19.100000000000001"/>
    <n v="-15.11"/>
  </r>
  <r>
    <x v="7"/>
    <s v="Newspaper and book retailing"/>
    <s v="2023-10-01"/>
    <x v="4"/>
    <s v="October  "/>
    <s v="10"/>
    <n v="18.399999999999999"/>
    <n v="-21.03"/>
  </r>
  <r>
    <x v="7"/>
    <s v="Newspaper and book retailing"/>
    <s v="2023-11-01"/>
    <x v="4"/>
    <s v="November "/>
    <s v="11"/>
    <n v="19.3"/>
    <n v="-14.6"/>
  </r>
  <r>
    <x v="7"/>
    <s v="Newspaper and book retailing"/>
    <s v="2023-12-01"/>
    <x v="4"/>
    <s v="December "/>
    <s v="12"/>
    <n v="27"/>
    <n v="-7.53"/>
  </r>
  <r>
    <x v="7"/>
    <s v="Newspaper and book retailing"/>
    <s v="2024-01-01"/>
    <x v="5"/>
    <s v="January  "/>
    <s v="1"/>
    <n v="20.100000000000001"/>
    <n v="1.01"/>
  </r>
  <r>
    <x v="7"/>
    <s v="Newspaper and book retailing"/>
    <s v="2024-02-01"/>
    <x v="5"/>
    <s v="February "/>
    <s v="2"/>
    <n v="17"/>
    <n v="-10.050000000000001"/>
  </r>
  <r>
    <x v="7"/>
    <s v="Newspaper and book retailing"/>
    <s v="2024-03-01"/>
    <x v="5"/>
    <s v="March    "/>
    <s v="3"/>
    <n v="17"/>
    <n v="-12.37"/>
  </r>
  <r>
    <x v="7"/>
    <s v="Newspaper and book retailing"/>
    <s v="2024-04-01"/>
    <x v="5"/>
    <s v="April    "/>
    <s v="4"/>
    <n v="16"/>
    <n v="-9.6"/>
  </r>
  <r>
    <x v="7"/>
    <s v="Newspaper and book retailing"/>
    <s v="2024-05-01"/>
    <x v="5"/>
    <s v="May      "/>
    <s v="5"/>
    <n v="17.100000000000001"/>
    <n v="-12.31"/>
  </r>
  <r>
    <x v="7"/>
    <s v="Newspaper and book retailing"/>
    <s v="2024-06-01"/>
    <x v="5"/>
    <s v="June     "/>
    <s v="6"/>
    <n v="15.5"/>
    <n v="-27.57"/>
  </r>
  <r>
    <x v="7"/>
    <s v="Newspaper and book retailing"/>
    <s v="2024-07-01"/>
    <x v="5"/>
    <s v="July     "/>
    <s v="7"/>
    <n v="17.5"/>
    <n v="-13.37"/>
  </r>
  <r>
    <x v="7"/>
    <s v="Newspaper and book retailing"/>
    <s v="2024-08-01"/>
    <x v="5"/>
    <s v="August   "/>
    <s v="8"/>
    <n v="18.600000000000001"/>
    <n v="-9.27"/>
  </r>
  <r>
    <x v="7"/>
    <s v="Newspaper and book retailing"/>
    <s v="2024-09-01"/>
    <x v="5"/>
    <s v="September"/>
    <s v="9"/>
    <n v="16.100000000000001"/>
    <n v="-15.71"/>
  </r>
  <r>
    <x v="7"/>
    <s v="Newspaper and book retailing"/>
    <s v="2024-10-01"/>
    <x v="5"/>
    <s v="October  "/>
    <s v="10"/>
    <n v="16.7"/>
    <n v="-9.24"/>
  </r>
  <r>
    <x v="7"/>
    <s v="Newspaper and book retailing"/>
    <s v="2024-11-01"/>
    <x v="5"/>
    <s v="November "/>
    <s v="11"/>
    <n v="17.899999999999999"/>
    <n v="-7.25"/>
  </r>
  <r>
    <x v="7"/>
    <s v="Newspaper and book retailing"/>
    <s v="2024-12-01"/>
    <x v="5"/>
    <s v="December "/>
    <s v="12"/>
    <n v="21.8"/>
    <n v="-19.260000000000002"/>
  </r>
  <r>
    <x v="7"/>
    <s v="Newspaper and book retailing"/>
    <s v="2025-01-01"/>
    <x v="6"/>
    <s v="January  "/>
    <s v="1"/>
    <n v="15.4"/>
    <n v="-23.38"/>
  </r>
  <r>
    <x v="7"/>
    <s v="Newspaper and book retailing"/>
    <s v="2025-02-01"/>
    <x v="6"/>
    <s v="February "/>
    <s v="2"/>
    <n v="13.9"/>
    <n v="-18.239999999999998"/>
  </r>
  <r>
    <x v="7"/>
    <s v="Newspaper and book retailing"/>
    <s v="2025-03-01"/>
    <x v="6"/>
    <s v="March    "/>
    <s v="3"/>
    <n v="14.7"/>
    <n v="-13.53"/>
  </r>
  <r>
    <x v="7"/>
    <s v="Newspaper and book retailing"/>
    <s v="2025-04-01"/>
    <x v="6"/>
    <s v="April    "/>
    <s v="4"/>
    <n v="14.8"/>
    <n v="-7.5"/>
  </r>
  <r>
    <x v="7"/>
    <s v="Newspaper and book retailing"/>
    <s v="2025-05-01"/>
    <x v="6"/>
    <s v="May      "/>
    <s v="5"/>
    <n v="15.8"/>
    <n v="-7.6"/>
  </r>
  <r>
    <x v="7"/>
    <s v="Newspaper and book retailing"/>
    <s v="2025-06-01"/>
    <x v="6"/>
    <s v="June     "/>
    <s v="6"/>
    <n v="14.5"/>
    <n v="-6.45"/>
  </r>
  <r>
    <x v="7"/>
    <s v="Other recreational goods retailing"/>
    <s v="2019-01-01"/>
    <x v="0"/>
    <s v="January  "/>
    <s v="1"/>
    <n v="57"/>
    <m/>
  </r>
  <r>
    <x v="7"/>
    <s v="Other recreational goods retailing"/>
    <s v="2019-02-01"/>
    <x v="0"/>
    <s v="February "/>
    <s v="2"/>
    <n v="41"/>
    <m/>
  </r>
  <r>
    <x v="7"/>
    <s v="Other recreational goods retailing"/>
    <s v="2019-03-01"/>
    <x v="0"/>
    <s v="March    "/>
    <s v="3"/>
    <n v="46.2"/>
    <m/>
  </r>
  <r>
    <x v="7"/>
    <s v="Other recreational goods retailing"/>
    <s v="2019-04-01"/>
    <x v="0"/>
    <s v="April    "/>
    <s v="4"/>
    <n v="48"/>
    <m/>
  </r>
  <r>
    <x v="7"/>
    <s v="Other recreational goods retailing"/>
    <s v="2019-05-01"/>
    <x v="0"/>
    <s v="May      "/>
    <s v="5"/>
    <n v="43.8"/>
    <m/>
  </r>
  <r>
    <x v="7"/>
    <s v="Other recreational goods retailing"/>
    <s v="2019-06-01"/>
    <x v="0"/>
    <s v="June     "/>
    <s v="6"/>
    <n v="43.6"/>
    <m/>
  </r>
  <r>
    <x v="7"/>
    <s v="Other recreational goods retailing"/>
    <s v="2019-07-01"/>
    <x v="0"/>
    <s v="July     "/>
    <s v="7"/>
    <n v="48"/>
    <m/>
  </r>
  <r>
    <x v="7"/>
    <s v="Other recreational goods retailing"/>
    <s v="2019-08-01"/>
    <x v="0"/>
    <s v="August   "/>
    <s v="8"/>
    <n v="47.9"/>
    <m/>
  </r>
  <r>
    <x v="7"/>
    <s v="Other recreational goods retailing"/>
    <s v="2019-09-01"/>
    <x v="0"/>
    <s v="September"/>
    <s v="9"/>
    <n v="54.5"/>
    <m/>
  </r>
  <r>
    <x v="7"/>
    <s v="Other recreational goods retailing"/>
    <s v="2019-10-01"/>
    <x v="0"/>
    <s v="October  "/>
    <s v="10"/>
    <n v="58.1"/>
    <m/>
  </r>
  <r>
    <x v="7"/>
    <s v="Other recreational goods retailing"/>
    <s v="2019-11-01"/>
    <x v="0"/>
    <s v="November "/>
    <s v="11"/>
    <n v="65.400000000000006"/>
    <m/>
  </r>
  <r>
    <x v="7"/>
    <s v="Other recreational goods retailing"/>
    <s v="2019-12-01"/>
    <x v="0"/>
    <s v="December "/>
    <s v="12"/>
    <n v="109.9"/>
    <m/>
  </r>
  <r>
    <x v="7"/>
    <s v="Other recreational goods retailing"/>
    <s v="2020-01-01"/>
    <x v="1"/>
    <s v="January  "/>
    <s v="1"/>
    <n v="61.8"/>
    <n v="8.42"/>
  </r>
  <r>
    <x v="7"/>
    <s v="Other recreational goods retailing"/>
    <s v="2020-02-01"/>
    <x v="1"/>
    <s v="February "/>
    <s v="2"/>
    <n v="46.5"/>
    <n v="13.41"/>
  </r>
  <r>
    <x v="7"/>
    <s v="Other recreational goods retailing"/>
    <s v="2020-03-01"/>
    <x v="1"/>
    <s v="March    "/>
    <s v="3"/>
    <n v="61.3"/>
    <n v="32.68"/>
  </r>
  <r>
    <x v="7"/>
    <s v="Other recreational goods retailing"/>
    <s v="2020-04-01"/>
    <x v="1"/>
    <s v="April    "/>
    <s v="4"/>
    <n v="60.9"/>
    <n v="26.88"/>
  </r>
  <r>
    <x v="7"/>
    <s v="Other recreational goods retailing"/>
    <s v="2020-05-01"/>
    <x v="1"/>
    <s v="May      "/>
    <s v="5"/>
    <n v="74.400000000000006"/>
    <n v="69.86"/>
  </r>
  <r>
    <x v="7"/>
    <s v="Other recreational goods retailing"/>
    <s v="2020-06-01"/>
    <x v="1"/>
    <s v="June     "/>
    <s v="6"/>
    <n v="72.7"/>
    <n v="66.739999999999995"/>
  </r>
  <r>
    <x v="7"/>
    <s v="Other recreational goods retailing"/>
    <s v="2020-07-01"/>
    <x v="1"/>
    <s v="July     "/>
    <s v="7"/>
    <n v="75.8"/>
    <n v="57.92"/>
  </r>
  <r>
    <x v="7"/>
    <s v="Other recreational goods retailing"/>
    <s v="2020-08-01"/>
    <x v="1"/>
    <s v="August   "/>
    <s v="8"/>
    <n v="69"/>
    <n v="44.05"/>
  </r>
  <r>
    <x v="7"/>
    <s v="Other recreational goods retailing"/>
    <s v="2020-09-01"/>
    <x v="1"/>
    <s v="September"/>
    <s v="9"/>
    <n v="70.3"/>
    <n v="28.99"/>
  </r>
  <r>
    <x v="7"/>
    <s v="Other recreational goods retailing"/>
    <s v="2020-10-01"/>
    <x v="1"/>
    <s v="October  "/>
    <s v="10"/>
    <n v="71.400000000000006"/>
    <n v="22.89"/>
  </r>
  <r>
    <x v="7"/>
    <s v="Other recreational goods retailing"/>
    <s v="2020-11-01"/>
    <x v="1"/>
    <s v="November "/>
    <s v="11"/>
    <n v="84"/>
    <n v="28.44"/>
  </r>
  <r>
    <x v="7"/>
    <s v="Other recreational goods retailing"/>
    <s v="2020-12-01"/>
    <x v="1"/>
    <s v="December "/>
    <s v="12"/>
    <n v="126.8"/>
    <n v="15.38"/>
  </r>
  <r>
    <x v="7"/>
    <s v="Other recreational goods retailing"/>
    <s v="2021-01-01"/>
    <x v="2"/>
    <s v="January  "/>
    <s v="1"/>
    <n v="76.7"/>
    <n v="24.11"/>
  </r>
  <r>
    <x v="7"/>
    <s v="Other recreational goods retailing"/>
    <s v="2021-02-01"/>
    <x v="2"/>
    <s v="February "/>
    <s v="2"/>
    <n v="59"/>
    <n v="26.88"/>
  </r>
  <r>
    <x v="7"/>
    <s v="Other recreational goods retailing"/>
    <s v="2021-03-01"/>
    <x v="2"/>
    <s v="March    "/>
    <s v="3"/>
    <n v="71"/>
    <n v="15.82"/>
  </r>
  <r>
    <x v="7"/>
    <s v="Other recreational goods retailing"/>
    <s v="2021-04-01"/>
    <x v="2"/>
    <s v="April    "/>
    <s v="4"/>
    <n v="72.3"/>
    <n v="18.72"/>
  </r>
  <r>
    <x v="7"/>
    <s v="Other recreational goods retailing"/>
    <s v="2021-05-01"/>
    <x v="2"/>
    <s v="May      "/>
    <s v="5"/>
    <n v="69.7"/>
    <n v="-6.32"/>
  </r>
  <r>
    <x v="7"/>
    <s v="Other recreational goods retailing"/>
    <s v="2021-06-01"/>
    <x v="2"/>
    <s v="June     "/>
    <s v="6"/>
    <n v="70.900000000000006"/>
    <n v="-2.48"/>
  </r>
  <r>
    <x v="7"/>
    <s v="Other recreational goods retailing"/>
    <s v="2021-07-01"/>
    <x v="2"/>
    <s v="July     "/>
    <s v="7"/>
    <n v="75.2"/>
    <n v="-0.79"/>
  </r>
  <r>
    <x v="7"/>
    <s v="Other recreational goods retailing"/>
    <s v="2021-08-01"/>
    <x v="2"/>
    <s v="August   "/>
    <s v="8"/>
    <n v="68.099999999999994"/>
    <n v="-1.3"/>
  </r>
  <r>
    <x v="7"/>
    <s v="Other recreational goods retailing"/>
    <s v="2021-09-01"/>
    <x v="2"/>
    <s v="September"/>
    <s v="9"/>
    <n v="87.2"/>
    <n v="24.04"/>
  </r>
  <r>
    <x v="7"/>
    <s v="Other recreational goods retailing"/>
    <s v="2021-10-01"/>
    <x v="2"/>
    <s v="October  "/>
    <s v="10"/>
    <n v="88.7"/>
    <n v="24.23"/>
  </r>
  <r>
    <x v="7"/>
    <s v="Other recreational goods retailing"/>
    <s v="2021-11-01"/>
    <x v="2"/>
    <s v="November "/>
    <s v="11"/>
    <n v="94.5"/>
    <n v="12.5"/>
  </r>
  <r>
    <x v="7"/>
    <s v="Other recreational goods retailing"/>
    <s v="2021-12-01"/>
    <x v="2"/>
    <s v="December "/>
    <s v="12"/>
    <n v="151.5"/>
    <n v="19.48"/>
  </r>
  <r>
    <x v="7"/>
    <s v="Other recreational goods retailing"/>
    <s v="2022-01-01"/>
    <x v="3"/>
    <s v="January  "/>
    <s v="1"/>
    <n v="93.7"/>
    <n v="22.16"/>
  </r>
  <r>
    <x v="7"/>
    <s v="Other recreational goods retailing"/>
    <s v="2022-02-01"/>
    <x v="3"/>
    <s v="February "/>
    <s v="2"/>
    <n v="67.7"/>
    <n v="14.75"/>
  </r>
  <r>
    <x v="7"/>
    <s v="Other recreational goods retailing"/>
    <s v="2022-03-01"/>
    <x v="3"/>
    <s v="March    "/>
    <s v="3"/>
    <n v="76.2"/>
    <n v="7.32"/>
  </r>
  <r>
    <x v="7"/>
    <s v="Other recreational goods retailing"/>
    <s v="2022-04-01"/>
    <x v="3"/>
    <s v="April    "/>
    <s v="4"/>
    <n v="80.7"/>
    <n v="11.62"/>
  </r>
  <r>
    <x v="7"/>
    <s v="Other recreational goods retailing"/>
    <s v="2022-05-01"/>
    <x v="3"/>
    <s v="May      "/>
    <s v="5"/>
    <n v="69.5"/>
    <n v="-0.28999999999999998"/>
  </r>
  <r>
    <x v="7"/>
    <s v="Other recreational goods retailing"/>
    <s v="2022-06-01"/>
    <x v="3"/>
    <s v="June     "/>
    <s v="6"/>
    <n v="72.3"/>
    <n v="1.97"/>
  </r>
  <r>
    <x v="7"/>
    <s v="Other recreational goods retailing"/>
    <s v="2022-07-01"/>
    <x v="3"/>
    <s v="July     "/>
    <s v="7"/>
    <n v="74.2"/>
    <n v="-1.33"/>
  </r>
  <r>
    <x v="7"/>
    <s v="Other recreational goods retailing"/>
    <s v="2022-08-01"/>
    <x v="3"/>
    <s v="August   "/>
    <s v="8"/>
    <n v="65.7"/>
    <n v="-3.52"/>
  </r>
  <r>
    <x v="7"/>
    <s v="Other recreational goods retailing"/>
    <s v="2022-09-01"/>
    <x v="3"/>
    <s v="September"/>
    <s v="9"/>
    <n v="78.599999999999994"/>
    <n v="-9.86"/>
  </r>
  <r>
    <x v="7"/>
    <s v="Other recreational goods retailing"/>
    <s v="2022-10-01"/>
    <x v="3"/>
    <s v="October  "/>
    <s v="10"/>
    <n v="74.900000000000006"/>
    <n v="-15.56"/>
  </r>
  <r>
    <x v="7"/>
    <s v="Other recreational goods retailing"/>
    <s v="2022-11-01"/>
    <x v="3"/>
    <s v="November "/>
    <s v="11"/>
    <n v="86.7"/>
    <n v="-8.25"/>
  </r>
  <r>
    <x v="7"/>
    <s v="Other recreational goods retailing"/>
    <s v="2022-12-01"/>
    <x v="3"/>
    <s v="December "/>
    <s v="12"/>
    <n v="124.5"/>
    <n v="-17.82"/>
  </r>
  <r>
    <x v="7"/>
    <s v="Other recreational goods retailing"/>
    <s v="2023-01-01"/>
    <x v="4"/>
    <s v="January  "/>
    <s v="1"/>
    <n v="81.8"/>
    <n v="-12.7"/>
  </r>
  <r>
    <x v="7"/>
    <s v="Other recreational goods retailing"/>
    <s v="2023-02-01"/>
    <x v="4"/>
    <s v="February "/>
    <s v="2"/>
    <n v="58.5"/>
    <n v="-13.59"/>
  </r>
  <r>
    <x v="7"/>
    <s v="Other recreational goods retailing"/>
    <s v="2023-03-01"/>
    <x v="4"/>
    <s v="March    "/>
    <s v="3"/>
    <n v="71.8"/>
    <n v="-5.77"/>
  </r>
  <r>
    <x v="7"/>
    <s v="Other recreational goods retailing"/>
    <s v="2023-04-01"/>
    <x v="4"/>
    <s v="April    "/>
    <s v="4"/>
    <n v="79.3"/>
    <n v="-1.73"/>
  </r>
  <r>
    <x v="7"/>
    <s v="Other recreational goods retailing"/>
    <s v="2023-05-01"/>
    <x v="4"/>
    <s v="May      "/>
    <s v="5"/>
    <n v="70.3"/>
    <n v="1.1499999999999999"/>
  </r>
  <r>
    <x v="7"/>
    <s v="Other recreational goods retailing"/>
    <s v="2023-06-01"/>
    <x v="4"/>
    <s v="June     "/>
    <s v="6"/>
    <n v="73.3"/>
    <n v="1.38"/>
  </r>
  <r>
    <x v="7"/>
    <s v="Other recreational goods retailing"/>
    <s v="2023-07-01"/>
    <x v="4"/>
    <s v="July     "/>
    <s v="7"/>
    <n v="69.099999999999994"/>
    <n v="-6.87"/>
  </r>
  <r>
    <x v="7"/>
    <s v="Other recreational goods retailing"/>
    <s v="2023-08-01"/>
    <x v="4"/>
    <s v="August   "/>
    <s v="8"/>
    <n v="70.099999999999994"/>
    <n v="6.7"/>
  </r>
  <r>
    <x v="7"/>
    <s v="Other recreational goods retailing"/>
    <s v="2023-09-01"/>
    <x v="4"/>
    <s v="September"/>
    <s v="9"/>
    <n v="71.599999999999994"/>
    <n v="-8.91"/>
  </r>
  <r>
    <x v="7"/>
    <s v="Other recreational goods retailing"/>
    <s v="2023-10-01"/>
    <x v="4"/>
    <s v="October  "/>
    <s v="10"/>
    <n v="77.7"/>
    <n v="3.74"/>
  </r>
  <r>
    <x v="7"/>
    <s v="Other recreational goods retailing"/>
    <s v="2023-11-01"/>
    <x v="4"/>
    <s v="November "/>
    <s v="11"/>
    <n v="88.7"/>
    <n v="2.31"/>
  </r>
  <r>
    <x v="7"/>
    <s v="Other recreational goods retailing"/>
    <s v="2023-12-01"/>
    <x v="4"/>
    <s v="December "/>
    <s v="12"/>
    <n v="126.2"/>
    <n v="1.37"/>
  </r>
  <r>
    <x v="7"/>
    <s v="Other recreational goods retailing"/>
    <s v="2024-01-01"/>
    <x v="5"/>
    <s v="January  "/>
    <s v="1"/>
    <n v="76.900000000000006"/>
    <n v="-5.99"/>
  </r>
  <r>
    <x v="7"/>
    <s v="Other recreational goods retailing"/>
    <s v="2024-02-01"/>
    <x v="5"/>
    <s v="February "/>
    <s v="2"/>
    <n v="60"/>
    <n v="2.56"/>
  </r>
  <r>
    <x v="7"/>
    <s v="Other recreational goods retailing"/>
    <s v="2024-03-01"/>
    <x v="5"/>
    <s v="March    "/>
    <s v="3"/>
    <n v="70.3"/>
    <n v="-2.09"/>
  </r>
  <r>
    <x v="7"/>
    <s v="Other recreational goods retailing"/>
    <s v="2024-04-01"/>
    <x v="5"/>
    <s v="April    "/>
    <s v="4"/>
    <n v="78.599999999999994"/>
    <n v="-0.88"/>
  </r>
  <r>
    <x v="7"/>
    <s v="Other recreational goods retailing"/>
    <s v="2024-05-01"/>
    <x v="5"/>
    <s v="May      "/>
    <s v="5"/>
    <n v="69.400000000000006"/>
    <n v="-1.28"/>
  </r>
  <r>
    <x v="7"/>
    <s v="Other recreational goods retailing"/>
    <s v="2024-06-01"/>
    <x v="5"/>
    <s v="June     "/>
    <s v="6"/>
    <n v="72.599999999999994"/>
    <n v="-0.95"/>
  </r>
  <r>
    <x v="7"/>
    <s v="Other recreational goods retailing"/>
    <s v="2024-07-01"/>
    <x v="5"/>
    <s v="July     "/>
    <s v="7"/>
    <n v="72.400000000000006"/>
    <n v="4.78"/>
  </r>
  <r>
    <x v="7"/>
    <s v="Other recreational goods retailing"/>
    <s v="2024-08-01"/>
    <x v="5"/>
    <s v="August   "/>
    <s v="8"/>
    <n v="71.099999999999994"/>
    <n v="1.43"/>
  </r>
  <r>
    <x v="7"/>
    <s v="Other recreational goods retailing"/>
    <s v="2024-09-01"/>
    <x v="5"/>
    <s v="September"/>
    <s v="9"/>
    <n v="75.099999999999994"/>
    <n v="4.8899999999999997"/>
  </r>
  <r>
    <x v="7"/>
    <s v="Other recreational goods retailing"/>
    <s v="2024-10-01"/>
    <x v="5"/>
    <s v="October  "/>
    <s v="10"/>
    <n v="78.7"/>
    <n v="1.29"/>
  </r>
  <r>
    <x v="7"/>
    <s v="Other recreational goods retailing"/>
    <s v="2024-11-01"/>
    <x v="5"/>
    <s v="November "/>
    <s v="11"/>
    <n v="88.1"/>
    <n v="-0.68"/>
  </r>
  <r>
    <x v="7"/>
    <s v="Other recreational goods retailing"/>
    <s v="2024-12-01"/>
    <x v="5"/>
    <s v="December "/>
    <s v="12"/>
    <n v="140.69999999999999"/>
    <n v="11.49"/>
  </r>
  <r>
    <x v="7"/>
    <s v="Other recreational goods retailing"/>
    <s v="2025-01-01"/>
    <x v="6"/>
    <s v="January  "/>
    <s v="1"/>
    <n v="86"/>
    <n v="11.83"/>
  </r>
  <r>
    <x v="7"/>
    <s v="Other recreational goods retailing"/>
    <s v="2025-02-01"/>
    <x v="6"/>
    <s v="February "/>
    <s v="2"/>
    <n v="62.9"/>
    <n v="4.83"/>
  </r>
  <r>
    <x v="7"/>
    <s v="Other recreational goods retailing"/>
    <s v="2025-03-01"/>
    <x v="6"/>
    <s v="March    "/>
    <s v="3"/>
    <n v="76.8"/>
    <n v="9.25"/>
  </r>
  <r>
    <x v="7"/>
    <s v="Other recreational goods retailing"/>
    <s v="2025-04-01"/>
    <x v="6"/>
    <s v="April    "/>
    <s v="4"/>
    <n v="89.8"/>
    <n v="14.25"/>
  </r>
  <r>
    <x v="7"/>
    <s v="Other recreational goods retailing"/>
    <s v="2025-05-01"/>
    <x v="6"/>
    <s v="May      "/>
    <s v="5"/>
    <n v="78.5"/>
    <n v="13.11"/>
  </r>
  <r>
    <x v="7"/>
    <s v="Other recreational goods retailing"/>
    <s v="2025-06-01"/>
    <x v="6"/>
    <s v="June     "/>
    <s v="6"/>
    <n v="83"/>
    <n v="14.33"/>
  </r>
  <r>
    <x v="7"/>
    <s v="Other retailing n.e.c."/>
    <s v="2019-01-01"/>
    <x v="0"/>
    <s v="January  "/>
    <s v="1"/>
    <n v="142.69999999999999"/>
    <m/>
  </r>
  <r>
    <x v="7"/>
    <s v="Other retailing n.e.c."/>
    <s v="2019-02-01"/>
    <x v="0"/>
    <s v="February "/>
    <s v="2"/>
    <n v="132.69999999999999"/>
    <m/>
  </r>
  <r>
    <x v="7"/>
    <s v="Other retailing n.e.c."/>
    <s v="2019-03-01"/>
    <x v="0"/>
    <s v="March    "/>
    <s v="3"/>
    <n v="137.9"/>
    <m/>
  </r>
  <r>
    <x v="7"/>
    <s v="Other retailing n.e.c."/>
    <s v="2019-04-01"/>
    <x v="0"/>
    <s v="April    "/>
    <s v="4"/>
    <n v="135.69999999999999"/>
    <m/>
  </r>
  <r>
    <x v="7"/>
    <s v="Other retailing n.e.c."/>
    <s v="2019-05-01"/>
    <x v="0"/>
    <s v="May      "/>
    <s v="5"/>
    <n v="143.6"/>
    <m/>
  </r>
  <r>
    <x v="7"/>
    <s v="Other retailing n.e.c."/>
    <s v="2019-06-01"/>
    <x v="0"/>
    <s v="June     "/>
    <s v="6"/>
    <n v="143.5"/>
    <m/>
  </r>
  <r>
    <x v="7"/>
    <s v="Other retailing n.e.c."/>
    <s v="2019-07-01"/>
    <x v="0"/>
    <s v="July     "/>
    <s v="7"/>
    <n v="150.69999999999999"/>
    <m/>
  </r>
  <r>
    <x v="7"/>
    <s v="Other retailing n.e.c."/>
    <s v="2019-08-01"/>
    <x v="0"/>
    <s v="August   "/>
    <s v="8"/>
    <n v="147.19999999999999"/>
    <m/>
  </r>
  <r>
    <x v="7"/>
    <s v="Other retailing n.e.c."/>
    <s v="2019-09-01"/>
    <x v="0"/>
    <s v="September"/>
    <s v="9"/>
    <n v="142.69999999999999"/>
    <m/>
  </r>
  <r>
    <x v="7"/>
    <s v="Other retailing n.e.c."/>
    <s v="2019-10-01"/>
    <x v="0"/>
    <s v="October  "/>
    <s v="10"/>
    <n v="158.19999999999999"/>
    <m/>
  </r>
  <r>
    <x v="7"/>
    <s v="Other retailing n.e.c."/>
    <s v="2019-11-01"/>
    <x v="0"/>
    <s v="November "/>
    <s v="11"/>
    <n v="171.1"/>
    <m/>
  </r>
  <r>
    <x v="7"/>
    <s v="Other retailing n.e.c."/>
    <s v="2019-12-01"/>
    <x v="0"/>
    <s v="December "/>
    <s v="12"/>
    <n v="194.5"/>
    <m/>
  </r>
  <r>
    <x v="7"/>
    <s v="Other retailing n.e.c."/>
    <s v="2020-01-01"/>
    <x v="1"/>
    <s v="January  "/>
    <s v="1"/>
    <n v="150.19999999999999"/>
    <n v="5.26"/>
  </r>
  <r>
    <x v="7"/>
    <s v="Other retailing n.e.c."/>
    <s v="2020-02-01"/>
    <x v="1"/>
    <s v="February "/>
    <s v="2"/>
    <n v="141.9"/>
    <n v="6.93"/>
  </r>
  <r>
    <x v="7"/>
    <s v="Other retailing n.e.c."/>
    <s v="2020-03-01"/>
    <x v="1"/>
    <s v="March    "/>
    <s v="3"/>
    <n v="168.9"/>
    <n v="22.48"/>
  </r>
  <r>
    <x v="7"/>
    <s v="Other retailing n.e.c."/>
    <s v="2020-04-01"/>
    <x v="1"/>
    <s v="April    "/>
    <s v="4"/>
    <n v="157.9"/>
    <n v="16.36"/>
  </r>
  <r>
    <x v="7"/>
    <s v="Other retailing n.e.c."/>
    <s v="2020-05-01"/>
    <x v="1"/>
    <s v="May      "/>
    <s v="5"/>
    <n v="193.4"/>
    <n v="34.68"/>
  </r>
  <r>
    <x v="7"/>
    <s v="Other retailing n.e.c."/>
    <s v="2020-06-01"/>
    <x v="1"/>
    <s v="June     "/>
    <s v="6"/>
    <n v="189.3"/>
    <n v="31.92"/>
  </r>
  <r>
    <x v="7"/>
    <s v="Other retailing n.e.c."/>
    <s v="2020-07-01"/>
    <x v="1"/>
    <s v="July     "/>
    <s v="7"/>
    <n v="196.4"/>
    <n v="30.33"/>
  </r>
  <r>
    <x v="7"/>
    <s v="Other retailing n.e.c."/>
    <s v="2020-08-01"/>
    <x v="1"/>
    <s v="August   "/>
    <s v="8"/>
    <n v="196.1"/>
    <n v="33.22"/>
  </r>
  <r>
    <x v="7"/>
    <s v="Other retailing n.e.c."/>
    <s v="2020-09-01"/>
    <x v="1"/>
    <s v="September"/>
    <s v="9"/>
    <n v="180.8"/>
    <n v="26.7"/>
  </r>
  <r>
    <x v="7"/>
    <s v="Other retailing n.e.c."/>
    <s v="2020-10-01"/>
    <x v="1"/>
    <s v="October  "/>
    <s v="10"/>
    <n v="204.8"/>
    <n v="29.46"/>
  </r>
  <r>
    <x v="7"/>
    <s v="Other retailing n.e.c."/>
    <s v="2020-11-01"/>
    <x v="1"/>
    <s v="November "/>
    <s v="11"/>
    <n v="231.9"/>
    <n v="35.53"/>
  </r>
  <r>
    <x v="7"/>
    <s v="Other retailing n.e.c."/>
    <s v="2020-12-01"/>
    <x v="1"/>
    <s v="December "/>
    <s v="12"/>
    <n v="258.3"/>
    <n v="32.799999999999997"/>
  </r>
  <r>
    <x v="7"/>
    <s v="Other retailing n.e.c."/>
    <s v="2021-01-01"/>
    <x v="2"/>
    <s v="January  "/>
    <s v="1"/>
    <n v="198.4"/>
    <n v="32.090000000000003"/>
  </r>
  <r>
    <x v="7"/>
    <s v="Other retailing n.e.c."/>
    <s v="2021-02-01"/>
    <x v="2"/>
    <s v="February "/>
    <s v="2"/>
    <n v="182.2"/>
    <n v="28.4"/>
  </r>
  <r>
    <x v="7"/>
    <s v="Other retailing n.e.c."/>
    <s v="2021-03-01"/>
    <x v="2"/>
    <s v="March    "/>
    <s v="3"/>
    <n v="205.2"/>
    <n v="21.49"/>
  </r>
  <r>
    <x v="7"/>
    <s v="Other retailing n.e.c."/>
    <s v="2021-04-01"/>
    <x v="2"/>
    <s v="April    "/>
    <s v="4"/>
    <n v="186.8"/>
    <n v="18.3"/>
  </r>
  <r>
    <x v="7"/>
    <s v="Other retailing n.e.c."/>
    <s v="2021-05-01"/>
    <x v="2"/>
    <s v="May      "/>
    <s v="5"/>
    <n v="205.2"/>
    <n v="6.1"/>
  </r>
  <r>
    <x v="7"/>
    <s v="Other retailing n.e.c."/>
    <s v="2021-06-01"/>
    <x v="2"/>
    <s v="June     "/>
    <s v="6"/>
    <n v="205.8"/>
    <n v="8.7200000000000006"/>
  </r>
  <r>
    <x v="7"/>
    <s v="Other retailing n.e.c."/>
    <s v="2021-07-01"/>
    <x v="2"/>
    <s v="July     "/>
    <s v="7"/>
    <n v="215.1"/>
    <n v="9.52"/>
  </r>
  <r>
    <x v="7"/>
    <s v="Other retailing n.e.c."/>
    <s v="2021-08-01"/>
    <x v="2"/>
    <s v="August   "/>
    <s v="8"/>
    <n v="224.5"/>
    <n v="14.48"/>
  </r>
  <r>
    <x v="7"/>
    <s v="Other retailing n.e.c."/>
    <s v="2021-09-01"/>
    <x v="2"/>
    <s v="September"/>
    <s v="9"/>
    <n v="226.3"/>
    <n v="25.17"/>
  </r>
  <r>
    <x v="7"/>
    <s v="Other retailing n.e.c."/>
    <s v="2021-10-01"/>
    <x v="2"/>
    <s v="October  "/>
    <s v="10"/>
    <n v="245.3"/>
    <n v="19.78"/>
  </r>
  <r>
    <x v="7"/>
    <s v="Other retailing n.e.c."/>
    <s v="2021-11-01"/>
    <x v="2"/>
    <s v="November "/>
    <s v="11"/>
    <n v="289.89999999999998"/>
    <n v="25.01"/>
  </r>
  <r>
    <x v="7"/>
    <s v="Other retailing n.e.c."/>
    <s v="2021-12-01"/>
    <x v="2"/>
    <s v="December "/>
    <s v="12"/>
    <n v="306.7"/>
    <n v="18.739999999999998"/>
  </r>
  <r>
    <x v="7"/>
    <s v="Other retailing n.e.c."/>
    <s v="2022-01-01"/>
    <x v="3"/>
    <s v="January  "/>
    <s v="1"/>
    <n v="243.2"/>
    <n v="22.58"/>
  </r>
  <r>
    <x v="7"/>
    <s v="Other retailing n.e.c."/>
    <s v="2022-02-01"/>
    <x v="3"/>
    <s v="February "/>
    <s v="2"/>
    <n v="219.2"/>
    <n v="20.309999999999999"/>
  </r>
  <r>
    <x v="7"/>
    <s v="Other retailing n.e.c."/>
    <s v="2022-03-01"/>
    <x v="3"/>
    <s v="March    "/>
    <s v="3"/>
    <n v="242.1"/>
    <n v="17.98"/>
  </r>
  <r>
    <x v="7"/>
    <s v="Other retailing n.e.c."/>
    <s v="2022-04-01"/>
    <x v="3"/>
    <s v="April    "/>
    <s v="4"/>
    <n v="226.7"/>
    <n v="21.36"/>
  </r>
  <r>
    <x v="7"/>
    <s v="Other retailing n.e.c."/>
    <s v="2022-05-01"/>
    <x v="3"/>
    <s v="May      "/>
    <s v="5"/>
    <n v="234.1"/>
    <n v="14.08"/>
  </r>
  <r>
    <x v="7"/>
    <s v="Other retailing n.e.c."/>
    <s v="2022-06-01"/>
    <x v="3"/>
    <s v="June     "/>
    <s v="6"/>
    <n v="240.6"/>
    <n v="16.91"/>
  </r>
  <r>
    <x v="7"/>
    <s v="Other retailing n.e.c."/>
    <s v="2022-07-01"/>
    <x v="3"/>
    <s v="July     "/>
    <s v="7"/>
    <n v="259.8"/>
    <n v="20.78"/>
  </r>
  <r>
    <x v="7"/>
    <s v="Other retailing n.e.c."/>
    <s v="2022-08-01"/>
    <x v="3"/>
    <s v="August   "/>
    <s v="8"/>
    <n v="259.5"/>
    <n v="15.59"/>
  </r>
  <r>
    <x v="7"/>
    <s v="Other retailing n.e.c."/>
    <s v="2022-09-01"/>
    <x v="3"/>
    <s v="September"/>
    <s v="9"/>
    <n v="257.10000000000002"/>
    <n v="13.61"/>
  </r>
  <r>
    <x v="7"/>
    <s v="Other retailing n.e.c."/>
    <s v="2022-10-01"/>
    <x v="3"/>
    <s v="October  "/>
    <s v="10"/>
    <n v="289.7"/>
    <n v="18.100000000000001"/>
  </r>
  <r>
    <x v="7"/>
    <s v="Other retailing n.e.c."/>
    <s v="2022-11-01"/>
    <x v="3"/>
    <s v="November "/>
    <s v="11"/>
    <n v="319.2"/>
    <n v="10.11"/>
  </r>
  <r>
    <x v="7"/>
    <s v="Other retailing n.e.c."/>
    <s v="2022-12-01"/>
    <x v="3"/>
    <s v="December "/>
    <s v="12"/>
    <n v="316.7"/>
    <n v="3.26"/>
  </r>
  <r>
    <x v="7"/>
    <s v="Other retailing n.e.c."/>
    <s v="2023-01-01"/>
    <x v="4"/>
    <s v="January  "/>
    <s v="1"/>
    <n v="254.8"/>
    <n v="4.7699999999999996"/>
  </r>
  <r>
    <x v="7"/>
    <s v="Other retailing n.e.c."/>
    <s v="2023-02-01"/>
    <x v="4"/>
    <s v="February "/>
    <s v="2"/>
    <n v="244.2"/>
    <n v="11.41"/>
  </r>
  <r>
    <x v="7"/>
    <s v="Other retailing n.e.c."/>
    <s v="2023-03-01"/>
    <x v="4"/>
    <s v="March    "/>
    <s v="3"/>
    <n v="258.10000000000002"/>
    <n v="6.61"/>
  </r>
  <r>
    <x v="7"/>
    <s v="Other retailing n.e.c."/>
    <s v="2023-04-01"/>
    <x v="4"/>
    <s v="April    "/>
    <s v="4"/>
    <n v="240.7"/>
    <n v="6.18"/>
  </r>
  <r>
    <x v="7"/>
    <s v="Other retailing n.e.c."/>
    <s v="2023-05-01"/>
    <x v="4"/>
    <s v="May      "/>
    <s v="5"/>
    <n v="266.89999999999998"/>
    <n v="14.01"/>
  </r>
  <r>
    <x v="7"/>
    <s v="Other retailing n.e.c."/>
    <s v="2023-06-01"/>
    <x v="4"/>
    <s v="June     "/>
    <s v="6"/>
    <n v="262"/>
    <n v="8.89"/>
  </r>
  <r>
    <x v="7"/>
    <s v="Other retailing n.e.c."/>
    <s v="2023-07-01"/>
    <x v="4"/>
    <s v="July     "/>
    <s v="7"/>
    <n v="270.39999999999998"/>
    <n v="4.08"/>
  </r>
  <r>
    <x v="7"/>
    <s v="Other retailing n.e.c."/>
    <s v="2023-08-01"/>
    <x v="4"/>
    <s v="August   "/>
    <s v="8"/>
    <n v="277.39999999999998"/>
    <n v="6.9"/>
  </r>
  <r>
    <x v="7"/>
    <s v="Other retailing n.e.c."/>
    <s v="2023-09-01"/>
    <x v="4"/>
    <s v="September"/>
    <s v="9"/>
    <n v="267.89999999999998"/>
    <n v="4.2"/>
  </r>
  <r>
    <x v="7"/>
    <s v="Other retailing n.e.c."/>
    <s v="2023-10-01"/>
    <x v="4"/>
    <s v="October  "/>
    <s v="10"/>
    <n v="286"/>
    <n v="-1.28"/>
  </r>
  <r>
    <x v="7"/>
    <s v="Other retailing n.e.c."/>
    <s v="2023-11-01"/>
    <x v="4"/>
    <s v="November "/>
    <s v="11"/>
    <n v="317.39999999999998"/>
    <n v="-0.56000000000000005"/>
  </r>
  <r>
    <x v="7"/>
    <s v="Other retailing n.e.c."/>
    <s v="2023-12-01"/>
    <x v="4"/>
    <s v="December "/>
    <s v="12"/>
    <n v="319.3"/>
    <n v="0.82"/>
  </r>
  <r>
    <x v="7"/>
    <s v="Other retailing n.e.c."/>
    <s v="2024-01-01"/>
    <x v="5"/>
    <s v="January  "/>
    <s v="1"/>
    <n v="261.39999999999998"/>
    <n v="2.59"/>
  </r>
  <r>
    <x v="7"/>
    <s v="Other retailing n.e.c."/>
    <s v="2024-02-01"/>
    <x v="5"/>
    <s v="February "/>
    <s v="2"/>
    <n v="255.2"/>
    <n v="4.5"/>
  </r>
  <r>
    <x v="7"/>
    <s v="Other retailing n.e.c."/>
    <s v="2024-03-01"/>
    <x v="5"/>
    <s v="March    "/>
    <s v="3"/>
    <n v="274.3"/>
    <n v="6.28"/>
  </r>
  <r>
    <x v="7"/>
    <s v="Other retailing n.e.c."/>
    <s v="2024-04-01"/>
    <x v="5"/>
    <s v="April    "/>
    <s v="4"/>
    <n v="260.3"/>
    <n v="8.14"/>
  </r>
  <r>
    <x v="7"/>
    <s v="Other retailing n.e.c."/>
    <s v="2024-05-01"/>
    <x v="5"/>
    <s v="May      "/>
    <s v="5"/>
    <n v="278.7"/>
    <n v="4.42"/>
  </r>
  <r>
    <x v="7"/>
    <s v="Other retailing n.e.c."/>
    <s v="2024-06-01"/>
    <x v="5"/>
    <s v="June     "/>
    <s v="6"/>
    <n v="274.89999999999998"/>
    <n v="4.92"/>
  </r>
  <r>
    <x v="7"/>
    <s v="Other retailing n.e.c."/>
    <s v="2024-07-01"/>
    <x v="5"/>
    <s v="July     "/>
    <s v="7"/>
    <n v="290.3"/>
    <n v="7.36"/>
  </r>
  <r>
    <x v="7"/>
    <s v="Other retailing n.e.c."/>
    <s v="2024-08-01"/>
    <x v="5"/>
    <s v="August   "/>
    <s v="8"/>
    <n v="296.3"/>
    <n v="6.81"/>
  </r>
  <r>
    <x v="7"/>
    <s v="Other retailing n.e.c."/>
    <s v="2024-09-01"/>
    <x v="5"/>
    <s v="September"/>
    <s v="9"/>
    <n v="286"/>
    <n v="6.76"/>
  </r>
  <r>
    <x v="7"/>
    <s v="Other retailing n.e.c."/>
    <s v="2024-10-01"/>
    <x v="5"/>
    <s v="October  "/>
    <s v="10"/>
    <n v="320.7"/>
    <n v="12.13"/>
  </r>
  <r>
    <x v="7"/>
    <s v="Other retailing n.e.c."/>
    <s v="2024-11-01"/>
    <x v="5"/>
    <s v="November "/>
    <s v="11"/>
    <n v="348.6"/>
    <n v="9.83"/>
  </r>
  <r>
    <x v="7"/>
    <s v="Other retailing n.e.c."/>
    <s v="2024-12-01"/>
    <x v="5"/>
    <s v="December "/>
    <s v="12"/>
    <n v="352.7"/>
    <n v="10.46"/>
  </r>
  <r>
    <x v="7"/>
    <s v="Other retailing n.e.c."/>
    <s v="2025-01-01"/>
    <x v="6"/>
    <s v="January  "/>
    <s v="1"/>
    <n v="288.7"/>
    <n v="10.44"/>
  </r>
  <r>
    <x v="7"/>
    <s v="Other retailing n.e.c."/>
    <s v="2025-02-01"/>
    <x v="6"/>
    <s v="February "/>
    <s v="2"/>
    <n v="260.2"/>
    <n v="1.96"/>
  </r>
  <r>
    <x v="7"/>
    <s v="Other retailing n.e.c."/>
    <s v="2025-03-01"/>
    <x v="6"/>
    <s v="March    "/>
    <s v="3"/>
    <n v="277.5"/>
    <n v="1.17"/>
  </r>
  <r>
    <x v="7"/>
    <s v="Other retailing n.e.c."/>
    <s v="2025-04-01"/>
    <x v="6"/>
    <s v="April    "/>
    <s v="4"/>
    <n v="272.39999999999998"/>
    <n v="4.6500000000000004"/>
  </r>
  <r>
    <x v="7"/>
    <s v="Other retailing n.e.c."/>
    <s v="2025-05-01"/>
    <x v="6"/>
    <s v="May      "/>
    <s v="5"/>
    <n v="290.8"/>
    <n v="4.34"/>
  </r>
  <r>
    <x v="7"/>
    <s v="Other retailing n.e.c."/>
    <s v="2025-06-01"/>
    <x v="6"/>
    <s v="June     "/>
    <s v="6"/>
    <n v="284.8"/>
    <n v="3.6"/>
  </r>
  <r>
    <x v="7"/>
    <s v="Other specialised food retailing"/>
    <s v="2019-01-01"/>
    <x v="0"/>
    <s v="January  "/>
    <s v="1"/>
    <n v="89.4"/>
    <m/>
  </r>
  <r>
    <x v="7"/>
    <s v="Other specialised food retailing"/>
    <s v="2019-02-01"/>
    <x v="0"/>
    <s v="February "/>
    <s v="2"/>
    <n v="83.5"/>
    <m/>
  </r>
  <r>
    <x v="7"/>
    <s v="Other specialised food retailing"/>
    <s v="2019-03-01"/>
    <x v="0"/>
    <s v="March    "/>
    <s v="3"/>
    <n v="87.7"/>
    <m/>
  </r>
  <r>
    <x v="7"/>
    <s v="Other specialised food retailing"/>
    <s v="2019-04-01"/>
    <x v="0"/>
    <s v="April    "/>
    <s v="4"/>
    <n v="83.8"/>
    <m/>
  </r>
  <r>
    <x v="7"/>
    <s v="Other specialised food retailing"/>
    <s v="2019-05-01"/>
    <x v="0"/>
    <s v="May      "/>
    <s v="5"/>
    <n v="86.7"/>
    <m/>
  </r>
  <r>
    <x v="7"/>
    <s v="Other specialised food retailing"/>
    <s v="2019-06-01"/>
    <x v="0"/>
    <s v="June     "/>
    <s v="6"/>
    <n v="80.400000000000006"/>
    <m/>
  </r>
  <r>
    <x v="7"/>
    <s v="Other specialised food retailing"/>
    <s v="2019-07-01"/>
    <x v="0"/>
    <s v="July     "/>
    <s v="7"/>
    <n v="83.9"/>
    <m/>
  </r>
  <r>
    <x v="7"/>
    <s v="Other specialised food retailing"/>
    <s v="2019-08-01"/>
    <x v="0"/>
    <s v="August   "/>
    <s v="8"/>
    <n v="87.4"/>
    <m/>
  </r>
  <r>
    <x v="7"/>
    <s v="Other specialised food retailing"/>
    <s v="2019-09-01"/>
    <x v="0"/>
    <s v="September"/>
    <s v="9"/>
    <n v="87.2"/>
    <m/>
  </r>
  <r>
    <x v="7"/>
    <s v="Other specialised food retailing"/>
    <s v="2019-10-01"/>
    <x v="0"/>
    <s v="October  "/>
    <s v="10"/>
    <n v="88.1"/>
    <m/>
  </r>
  <r>
    <x v="7"/>
    <s v="Other specialised food retailing"/>
    <s v="2019-11-01"/>
    <x v="0"/>
    <s v="November "/>
    <s v="11"/>
    <n v="89.7"/>
    <m/>
  </r>
  <r>
    <x v="7"/>
    <s v="Other specialised food retailing"/>
    <s v="2019-12-01"/>
    <x v="0"/>
    <s v="December "/>
    <s v="12"/>
    <n v="101.7"/>
    <m/>
  </r>
  <r>
    <x v="7"/>
    <s v="Other specialised food retailing"/>
    <s v="2020-01-01"/>
    <x v="1"/>
    <s v="January  "/>
    <s v="1"/>
    <n v="90.4"/>
    <n v="1.1200000000000001"/>
  </r>
  <r>
    <x v="7"/>
    <s v="Other specialised food retailing"/>
    <s v="2020-02-01"/>
    <x v="1"/>
    <s v="February "/>
    <s v="2"/>
    <n v="87.1"/>
    <n v="4.3099999999999996"/>
  </r>
  <r>
    <x v="7"/>
    <s v="Other specialised food retailing"/>
    <s v="2020-03-01"/>
    <x v="1"/>
    <s v="March    "/>
    <s v="3"/>
    <n v="124.6"/>
    <n v="42.08"/>
  </r>
  <r>
    <x v="7"/>
    <s v="Other specialised food retailing"/>
    <s v="2020-04-01"/>
    <x v="1"/>
    <s v="April    "/>
    <s v="4"/>
    <n v="94.2"/>
    <n v="12.41"/>
  </r>
  <r>
    <x v="7"/>
    <s v="Other specialised food retailing"/>
    <s v="2020-05-01"/>
    <x v="1"/>
    <s v="May      "/>
    <s v="5"/>
    <n v="97.6"/>
    <n v="12.57"/>
  </r>
  <r>
    <x v="7"/>
    <s v="Other specialised food retailing"/>
    <s v="2020-06-01"/>
    <x v="1"/>
    <s v="June     "/>
    <s v="6"/>
    <n v="96.3"/>
    <n v="19.78"/>
  </r>
  <r>
    <x v="7"/>
    <s v="Other specialised food retailing"/>
    <s v="2020-07-01"/>
    <x v="1"/>
    <s v="July     "/>
    <s v="7"/>
    <n v="101.8"/>
    <n v="21.33"/>
  </r>
  <r>
    <x v="7"/>
    <s v="Other specialised food retailing"/>
    <s v="2020-08-01"/>
    <x v="1"/>
    <s v="August   "/>
    <s v="8"/>
    <n v="105.2"/>
    <n v="20.37"/>
  </r>
  <r>
    <x v="7"/>
    <s v="Other specialised food retailing"/>
    <s v="2020-09-01"/>
    <x v="1"/>
    <s v="September"/>
    <s v="9"/>
    <n v="100.8"/>
    <n v="15.6"/>
  </r>
  <r>
    <x v="7"/>
    <s v="Other specialised food retailing"/>
    <s v="2020-10-01"/>
    <x v="1"/>
    <s v="October  "/>
    <s v="10"/>
    <n v="105.8"/>
    <n v="20.09"/>
  </r>
  <r>
    <x v="7"/>
    <s v="Other specialised food retailing"/>
    <s v="2020-11-01"/>
    <x v="1"/>
    <s v="November "/>
    <s v="11"/>
    <n v="111.3"/>
    <n v="24.08"/>
  </r>
  <r>
    <x v="7"/>
    <s v="Other specialised food retailing"/>
    <s v="2020-12-01"/>
    <x v="1"/>
    <s v="December "/>
    <s v="12"/>
    <n v="131.80000000000001"/>
    <n v="29.6"/>
  </r>
  <r>
    <x v="7"/>
    <s v="Other specialised food retailing"/>
    <s v="2021-01-01"/>
    <x v="2"/>
    <s v="January  "/>
    <s v="1"/>
    <n v="114.7"/>
    <n v="26.88"/>
  </r>
  <r>
    <x v="7"/>
    <s v="Other specialised food retailing"/>
    <s v="2021-02-01"/>
    <x v="2"/>
    <s v="February "/>
    <s v="2"/>
    <n v="96.9"/>
    <n v="11.25"/>
  </r>
  <r>
    <x v="7"/>
    <s v="Other specialised food retailing"/>
    <s v="2021-03-01"/>
    <x v="2"/>
    <s v="March    "/>
    <s v="3"/>
    <n v="112.1"/>
    <n v="-10.029999999999999"/>
  </r>
  <r>
    <x v="7"/>
    <s v="Other specialised food retailing"/>
    <s v="2021-04-01"/>
    <x v="2"/>
    <s v="April    "/>
    <s v="4"/>
    <n v="102.3"/>
    <n v="8.6"/>
  </r>
  <r>
    <x v="7"/>
    <s v="Other specialised food retailing"/>
    <s v="2021-05-01"/>
    <x v="2"/>
    <s v="May      "/>
    <s v="5"/>
    <n v="103.7"/>
    <n v="6.25"/>
  </r>
  <r>
    <x v="7"/>
    <s v="Other specialised food retailing"/>
    <s v="2021-06-01"/>
    <x v="2"/>
    <s v="June     "/>
    <s v="6"/>
    <n v="99.3"/>
    <n v="3.12"/>
  </r>
  <r>
    <x v="7"/>
    <s v="Other specialised food retailing"/>
    <s v="2021-07-01"/>
    <x v="2"/>
    <s v="July     "/>
    <s v="7"/>
    <n v="103.2"/>
    <n v="1.38"/>
  </r>
  <r>
    <x v="7"/>
    <s v="Other specialised food retailing"/>
    <s v="2021-08-01"/>
    <x v="2"/>
    <s v="August   "/>
    <s v="8"/>
    <n v="101.1"/>
    <n v="-3.9"/>
  </r>
  <r>
    <x v="7"/>
    <s v="Other specialised food retailing"/>
    <s v="2021-09-01"/>
    <x v="2"/>
    <s v="September"/>
    <s v="9"/>
    <n v="97.4"/>
    <n v="-3.37"/>
  </r>
  <r>
    <x v="7"/>
    <s v="Other specialised food retailing"/>
    <s v="2021-10-01"/>
    <x v="2"/>
    <s v="October  "/>
    <s v="10"/>
    <n v="108"/>
    <n v="2.08"/>
  </r>
  <r>
    <x v="7"/>
    <s v="Other specialised food retailing"/>
    <s v="2021-11-01"/>
    <x v="2"/>
    <s v="November "/>
    <s v="11"/>
    <n v="113.4"/>
    <n v="1.89"/>
  </r>
  <r>
    <x v="7"/>
    <s v="Other specialised food retailing"/>
    <s v="2021-12-01"/>
    <x v="2"/>
    <s v="December "/>
    <s v="12"/>
    <n v="134.6"/>
    <n v="2.12"/>
  </r>
  <r>
    <x v="7"/>
    <s v="Other specialised food retailing"/>
    <s v="2022-01-01"/>
    <x v="3"/>
    <s v="January  "/>
    <s v="1"/>
    <n v="120.9"/>
    <n v="5.41"/>
  </r>
  <r>
    <x v="7"/>
    <s v="Other specialised food retailing"/>
    <s v="2022-02-01"/>
    <x v="3"/>
    <s v="February "/>
    <s v="2"/>
    <n v="111.9"/>
    <n v="15.48"/>
  </r>
  <r>
    <x v="7"/>
    <s v="Other specialised food retailing"/>
    <s v="2022-03-01"/>
    <x v="3"/>
    <s v="March    "/>
    <s v="3"/>
    <n v="118"/>
    <n v="5.26"/>
  </r>
  <r>
    <x v="7"/>
    <s v="Other specialised food retailing"/>
    <s v="2022-04-01"/>
    <x v="3"/>
    <s v="April    "/>
    <s v="4"/>
    <n v="115.6"/>
    <n v="13"/>
  </r>
  <r>
    <x v="7"/>
    <s v="Other specialised food retailing"/>
    <s v="2022-05-01"/>
    <x v="3"/>
    <s v="May      "/>
    <s v="5"/>
    <n v="115.9"/>
    <n v="11.76"/>
  </r>
  <r>
    <x v="7"/>
    <s v="Other specialised food retailing"/>
    <s v="2022-06-01"/>
    <x v="3"/>
    <s v="June     "/>
    <s v="6"/>
    <n v="118"/>
    <n v="18.829999999999998"/>
  </r>
  <r>
    <x v="7"/>
    <s v="Other specialised food retailing"/>
    <s v="2022-07-01"/>
    <x v="3"/>
    <s v="July     "/>
    <s v="7"/>
    <n v="120.5"/>
    <n v="16.760000000000002"/>
  </r>
  <r>
    <x v="7"/>
    <s v="Other specialised food retailing"/>
    <s v="2022-08-01"/>
    <x v="3"/>
    <s v="August   "/>
    <s v="8"/>
    <n v="123.7"/>
    <n v="22.35"/>
  </r>
  <r>
    <x v="7"/>
    <s v="Other specialised food retailing"/>
    <s v="2022-09-01"/>
    <x v="3"/>
    <s v="September"/>
    <s v="9"/>
    <n v="126.6"/>
    <n v="29.98"/>
  </r>
  <r>
    <x v="7"/>
    <s v="Other specialised food retailing"/>
    <s v="2022-10-01"/>
    <x v="3"/>
    <s v="October  "/>
    <s v="10"/>
    <n v="123.8"/>
    <n v="14.63"/>
  </r>
  <r>
    <x v="7"/>
    <s v="Other specialised food retailing"/>
    <s v="2022-11-01"/>
    <x v="3"/>
    <s v="November "/>
    <s v="11"/>
    <n v="127.9"/>
    <n v="12.79"/>
  </r>
  <r>
    <x v="7"/>
    <s v="Other specialised food retailing"/>
    <s v="2022-12-01"/>
    <x v="3"/>
    <s v="December "/>
    <s v="12"/>
    <n v="144.19999999999999"/>
    <n v="7.13"/>
  </r>
  <r>
    <x v="7"/>
    <s v="Other specialised food retailing"/>
    <s v="2023-01-01"/>
    <x v="4"/>
    <s v="January  "/>
    <s v="1"/>
    <n v="128.1"/>
    <n v="5.96"/>
  </r>
  <r>
    <x v="7"/>
    <s v="Other specialised food retailing"/>
    <s v="2023-02-01"/>
    <x v="4"/>
    <s v="February "/>
    <s v="2"/>
    <n v="116.3"/>
    <n v="3.93"/>
  </r>
  <r>
    <x v="7"/>
    <s v="Other specialised food retailing"/>
    <s v="2023-03-01"/>
    <x v="4"/>
    <s v="March    "/>
    <s v="3"/>
    <n v="128.6"/>
    <n v="8.98"/>
  </r>
  <r>
    <x v="7"/>
    <s v="Other specialised food retailing"/>
    <s v="2023-04-01"/>
    <x v="4"/>
    <s v="April    "/>
    <s v="4"/>
    <n v="127.7"/>
    <n v="10.47"/>
  </r>
  <r>
    <x v="7"/>
    <s v="Other specialised food retailing"/>
    <s v="2023-05-01"/>
    <x v="4"/>
    <s v="May      "/>
    <s v="5"/>
    <n v="128.9"/>
    <n v="11.22"/>
  </r>
  <r>
    <x v="7"/>
    <s v="Other specialised food retailing"/>
    <s v="2023-06-01"/>
    <x v="4"/>
    <s v="June     "/>
    <s v="6"/>
    <n v="122.7"/>
    <n v="3.98"/>
  </r>
  <r>
    <x v="7"/>
    <s v="Other specialised food retailing"/>
    <s v="2023-07-01"/>
    <x v="4"/>
    <s v="July     "/>
    <s v="7"/>
    <n v="131.6"/>
    <n v="9.2100000000000009"/>
  </r>
  <r>
    <x v="7"/>
    <s v="Other specialised food retailing"/>
    <s v="2023-08-01"/>
    <x v="4"/>
    <s v="August   "/>
    <s v="8"/>
    <n v="131.30000000000001"/>
    <n v="6.14"/>
  </r>
  <r>
    <x v="7"/>
    <s v="Other specialised food retailing"/>
    <s v="2023-09-01"/>
    <x v="4"/>
    <s v="September"/>
    <s v="9"/>
    <n v="129.9"/>
    <n v="2.61"/>
  </r>
  <r>
    <x v="7"/>
    <s v="Other specialised food retailing"/>
    <s v="2023-10-01"/>
    <x v="4"/>
    <s v="October  "/>
    <s v="10"/>
    <n v="138.1"/>
    <n v="11.55"/>
  </r>
  <r>
    <x v="7"/>
    <s v="Other specialised food retailing"/>
    <s v="2023-11-01"/>
    <x v="4"/>
    <s v="November "/>
    <s v="11"/>
    <n v="139.80000000000001"/>
    <n v="9.3000000000000007"/>
  </r>
  <r>
    <x v="7"/>
    <s v="Other specialised food retailing"/>
    <s v="2023-12-01"/>
    <x v="4"/>
    <s v="December "/>
    <s v="12"/>
    <n v="158.69999999999999"/>
    <n v="10.06"/>
  </r>
  <r>
    <x v="7"/>
    <s v="Other specialised food retailing"/>
    <s v="2024-01-01"/>
    <x v="5"/>
    <s v="January  "/>
    <s v="1"/>
    <n v="138.30000000000001"/>
    <n v="7.96"/>
  </r>
  <r>
    <x v="7"/>
    <s v="Other specialised food retailing"/>
    <s v="2024-02-01"/>
    <x v="5"/>
    <s v="February "/>
    <s v="2"/>
    <n v="129.30000000000001"/>
    <n v="11.18"/>
  </r>
  <r>
    <x v="7"/>
    <s v="Other specialised food retailing"/>
    <s v="2024-03-01"/>
    <x v="5"/>
    <s v="March    "/>
    <s v="3"/>
    <n v="145.19999999999999"/>
    <n v="12.91"/>
  </r>
  <r>
    <x v="7"/>
    <s v="Other specialised food retailing"/>
    <s v="2024-04-01"/>
    <x v="5"/>
    <s v="April    "/>
    <s v="4"/>
    <n v="139.19999999999999"/>
    <n v="9.01"/>
  </r>
  <r>
    <x v="7"/>
    <s v="Other specialised food retailing"/>
    <s v="2024-05-01"/>
    <x v="5"/>
    <s v="May      "/>
    <s v="5"/>
    <n v="138.9"/>
    <n v="7.76"/>
  </r>
  <r>
    <x v="7"/>
    <s v="Other specialised food retailing"/>
    <s v="2024-06-01"/>
    <x v="5"/>
    <s v="June     "/>
    <s v="6"/>
    <n v="136.69999999999999"/>
    <n v="11.41"/>
  </r>
  <r>
    <x v="7"/>
    <s v="Other specialised food retailing"/>
    <s v="2024-07-01"/>
    <x v="5"/>
    <s v="July     "/>
    <s v="7"/>
    <n v="144.69999999999999"/>
    <n v="9.9499999999999993"/>
  </r>
  <r>
    <x v="7"/>
    <s v="Other specialised food retailing"/>
    <s v="2024-08-01"/>
    <x v="5"/>
    <s v="August   "/>
    <s v="8"/>
    <n v="145.69999999999999"/>
    <n v="10.97"/>
  </r>
  <r>
    <x v="7"/>
    <s v="Other specialised food retailing"/>
    <s v="2024-09-01"/>
    <x v="5"/>
    <s v="September"/>
    <s v="9"/>
    <n v="139.9"/>
    <n v="7.7"/>
  </r>
  <r>
    <x v="7"/>
    <s v="Other specialised food retailing"/>
    <s v="2024-10-01"/>
    <x v="5"/>
    <s v="October  "/>
    <s v="10"/>
    <n v="147.69999999999999"/>
    <n v="6.95"/>
  </r>
  <r>
    <x v="7"/>
    <s v="Other specialised food retailing"/>
    <s v="2024-11-01"/>
    <x v="5"/>
    <s v="November "/>
    <s v="11"/>
    <n v="148.9"/>
    <n v="6.51"/>
  </r>
  <r>
    <x v="7"/>
    <s v="Other specialised food retailing"/>
    <s v="2024-12-01"/>
    <x v="5"/>
    <s v="December "/>
    <s v="12"/>
    <n v="172.3"/>
    <n v="8.57"/>
  </r>
  <r>
    <x v="7"/>
    <s v="Other specialised food retailing"/>
    <s v="2025-01-01"/>
    <x v="6"/>
    <s v="January  "/>
    <s v="1"/>
    <n v="157.9"/>
    <n v="14.17"/>
  </r>
  <r>
    <x v="7"/>
    <s v="Other specialised food retailing"/>
    <s v="2025-02-01"/>
    <x v="6"/>
    <s v="February "/>
    <s v="2"/>
    <n v="144.5"/>
    <n v="11.76"/>
  </r>
  <r>
    <x v="7"/>
    <s v="Other specialised food retailing"/>
    <s v="2025-03-01"/>
    <x v="6"/>
    <s v="March    "/>
    <s v="3"/>
    <n v="157.6"/>
    <n v="8.5399999999999991"/>
  </r>
  <r>
    <x v="7"/>
    <s v="Other specialised food retailing"/>
    <s v="2025-04-01"/>
    <x v="6"/>
    <s v="April    "/>
    <s v="4"/>
    <n v="152.69999999999999"/>
    <n v="9.6999999999999993"/>
  </r>
  <r>
    <x v="7"/>
    <s v="Other specialised food retailing"/>
    <s v="2025-05-01"/>
    <x v="6"/>
    <s v="May      "/>
    <s v="5"/>
    <n v="154.6"/>
    <n v="11.3"/>
  </r>
  <r>
    <x v="7"/>
    <s v="Other specialised food retailing"/>
    <s v="2025-06-01"/>
    <x v="6"/>
    <s v="June     "/>
    <s v="6"/>
    <n v="149.19999999999999"/>
    <n v="9.14"/>
  </r>
  <r>
    <x v="7"/>
    <s v="Pharmaceutical, cosmetic and toiletry goods retailing"/>
    <s v="2019-01-01"/>
    <x v="0"/>
    <s v="January  "/>
    <s v="1"/>
    <n v="144.4"/>
    <m/>
  </r>
  <r>
    <x v="7"/>
    <s v="Pharmaceutical, cosmetic and toiletry goods retailing"/>
    <s v="2019-02-01"/>
    <x v="0"/>
    <s v="February "/>
    <s v="2"/>
    <n v="137.4"/>
    <m/>
  </r>
  <r>
    <x v="7"/>
    <s v="Pharmaceutical, cosmetic and toiletry goods retailing"/>
    <s v="2019-03-01"/>
    <x v="0"/>
    <s v="March    "/>
    <s v="3"/>
    <n v="146.19999999999999"/>
    <m/>
  </r>
  <r>
    <x v="7"/>
    <s v="Pharmaceutical, cosmetic and toiletry goods retailing"/>
    <s v="2019-04-01"/>
    <x v="0"/>
    <s v="April    "/>
    <s v="4"/>
    <n v="145.19999999999999"/>
    <m/>
  </r>
  <r>
    <x v="7"/>
    <s v="Pharmaceutical, cosmetic and toiletry goods retailing"/>
    <s v="2019-05-01"/>
    <x v="0"/>
    <s v="May      "/>
    <s v="5"/>
    <n v="158.4"/>
    <m/>
  </r>
  <r>
    <x v="7"/>
    <s v="Pharmaceutical, cosmetic and toiletry goods retailing"/>
    <s v="2019-06-01"/>
    <x v="0"/>
    <s v="June     "/>
    <s v="6"/>
    <n v="150"/>
    <m/>
  </r>
  <r>
    <x v="7"/>
    <s v="Pharmaceutical, cosmetic and toiletry goods retailing"/>
    <s v="2019-07-01"/>
    <x v="0"/>
    <s v="July     "/>
    <s v="7"/>
    <n v="159.80000000000001"/>
    <m/>
  </r>
  <r>
    <x v="7"/>
    <s v="Pharmaceutical, cosmetic and toiletry goods retailing"/>
    <s v="2019-08-01"/>
    <x v="0"/>
    <s v="August   "/>
    <s v="8"/>
    <n v="166.9"/>
    <m/>
  </r>
  <r>
    <x v="7"/>
    <s v="Pharmaceutical, cosmetic and toiletry goods retailing"/>
    <s v="2019-09-01"/>
    <x v="0"/>
    <s v="September"/>
    <s v="9"/>
    <n v="155.6"/>
    <m/>
  </r>
  <r>
    <x v="7"/>
    <s v="Pharmaceutical, cosmetic and toiletry goods retailing"/>
    <s v="2019-10-01"/>
    <x v="0"/>
    <s v="October  "/>
    <s v="10"/>
    <n v="160.5"/>
    <m/>
  </r>
  <r>
    <x v="7"/>
    <s v="Pharmaceutical, cosmetic and toiletry goods retailing"/>
    <s v="2019-11-01"/>
    <x v="0"/>
    <s v="November "/>
    <s v="11"/>
    <n v="162.5"/>
    <m/>
  </r>
  <r>
    <x v="7"/>
    <s v="Pharmaceutical, cosmetic and toiletry goods retailing"/>
    <s v="2019-12-01"/>
    <x v="0"/>
    <s v="December "/>
    <s v="12"/>
    <n v="186.5"/>
    <m/>
  </r>
  <r>
    <x v="7"/>
    <s v="Pharmaceutical, cosmetic and toiletry goods retailing"/>
    <s v="2020-01-01"/>
    <x v="1"/>
    <s v="January  "/>
    <s v="1"/>
    <n v="141.4"/>
    <n v="-2.08"/>
  </r>
  <r>
    <x v="7"/>
    <s v="Pharmaceutical, cosmetic and toiletry goods retailing"/>
    <s v="2020-02-01"/>
    <x v="1"/>
    <s v="February "/>
    <s v="2"/>
    <n v="144.69999999999999"/>
    <n v="5.31"/>
  </r>
  <r>
    <x v="7"/>
    <s v="Pharmaceutical, cosmetic and toiletry goods retailing"/>
    <s v="2020-03-01"/>
    <x v="1"/>
    <s v="March    "/>
    <s v="3"/>
    <n v="180.7"/>
    <n v="23.6"/>
  </r>
  <r>
    <x v="7"/>
    <s v="Pharmaceutical, cosmetic and toiletry goods retailing"/>
    <s v="2020-04-01"/>
    <x v="1"/>
    <s v="April    "/>
    <s v="4"/>
    <n v="123.6"/>
    <n v="-14.88"/>
  </r>
  <r>
    <x v="7"/>
    <s v="Pharmaceutical, cosmetic and toiletry goods retailing"/>
    <s v="2020-05-01"/>
    <x v="1"/>
    <s v="May      "/>
    <s v="5"/>
    <n v="144.4"/>
    <n v="-8.84"/>
  </r>
  <r>
    <x v="7"/>
    <s v="Pharmaceutical, cosmetic and toiletry goods retailing"/>
    <s v="2020-06-01"/>
    <x v="1"/>
    <s v="June     "/>
    <s v="6"/>
    <n v="140.1"/>
    <n v="-6.6"/>
  </r>
  <r>
    <x v="7"/>
    <s v="Pharmaceutical, cosmetic and toiletry goods retailing"/>
    <s v="2020-07-01"/>
    <x v="1"/>
    <s v="July     "/>
    <s v="7"/>
    <n v="154.30000000000001"/>
    <n v="-3.44"/>
  </r>
  <r>
    <x v="7"/>
    <s v="Pharmaceutical, cosmetic and toiletry goods retailing"/>
    <s v="2020-08-01"/>
    <x v="1"/>
    <s v="August   "/>
    <s v="8"/>
    <n v="156.9"/>
    <n v="-5.99"/>
  </r>
  <r>
    <x v="7"/>
    <s v="Pharmaceutical, cosmetic and toiletry goods retailing"/>
    <s v="2020-09-01"/>
    <x v="1"/>
    <s v="September"/>
    <s v="9"/>
    <n v="162.1"/>
    <n v="4.18"/>
  </r>
  <r>
    <x v="7"/>
    <s v="Pharmaceutical, cosmetic and toiletry goods retailing"/>
    <s v="2020-10-01"/>
    <x v="1"/>
    <s v="October  "/>
    <s v="10"/>
    <n v="167.7"/>
    <n v="4.49"/>
  </r>
  <r>
    <x v="7"/>
    <s v="Pharmaceutical, cosmetic and toiletry goods retailing"/>
    <s v="2020-11-01"/>
    <x v="1"/>
    <s v="November "/>
    <s v="11"/>
    <n v="169.4"/>
    <n v="4.25"/>
  </r>
  <r>
    <x v="7"/>
    <s v="Pharmaceutical, cosmetic and toiletry goods retailing"/>
    <s v="2020-12-01"/>
    <x v="1"/>
    <s v="December "/>
    <s v="12"/>
    <n v="206.8"/>
    <n v="10.88"/>
  </r>
  <r>
    <x v="7"/>
    <s v="Pharmaceutical, cosmetic and toiletry goods retailing"/>
    <s v="2021-01-01"/>
    <x v="2"/>
    <s v="January  "/>
    <s v="1"/>
    <n v="155.9"/>
    <n v="10.25"/>
  </r>
  <r>
    <x v="7"/>
    <s v="Pharmaceutical, cosmetic and toiletry goods retailing"/>
    <s v="2021-02-01"/>
    <x v="2"/>
    <s v="February "/>
    <s v="2"/>
    <n v="148"/>
    <n v="2.2799999999999998"/>
  </r>
  <r>
    <x v="7"/>
    <s v="Pharmaceutical, cosmetic and toiletry goods retailing"/>
    <s v="2021-03-01"/>
    <x v="2"/>
    <s v="March    "/>
    <s v="3"/>
    <n v="167"/>
    <n v="-7.58"/>
  </r>
  <r>
    <x v="7"/>
    <s v="Pharmaceutical, cosmetic and toiletry goods retailing"/>
    <s v="2021-04-01"/>
    <x v="2"/>
    <s v="April    "/>
    <s v="4"/>
    <n v="151.19999999999999"/>
    <n v="22.33"/>
  </r>
  <r>
    <x v="7"/>
    <s v="Pharmaceutical, cosmetic and toiletry goods retailing"/>
    <s v="2021-05-01"/>
    <x v="2"/>
    <s v="May      "/>
    <s v="5"/>
    <n v="161"/>
    <n v="11.5"/>
  </r>
  <r>
    <x v="7"/>
    <s v="Pharmaceutical, cosmetic and toiletry goods retailing"/>
    <s v="2021-06-01"/>
    <x v="2"/>
    <s v="June     "/>
    <s v="6"/>
    <n v="159.1"/>
    <n v="13.56"/>
  </r>
  <r>
    <x v="7"/>
    <s v="Pharmaceutical, cosmetic and toiletry goods retailing"/>
    <s v="2021-07-01"/>
    <x v="2"/>
    <s v="July     "/>
    <s v="7"/>
    <n v="162.6"/>
    <n v="5.38"/>
  </r>
  <r>
    <x v="7"/>
    <s v="Pharmaceutical, cosmetic and toiletry goods retailing"/>
    <s v="2021-08-01"/>
    <x v="2"/>
    <s v="August   "/>
    <s v="8"/>
    <n v="173.5"/>
    <n v="10.58"/>
  </r>
  <r>
    <x v="7"/>
    <s v="Pharmaceutical, cosmetic and toiletry goods retailing"/>
    <s v="2021-09-01"/>
    <x v="2"/>
    <s v="September"/>
    <s v="9"/>
    <n v="171.7"/>
    <n v="5.92"/>
  </r>
  <r>
    <x v="7"/>
    <s v="Pharmaceutical, cosmetic and toiletry goods retailing"/>
    <s v="2021-10-01"/>
    <x v="2"/>
    <s v="October  "/>
    <s v="10"/>
    <n v="181.6"/>
    <n v="8.2899999999999991"/>
  </r>
  <r>
    <x v="7"/>
    <s v="Pharmaceutical, cosmetic and toiletry goods retailing"/>
    <s v="2021-11-01"/>
    <x v="2"/>
    <s v="November "/>
    <s v="11"/>
    <n v="187.8"/>
    <n v="10.86"/>
  </r>
  <r>
    <x v="7"/>
    <s v="Pharmaceutical, cosmetic and toiletry goods retailing"/>
    <s v="2021-12-01"/>
    <x v="2"/>
    <s v="December "/>
    <s v="12"/>
    <n v="211.8"/>
    <n v="2.42"/>
  </r>
  <r>
    <x v="7"/>
    <s v="Pharmaceutical, cosmetic and toiletry goods retailing"/>
    <s v="2022-01-01"/>
    <x v="3"/>
    <s v="January  "/>
    <s v="1"/>
    <n v="172.1"/>
    <n v="10.39"/>
  </r>
  <r>
    <x v="7"/>
    <s v="Pharmaceutical, cosmetic and toiletry goods retailing"/>
    <s v="2022-02-01"/>
    <x v="3"/>
    <s v="February "/>
    <s v="2"/>
    <n v="176.5"/>
    <n v="19.260000000000002"/>
  </r>
  <r>
    <x v="7"/>
    <s v="Pharmaceutical, cosmetic and toiletry goods retailing"/>
    <s v="2022-03-01"/>
    <x v="3"/>
    <s v="March    "/>
    <s v="3"/>
    <n v="192.7"/>
    <n v="15.39"/>
  </r>
  <r>
    <x v="7"/>
    <s v="Pharmaceutical, cosmetic and toiletry goods retailing"/>
    <s v="2022-04-01"/>
    <x v="3"/>
    <s v="April    "/>
    <s v="4"/>
    <n v="182.5"/>
    <n v="20.7"/>
  </r>
  <r>
    <x v="7"/>
    <s v="Pharmaceutical, cosmetic and toiletry goods retailing"/>
    <s v="2022-05-01"/>
    <x v="3"/>
    <s v="May      "/>
    <s v="5"/>
    <n v="204.6"/>
    <n v="27.08"/>
  </r>
  <r>
    <x v="7"/>
    <s v="Pharmaceutical, cosmetic and toiletry goods retailing"/>
    <s v="2022-06-01"/>
    <x v="3"/>
    <s v="June     "/>
    <s v="6"/>
    <n v="201.1"/>
    <n v="26.4"/>
  </r>
  <r>
    <x v="7"/>
    <s v="Pharmaceutical, cosmetic and toiletry goods retailing"/>
    <s v="2022-07-01"/>
    <x v="3"/>
    <s v="July     "/>
    <s v="7"/>
    <n v="217.1"/>
    <n v="33.520000000000003"/>
  </r>
  <r>
    <x v="7"/>
    <s v="Pharmaceutical, cosmetic and toiletry goods retailing"/>
    <s v="2022-08-01"/>
    <x v="3"/>
    <s v="August   "/>
    <s v="8"/>
    <n v="221"/>
    <n v="27.38"/>
  </r>
  <r>
    <x v="7"/>
    <s v="Pharmaceutical, cosmetic and toiletry goods retailing"/>
    <s v="2022-09-01"/>
    <x v="3"/>
    <s v="September"/>
    <s v="9"/>
    <n v="217"/>
    <n v="26.38"/>
  </r>
  <r>
    <x v="7"/>
    <s v="Pharmaceutical, cosmetic and toiletry goods retailing"/>
    <s v="2022-10-01"/>
    <x v="3"/>
    <s v="October  "/>
    <s v="10"/>
    <n v="230.2"/>
    <n v="26.76"/>
  </r>
  <r>
    <x v="7"/>
    <s v="Pharmaceutical, cosmetic and toiletry goods retailing"/>
    <s v="2022-11-01"/>
    <x v="3"/>
    <s v="November "/>
    <s v="11"/>
    <n v="243.3"/>
    <n v="29.55"/>
  </r>
  <r>
    <x v="7"/>
    <s v="Pharmaceutical, cosmetic and toiletry goods retailing"/>
    <s v="2022-12-01"/>
    <x v="3"/>
    <s v="December "/>
    <s v="12"/>
    <n v="279.2"/>
    <n v="31.82"/>
  </r>
  <r>
    <x v="7"/>
    <s v="Pharmaceutical, cosmetic and toiletry goods retailing"/>
    <s v="2023-01-01"/>
    <x v="4"/>
    <s v="January  "/>
    <s v="1"/>
    <n v="207.5"/>
    <n v="20.57"/>
  </r>
  <r>
    <x v="7"/>
    <s v="Pharmaceutical, cosmetic and toiletry goods retailing"/>
    <s v="2023-02-01"/>
    <x v="4"/>
    <s v="February "/>
    <s v="2"/>
    <n v="204.8"/>
    <n v="16.03"/>
  </r>
  <r>
    <x v="7"/>
    <s v="Pharmaceutical, cosmetic and toiletry goods retailing"/>
    <s v="2023-03-01"/>
    <x v="4"/>
    <s v="March    "/>
    <s v="3"/>
    <n v="230.9"/>
    <n v="19.82"/>
  </r>
  <r>
    <x v="7"/>
    <s v="Pharmaceutical, cosmetic and toiletry goods retailing"/>
    <s v="2023-04-01"/>
    <x v="4"/>
    <s v="April    "/>
    <s v="4"/>
    <n v="221"/>
    <n v="21.1"/>
  </r>
  <r>
    <x v="7"/>
    <s v="Pharmaceutical, cosmetic and toiletry goods retailing"/>
    <s v="2023-05-01"/>
    <x v="4"/>
    <s v="May      "/>
    <s v="5"/>
    <n v="253"/>
    <n v="23.66"/>
  </r>
  <r>
    <x v="7"/>
    <s v="Pharmaceutical, cosmetic and toiletry goods retailing"/>
    <s v="2023-06-01"/>
    <x v="4"/>
    <s v="June     "/>
    <s v="6"/>
    <n v="235.8"/>
    <n v="17.260000000000002"/>
  </r>
  <r>
    <x v="7"/>
    <s v="Pharmaceutical, cosmetic and toiletry goods retailing"/>
    <s v="2023-07-01"/>
    <x v="4"/>
    <s v="July     "/>
    <s v="7"/>
    <n v="238.4"/>
    <n v="9.81"/>
  </r>
  <r>
    <x v="7"/>
    <s v="Pharmaceutical, cosmetic and toiletry goods retailing"/>
    <s v="2023-08-01"/>
    <x v="4"/>
    <s v="August   "/>
    <s v="8"/>
    <n v="253.5"/>
    <n v="14.71"/>
  </r>
  <r>
    <x v="7"/>
    <s v="Pharmaceutical, cosmetic and toiletry goods retailing"/>
    <s v="2023-09-01"/>
    <x v="4"/>
    <s v="September"/>
    <s v="9"/>
    <n v="248.3"/>
    <n v="14.42"/>
  </r>
  <r>
    <x v="7"/>
    <s v="Pharmaceutical, cosmetic and toiletry goods retailing"/>
    <s v="2023-10-01"/>
    <x v="4"/>
    <s v="October  "/>
    <s v="10"/>
    <n v="251"/>
    <n v="9.0399999999999991"/>
  </r>
  <r>
    <x v="7"/>
    <s v="Pharmaceutical, cosmetic and toiletry goods retailing"/>
    <s v="2023-11-01"/>
    <x v="4"/>
    <s v="November "/>
    <s v="11"/>
    <n v="265.3"/>
    <n v="9.0399999999999991"/>
  </r>
  <r>
    <x v="7"/>
    <s v="Pharmaceutical, cosmetic and toiletry goods retailing"/>
    <s v="2023-12-01"/>
    <x v="4"/>
    <s v="December "/>
    <s v="12"/>
    <n v="300.3"/>
    <n v="7.56"/>
  </r>
  <r>
    <x v="7"/>
    <s v="Pharmaceutical, cosmetic and toiletry goods retailing"/>
    <s v="2024-01-01"/>
    <x v="5"/>
    <s v="January  "/>
    <s v="1"/>
    <n v="231.1"/>
    <n v="11.37"/>
  </r>
  <r>
    <x v="7"/>
    <s v="Pharmaceutical, cosmetic and toiletry goods retailing"/>
    <s v="2024-02-01"/>
    <x v="5"/>
    <s v="February "/>
    <s v="2"/>
    <n v="224"/>
    <n v="9.3800000000000008"/>
  </r>
  <r>
    <x v="7"/>
    <s v="Pharmaceutical, cosmetic and toiletry goods retailing"/>
    <s v="2024-03-01"/>
    <x v="5"/>
    <s v="March    "/>
    <s v="3"/>
    <n v="245"/>
    <n v="6.11"/>
  </r>
  <r>
    <x v="7"/>
    <s v="Pharmaceutical, cosmetic and toiletry goods retailing"/>
    <s v="2024-04-01"/>
    <x v="5"/>
    <s v="April    "/>
    <s v="4"/>
    <n v="240.9"/>
    <n v="9"/>
  </r>
  <r>
    <x v="7"/>
    <s v="Pharmaceutical, cosmetic and toiletry goods retailing"/>
    <s v="2024-05-01"/>
    <x v="5"/>
    <s v="May      "/>
    <s v="5"/>
    <n v="268.60000000000002"/>
    <n v="6.17"/>
  </r>
  <r>
    <x v="7"/>
    <s v="Pharmaceutical, cosmetic and toiletry goods retailing"/>
    <s v="2024-06-01"/>
    <x v="5"/>
    <s v="June     "/>
    <s v="6"/>
    <n v="248.5"/>
    <n v="5.39"/>
  </r>
  <r>
    <x v="7"/>
    <s v="Pharmaceutical, cosmetic and toiletry goods retailing"/>
    <s v="2024-07-01"/>
    <x v="5"/>
    <s v="July     "/>
    <s v="7"/>
    <n v="268.2"/>
    <n v="12.5"/>
  </r>
  <r>
    <x v="7"/>
    <s v="Pharmaceutical, cosmetic and toiletry goods retailing"/>
    <s v="2024-08-01"/>
    <x v="5"/>
    <s v="August   "/>
    <s v="8"/>
    <n v="272.5"/>
    <n v="7.5"/>
  </r>
  <r>
    <x v="7"/>
    <s v="Pharmaceutical, cosmetic and toiletry goods retailing"/>
    <s v="2024-09-01"/>
    <x v="5"/>
    <s v="September"/>
    <s v="9"/>
    <n v="259.39999999999998"/>
    <n v="4.47"/>
  </r>
  <r>
    <x v="7"/>
    <s v="Pharmaceutical, cosmetic and toiletry goods retailing"/>
    <s v="2024-10-01"/>
    <x v="5"/>
    <s v="October  "/>
    <s v="10"/>
    <n v="277"/>
    <n v="10.36"/>
  </r>
  <r>
    <x v="7"/>
    <s v="Pharmaceutical, cosmetic and toiletry goods retailing"/>
    <s v="2024-11-01"/>
    <x v="5"/>
    <s v="November "/>
    <s v="11"/>
    <n v="285.89999999999998"/>
    <n v="7.76"/>
  </r>
  <r>
    <x v="7"/>
    <s v="Pharmaceutical, cosmetic and toiletry goods retailing"/>
    <s v="2024-12-01"/>
    <x v="5"/>
    <s v="December "/>
    <s v="12"/>
    <n v="319.8"/>
    <n v="6.49"/>
  </r>
  <r>
    <x v="7"/>
    <s v="Pharmaceutical, cosmetic and toiletry goods retailing"/>
    <s v="2025-01-01"/>
    <x v="6"/>
    <s v="January  "/>
    <s v="1"/>
    <n v="255"/>
    <n v="10.34"/>
  </r>
  <r>
    <x v="7"/>
    <s v="Pharmaceutical, cosmetic and toiletry goods retailing"/>
    <s v="2025-02-01"/>
    <x v="6"/>
    <s v="February "/>
    <s v="2"/>
    <n v="240.6"/>
    <n v="7.41"/>
  </r>
  <r>
    <x v="7"/>
    <s v="Pharmaceutical, cosmetic and toiletry goods retailing"/>
    <s v="2025-03-01"/>
    <x v="6"/>
    <s v="March    "/>
    <s v="3"/>
    <n v="262.10000000000002"/>
    <n v="6.98"/>
  </r>
  <r>
    <x v="7"/>
    <s v="Pharmaceutical, cosmetic and toiletry goods retailing"/>
    <s v="2025-04-01"/>
    <x v="6"/>
    <s v="April    "/>
    <s v="4"/>
    <n v="257.5"/>
    <n v="6.89"/>
  </r>
  <r>
    <x v="7"/>
    <s v="Pharmaceutical, cosmetic and toiletry goods retailing"/>
    <s v="2025-05-01"/>
    <x v="6"/>
    <s v="May      "/>
    <s v="5"/>
    <n v="281.10000000000002"/>
    <n v="4.6500000000000004"/>
  </r>
  <r>
    <x v="7"/>
    <s v="Pharmaceutical, cosmetic and toiletry goods retailing"/>
    <s v="2025-06-01"/>
    <x v="6"/>
    <s v="June     "/>
    <s v="6"/>
    <n v="259.8"/>
    <n v="4.55"/>
  </r>
  <r>
    <x v="7"/>
    <s v="Supermarket and grocery stores"/>
    <s v="2019-01-01"/>
    <x v="0"/>
    <s v="January  "/>
    <s v="1"/>
    <n v="993.1"/>
    <m/>
  </r>
  <r>
    <x v="7"/>
    <s v="Supermarket and grocery stores"/>
    <s v="2019-02-01"/>
    <x v="0"/>
    <s v="February "/>
    <s v="2"/>
    <n v="920.3"/>
    <m/>
  </r>
  <r>
    <x v="7"/>
    <s v="Supermarket and grocery stores"/>
    <s v="2019-03-01"/>
    <x v="0"/>
    <s v="March    "/>
    <s v="3"/>
    <n v="1013.4"/>
    <m/>
  </r>
  <r>
    <x v="7"/>
    <s v="Supermarket and grocery stores"/>
    <s v="2019-04-01"/>
    <x v="0"/>
    <s v="April    "/>
    <s v="4"/>
    <n v="965.5"/>
    <m/>
  </r>
  <r>
    <x v="7"/>
    <s v="Supermarket and grocery stores"/>
    <s v="2019-05-01"/>
    <x v="0"/>
    <s v="May      "/>
    <s v="5"/>
    <n v="986.8"/>
    <m/>
  </r>
  <r>
    <x v="7"/>
    <s v="Supermarket and grocery stores"/>
    <s v="2019-06-01"/>
    <x v="0"/>
    <s v="June     "/>
    <s v="6"/>
    <n v="945.7"/>
    <m/>
  </r>
  <r>
    <x v="7"/>
    <s v="Supermarket and grocery stores"/>
    <s v="2019-07-01"/>
    <x v="0"/>
    <s v="July     "/>
    <s v="7"/>
    <n v="979.1"/>
    <m/>
  </r>
  <r>
    <x v="7"/>
    <s v="Supermarket and grocery stores"/>
    <s v="2019-08-01"/>
    <x v="0"/>
    <s v="August   "/>
    <s v="8"/>
    <n v="1013"/>
    <m/>
  </r>
  <r>
    <x v="7"/>
    <s v="Supermarket and grocery stores"/>
    <s v="2019-09-01"/>
    <x v="0"/>
    <s v="September"/>
    <s v="9"/>
    <n v="977.5"/>
    <m/>
  </r>
  <r>
    <x v="7"/>
    <s v="Supermarket and grocery stores"/>
    <s v="2019-10-01"/>
    <x v="0"/>
    <s v="October  "/>
    <s v="10"/>
    <n v="1037.8"/>
    <m/>
  </r>
  <r>
    <x v="7"/>
    <s v="Supermarket and grocery stores"/>
    <s v="2019-11-01"/>
    <x v="0"/>
    <s v="November "/>
    <s v="11"/>
    <n v="1042.5"/>
    <m/>
  </r>
  <r>
    <x v="7"/>
    <s v="Supermarket and grocery stores"/>
    <s v="2019-12-01"/>
    <x v="0"/>
    <s v="December "/>
    <s v="12"/>
    <n v="1143"/>
    <m/>
  </r>
  <r>
    <x v="7"/>
    <s v="Supermarket and grocery stores"/>
    <s v="2020-01-01"/>
    <x v="1"/>
    <s v="January  "/>
    <s v="1"/>
    <n v="1019.3"/>
    <n v="2.64"/>
  </r>
  <r>
    <x v="7"/>
    <s v="Supermarket and grocery stores"/>
    <s v="2020-02-01"/>
    <x v="1"/>
    <s v="February "/>
    <s v="2"/>
    <n v="991.3"/>
    <n v="7.71"/>
  </r>
  <r>
    <x v="7"/>
    <s v="Supermarket and grocery stores"/>
    <s v="2020-03-01"/>
    <x v="1"/>
    <s v="March    "/>
    <s v="3"/>
    <n v="1282.4000000000001"/>
    <n v="26.54"/>
  </r>
  <r>
    <x v="7"/>
    <s v="Supermarket and grocery stores"/>
    <s v="2020-04-01"/>
    <x v="1"/>
    <s v="April    "/>
    <s v="4"/>
    <n v="1043"/>
    <n v="8.0299999999999994"/>
  </r>
  <r>
    <x v="7"/>
    <s v="Supermarket and grocery stores"/>
    <s v="2020-05-01"/>
    <x v="1"/>
    <s v="May      "/>
    <s v="5"/>
    <n v="1122.2"/>
    <n v="13.72"/>
  </r>
  <r>
    <x v="7"/>
    <s v="Supermarket and grocery stores"/>
    <s v="2020-06-01"/>
    <x v="1"/>
    <s v="June     "/>
    <s v="6"/>
    <n v="1065.7"/>
    <n v="12.69"/>
  </r>
  <r>
    <x v="7"/>
    <s v="Supermarket and grocery stores"/>
    <s v="2020-07-01"/>
    <x v="1"/>
    <s v="July     "/>
    <s v="7"/>
    <n v="1120.2"/>
    <n v="14.41"/>
  </r>
  <r>
    <x v="7"/>
    <s v="Supermarket and grocery stores"/>
    <s v="2020-08-01"/>
    <x v="1"/>
    <s v="August   "/>
    <s v="8"/>
    <n v="1124"/>
    <n v="10.96"/>
  </r>
  <r>
    <x v="7"/>
    <s v="Supermarket and grocery stores"/>
    <s v="2020-09-01"/>
    <x v="1"/>
    <s v="September"/>
    <s v="9"/>
    <n v="1097.4000000000001"/>
    <n v="12.27"/>
  </r>
  <r>
    <x v="7"/>
    <s v="Supermarket and grocery stores"/>
    <s v="2020-10-01"/>
    <x v="1"/>
    <s v="October  "/>
    <s v="10"/>
    <n v="1160.8"/>
    <n v="11.85"/>
  </r>
  <r>
    <x v="7"/>
    <s v="Supermarket and grocery stores"/>
    <s v="2020-11-01"/>
    <x v="1"/>
    <s v="November "/>
    <s v="11"/>
    <n v="1131.9000000000001"/>
    <n v="8.58"/>
  </r>
  <r>
    <x v="7"/>
    <s v="Supermarket and grocery stores"/>
    <s v="2020-12-01"/>
    <x v="1"/>
    <s v="December "/>
    <s v="12"/>
    <n v="1267.8"/>
    <n v="10.92"/>
  </r>
  <r>
    <x v="7"/>
    <s v="Supermarket and grocery stores"/>
    <s v="2021-01-01"/>
    <x v="2"/>
    <s v="January  "/>
    <s v="1"/>
    <n v="1169.9000000000001"/>
    <n v="14.77"/>
  </r>
  <r>
    <x v="7"/>
    <s v="Supermarket and grocery stores"/>
    <s v="2021-02-01"/>
    <x v="2"/>
    <s v="February "/>
    <s v="2"/>
    <n v="1026.4000000000001"/>
    <n v="3.54"/>
  </r>
  <r>
    <x v="7"/>
    <s v="Supermarket and grocery stores"/>
    <s v="2021-03-01"/>
    <x v="2"/>
    <s v="March    "/>
    <s v="3"/>
    <n v="1148"/>
    <n v="-10.48"/>
  </r>
  <r>
    <x v="7"/>
    <s v="Supermarket and grocery stores"/>
    <s v="2021-04-01"/>
    <x v="2"/>
    <s v="April    "/>
    <s v="4"/>
    <n v="1096.5999999999999"/>
    <n v="5.14"/>
  </r>
  <r>
    <x v="7"/>
    <s v="Supermarket and grocery stores"/>
    <s v="2021-05-01"/>
    <x v="2"/>
    <s v="May      "/>
    <s v="5"/>
    <n v="1113.9000000000001"/>
    <n v="-0.74"/>
  </r>
  <r>
    <x v="7"/>
    <s v="Supermarket and grocery stores"/>
    <s v="2021-06-01"/>
    <x v="2"/>
    <s v="June     "/>
    <s v="6"/>
    <n v="1073.5"/>
    <n v="0.73"/>
  </r>
  <r>
    <x v="7"/>
    <s v="Supermarket and grocery stores"/>
    <s v="2021-07-01"/>
    <x v="2"/>
    <s v="July     "/>
    <s v="7"/>
    <n v="1118.0999999999999"/>
    <n v="-0.19"/>
  </r>
  <r>
    <x v="7"/>
    <s v="Supermarket and grocery stores"/>
    <s v="2021-08-01"/>
    <x v="2"/>
    <s v="August   "/>
    <s v="8"/>
    <n v="1109.4000000000001"/>
    <n v="-1.3"/>
  </r>
  <r>
    <x v="7"/>
    <s v="Supermarket and grocery stores"/>
    <s v="2021-09-01"/>
    <x v="2"/>
    <s v="September"/>
    <s v="9"/>
    <n v="1090.2"/>
    <n v="-0.66"/>
  </r>
  <r>
    <x v="7"/>
    <s v="Supermarket and grocery stores"/>
    <s v="2021-10-01"/>
    <x v="2"/>
    <s v="October  "/>
    <s v="10"/>
    <n v="1146.0999999999999"/>
    <n v="-1.27"/>
  </r>
  <r>
    <x v="7"/>
    <s v="Supermarket and grocery stores"/>
    <s v="2021-11-01"/>
    <x v="2"/>
    <s v="November "/>
    <s v="11"/>
    <n v="1136.5"/>
    <n v="0.41"/>
  </r>
  <r>
    <x v="7"/>
    <s v="Supermarket and grocery stores"/>
    <s v="2021-12-01"/>
    <x v="2"/>
    <s v="December "/>
    <s v="12"/>
    <n v="1292.4000000000001"/>
    <n v="1.94"/>
  </r>
  <r>
    <x v="7"/>
    <s v="Supermarket and grocery stores"/>
    <s v="2022-01-01"/>
    <x v="3"/>
    <s v="January  "/>
    <s v="1"/>
    <n v="1230"/>
    <n v="5.14"/>
  </r>
  <r>
    <x v="7"/>
    <s v="Supermarket and grocery stores"/>
    <s v="2022-02-01"/>
    <x v="3"/>
    <s v="February "/>
    <s v="2"/>
    <n v="1036.8"/>
    <n v="1.01"/>
  </r>
  <r>
    <x v="7"/>
    <s v="Supermarket and grocery stores"/>
    <s v="2022-03-01"/>
    <x v="3"/>
    <s v="March    "/>
    <s v="3"/>
    <n v="1175.4000000000001"/>
    <n v="2.39"/>
  </r>
  <r>
    <x v="7"/>
    <s v="Supermarket and grocery stores"/>
    <s v="2022-04-01"/>
    <x v="3"/>
    <s v="April    "/>
    <s v="4"/>
    <n v="1170.5"/>
    <n v="6.74"/>
  </r>
  <r>
    <x v="7"/>
    <s v="Supermarket and grocery stores"/>
    <s v="2022-05-01"/>
    <x v="3"/>
    <s v="May      "/>
    <s v="5"/>
    <n v="1175.9000000000001"/>
    <n v="5.57"/>
  </r>
  <r>
    <x v="7"/>
    <s v="Supermarket and grocery stores"/>
    <s v="2022-06-01"/>
    <x v="3"/>
    <s v="June     "/>
    <s v="6"/>
    <n v="1131"/>
    <n v="5.36"/>
  </r>
  <r>
    <x v="7"/>
    <s v="Supermarket and grocery stores"/>
    <s v="2022-07-01"/>
    <x v="3"/>
    <s v="July     "/>
    <s v="7"/>
    <n v="1172.5"/>
    <n v="4.87"/>
  </r>
  <r>
    <x v="7"/>
    <s v="Supermarket and grocery stores"/>
    <s v="2022-08-01"/>
    <x v="3"/>
    <s v="August   "/>
    <s v="8"/>
    <n v="1184.4000000000001"/>
    <n v="6.76"/>
  </r>
  <r>
    <x v="7"/>
    <s v="Supermarket and grocery stores"/>
    <s v="2022-09-01"/>
    <x v="3"/>
    <s v="September"/>
    <s v="9"/>
    <n v="1179.2"/>
    <n v="8.16"/>
  </r>
  <r>
    <x v="7"/>
    <s v="Supermarket and grocery stores"/>
    <s v="2022-10-01"/>
    <x v="3"/>
    <s v="October  "/>
    <s v="10"/>
    <n v="1241.2"/>
    <n v="8.3000000000000007"/>
  </r>
  <r>
    <x v="7"/>
    <s v="Supermarket and grocery stores"/>
    <s v="2022-11-01"/>
    <x v="3"/>
    <s v="November "/>
    <s v="11"/>
    <n v="1224"/>
    <n v="7.7"/>
  </r>
  <r>
    <x v="7"/>
    <s v="Supermarket and grocery stores"/>
    <s v="2022-12-01"/>
    <x v="3"/>
    <s v="December "/>
    <s v="12"/>
    <n v="1398.7"/>
    <n v="8.23"/>
  </r>
  <r>
    <x v="7"/>
    <s v="Supermarket and grocery stores"/>
    <s v="2023-01-01"/>
    <x v="4"/>
    <s v="January  "/>
    <s v="1"/>
    <n v="1240.7"/>
    <n v="0.87"/>
  </r>
  <r>
    <x v="7"/>
    <s v="Supermarket and grocery stores"/>
    <s v="2023-02-01"/>
    <x v="4"/>
    <s v="February "/>
    <s v="2"/>
    <n v="1148"/>
    <n v="10.73"/>
  </r>
  <r>
    <x v="7"/>
    <s v="Supermarket and grocery stores"/>
    <s v="2023-03-01"/>
    <x v="4"/>
    <s v="March    "/>
    <s v="3"/>
    <n v="1268.3"/>
    <n v="7.9"/>
  </r>
  <r>
    <x v="7"/>
    <s v="Supermarket and grocery stores"/>
    <s v="2023-04-01"/>
    <x v="4"/>
    <s v="April    "/>
    <s v="4"/>
    <n v="1230.2"/>
    <n v="5.0999999999999996"/>
  </r>
  <r>
    <x v="7"/>
    <s v="Supermarket and grocery stores"/>
    <s v="2023-05-01"/>
    <x v="4"/>
    <s v="May      "/>
    <s v="5"/>
    <n v="1245.8"/>
    <n v="5.94"/>
  </r>
  <r>
    <x v="7"/>
    <s v="Supermarket and grocery stores"/>
    <s v="2023-06-01"/>
    <x v="4"/>
    <s v="June     "/>
    <s v="6"/>
    <n v="1198.4000000000001"/>
    <n v="5.96"/>
  </r>
  <r>
    <x v="7"/>
    <s v="Supermarket and grocery stores"/>
    <s v="2023-07-01"/>
    <x v="4"/>
    <s v="July     "/>
    <s v="7"/>
    <n v="1251.0999999999999"/>
    <n v="6.7"/>
  </r>
  <r>
    <x v="7"/>
    <s v="Supermarket and grocery stores"/>
    <s v="2023-08-01"/>
    <x v="4"/>
    <s v="August   "/>
    <s v="8"/>
    <n v="1250.3"/>
    <n v="5.56"/>
  </r>
  <r>
    <x v="7"/>
    <s v="Supermarket and grocery stores"/>
    <s v="2023-09-01"/>
    <x v="4"/>
    <s v="September"/>
    <s v="9"/>
    <n v="1241.5999999999999"/>
    <n v="5.29"/>
  </r>
  <r>
    <x v="7"/>
    <s v="Supermarket and grocery stores"/>
    <s v="2023-10-01"/>
    <x v="4"/>
    <s v="October  "/>
    <s v="10"/>
    <n v="1291.8"/>
    <n v="4.08"/>
  </r>
  <r>
    <x v="7"/>
    <s v="Supermarket and grocery stores"/>
    <s v="2023-11-01"/>
    <x v="4"/>
    <s v="November "/>
    <s v="11"/>
    <n v="1286.5999999999999"/>
    <n v="5.1100000000000003"/>
  </r>
  <r>
    <x v="7"/>
    <s v="Supermarket and grocery stores"/>
    <s v="2023-12-01"/>
    <x v="4"/>
    <s v="December "/>
    <s v="12"/>
    <n v="1424.2"/>
    <n v="1.82"/>
  </r>
  <r>
    <x v="7"/>
    <s v="Supermarket and grocery stores"/>
    <s v="2024-01-01"/>
    <x v="5"/>
    <s v="January  "/>
    <s v="1"/>
    <n v="1269.8"/>
    <n v="2.35"/>
  </r>
  <r>
    <x v="7"/>
    <s v="Supermarket and grocery stores"/>
    <s v="2024-02-01"/>
    <x v="5"/>
    <s v="February "/>
    <s v="2"/>
    <n v="1223.5999999999999"/>
    <n v="6.59"/>
  </r>
  <r>
    <x v="7"/>
    <s v="Supermarket and grocery stores"/>
    <s v="2024-03-01"/>
    <x v="5"/>
    <s v="March    "/>
    <s v="3"/>
    <n v="1328"/>
    <n v="4.71"/>
  </r>
  <r>
    <x v="7"/>
    <s v="Supermarket and grocery stores"/>
    <s v="2024-04-01"/>
    <x v="5"/>
    <s v="April    "/>
    <s v="4"/>
    <n v="1240"/>
    <n v="0.8"/>
  </r>
  <r>
    <x v="7"/>
    <s v="Supermarket and grocery stores"/>
    <s v="2024-05-01"/>
    <x v="5"/>
    <s v="May      "/>
    <s v="5"/>
    <n v="1302.2"/>
    <n v="4.53"/>
  </r>
  <r>
    <x v="7"/>
    <s v="Supermarket and grocery stores"/>
    <s v="2024-06-01"/>
    <x v="5"/>
    <s v="June     "/>
    <s v="6"/>
    <n v="1242.5"/>
    <n v="3.68"/>
  </r>
  <r>
    <x v="7"/>
    <s v="Supermarket and grocery stores"/>
    <s v="2024-07-01"/>
    <x v="5"/>
    <s v="July     "/>
    <s v="7"/>
    <n v="1295.2"/>
    <n v="3.52"/>
  </r>
  <r>
    <x v="7"/>
    <s v="Supermarket and grocery stores"/>
    <s v="2024-08-01"/>
    <x v="5"/>
    <s v="August   "/>
    <s v="8"/>
    <n v="1329.6"/>
    <n v="6.34"/>
  </r>
  <r>
    <x v="7"/>
    <s v="Supermarket and grocery stores"/>
    <s v="2024-09-01"/>
    <x v="5"/>
    <s v="September"/>
    <s v="9"/>
    <n v="1271.5999999999999"/>
    <n v="2.42"/>
  </r>
  <r>
    <x v="7"/>
    <s v="Supermarket and grocery stores"/>
    <s v="2024-10-01"/>
    <x v="5"/>
    <s v="October  "/>
    <s v="10"/>
    <n v="1350.2"/>
    <n v="4.5199999999999996"/>
  </r>
  <r>
    <x v="7"/>
    <s v="Supermarket and grocery stores"/>
    <s v="2024-11-01"/>
    <x v="5"/>
    <s v="November "/>
    <s v="11"/>
    <n v="1343"/>
    <n v="4.38"/>
  </r>
  <r>
    <x v="7"/>
    <s v="Supermarket and grocery stores"/>
    <s v="2024-12-01"/>
    <x v="5"/>
    <s v="December "/>
    <s v="12"/>
    <n v="1479.3"/>
    <n v="3.87"/>
  </r>
  <r>
    <x v="7"/>
    <s v="Supermarket and grocery stores"/>
    <s v="2025-01-01"/>
    <x v="6"/>
    <s v="January  "/>
    <s v="1"/>
    <n v="1329.8"/>
    <n v="4.7300000000000004"/>
  </r>
  <r>
    <x v="7"/>
    <s v="Supermarket and grocery stores"/>
    <s v="2025-02-01"/>
    <x v="6"/>
    <s v="February "/>
    <s v="2"/>
    <n v="1243.4000000000001"/>
    <n v="1.62"/>
  </r>
  <r>
    <x v="7"/>
    <s v="Supermarket and grocery stores"/>
    <s v="2025-03-01"/>
    <x v="6"/>
    <s v="March    "/>
    <s v="3"/>
    <n v="1373.4"/>
    <n v="3.42"/>
  </r>
  <r>
    <x v="7"/>
    <s v="Supermarket and grocery stores"/>
    <s v="2025-04-01"/>
    <x v="6"/>
    <s v="April    "/>
    <s v="4"/>
    <n v="1322.7"/>
    <n v="6.67"/>
  </r>
  <r>
    <x v="7"/>
    <s v="Supermarket and grocery stores"/>
    <s v="2025-05-01"/>
    <x v="6"/>
    <s v="May      "/>
    <s v="5"/>
    <n v="1367.5"/>
    <n v="5.01"/>
  </r>
  <r>
    <x v="7"/>
    <s v="Supermarket and grocery stores"/>
    <s v="2025-06-01"/>
    <x v="6"/>
    <s v="June     "/>
    <s v="6"/>
    <n v="1289"/>
    <n v="3.74"/>
  </r>
  <r>
    <x v="7"/>
    <s v="Takeaway food services"/>
    <s v="2019-01-01"/>
    <x v="0"/>
    <s v="January  "/>
    <s v="1"/>
    <n v="177.1"/>
    <m/>
  </r>
  <r>
    <x v="7"/>
    <s v="Takeaway food services"/>
    <s v="2019-02-01"/>
    <x v="0"/>
    <s v="February "/>
    <s v="2"/>
    <n v="157.5"/>
    <m/>
  </r>
  <r>
    <x v="7"/>
    <s v="Takeaway food services"/>
    <s v="2019-03-01"/>
    <x v="0"/>
    <s v="March    "/>
    <s v="3"/>
    <n v="174.7"/>
    <m/>
  </r>
  <r>
    <x v="7"/>
    <s v="Takeaway food services"/>
    <s v="2019-04-01"/>
    <x v="0"/>
    <s v="April    "/>
    <s v="4"/>
    <n v="172.3"/>
    <m/>
  </r>
  <r>
    <x v="7"/>
    <s v="Takeaway food services"/>
    <s v="2019-05-01"/>
    <x v="0"/>
    <s v="May      "/>
    <s v="5"/>
    <n v="167.2"/>
    <m/>
  </r>
  <r>
    <x v="7"/>
    <s v="Takeaway food services"/>
    <s v="2019-06-01"/>
    <x v="0"/>
    <s v="June     "/>
    <s v="6"/>
    <n v="167.4"/>
    <m/>
  </r>
  <r>
    <x v="7"/>
    <s v="Takeaway food services"/>
    <s v="2019-07-01"/>
    <x v="0"/>
    <s v="July     "/>
    <s v="7"/>
    <n v="176.3"/>
    <m/>
  </r>
  <r>
    <x v="7"/>
    <s v="Takeaway food services"/>
    <s v="2019-08-01"/>
    <x v="0"/>
    <s v="August   "/>
    <s v="8"/>
    <n v="178.1"/>
    <m/>
  </r>
  <r>
    <x v="7"/>
    <s v="Takeaway food services"/>
    <s v="2019-09-01"/>
    <x v="0"/>
    <s v="September"/>
    <s v="9"/>
    <n v="180.5"/>
    <m/>
  </r>
  <r>
    <x v="7"/>
    <s v="Takeaway food services"/>
    <s v="2019-10-01"/>
    <x v="0"/>
    <s v="October  "/>
    <s v="10"/>
    <n v="191.8"/>
    <m/>
  </r>
  <r>
    <x v="7"/>
    <s v="Takeaway food services"/>
    <s v="2019-11-01"/>
    <x v="0"/>
    <s v="November "/>
    <s v="11"/>
    <n v="188.9"/>
    <m/>
  </r>
  <r>
    <x v="7"/>
    <s v="Takeaway food services"/>
    <s v="2019-12-01"/>
    <x v="0"/>
    <s v="December "/>
    <s v="12"/>
    <n v="201.5"/>
    <m/>
  </r>
  <r>
    <x v="7"/>
    <s v="Takeaway food services"/>
    <s v="2020-01-01"/>
    <x v="1"/>
    <s v="January  "/>
    <s v="1"/>
    <n v="191.5"/>
    <n v="8.1300000000000008"/>
  </r>
  <r>
    <x v="7"/>
    <s v="Takeaway food services"/>
    <s v="2020-02-01"/>
    <x v="1"/>
    <s v="February "/>
    <s v="2"/>
    <n v="176.1"/>
    <n v="11.81"/>
  </r>
  <r>
    <x v="7"/>
    <s v="Takeaway food services"/>
    <s v="2020-03-01"/>
    <x v="1"/>
    <s v="March    "/>
    <s v="3"/>
    <n v="171.2"/>
    <n v="-2"/>
  </r>
  <r>
    <x v="7"/>
    <s v="Takeaway food services"/>
    <s v="2020-04-01"/>
    <x v="1"/>
    <s v="April    "/>
    <s v="4"/>
    <n v="157.6"/>
    <n v="-8.5299999999999994"/>
  </r>
  <r>
    <x v="7"/>
    <s v="Takeaway food services"/>
    <s v="2020-05-01"/>
    <x v="1"/>
    <s v="May      "/>
    <s v="5"/>
    <n v="191.9"/>
    <n v="14.77"/>
  </r>
  <r>
    <x v="7"/>
    <s v="Takeaway food services"/>
    <s v="2020-06-01"/>
    <x v="1"/>
    <s v="June     "/>
    <s v="6"/>
    <n v="199.6"/>
    <n v="19.239999999999998"/>
  </r>
  <r>
    <x v="7"/>
    <s v="Takeaway food services"/>
    <s v="2020-07-01"/>
    <x v="1"/>
    <s v="July     "/>
    <s v="7"/>
    <n v="222"/>
    <n v="25.92"/>
  </r>
  <r>
    <x v="7"/>
    <s v="Takeaway food services"/>
    <s v="2020-08-01"/>
    <x v="1"/>
    <s v="August   "/>
    <s v="8"/>
    <n v="224.5"/>
    <n v="26.05"/>
  </r>
  <r>
    <x v="7"/>
    <s v="Takeaway food services"/>
    <s v="2020-09-01"/>
    <x v="1"/>
    <s v="September"/>
    <s v="9"/>
    <n v="220.3"/>
    <n v="22.05"/>
  </r>
  <r>
    <x v="7"/>
    <s v="Takeaway food services"/>
    <s v="2020-10-01"/>
    <x v="1"/>
    <s v="October  "/>
    <s v="10"/>
    <n v="238.6"/>
    <n v="24.4"/>
  </r>
  <r>
    <x v="7"/>
    <s v="Takeaway food services"/>
    <s v="2020-11-01"/>
    <x v="1"/>
    <s v="November "/>
    <s v="11"/>
    <n v="226.9"/>
    <n v="20.12"/>
  </r>
  <r>
    <x v="7"/>
    <s v="Takeaway food services"/>
    <s v="2020-12-01"/>
    <x v="1"/>
    <s v="December "/>
    <s v="12"/>
    <n v="242.6"/>
    <n v="20.399999999999999"/>
  </r>
  <r>
    <x v="7"/>
    <s v="Takeaway food services"/>
    <s v="2021-01-01"/>
    <x v="2"/>
    <s v="January  "/>
    <s v="1"/>
    <n v="232"/>
    <n v="21.15"/>
  </r>
  <r>
    <x v="7"/>
    <s v="Takeaway food services"/>
    <s v="2021-02-01"/>
    <x v="2"/>
    <s v="February "/>
    <s v="2"/>
    <n v="195.2"/>
    <n v="10.85"/>
  </r>
  <r>
    <x v="7"/>
    <s v="Takeaway food services"/>
    <s v="2021-03-01"/>
    <x v="2"/>
    <s v="March    "/>
    <s v="3"/>
    <n v="233.6"/>
    <n v="36.450000000000003"/>
  </r>
  <r>
    <x v="7"/>
    <s v="Takeaway food services"/>
    <s v="2021-04-01"/>
    <x v="2"/>
    <s v="April    "/>
    <s v="4"/>
    <n v="230.8"/>
    <n v="46.45"/>
  </r>
  <r>
    <x v="7"/>
    <s v="Takeaway food services"/>
    <s v="2021-05-01"/>
    <x v="2"/>
    <s v="May      "/>
    <s v="5"/>
    <n v="226.8"/>
    <n v="18.190000000000001"/>
  </r>
  <r>
    <x v="7"/>
    <s v="Takeaway food services"/>
    <s v="2021-06-01"/>
    <x v="2"/>
    <s v="June     "/>
    <s v="6"/>
    <n v="224.3"/>
    <n v="12.37"/>
  </r>
  <r>
    <x v="7"/>
    <s v="Takeaway food services"/>
    <s v="2021-07-01"/>
    <x v="2"/>
    <s v="July     "/>
    <s v="7"/>
    <n v="252.8"/>
    <n v="13.87"/>
  </r>
  <r>
    <x v="7"/>
    <s v="Takeaway food services"/>
    <s v="2021-08-01"/>
    <x v="2"/>
    <s v="August   "/>
    <s v="8"/>
    <n v="250.6"/>
    <n v="11.63"/>
  </r>
  <r>
    <x v="7"/>
    <s v="Takeaway food services"/>
    <s v="2021-09-01"/>
    <x v="2"/>
    <s v="September"/>
    <s v="9"/>
    <n v="256.3"/>
    <n v="16.34"/>
  </r>
  <r>
    <x v="7"/>
    <s v="Takeaway food services"/>
    <s v="2021-10-01"/>
    <x v="2"/>
    <s v="October  "/>
    <s v="10"/>
    <n v="261.89999999999998"/>
    <n v="9.77"/>
  </r>
  <r>
    <x v="7"/>
    <s v="Takeaway food services"/>
    <s v="2021-11-01"/>
    <x v="2"/>
    <s v="November "/>
    <s v="11"/>
    <n v="249.5"/>
    <n v="9.9600000000000009"/>
  </r>
  <r>
    <x v="7"/>
    <s v="Takeaway food services"/>
    <s v="2021-12-01"/>
    <x v="2"/>
    <s v="December "/>
    <s v="12"/>
    <n v="276.60000000000002"/>
    <n v="14.01"/>
  </r>
  <r>
    <x v="7"/>
    <s v="Takeaway food services"/>
    <s v="2022-01-01"/>
    <x v="3"/>
    <s v="January  "/>
    <s v="1"/>
    <n v="255.2"/>
    <n v="10"/>
  </r>
  <r>
    <x v="7"/>
    <s v="Takeaway food services"/>
    <s v="2022-02-01"/>
    <x v="3"/>
    <s v="February "/>
    <s v="2"/>
    <n v="230.8"/>
    <n v="18.239999999999998"/>
  </r>
  <r>
    <x v="7"/>
    <s v="Takeaway food services"/>
    <s v="2022-03-01"/>
    <x v="3"/>
    <s v="March    "/>
    <s v="3"/>
    <n v="251.1"/>
    <n v="7.49"/>
  </r>
  <r>
    <x v="7"/>
    <s v="Takeaway food services"/>
    <s v="2022-04-01"/>
    <x v="3"/>
    <s v="April    "/>
    <s v="4"/>
    <n v="247.5"/>
    <n v="7.24"/>
  </r>
  <r>
    <x v="7"/>
    <s v="Takeaway food services"/>
    <s v="2022-05-01"/>
    <x v="3"/>
    <s v="May      "/>
    <s v="5"/>
    <n v="241.9"/>
    <n v="6.66"/>
  </r>
  <r>
    <x v="7"/>
    <s v="Takeaway food services"/>
    <s v="2022-06-01"/>
    <x v="3"/>
    <s v="June     "/>
    <s v="6"/>
    <n v="244.7"/>
    <n v="9.09"/>
  </r>
  <r>
    <x v="7"/>
    <s v="Takeaway food services"/>
    <s v="2022-07-01"/>
    <x v="3"/>
    <s v="July     "/>
    <s v="7"/>
    <n v="272.39999999999998"/>
    <n v="7.75"/>
  </r>
  <r>
    <x v="7"/>
    <s v="Takeaway food services"/>
    <s v="2022-08-01"/>
    <x v="3"/>
    <s v="August   "/>
    <s v="8"/>
    <n v="260.8"/>
    <n v="4.07"/>
  </r>
  <r>
    <x v="7"/>
    <s v="Takeaway food services"/>
    <s v="2022-09-01"/>
    <x v="3"/>
    <s v="September"/>
    <s v="9"/>
    <n v="269.39999999999998"/>
    <n v="5.1100000000000003"/>
  </r>
  <r>
    <x v="7"/>
    <s v="Takeaway food services"/>
    <s v="2022-10-01"/>
    <x v="3"/>
    <s v="October  "/>
    <s v="10"/>
    <n v="280.60000000000002"/>
    <n v="7.14"/>
  </r>
  <r>
    <x v="7"/>
    <s v="Takeaway food services"/>
    <s v="2022-11-01"/>
    <x v="3"/>
    <s v="November "/>
    <s v="11"/>
    <n v="276.89999999999998"/>
    <n v="10.98"/>
  </r>
  <r>
    <x v="7"/>
    <s v="Takeaway food services"/>
    <s v="2022-12-01"/>
    <x v="3"/>
    <s v="December "/>
    <s v="12"/>
    <n v="301.39999999999998"/>
    <n v="8.9700000000000006"/>
  </r>
  <r>
    <x v="7"/>
    <s v="Takeaway food services"/>
    <s v="2023-01-01"/>
    <x v="4"/>
    <s v="January  "/>
    <s v="1"/>
    <n v="279.10000000000002"/>
    <n v="9.3699999999999992"/>
  </r>
  <r>
    <x v="7"/>
    <s v="Takeaway food services"/>
    <s v="2023-02-01"/>
    <x v="4"/>
    <s v="February "/>
    <s v="2"/>
    <n v="252.6"/>
    <n v="9.4499999999999993"/>
  </r>
  <r>
    <x v="7"/>
    <s v="Takeaway food services"/>
    <s v="2023-03-01"/>
    <x v="4"/>
    <s v="March    "/>
    <s v="3"/>
    <n v="292.60000000000002"/>
    <n v="16.53"/>
  </r>
  <r>
    <x v="7"/>
    <s v="Takeaway food services"/>
    <s v="2023-04-01"/>
    <x v="4"/>
    <s v="April    "/>
    <s v="4"/>
    <n v="285.60000000000002"/>
    <n v="15.39"/>
  </r>
  <r>
    <x v="7"/>
    <s v="Takeaway food services"/>
    <s v="2023-05-01"/>
    <x v="4"/>
    <s v="May      "/>
    <s v="5"/>
    <n v="280.10000000000002"/>
    <n v="15.79"/>
  </r>
  <r>
    <x v="7"/>
    <s v="Takeaway food services"/>
    <s v="2023-06-01"/>
    <x v="4"/>
    <s v="June     "/>
    <s v="6"/>
    <n v="287.39999999999998"/>
    <n v="17.45"/>
  </r>
  <r>
    <x v="7"/>
    <s v="Takeaway food services"/>
    <s v="2023-07-01"/>
    <x v="4"/>
    <s v="July     "/>
    <s v="7"/>
    <n v="309.5"/>
    <n v="13.62"/>
  </r>
  <r>
    <x v="7"/>
    <s v="Takeaway food services"/>
    <s v="2023-08-01"/>
    <x v="4"/>
    <s v="August   "/>
    <s v="8"/>
    <n v="297.89999999999998"/>
    <n v="14.23"/>
  </r>
  <r>
    <x v="7"/>
    <s v="Takeaway food services"/>
    <s v="2023-09-01"/>
    <x v="4"/>
    <s v="September"/>
    <s v="9"/>
    <n v="302"/>
    <n v="12.1"/>
  </r>
  <r>
    <x v="7"/>
    <s v="Takeaway food services"/>
    <s v="2023-10-01"/>
    <x v="4"/>
    <s v="October  "/>
    <s v="10"/>
    <n v="305.7"/>
    <n v="8.9499999999999993"/>
  </r>
  <r>
    <x v="7"/>
    <s v="Takeaway food services"/>
    <s v="2023-11-01"/>
    <x v="4"/>
    <s v="November "/>
    <s v="11"/>
    <n v="298.2"/>
    <n v="7.69"/>
  </r>
  <r>
    <x v="7"/>
    <s v="Takeaway food services"/>
    <s v="2023-12-01"/>
    <x v="4"/>
    <s v="December "/>
    <s v="12"/>
    <n v="326.10000000000002"/>
    <n v="8.1999999999999993"/>
  </r>
  <r>
    <x v="7"/>
    <s v="Takeaway food services"/>
    <s v="2024-01-01"/>
    <x v="5"/>
    <s v="January  "/>
    <s v="1"/>
    <n v="296"/>
    <n v="6.06"/>
  </r>
  <r>
    <x v="7"/>
    <s v="Takeaway food services"/>
    <s v="2024-02-01"/>
    <x v="5"/>
    <s v="February "/>
    <s v="2"/>
    <n v="271.10000000000002"/>
    <n v="7.32"/>
  </r>
  <r>
    <x v="7"/>
    <s v="Takeaway food services"/>
    <s v="2024-03-01"/>
    <x v="5"/>
    <s v="March    "/>
    <s v="3"/>
    <n v="297.60000000000002"/>
    <n v="1.71"/>
  </r>
  <r>
    <x v="7"/>
    <s v="Takeaway food services"/>
    <s v="2024-04-01"/>
    <x v="5"/>
    <s v="April    "/>
    <s v="4"/>
    <n v="286.7"/>
    <n v="0.39"/>
  </r>
  <r>
    <x v="7"/>
    <s v="Takeaway food services"/>
    <s v="2024-05-01"/>
    <x v="5"/>
    <s v="May      "/>
    <s v="5"/>
    <n v="287.39999999999998"/>
    <n v="2.61"/>
  </r>
  <r>
    <x v="7"/>
    <s v="Takeaway food services"/>
    <s v="2024-06-01"/>
    <x v="5"/>
    <s v="June     "/>
    <s v="6"/>
    <n v="290.7"/>
    <n v="1.1499999999999999"/>
  </r>
  <r>
    <x v="7"/>
    <s v="Takeaway food services"/>
    <s v="2024-07-01"/>
    <x v="5"/>
    <s v="July     "/>
    <s v="7"/>
    <n v="310.3"/>
    <n v="0.26"/>
  </r>
  <r>
    <x v="7"/>
    <s v="Takeaway food services"/>
    <s v="2024-08-01"/>
    <x v="5"/>
    <s v="August   "/>
    <s v="8"/>
    <n v="308.8"/>
    <n v="3.66"/>
  </r>
  <r>
    <x v="7"/>
    <s v="Takeaway food services"/>
    <s v="2024-09-01"/>
    <x v="5"/>
    <s v="September"/>
    <s v="9"/>
    <n v="304.60000000000002"/>
    <n v="0.86"/>
  </r>
  <r>
    <x v="7"/>
    <s v="Takeaway food services"/>
    <s v="2024-10-01"/>
    <x v="5"/>
    <s v="October  "/>
    <s v="10"/>
    <n v="306.10000000000002"/>
    <n v="0.13"/>
  </r>
  <r>
    <x v="7"/>
    <s v="Takeaway food services"/>
    <s v="2024-11-01"/>
    <x v="5"/>
    <s v="November "/>
    <s v="11"/>
    <n v="297"/>
    <n v="-0.4"/>
  </r>
  <r>
    <x v="7"/>
    <s v="Takeaway food services"/>
    <s v="2024-12-01"/>
    <x v="5"/>
    <s v="December "/>
    <s v="12"/>
    <n v="320.89999999999998"/>
    <n v="-1.59"/>
  </r>
  <r>
    <x v="7"/>
    <s v="Takeaway food services"/>
    <s v="2025-01-01"/>
    <x v="6"/>
    <s v="January  "/>
    <s v="1"/>
    <n v="295.39999999999998"/>
    <n v="-0.2"/>
  </r>
  <r>
    <x v="7"/>
    <s v="Takeaway food services"/>
    <s v="2025-02-01"/>
    <x v="6"/>
    <s v="February "/>
    <s v="2"/>
    <n v="269"/>
    <n v="-0.77"/>
  </r>
  <r>
    <x v="7"/>
    <s v="Takeaway food services"/>
    <s v="2025-03-01"/>
    <x v="6"/>
    <s v="March    "/>
    <s v="3"/>
    <n v="307.7"/>
    <n v="3.39"/>
  </r>
  <r>
    <x v="7"/>
    <s v="Takeaway food services"/>
    <s v="2025-04-01"/>
    <x v="6"/>
    <s v="April    "/>
    <s v="4"/>
    <n v="307.89999999999998"/>
    <n v="7.39"/>
  </r>
  <r>
    <x v="7"/>
    <s v="Takeaway food services"/>
    <s v="2025-05-01"/>
    <x v="6"/>
    <s v="May      "/>
    <s v="5"/>
    <n v="306.7"/>
    <n v="6.72"/>
  </r>
  <r>
    <x v="7"/>
    <s v="Takeaway food services"/>
    <s v="2025-06-01"/>
    <x v="6"/>
    <s v="June     "/>
    <s v="6"/>
    <n v="298.60000000000002"/>
    <n v="2.7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n v="1701697.5"/>
    <n v="1"/>
  </r>
  <r>
    <x v="1"/>
    <n v="413523.3"/>
    <n v="2"/>
  </r>
  <r>
    <x v="2"/>
    <n v="334806.3"/>
    <n v="3"/>
  </r>
  <r>
    <x v="3"/>
    <n v="313843.8"/>
    <n v="4"/>
  </r>
  <r>
    <x v="4"/>
    <n v="301449.2"/>
    <n v="5"/>
  </r>
  <r>
    <x v="5"/>
    <n v="292825.59999999998"/>
    <n v="6"/>
  </r>
  <r>
    <x v="6"/>
    <n v="290729.90000000002"/>
    <n v="7"/>
  </r>
  <r>
    <x v="7"/>
    <n v="285351.90000000002"/>
    <n v="8"/>
  </r>
  <r>
    <x v="8"/>
    <n v="265884.90000000002"/>
    <n v="9"/>
  </r>
  <r>
    <x v="9"/>
    <n v="231461.2"/>
    <n v="10"/>
  </r>
  <r>
    <x v="10"/>
    <n v="145371.6"/>
    <n v="11"/>
  </r>
  <r>
    <x v="11"/>
    <n v="131569.79999999999"/>
    <n v="12"/>
  </r>
  <r>
    <x v="12"/>
    <n v="114602.1"/>
    <n v="13"/>
  </r>
  <r>
    <x v="13"/>
    <n v="89544.3"/>
    <n v="14"/>
  </r>
  <r>
    <x v="14"/>
    <n v="47878.9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C2D5C-33E2-49B0-969C-96270A0A1D0C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State" colHeaderCaption="Year">
  <location ref="F1:M10" firstHeaderRow="1" firstDataRow="2" firstDataCol="1"/>
  <pivotFields count="8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numFmtId="14" showAll="0"/>
    <pivotField axis="axisCol" numFmtId="1" showAll="0">
      <items count="15">
        <item m="1" x="7"/>
        <item m="1" x="8"/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3"/>
  </colFields>
  <colItems count="7">
    <i>
      <x v="7"/>
    </i>
    <i>
      <x v="8"/>
    </i>
    <i>
      <x v="9"/>
    </i>
    <i>
      <x v="10"/>
    </i>
    <i>
      <x v="11"/>
    </i>
    <i>
      <x v="12"/>
    </i>
    <i>
      <x v="13"/>
    </i>
  </colItems>
  <dataFields count="1">
    <dataField name="Average of Turnover ($ Millions)" fld="6" subtotal="average" baseField="0" baseItem="0" numFmtId="164"/>
  </dataFields>
  <formats count="14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3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fieldPosition="0">
        <references count="1">
          <reference field="3" count="0"/>
        </references>
      </pivotArea>
    </format>
    <format dxfId="41">
      <pivotArea type="origin" dataOnly="0" labelOnly="1" outline="0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type="origin" dataOnly="0" labelOnly="1" outline="0" fieldPosition="0"/>
    </format>
    <format dxfId="37">
      <pivotArea field="3" type="button" dataOnly="0" labelOnly="1" outline="0" axis="axisCol" fieldPosition="0"/>
    </format>
    <format dxfId="36">
      <pivotArea type="topRight" dataOnly="0" labelOnly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</chart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4274C-3413-4A46-B434-B893AA587A10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 rowHeaderCaption="Year">
  <location ref="G11:H19" firstHeaderRow="1" firstDataRow="1" firstDataCol="1"/>
  <pivotFields count="5">
    <pivotField numFmtId="14" showAll="0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 sd="0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6" showAll="0"/>
  </pivotFields>
  <rowFields count="2">
    <field x="1"/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ational Retail Turnover ($ Millions)" fld="4" baseField="0" baseItem="0" numFmtId="166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6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4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370C9-ED3F-46DE-8C09-EE433EC7E083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2" rowHeaderCaption="Industries">
  <location ref="A1:B7" firstHeaderRow="1" firstDataRow="1" firstDataCol="1"/>
  <pivotFields count="4">
    <pivotField showAll="0" sortType="descending">
      <items count="21">
        <item x="1"/>
        <item m="1" x="18"/>
        <item x="8"/>
        <item m="1" x="19"/>
        <item x="5"/>
        <item x="2"/>
        <item m="1" x="15"/>
        <item x="11"/>
        <item x="9"/>
        <item x="4"/>
        <item m="1" x="16"/>
        <item x="10"/>
        <item x="14"/>
        <item x="13"/>
        <item m="1" x="17"/>
        <item x="3"/>
        <item x="12"/>
        <item x="6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Row" showAll="0" sortType="descending" defaultSubtotal="0">
      <items count="11">
        <item x="1"/>
        <item x="8"/>
        <item n="Other industrial categories" x="10"/>
        <item x="9"/>
        <item x="2"/>
        <item x="5"/>
        <item x="4"/>
        <item x="6"/>
        <item x="7"/>
        <item x="3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2"/>
    </i>
    <i>
      <x v="10"/>
    </i>
    <i>
      <x/>
    </i>
    <i>
      <x v="4"/>
    </i>
    <i>
      <x v="9"/>
    </i>
    <i>
      <x v="6"/>
    </i>
  </rowItems>
  <colItems count="1">
    <i/>
  </colItems>
  <dataFields count="1">
    <dataField name="Total turnover ($ Millions)" fld="1" baseField="0" baseItem="0" numFmtId="167"/>
  </dataFields>
  <formats count="16">
    <format dxfId="17">
      <pivotArea field="0" type="button" dataOnly="0" labelOnly="1" outline="0"/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dataOnly="0" labelOnly="1" outline="0" axis="axisValues" fieldPosition="0"/>
    </format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field="3" type="button" dataOnly="0" labelOnly="1" outline="0" axis="axisRow" fieldPosition="0"/>
    </format>
    <format dxfId="2">
      <pivotArea dataOnly="0" labelOnly="1" outline="0" axis="axisValues" fieldPosition="0"/>
    </format>
  </formats>
  <chartFormats count="15"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98E30E-F7A4-437D-9069-520FBA4238F7}" autoFormatId="16" applyNumberFormats="0" applyBorderFormats="0" applyFontFormats="0" applyPatternFormats="0" applyAlignmentFormats="0" applyWidthHeightFormats="0">
  <queryTableRefresh nextId="4">
    <queryTableFields count="3">
      <queryTableField id="1" name="industry" tableColumnId="1"/>
      <queryTableField id="2" name="total_turnover_m" tableColumnId="2"/>
      <queryTableField id="3" name="industry_rank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0F0234A-CB6E-4494-9615-36D6A6341343}" autoFormatId="16" applyNumberFormats="0" applyBorderFormats="0" applyFontFormats="0" applyPatternFormats="0" applyAlignmentFormats="0" applyWidthHeightFormats="0">
  <queryTableRefresh nextId="10">
    <queryTableFields count="8">
      <queryTableField id="1" name="state" tableColumnId="1"/>
      <queryTableField id="2" name="industry" tableColumnId="2"/>
      <queryTableField id="3" name="reporting_date" tableColumnId="3"/>
      <queryTableField id="4" name="year" tableColumnId="4"/>
      <queryTableField id="5" name="month" tableColumnId="5"/>
      <queryTableField id="6" name="month_no" tableColumnId="6"/>
      <queryTableField id="7" name="turnover_millions" tableColumnId="7"/>
      <queryTableField id="9" name="yoy_growth_pct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BEFEEC9-BC10-4970-9F2C-C6236916C310}" autoFormatId="16" applyNumberFormats="0" applyBorderFormats="0" applyFontFormats="0" applyPatternFormats="0" applyAlignmentFormats="0" applyWidthHeightFormats="0">
  <queryTableRefresh nextId="6">
    <queryTableFields count="5">
      <queryTableField id="1" name="reporting_date" tableColumnId="1"/>
      <queryTableField id="2" name="year" tableColumnId="2"/>
      <queryTableField id="3" name="month" tableColumnId="3"/>
      <queryTableField id="4" name="month_no" tableColumnId="4"/>
      <queryTableField id="5" name="national_turnover_m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5D80B3-23BD-4466-90C3-4232C4941020}" name="state_summary__3" displayName="state_summary__3" ref="A1:C9" totalsRowShown="0" headerRowDxfId="35">
  <autoFilter ref="A1:C9" xr:uid="{2F5D80B3-23BD-4466-90C3-4232C4941020}"/>
  <tableColumns count="3">
    <tableColumn id="1" xr3:uid="{2A75EBA6-0303-4CF0-ADDB-32A97BCCFC35}" name="State" dataDxfId="34"/>
    <tableColumn id="2" xr3:uid="{6F4CE763-E1F0-4C51-BAE1-B482FADC4825}" name="total_turnover_m"/>
    <tableColumn id="3" xr3:uid="{1D7FECB3-51A7-4BA7-BC2D-E2DFE3F9AF82}" name="avg_monthly_turnover_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6F7EDC-45A5-4A06-855E-E131857559CD}" name="industry_rank" displayName="industry_rank" ref="A1:C16" tableType="queryTable" totalsRowShown="0" headerRowDxfId="33">
  <autoFilter ref="A1:C16" xr:uid="{656F7EDC-45A5-4A06-855E-E131857559CD}"/>
  <tableColumns count="3">
    <tableColumn id="1" xr3:uid="{EBA444E5-EC04-4B38-AE0A-23FF2F56D72C}" uniqueName="1" name="industry" queryTableFieldId="1" dataDxfId="32"/>
    <tableColumn id="2" xr3:uid="{3C9FD03A-81B4-4016-A922-A49AC94686EB}" uniqueName="2" name="total_turnover_m" queryTableFieldId="2" dataDxfId="31"/>
    <tableColumn id="3" xr3:uid="{850560E5-D75E-48DE-9A06-68E26505DB8F}" uniqueName="3" name="industry_rank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BCD26C-6AC4-4109-89A6-00C063F0FD09}" name="yoy_growth" displayName="yoy_growth" ref="A1:H8581" tableType="queryTable" totalsRowShown="0" headerRowDxfId="30">
  <autoFilter ref="A1:H8581" xr:uid="{1ABCD26C-6AC4-4109-89A6-00C063F0FD09}"/>
  <tableColumns count="8">
    <tableColumn id="1" xr3:uid="{A3D6D95F-4787-460A-833A-F17026504B84}" uniqueName="1" name="state" queryTableFieldId="1" dataDxfId="29"/>
    <tableColumn id="2" xr3:uid="{63B120E2-4B72-4CD5-ABFE-68023E095374}" uniqueName="2" name="industry" queryTableFieldId="2" dataDxfId="28"/>
    <tableColumn id="3" xr3:uid="{1A659594-3158-415B-AE5C-5F619549CDFA}" uniqueName="3" name="reporting_date" queryTableFieldId="3" dataDxfId="27"/>
    <tableColumn id="4" xr3:uid="{7485D230-82F8-456A-A6AD-D8C21F7FD361}" uniqueName="4" name="year" queryTableFieldId="4" dataDxfId="26"/>
    <tableColumn id="5" xr3:uid="{5A5B940F-6C55-4C09-AE9D-0F7F7F5E0CEE}" uniqueName="5" name="month" queryTableFieldId="5" dataDxfId="25"/>
    <tableColumn id="6" xr3:uid="{C6203B30-9A1B-4809-92F5-946BF43F4C76}" uniqueName="6" name="month_no" queryTableFieldId="6" dataDxfId="24"/>
    <tableColumn id="7" xr3:uid="{04D2B017-0D9F-42CB-8263-3A4F8B09A5DE}" uniqueName="7" name="turnover_millions" queryTableFieldId="7" dataDxfId="23"/>
    <tableColumn id="9" xr3:uid="{9596DD7D-F3E2-45D2-A0AF-ED5C50CA398C}" uniqueName="9" name="yoy_growth_pct" queryTableFieldId="9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F60041-672F-4539-A113-D3CB89F36CD1}" name="monthly_trend" displayName="monthly_trend" ref="A1:E79" tableType="queryTable" totalsRowShown="0" headerRowDxfId="21">
  <autoFilter ref="A1:E79" xr:uid="{22F60041-672F-4539-A113-D3CB89F36CD1}"/>
  <sortState xmlns:xlrd2="http://schemas.microsoft.com/office/spreadsheetml/2017/richdata2" ref="A2:E79">
    <sortCondition ref="A1:A79"/>
  </sortState>
  <tableColumns count="5">
    <tableColumn id="1" xr3:uid="{2B9D5487-D8E6-494F-9ECC-B18F8ADB8E8A}" uniqueName="1" name="reporting_date" queryTableFieldId="1" dataDxfId="20"/>
    <tableColumn id="2" xr3:uid="{AB1FA4BF-2364-48BF-A91D-53509BEFCC2E}" uniqueName="2" name="year" queryTableFieldId="2"/>
    <tableColumn id="3" xr3:uid="{1B98C3F6-3AB8-479D-BD69-6F19991ABC2A}" uniqueName="3" name="month" queryTableFieldId="3" dataDxfId="19"/>
    <tableColumn id="4" xr3:uid="{4A00431D-6003-4E2F-88F1-49B06A3E711A}" uniqueName="4" name="month_no" queryTableFieldId="4"/>
    <tableColumn id="5" xr3:uid="{EC6023F2-C567-4F67-97B3-3B7E2804E68F}" uniqueName="5" name="national_turnover_m" queryTableFieldId="5" dataDxfId="18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reporting_date" xr10:uid="{B03D0099-005A-414D-A2BC-A0A87222FAC1}" sourceName="reporting_date">
  <pivotTables>
    <pivotTable tabId="5" name="PivotTable5"/>
  </pivotTables>
  <state minimalRefreshVersion="6" lastRefreshVersion="6" pivotCacheId="1339735483" filterType="unknown">
    <bounds startDate="2019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porting_date 1" xr10:uid="{67A72E91-6414-44BE-8ADD-5606A4EBB806}" cache="NativeTimeline_reporting_date" caption="Timeline (2019 to mid-2025)" showSelectionLabel="0" level="2" selectionLevel="2" scrollPosition="2019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reporting_date" xr10:uid="{DE7CB1AE-0C61-4D94-9888-A3415301A35D}" cache="NativeTimeline_reporting_date" caption="reporting_date" level="2" selectionLevel="2" scrollPosition="2025-05-19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F24F6-CD32-4B77-A332-5377A86192B3}">
  <sheetPr>
    <tabColor theme="7" tint="-0.249977111117893"/>
  </sheetPr>
  <dimension ref="A1:AV150"/>
  <sheetViews>
    <sheetView showGridLines="0" tabSelected="1" zoomScale="39" zoomScaleNormal="34" workbookViewId="0">
      <selection activeCell="AN36" sqref="AN36"/>
    </sheetView>
  </sheetViews>
  <sheetFormatPr defaultRowHeight="14.4" x14ac:dyDescent="0.3"/>
  <cols>
    <col min="5" max="5" width="23.33203125" customWidth="1"/>
    <col min="6" max="6" width="5.5546875" customWidth="1"/>
    <col min="7" max="7" width="16.33203125" customWidth="1"/>
    <col min="8" max="8" width="15.33203125" customWidth="1"/>
    <col min="9" max="9" width="23.6640625" customWidth="1"/>
    <col min="10" max="10" width="5.44140625" customWidth="1"/>
    <col min="11" max="11" width="18.5546875" bestFit="1" customWidth="1"/>
    <col min="12" max="12" width="20.109375" customWidth="1"/>
    <col min="13" max="13" width="4.88671875" customWidth="1"/>
    <col min="14" max="14" width="11.6640625" bestFit="1" customWidth="1"/>
    <col min="16" max="16" width="8.88671875" customWidth="1"/>
    <col min="20" max="20" width="12" customWidth="1"/>
  </cols>
  <sheetData>
    <row r="1" spans="1:48" ht="32.4" customHeight="1" x14ac:dyDescent="0.3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</row>
    <row r="2" spans="1:48" ht="33" x14ac:dyDescent="0.6">
      <c r="A2" s="46"/>
      <c r="B2" s="47" t="s">
        <v>47</v>
      </c>
      <c r="C2" s="48"/>
      <c r="D2" s="48"/>
      <c r="E2" s="48"/>
      <c r="F2" s="48"/>
      <c r="G2" s="48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6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ht="20.399999999999999" x14ac:dyDescent="0.35">
      <c r="A3" s="46"/>
      <c r="B3" s="50" t="s">
        <v>48</v>
      </c>
      <c r="C3" s="50"/>
      <c r="D3" s="50"/>
      <c r="E3" s="50"/>
      <c r="F3" s="50"/>
      <c r="G3" s="50"/>
      <c r="H3" s="50"/>
      <c r="I3" s="50"/>
      <c r="J3" s="50"/>
      <c r="K3" s="50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6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ht="28.8" customHeight="1" thickBot="1" x14ac:dyDescent="0.35">
      <c r="A4" s="46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6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ht="15" thickTop="1" x14ac:dyDescent="0.3">
      <c r="A5" s="46"/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3"/>
      <c r="N5" s="53"/>
      <c r="O5" s="53"/>
      <c r="P5" s="53"/>
      <c r="Q5" s="53"/>
      <c r="R5" s="53"/>
      <c r="S5" s="53"/>
      <c r="T5" s="53"/>
      <c r="U5" s="54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6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ht="21" x14ac:dyDescent="0.3">
      <c r="A6" s="46"/>
      <c r="B6" s="55"/>
      <c r="C6" s="56" t="s">
        <v>49</v>
      </c>
      <c r="D6" s="56"/>
      <c r="E6" s="56"/>
      <c r="F6" s="57"/>
      <c r="G6" s="58" t="s">
        <v>50</v>
      </c>
      <c r="H6" s="58"/>
      <c r="I6" s="58"/>
      <c r="J6" s="49"/>
      <c r="K6" s="56" t="s">
        <v>51</v>
      </c>
      <c r="L6" s="56"/>
      <c r="M6" s="49"/>
      <c r="N6" s="59" t="s">
        <v>52</v>
      </c>
      <c r="O6" s="59"/>
      <c r="P6" s="59"/>
      <c r="Q6" s="59"/>
      <c r="R6" s="59"/>
      <c r="S6" s="59"/>
      <c r="T6" s="59"/>
      <c r="U6" s="60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6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ht="32.4" x14ac:dyDescent="0.55000000000000004">
      <c r="A7" s="46"/>
      <c r="B7" s="55"/>
      <c r="C7" s="61" t="str">
        <f xml:space="preserve"> ROUND(SUMIF(monthly_trend[year],2024,monthly_trend[national_turnover_m])/1000,1)&amp;" B"</f>
        <v>428.5 B</v>
      </c>
      <c r="D7" s="61"/>
      <c r="E7" s="61"/>
      <c r="F7" s="49"/>
      <c r="G7" s="62" t="str">
        <f>ROUND(AVERAGEIFS(yoy_growth[yoy_growth_pct],yoy_growth[year],2024),1)&amp;"%"</f>
        <v>3.5%</v>
      </c>
      <c r="H7" s="62"/>
      <c r="I7" s="62"/>
      <c r="J7" s="49"/>
      <c r="K7" s="62" t="str">
        <f>INDEX(state_summary!A2:A9,MATCH(MAX(state_summary!B2:B9),state_summary!B2:B9,0))</f>
        <v>New South Wales</v>
      </c>
      <c r="L7" s="62"/>
      <c r="M7" s="49"/>
      <c r="N7" s="62" t="str">
        <f>INDEX(industry_rank[industry],MATCH(1,industry_rank[industry_rank],0))</f>
        <v>Supermarket and grocery stores</v>
      </c>
      <c r="O7" s="62"/>
      <c r="P7" s="62"/>
      <c r="Q7" s="62"/>
      <c r="R7" s="62"/>
      <c r="S7" s="62"/>
      <c r="T7" s="62"/>
      <c r="U7" s="60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6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ht="15" thickBot="1" x14ac:dyDescent="0.35">
      <c r="A8" s="46"/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5"/>
      <c r="O8" s="65"/>
      <c r="P8" s="65"/>
      <c r="Q8" s="65"/>
      <c r="R8" s="65"/>
      <c r="S8" s="65"/>
      <c r="T8" s="65"/>
      <c r="U8" s="66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6"/>
      <c r="AM8" s="8"/>
      <c r="AN8" s="8"/>
      <c r="AP8" s="8"/>
      <c r="AQ8" s="8"/>
      <c r="AR8" s="8"/>
      <c r="AS8" s="8"/>
      <c r="AT8" s="8"/>
      <c r="AU8" s="8"/>
      <c r="AV8" s="8"/>
    </row>
    <row r="9" spans="1:48" ht="15" thickTop="1" x14ac:dyDescent="0.3">
      <c r="A9" s="46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6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3">
      <c r="A10" s="46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6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3">
      <c r="A11" s="46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6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3">
      <c r="A12" s="46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6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3">
      <c r="A13" s="46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6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3">
      <c r="A14" s="46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6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3">
      <c r="A15" s="46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6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3">
      <c r="A16" s="46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6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3">
      <c r="A17" s="46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6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3">
      <c r="A18" s="46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6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3">
      <c r="A19" s="46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6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3">
      <c r="A20" s="46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6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3">
      <c r="A21" s="46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6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3">
      <c r="A22" s="46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6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3">
      <c r="A23" s="46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6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3">
      <c r="A24" s="46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6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3">
      <c r="A25" s="46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6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3">
      <c r="A26" s="46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6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3">
      <c r="A27" s="46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6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3">
      <c r="A28" s="46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6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3">
      <c r="A29" s="46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6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3">
      <c r="A30" s="46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6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3">
      <c r="A31" s="46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6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3">
      <c r="A32" s="46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6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3">
      <c r="A33" s="46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6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3">
      <c r="A34" s="46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6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3">
      <c r="A35" s="46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6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3">
      <c r="A36" s="46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6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3">
      <c r="A37" s="46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6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3">
      <c r="A38" s="46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6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3">
      <c r="A39" s="46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6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3">
      <c r="A40" s="46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6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3">
      <c r="A41" s="46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6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3">
      <c r="A42" s="46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6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3">
      <c r="A43" s="46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6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3">
      <c r="A44" s="46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6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3">
      <c r="A45" s="46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6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3">
      <c r="A46" s="46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6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3">
      <c r="A47" s="46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6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3">
      <c r="A48" s="46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6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3">
      <c r="A49" s="46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6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3">
      <c r="A50" s="46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6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3">
      <c r="A51" s="46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6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3">
      <c r="A52" s="46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6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3">
      <c r="A53" s="46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6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3">
      <c r="A54" s="46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6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3">
      <c r="A55" s="46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6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3">
      <c r="A56" s="46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6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3">
      <c r="A57" s="46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6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3">
      <c r="A58" s="46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6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3">
      <c r="A59" s="46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6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3">
      <c r="A60" s="46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6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3">
      <c r="A61" s="46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6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3">
      <c r="A62" s="46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6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3">
      <c r="A63" s="46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6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3">
      <c r="A64" s="46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6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3">
      <c r="A65" s="46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6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3">
      <c r="A66" s="46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6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3">
      <c r="A67" s="46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6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3">
      <c r="A68" s="46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6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3">
      <c r="A69" s="46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6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3">
      <c r="A70" s="46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6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3">
      <c r="A71" s="46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6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3">
      <c r="A72" s="46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6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3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3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3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3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3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3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2:48" x14ac:dyDescent="0.3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2:48" x14ac:dyDescent="0.3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2:48" x14ac:dyDescent="0.3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2:48" x14ac:dyDescent="0.3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2:48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2:48" x14ac:dyDescent="0.3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2:48" x14ac:dyDescent="0.3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2:48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2:48" x14ac:dyDescent="0.3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2:48" x14ac:dyDescent="0.3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2:48" x14ac:dyDescent="0.3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2:48" x14ac:dyDescent="0.3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2:48" x14ac:dyDescent="0.3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2:48" x14ac:dyDescent="0.3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2:48" x14ac:dyDescent="0.3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2:48" x14ac:dyDescent="0.3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2:48" x14ac:dyDescent="0.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2:48" x14ac:dyDescent="0.3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2:48" x14ac:dyDescent="0.3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2:48" x14ac:dyDescent="0.3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2:48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2:48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2:48" x14ac:dyDescent="0.3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2:48" x14ac:dyDescent="0.3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2:48" x14ac:dyDescent="0.3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2:48" x14ac:dyDescent="0.3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2:48" x14ac:dyDescent="0.3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2:48" x14ac:dyDescent="0.3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2:48" x14ac:dyDescent="0.3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2:48" x14ac:dyDescent="0.3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2:48" x14ac:dyDescent="0.3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2:48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2:48" x14ac:dyDescent="0.3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2:48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2:48" x14ac:dyDescent="0.3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2:48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2:48" x14ac:dyDescent="0.3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2:48" x14ac:dyDescent="0.3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2:48" x14ac:dyDescent="0.3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2:48" x14ac:dyDescent="0.3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2:48" x14ac:dyDescent="0.3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2:48" x14ac:dyDescent="0.3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2:48" x14ac:dyDescent="0.3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2:48" x14ac:dyDescent="0.3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2:48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2:48" x14ac:dyDescent="0.3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2:48" x14ac:dyDescent="0.3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2:48" x14ac:dyDescent="0.3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2:48" x14ac:dyDescent="0.3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2:48" x14ac:dyDescent="0.3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2:48" x14ac:dyDescent="0.3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2:48" x14ac:dyDescent="0.3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2:48" x14ac:dyDescent="0.3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2:48" x14ac:dyDescent="0.3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2:48" x14ac:dyDescent="0.3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2:48" x14ac:dyDescent="0.3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2:48" x14ac:dyDescent="0.3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2:48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2:48" x14ac:dyDescent="0.3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2:48" x14ac:dyDescent="0.3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2:48" x14ac:dyDescent="0.3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2:48" x14ac:dyDescent="0.3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2:48" x14ac:dyDescent="0.3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2:48" x14ac:dyDescent="0.3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2:48" x14ac:dyDescent="0.3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2:48" x14ac:dyDescent="0.3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2:48" x14ac:dyDescent="0.3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2:48" x14ac:dyDescent="0.3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2:48" x14ac:dyDescent="0.3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2:48" x14ac:dyDescent="0.3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</sheetData>
  <mergeCells count="9">
    <mergeCell ref="B3:K3"/>
    <mergeCell ref="N7:T7"/>
    <mergeCell ref="N6:T6"/>
    <mergeCell ref="G6:I6"/>
    <mergeCell ref="C7:E7"/>
    <mergeCell ref="C6:E6"/>
    <mergeCell ref="G7:I7"/>
    <mergeCell ref="K7:L7"/>
    <mergeCell ref="K6:L6"/>
  </mergeCells>
  <conditionalFormatting sqref="G7">
    <cfRule type="cellIs" dxfId="1" priority="2" operator="greaterThan">
      <formula>0</formula>
    </cfRule>
  </conditionalFormatting>
  <conditionalFormatting sqref="G7:I7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CB96-A6F6-44D0-A650-4C6511FAA9C3}">
  <sheetPr>
    <tabColor theme="6"/>
  </sheetPr>
  <dimension ref="A1:M10"/>
  <sheetViews>
    <sheetView zoomScale="97" zoomScaleNormal="97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22.44140625" bestFit="1" customWidth="1"/>
    <col min="2" max="2" width="17.33203125" bestFit="1" customWidth="1"/>
    <col min="3" max="3" width="24" bestFit="1" customWidth="1"/>
    <col min="5" max="5" width="7.33203125" customWidth="1"/>
    <col min="6" max="6" width="27.6640625" bestFit="1" customWidth="1"/>
    <col min="7" max="7" width="7.109375" bestFit="1" customWidth="1"/>
    <col min="8" max="13" width="5.77734375" bestFit="1" customWidth="1"/>
  </cols>
  <sheetData>
    <row r="1" spans="1:13" x14ac:dyDescent="0.3">
      <c r="A1" s="22" t="s">
        <v>45</v>
      </c>
      <c r="B1" s="22" t="s">
        <v>0</v>
      </c>
      <c r="C1" s="22" t="s">
        <v>1</v>
      </c>
      <c r="F1" s="32" t="s">
        <v>56</v>
      </c>
      <c r="G1" s="32" t="s">
        <v>46</v>
      </c>
      <c r="H1" s="37"/>
      <c r="I1" s="30"/>
      <c r="J1" s="30"/>
      <c r="K1" s="30"/>
      <c r="L1" s="30"/>
      <c r="M1" s="31"/>
    </row>
    <row r="2" spans="1:13" x14ac:dyDescent="0.3">
      <c r="A2" t="s">
        <v>2</v>
      </c>
      <c r="B2">
        <v>579363.4</v>
      </c>
      <c r="C2">
        <v>715.3</v>
      </c>
      <c r="F2" s="32" t="s">
        <v>45</v>
      </c>
      <c r="G2" s="39" t="s">
        <v>60</v>
      </c>
      <c r="H2" s="40" t="s">
        <v>85</v>
      </c>
      <c r="I2" s="40" t="s">
        <v>98</v>
      </c>
      <c r="J2" s="40" t="s">
        <v>111</v>
      </c>
      <c r="K2" s="40" t="s">
        <v>124</v>
      </c>
      <c r="L2" s="40" t="s">
        <v>137</v>
      </c>
      <c r="M2" s="41" t="s">
        <v>150</v>
      </c>
    </row>
    <row r="3" spans="1:13" x14ac:dyDescent="0.3">
      <c r="A3" t="s">
        <v>3</v>
      </c>
      <c r="B3">
        <v>477606.7</v>
      </c>
      <c r="C3">
        <v>589.6</v>
      </c>
      <c r="F3" s="38" t="s">
        <v>8</v>
      </c>
      <c r="G3" s="34">
        <v>34.126111111111108</v>
      </c>
      <c r="H3" s="35">
        <v>37.222222222222236</v>
      </c>
      <c r="I3" s="35">
        <v>37.732777777777784</v>
      </c>
      <c r="J3" s="35">
        <v>42.027222222222235</v>
      </c>
      <c r="K3" s="35">
        <v>44.543333333333337</v>
      </c>
      <c r="L3" s="35">
        <v>45.277222222222242</v>
      </c>
      <c r="M3" s="36">
        <v>43.975555555555559</v>
      </c>
    </row>
    <row r="4" spans="1:13" x14ac:dyDescent="0.3">
      <c r="A4" t="s">
        <v>4</v>
      </c>
      <c r="B4">
        <v>355601.6</v>
      </c>
      <c r="C4">
        <v>506.6</v>
      </c>
      <c r="F4" s="26" t="s">
        <v>2</v>
      </c>
      <c r="G4" s="28">
        <v>582.48888888888905</v>
      </c>
      <c r="H4" s="2">
        <v>619.1505555555558</v>
      </c>
      <c r="I4" s="2">
        <v>637.923888888889</v>
      </c>
      <c r="J4" s="2">
        <v>720.72888888888906</v>
      </c>
      <c r="K4" s="2">
        <v>740.83055555555541</v>
      </c>
      <c r="L4" s="2">
        <v>753.54944444444436</v>
      </c>
      <c r="M4" s="6">
        <v>731.30555555555554</v>
      </c>
    </row>
    <row r="5" spans="1:13" x14ac:dyDescent="0.3">
      <c r="A5" t="s">
        <v>5</v>
      </c>
      <c r="B5">
        <v>208957.7</v>
      </c>
      <c r="C5">
        <v>258</v>
      </c>
      <c r="F5" s="26" t="s">
        <v>9</v>
      </c>
      <c r="G5" s="28">
        <v>20.256818181818186</v>
      </c>
      <c r="H5" s="2">
        <v>22.189147286821715</v>
      </c>
      <c r="I5" s="2">
        <v>23.50833333333334</v>
      </c>
      <c r="J5" s="2">
        <v>25.036363636363639</v>
      </c>
      <c r="K5" s="2">
        <v>25.781818181818178</v>
      </c>
      <c r="L5" s="2">
        <v>26.931818181818187</v>
      </c>
      <c r="M5" s="6">
        <v>25.959090909090907</v>
      </c>
    </row>
    <row r="6" spans="1:13" x14ac:dyDescent="0.3">
      <c r="A6" t="s">
        <v>6</v>
      </c>
      <c r="B6">
        <v>112848.5</v>
      </c>
      <c r="C6">
        <v>158.1</v>
      </c>
      <c r="F6" s="26" t="s">
        <v>4</v>
      </c>
      <c r="G6" s="28">
        <v>392.9410256410257</v>
      </c>
      <c r="H6" s="2">
        <v>432.79423076923104</v>
      </c>
      <c r="I6" s="2">
        <v>458.21217948717953</v>
      </c>
      <c r="J6" s="2">
        <v>506.59615384615364</v>
      </c>
      <c r="K6" s="2">
        <v>516.80769230769226</v>
      </c>
      <c r="L6" s="2">
        <v>536.75448717948723</v>
      </c>
      <c r="M6" s="6">
        <v>522.25384615384587</v>
      </c>
    </row>
    <row r="7" spans="1:13" x14ac:dyDescent="0.3">
      <c r="A7" t="s">
        <v>7</v>
      </c>
      <c r="B7">
        <v>34714.300000000003</v>
      </c>
      <c r="C7">
        <v>49.5</v>
      </c>
      <c r="F7" s="26" t="s">
        <v>6</v>
      </c>
      <c r="G7" s="28">
        <v>129.87179487179489</v>
      </c>
      <c r="H7" s="2">
        <v>138.62756410256412</v>
      </c>
      <c r="I7" s="2">
        <v>143.27243589743588</v>
      </c>
      <c r="J7" s="2">
        <v>157.1057692307692</v>
      </c>
      <c r="K7" s="2">
        <v>165.51089743589739</v>
      </c>
      <c r="L7" s="2">
        <v>161.82619047619045</v>
      </c>
      <c r="M7" s="6">
        <v>166.44871794871796</v>
      </c>
    </row>
    <row r="8" spans="1:13" x14ac:dyDescent="0.3">
      <c r="A8" t="s">
        <v>8</v>
      </c>
      <c r="B8">
        <v>34482.300000000003</v>
      </c>
      <c r="C8">
        <v>42.6</v>
      </c>
      <c r="F8" s="26" t="s">
        <v>7</v>
      </c>
      <c r="G8" s="28">
        <v>38.977999999999994</v>
      </c>
      <c r="H8" s="2">
        <v>41.96013071895424</v>
      </c>
      <c r="I8" s="2">
        <v>44.83846153846153</v>
      </c>
      <c r="J8" s="2">
        <v>49.19294871794871</v>
      </c>
      <c r="K8" s="2">
        <v>50.570512820512818</v>
      </c>
      <c r="L8" s="2">
        <v>52.181410256410231</v>
      </c>
      <c r="M8" s="6">
        <v>51.488461538461536</v>
      </c>
    </row>
    <row r="9" spans="1:13" x14ac:dyDescent="0.3">
      <c r="A9" t="s">
        <v>9</v>
      </c>
      <c r="B9">
        <v>15079.4</v>
      </c>
      <c r="C9">
        <v>25.4</v>
      </c>
      <c r="F9" s="26" t="s">
        <v>3</v>
      </c>
      <c r="G9" s="28">
        <v>479.06166666666661</v>
      </c>
      <c r="H9" s="2">
        <v>483.42666666666685</v>
      </c>
      <c r="I9" s="2">
        <v>521.91555555555544</v>
      </c>
      <c r="J9" s="2">
        <v>588.30333333333283</v>
      </c>
      <c r="K9" s="2">
        <v>608.20999999999981</v>
      </c>
      <c r="L9" s="2">
        <v>625.61555555555583</v>
      </c>
      <c r="M9" s="6">
        <v>618.65222222222224</v>
      </c>
    </row>
    <row r="10" spans="1:13" x14ac:dyDescent="0.3">
      <c r="F10" s="27" t="s">
        <v>5</v>
      </c>
      <c r="G10" s="29">
        <v>192.63777777777784</v>
      </c>
      <c r="H10" s="5">
        <v>215.99111111111117</v>
      </c>
      <c r="I10" s="5">
        <v>232.61777777777789</v>
      </c>
      <c r="J10" s="5">
        <v>252.77277777777778</v>
      </c>
      <c r="K10" s="5">
        <v>264.38499999999988</v>
      </c>
      <c r="L10" s="5">
        <v>274.95277777777767</v>
      </c>
      <c r="M10" s="7">
        <v>272.29555555555555</v>
      </c>
    </row>
  </sheetData>
  <conditionalFormatting pivot="1" sqref="G3:M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  <tableParts count="1"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BF70B0FA-BFF7-4E5F-A5DE-060AC31C0E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6"/>
          <x14:colorLow rgb="FFD00000"/>
          <x14:sparklines>
            <x14:sparkline>
              <xm:f>SparklineData!B2:F2</xm:f>
              <xm:sqref>D2</xm:sqref>
            </x14:sparkline>
            <x14:sparkline>
              <xm:f>SparklineData!B3:F3</xm:f>
              <xm:sqref>D3</xm:sqref>
            </x14:sparkline>
            <x14:sparkline>
              <xm:f>SparklineData!B4:F4</xm:f>
              <xm:sqref>D4</xm:sqref>
            </x14:sparkline>
            <x14:sparkline>
              <xm:f>SparklineData!B5:F5</xm:f>
              <xm:sqref>D5</xm:sqref>
            </x14:sparkline>
            <x14:sparkline>
              <xm:f>SparklineData!B6:F6</xm:f>
              <xm:sqref>D6</xm:sqref>
            </x14:sparkline>
            <x14:sparkline>
              <xm:f>SparklineData!B7:F7</xm:f>
              <xm:sqref>D7</xm:sqref>
            </x14:sparkline>
            <x14:sparkline>
              <xm:f>SparklineData!B8:F8</xm:f>
              <xm:sqref>D8</xm:sqref>
            </x14:sparkline>
            <x14:sparkline>
              <xm:f>SparklineData!B9:F9</xm:f>
              <xm:sqref>D9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1EEC-E80B-4128-9B00-45B518A62D40}">
  <sheetPr>
    <tabColor rgb="FFFF6600"/>
  </sheetPr>
  <dimension ref="A1:C16"/>
  <sheetViews>
    <sheetView zoomScaleNormal="100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52.109375" bestFit="1" customWidth="1"/>
    <col min="2" max="2" width="17.33203125" bestFit="1" customWidth="1"/>
    <col min="3" max="3" width="14.44140625" bestFit="1" customWidth="1"/>
  </cols>
  <sheetData>
    <row r="1" spans="1:3" x14ac:dyDescent="0.3">
      <c r="A1" s="21" t="s">
        <v>58</v>
      </c>
      <c r="B1" s="21" t="s">
        <v>0</v>
      </c>
      <c r="C1" s="21" t="s">
        <v>10</v>
      </c>
    </row>
    <row r="2" spans="1:3" x14ac:dyDescent="0.3">
      <c r="A2" t="s">
        <v>11</v>
      </c>
      <c r="B2" s="2">
        <v>1701697.5</v>
      </c>
      <c r="C2">
        <v>1</v>
      </c>
    </row>
    <row r="3" spans="1:3" x14ac:dyDescent="0.3">
      <c r="A3" t="s">
        <v>12</v>
      </c>
      <c r="B3" s="2">
        <v>413523.3</v>
      </c>
      <c r="C3">
        <v>2</v>
      </c>
    </row>
    <row r="4" spans="1:3" x14ac:dyDescent="0.3">
      <c r="A4" t="s">
        <v>13</v>
      </c>
      <c r="B4" s="2">
        <v>334806.3</v>
      </c>
      <c r="C4">
        <v>3</v>
      </c>
    </row>
    <row r="5" spans="1:3" x14ac:dyDescent="0.3">
      <c r="A5" t="s">
        <v>14</v>
      </c>
      <c r="B5" s="2">
        <v>313843.8</v>
      </c>
      <c r="C5">
        <v>4</v>
      </c>
    </row>
    <row r="6" spans="1:3" x14ac:dyDescent="0.3">
      <c r="A6" t="s">
        <v>15</v>
      </c>
      <c r="B6" s="2">
        <v>301449.2</v>
      </c>
      <c r="C6">
        <v>5</v>
      </c>
    </row>
    <row r="7" spans="1:3" x14ac:dyDescent="0.3">
      <c r="A7" t="s">
        <v>16</v>
      </c>
      <c r="B7" s="2">
        <v>292825.59999999998</v>
      </c>
      <c r="C7">
        <v>6</v>
      </c>
    </row>
    <row r="8" spans="1:3" x14ac:dyDescent="0.3">
      <c r="A8" t="s">
        <v>17</v>
      </c>
      <c r="B8" s="2">
        <v>290729.90000000002</v>
      </c>
      <c r="C8">
        <v>7</v>
      </c>
    </row>
    <row r="9" spans="1:3" x14ac:dyDescent="0.3">
      <c r="A9" t="s">
        <v>18</v>
      </c>
      <c r="B9" s="2">
        <v>285351.90000000002</v>
      </c>
      <c r="C9">
        <v>8</v>
      </c>
    </row>
    <row r="10" spans="1:3" x14ac:dyDescent="0.3">
      <c r="A10" t="s">
        <v>19</v>
      </c>
      <c r="B10" s="2">
        <v>265884.90000000002</v>
      </c>
      <c r="C10">
        <v>9</v>
      </c>
    </row>
    <row r="11" spans="1:3" x14ac:dyDescent="0.3">
      <c r="A11" t="s">
        <v>20</v>
      </c>
      <c r="B11" s="2">
        <v>231461.2</v>
      </c>
      <c r="C11">
        <v>10</v>
      </c>
    </row>
    <row r="12" spans="1:3" x14ac:dyDescent="0.3">
      <c r="A12" t="s">
        <v>21</v>
      </c>
      <c r="B12" s="2">
        <v>145371.6</v>
      </c>
      <c r="C12">
        <v>11</v>
      </c>
    </row>
    <row r="13" spans="1:3" x14ac:dyDescent="0.3">
      <c r="A13" t="s">
        <v>22</v>
      </c>
      <c r="B13" s="2">
        <v>131569.79999999999</v>
      </c>
      <c r="C13">
        <v>12</v>
      </c>
    </row>
    <row r="14" spans="1:3" x14ac:dyDescent="0.3">
      <c r="A14" t="s">
        <v>23</v>
      </c>
      <c r="B14" s="2">
        <v>114602.1</v>
      </c>
      <c r="C14">
        <v>13</v>
      </c>
    </row>
    <row r="15" spans="1:3" x14ac:dyDescent="0.3">
      <c r="A15" t="s">
        <v>24</v>
      </c>
      <c r="B15" s="2">
        <v>89544.3</v>
      </c>
      <c r="C15">
        <v>14</v>
      </c>
    </row>
    <row r="16" spans="1:3" x14ac:dyDescent="0.3">
      <c r="A16" t="s">
        <v>25</v>
      </c>
      <c r="B16" s="2">
        <v>47878.9</v>
      </c>
      <c r="C16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8C57-7A5B-4135-8DCE-BAD0DB243539}">
  <sheetPr>
    <tabColor rgb="FFFFC000"/>
  </sheetPr>
  <dimension ref="A1:I11539"/>
  <sheetViews>
    <sheetView workbookViewId="0">
      <pane ySplit="1" topLeftCell="A2" activePane="bottomLeft" state="frozen"/>
      <selection pane="bottomLeft" activeCell="I5" sqref="I5"/>
    </sheetView>
  </sheetViews>
  <sheetFormatPr defaultRowHeight="14.4" x14ac:dyDescent="0.3"/>
  <cols>
    <col min="1" max="1" width="22.44140625" bestFit="1" customWidth="1"/>
    <col min="2" max="2" width="52.109375" bestFit="1" customWidth="1"/>
    <col min="3" max="3" width="15.44140625" bestFit="1" customWidth="1"/>
    <col min="4" max="4" width="6.77734375" style="9" bestFit="1" customWidth="1"/>
    <col min="5" max="5" width="9.77734375" bestFit="1" customWidth="1"/>
    <col min="6" max="6" width="11.33203125" bestFit="1" customWidth="1"/>
    <col min="7" max="7" width="17.77734375" style="9" bestFit="1" customWidth="1"/>
    <col min="8" max="9" width="16" style="9" bestFit="1" customWidth="1"/>
  </cols>
  <sheetData>
    <row r="1" spans="1:9" x14ac:dyDescent="0.3">
      <c r="A1" s="20" t="s">
        <v>57</v>
      </c>
      <c r="B1" s="20" t="s">
        <v>58</v>
      </c>
      <c r="C1" s="20" t="s">
        <v>26</v>
      </c>
      <c r="D1" s="20" t="s">
        <v>27</v>
      </c>
      <c r="E1" s="20" t="s">
        <v>28</v>
      </c>
      <c r="F1" s="20" t="s">
        <v>29</v>
      </c>
      <c r="G1" s="20" t="s">
        <v>30</v>
      </c>
      <c r="H1" s="20" t="s">
        <v>31</v>
      </c>
      <c r="I1"/>
    </row>
    <row r="2" spans="1:9" x14ac:dyDescent="0.3">
      <c r="A2" t="s">
        <v>8</v>
      </c>
      <c r="B2" t="s">
        <v>12</v>
      </c>
      <c r="C2" t="s">
        <v>59</v>
      </c>
      <c r="D2" s="9" t="s">
        <v>60</v>
      </c>
      <c r="E2" t="s">
        <v>32</v>
      </c>
      <c r="F2" t="s">
        <v>61</v>
      </c>
      <c r="G2">
        <v>36.700000000000003</v>
      </c>
      <c r="I2"/>
    </row>
    <row r="3" spans="1:9" x14ac:dyDescent="0.3">
      <c r="A3" t="s">
        <v>8</v>
      </c>
      <c r="B3" t="s">
        <v>12</v>
      </c>
      <c r="C3" t="s">
        <v>62</v>
      </c>
      <c r="D3" s="9" t="s">
        <v>60</v>
      </c>
      <c r="E3" t="s">
        <v>33</v>
      </c>
      <c r="F3" t="s">
        <v>63</v>
      </c>
      <c r="G3">
        <v>40</v>
      </c>
      <c r="I3"/>
    </row>
    <row r="4" spans="1:9" x14ac:dyDescent="0.3">
      <c r="A4" t="s">
        <v>8</v>
      </c>
      <c r="B4" t="s">
        <v>12</v>
      </c>
      <c r="C4" t="s">
        <v>64</v>
      </c>
      <c r="D4" s="9" t="s">
        <v>60</v>
      </c>
      <c r="E4" t="s">
        <v>34</v>
      </c>
      <c r="F4" t="s">
        <v>65</v>
      </c>
      <c r="G4">
        <v>45.5</v>
      </c>
      <c r="I4"/>
    </row>
    <row r="5" spans="1:9" x14ac:dyDescent="0.3">
      <c r="A5" t="s">
        <v>8</v>
      </c>
      <c r="B5" t="s">
        <v>12</v>
      </c>
      <c r="C5" t="s">
        <v>66</v>
      </c>
      <c r="D5" s="9" t="s">
        <v>60</v>
      </c>
      <c r="E5" t="s">
        <v>35</v>
      </c>
      <c r="F5" t="s">
        <v>67</v>
      </c>
      <c r="G5">
        <v>44.4</v>
      </c>
      <c r="I5"/>
    </row>
    <row r="6" spans="1:9" x14ac:dyDescent="0.3">
      <c r="A6" t="s">
        <v>8</v>
      </c>
      <c r="B6" t="s">
        <v>12</v>
      </c>
      <c r="C6" t="s">
        <v>68</v>
      </c>
      <c r="D6" s="9" t="s">
        <v>60</v>
      </c>
      <c r="E6" t="s">
        <v>36</v>
      </c>
      <c r="F6" t="s">
        <v>69</v>
      </c>
      <c r="G6">
        <v>44.5</v>
      </c>
      <c r="I6"/>
    </row>
    <row r="7" spans="1:9" x14ac:dyDescent="0.3">
      <c r="A7" t="s">
        <v>8</v>
      </c>
      <c r="B7" t="s">
        <v>12</v>
      </c>
      <c r="C7" t="s">
        <v>70</v>
      </c>
      <c r="D7" s="9" t="s">
        <v>60</v>
      </c>
      <c r="E7" t="s">
        <v>37</v>
      </c>
      <c r="F7" t="s">
        <v>71</v>
      </c>
      <c r="G7">
        <v>38.799999999999997</v>
      </c>
      <c r="I7"/>
    </row>
    <row r="8" spans="1:9" x14ac:dyDescent="0.3">
      <c r="A8" t="s">
        <v>8</v>
      </c>
      <c r="B8" t="s">
        <v>12</v>
      </c>
      <c r="C8" t="s">
        <v>72</v>
      </c>
      <c r="D8" s="9" t="s">
        <v>60</v>
      </c>
      <c r="E8" t="s">
        <v>38</v>
      </c>
      <c r="F8" t="s">
        <v>73</v>
      </c>
      <c r="G8">
        <v>41.6</v>
      </c>
      <c r="I8"/>
    </row>
    <row r="9" spans="1:9" x14ac:dyDescent="0.3">
      <c r="A9" t="s">
        <v>8</v>
      </c>
      <c r="B9" t="s">
        <v>12</v>
      </c>
      <c r="C9" t="s">
        <v>74</v>
      </c>
      <c r="D9" s="9" t="s">
        <v>60</v>
      </c>
      <c r="E9" t="s">
        <v>39</v>
      </c>
      <c r="F9" t="s">
        <v>75</v>
      </c>
      <c r="G9">
        <v>44.2</v>
      </c>
      <c r="I9"/>
    </row>
    <row r="10" spans="1:9" x14ac:dyDescent="0.3">
      <c r="A10" t="s">
        <v>8</v>
      </c>
      <c r="B10" t="s">
        <v>12</v>
      </c>
      <c r="C10" t="s">
        <v>76</v>
      </c>
      <c r="D10" s="9" t="s">
        <v>60</v>
      </c>
      <c r="E10" t="s">
        <v>40</v>
      </c>
      <c r="F10" t="s">
        <v>77</v>
      </c>
      <c r="G10">
        <v>43.8</v>
      </c>
      <c r="I10"/>
    </row>
    <row r="11" spans="1:9" x14ac:dyDescent="0.3">
      <c r="A11" t="s">
        <v>8</v>
      </c>
      <c r="B11" t="s">
        <v>12</v>
      </c>
      <c r="C11" t="s">
        <v>78</v>
      </c>
      <c r="D11" s="9" t="s">
        <v>60</v>
      </c>
      <c r="E11" t="s">
        <v>41</v>
      </c>
      <c r="F11" t="s">
        <v>79</v>
      </c>
      <c r="G11">
        <v>45</v>
      </c>
      <c r="I11"/>
    </row>
    <row r="12" spans="1:9" x14ac:dyDescent="0.3">
      <c r="A12" t="s">
        <v>8</v>
      </c>
      <c r="B12" t="s">
        <v>12</v>
      </c>
      <c r="C12" t="s">
        <v>80</v>
      </c>
      <c r="D12" s="9" t="s">
        <v>60</v>
      </c>
      <c r="E12" t="s">
        <v>42</v>
      </c>
      <c r="F12" t="s">
        <v>81</v>
      </c>
      <c r="G12">
        <v>44.3</v>
      </c>
      <c r="I12"/>
    </row>
    <row r="13" spans="1:9" x14ac:dyDescent="0.3">
      <c r="A13" t="s">
        <v>8</v>
      </c>
      <c r="B13" t="s">
        <v>12</v>
      </c>
      <c r="C13" t="s">
        <v>82</v>
      </c>
      <c r="D13" s="9" t="s">
        <v>60</v>
      </c>
      <c r="E13" t="s">
        <v>43</v>
      </c>
      <c r="F13" t="s">
        <v>83</v>
      </c>
      <c r="G13">
        <v>41.4</v>
      </c>
      <c r="I13"/>
    </row>
    <row r="14" spans="1:9" x14ac:dyDescent="0.3">
      <c r="A14" t="s">
        <v>8</v>
      </c>
      <c r="B14" t="s">
        <v>12</v>
      </c>
      <c r="C14" t="s">
        <v>84</v>
      </c>
      <c r="D14" s="9" t="s">
        <v>85</v>
      </c>
      <c r="E14" t="s">
        <v>32</v>
      </c>
      <c r="F14" t="s">
        <v>61</v>
      </c>
      <c r="G14">
        <v>32.6</v>
      </c>
      <c r="H14" s="9">
        <v>-11.17</v>
      </c>
      <c r="I14"/>
    </row>
    <row r="15" spans="1:9" x14ac:dyDescent="0.3">
      <c r="A15" t="s">
        <v>8</v>
      </c>
      <c r="B15" t="s">
        <v>12</v>
      </c>
      <c r="C15" t="s">
        <v>86</v>
      </c>
      <c r="D15" s="9" t="s">
        <v>85</v>
      </c>
      <c r="E15" t="s">
        <v>33</v>
      </c>
      <c r="F15" t="s">
        <v>63</v>
      </c>
      <c r="G15">
        <v>37.6</v>
      </c>
      <c r="H15" s="9">
        <v>-6</v>
      </c>
      <c r="I15"/>
    </row>
    <row r="16" spans="1:9" x14ac:dyDescent="0.3">
      <c r="A16" t="s">
        <v>8</v>
      </c>
      <c r="B16" t="s">
        <v>12</v>
      </c>
      <c r="C16" t="s">
        <v>87</v>
      </c>
      <c r="D16" s="9" t="s">
        <v>85</v>
      </c>
      <c r="E16" t="s">
        <v>34</v>
      </c>
      <c r="F16" t="s">
        <v>65</v>
      </c>
      <c r="G16">
        <v>29.8</v>
      </c>
      <c r="H16" s="9">
        <v>-34.51</v>
      </c>
      <c r="I16"/>
    </row>
    <row r="17" spans="1:9" x14ac:dyDescent="0.3">
      <c r="A17" t="s">
        <v>8</v>
      </c>
      <c r="B17" t="s">
        <v>12</v>
      </c>
      <c r="C17" t="s">
        <v>88</v>
      </c>
      <c r="D17" s="9" t="s">
        <v>85</v>
      </c>
      <c r="E17" t="s">
        <v>35</v>
      </c>
      <c r="F17" t="s">
        <v>67</v>
      </c>
      <c r="G17">
        <v>12.6</v>
      </c>
      <c r="H17" s="9">
        <v>-71.62</v>
      </c>
      <c r="I17"/>
    </row>
    <row r="18" spans="1:9" x14ac:dyDescent="0.3">
      <c r="A18" t="s">
        <v>8</v>
      </c>
      <c r="B18" t="s">
        <v>12</v>
      </c>
      <c r="C18" t="s">
        <v>89</v>
      </c>
      <c r="D18" s="9" t="s">
        <v>85</v>
      </c>
      <c r="E18" t="s">
        <v>36</v>
      </c>
      <c r="F18" t="s">
        <v>69</v>
      </c>
      <c r="G18">
        <v>14.9</v>
      </c>
      <c r="H18" s="9">
        <v>-66.52</v>
      </c>
      <c r="I18"/>
    </row>
    <row r="19" spans="1:9" x14ac:dyDescent="0.3">
      <c r="A19" t="s">
        <v>8</v>
      </c>
      <c r="B19" t="s">
        <v>12</v>
      </c>
      <c r="C19" t="s">
        <v>90</v>
      </c>
      <c r="D19" s="9" t="s">
        <v>85</v>
      </c>
      <c r="E19" t="s">
        <v>37</v>
      </c>
      <c r="F19" t="s">
        <v>71</v>
      </c>
      <c r="G19">
        <v>25.9</v>
      </c>
      <c r="H19" s="9">
        <v>-33.25</v>
      </c>
      <c r="I19"/>
    </row>
    <row r="20" spans="1:9" x14ac:dyDescent="0.3">
      <c r="A20" t="s">
        <v>8</v>
      </c>
      <c r="B20" t="s">
        <v>12</v>
      </c>
      <c r="C20" t="s">
        <v>91</v>
      </c>
      <c r="D20" s="9" t="s">
        <v>85</v>
      </c>
      <c r="E20" t="s">
        <v>38</v>
      </c>
      <c r="F20" t="s">
        <v>73</v>
      </c>
      <c r="G20">
        <v>31.7</v>
      </c>
      <c r="H20" s="9">
        <v>-23.8</v>
      </c>
      <c r="I20"/>
    </row>
    <row r="21" spans="1:9" x14ac:dyDescent="0.3">
      <c r="A21" t="s">
        <v>8</v>
      </c>
      <c r="B21" t="s">
        <v>12</v>
      </c>
      <c r="C21" t="s">
        <v>92</v>
      </c>
      <c r="D21" s="9" t="s">
        <v>85</v>
      </c>
      <c r="E21" t="s">
        <v>39</v>
      </c>
      <c r="F21" t="s">
        <v>75</v>
      </c>
      <c r="G21">
        <v>32.4</v>
      </c>
      <c r="H21" s="9">
        <v>-26.7</v>
      </c>
      <c r="I21"/>
    </row>
    <row r="22" spans="1:9" x14ac:dyDescent="0.3">
      <c r="A22" t="s">
        <v>8</v>
      </c>
      <c r="B22" t="s">
        <v>12</v>
      </c>
      <c r="C22" t="s">
        <v>93</v>
      </c>
      <c r="D22" s="9" t="s">
        <v>85</v>
      </c>
      <c r="E22" t="s">
        <v>40</v>
      </c>
      <c r="F22" t="s">
        <v>77</v>
      </c>
      <c r="G22">
        <v>32</v>
      </c>
      <c r="H22" s="9">
        <v>-26.94</v>
      </c>
      <c r="I22"/>
    </row>
    <row r="23" spans="1:9" x14ac:dyDescent="0.3">
      <c r="A23" t="s">
        <v>8</v>
      </c>
      <c r="B23" t="s">
        <v>12</v>
      </c>
      <c r="C23" t="s">
        <v>94</v>
      </c>
      <c r="D23" s="9" t="s">
        <v>85</v>
      </c>
      <c r="E23" t="s">
        <v>41</v>
      </c>
      <c r="F23" t="s">
        <v>79</v>
      </c>
      <c r="G23">
        <v>33.700000000000003</v>
      </c>
      <c r="H23" s="9">
        <v>-25.11</v>
      </c>
      <c r="I23"/>
    </row>
    <row r="24" spans="1:9" x14ac:dyDescent="0.3">
      <c r="A24" t="s">
        <v>8</v>
      </c>
      <c r="B24" t="s">
        <v>12</v>
      </c>
      <c r="C24" t="s">
        <v>95</v>
      </c>
      <c r="D24" s="9" t="s">
        <v>85</v>
      </c>
      <c r="E24" t="s">
        <v>42</v>
      </c>
      <c r="F24" t="s">
        <v>81</v>
      </c>
      <c r="G24">
        <v>36.299999999999997</v>
      </c>
      <c r="H24" s="9">
        <v>-18.059999999999999</v>
      </c>
      <c r="I24"/>
    </row>
    <row r="25" spans="1:9" x14ac:dyDescent="0.3">
      <c r="A25" t="s">
        <v>8</v>
      </c>
      <c r="B25" t="s">
        <v>12</v>
      </c>
      <c r="C25" t="s">
        <v>96</v>
      </c>
      <c r="D25" s="9" t="s">
        <v>85</v>
      </c>
      <c r="E25" t="s">
        <v>43</v>
      </c>
      <c r="F25" t="s">
        <v>83</v>
      </c>
      <c r="G25">
        <v>37.200000000000003</v>
      </c>
      <c r="H25" s="9">
        <v>-10.14</v>
      </c>
      <c r="I25"/>
    </row>
    <row r="26" spans="1:9" x14ac:dyDescent="0.3">
      <c r="A26" t="s">
        <v>8</v>
      </c>
      <c r="B26" t="s">
        <v>12</v>
      </c>
      <c r="C26" t="s">
        <v>97</v>
      </c>
      <c r="D26" s="9" t="s">
        <v>98</v>
      </c>
      <c r="E26" t="s">
        <v>32</v>
      </c>
      <c r="F26" t="s">
        <v>61</v>
      </c>
      <c r="G26">
        <v>32.9</v>
      </c>
      <c r="H26" s="9">
        <v>0.92</v>
      </c>
      <c r="I26"/>
    </row>
    <row r="27" spans="1:9" x14ac:dyDescent="0.3">
      <c r="A27" t="s">
        <v>8</v>
      </c>
      <c r="B27" t="s">
        <v>12</v>
      </c>
      <c r="C27" t="s">
        <v>99</v>
      </c>
      <c r="D27" s="9" t="s">
        <v>98</v>
      </c>
      <c r="E27" t="s">
        <v>33</v>
      </c>
      <c r="F27" t="s">
        <v>63</v>
      </c>
      <c r="G27">
        <v>38</v>
      </c>
      <c r="H27" s="9">
        <v>1.06</v>
      </c>
      <c r="I27"/>
    </row>
    <row r="28" spans="1:9" x14ac:dyDescent="0.3">
      <c r="A28" t="s">
        <v>8</v>
      </c>
      <c r="B28" t="s">
        <v>12</v>
      </c>
      <c r="C28" t="s">
        <v>100</v>
      </c>
      <c r="D28" s="9" t="s">
        <v>98</v>
      </c>
      <c r="E28" t="s">
        <v>34</v>
      </c>
      <c r="F28" t="s">
        <v>65</v>
      </c>
      <c r="G28">
        <v>42.1</v>
      </c>
      <c r="H28" s="9">
        <v>41.28</v>
      </c>
      <c r="I28"/>
    </row>
    <row r="29" spans="1:9" x14ac:dyDescent="0.3">
      <c r="A29" t="s">
        <v>8</v>
      </c>
      <c r="B29" t="s">
        <v>12</v>
      </c>
      <c r="C29" t="s">
        <v>101</v>
      </c>
      <c r="D29" s="9" t="s">
        <v>98</v>
      </c>
      <c r="E29" t="s">
        <v>35</v>
      </c>
      <c r="F29" t="s">
        <v>67</v>
      </c>
      <c r="G29">
        <v>40.6</v>
      </c>
      <c r="H29" s="9">
        <v>222.22</v>
      </c>
      <c r="I29"/>
    </row>
    <row r="30" spans="1:9" x14ac:dyDescent="0.3">
      <c r="A30" t="s">
        <v>8</v>
      </c>
      <c r="B30" t="s">
        <v>12</v>
      </c>
      <c r="C30" t="s">
        <v>102</v>
      </c>
      <c r="D30" s="9" t="s">
        <v>98</v>
      </c>
      <c r="E30" t="s">
        <v>36</v>
      </c>
      <c r="F30" t="s">
        <v>69</v>
      </c>
      <c r="G30">
        <v>43.5</v>
      </c>
      <c r="H30" s="9">
        <v>191.95</v>
      </c>
      <c r="I30"/>
    </row>
    <row r="31" spans="1:9" x14ac:dyDescent="0.3">
      <c r="A31" t="s">
        <v>8</v>
      </c>
      <c r="B31" t="s">
        <v>12</v>
      </c>
      <c r="C31" t="s">
        <v>103</v>
      </c>
      <c r="D31" s="9" t="s">
        <v>98</v>
      </c>
      <c r="E31" t="s">
        <v>37</v>
      </c>
      <c r="F31" t="s">
        <v>71</v>
      </c>
      <c r="G31">
        <v>41.3</v>
      </c>
      <c r="H31" s="9">
        <v>59.46</v>
      </c>
      <c r="I31"/>
    </row>
    <row r="32" spans="1:9" x14ac:dyDescent="0.3">
      <c r="A32" t="s">
        <v>8</v>
      </c>
      <c r="B32" t="s">
        <v>12</v>
      </c>
      <c r="C32" t="s">
        <v>104</v>
      </c>
      <c r="D32" s="9" t="s">
        <v>98</v>
      </c>
      <c r="E32" t="s">
        <v>38</v>
      </c>
      <c r="F32" t="s">
        <v>73</v>
      </c>
      <c r="G32">
        <v>42.6</v>
      </c>
      <c r="H32" s="9">
        <v>34.380000000000003</v>
      </c>
      <c r="I32"/>
    </row>
    <row r="33" spans="1:9" x14ac:dyDescent="0.3">
      <c r="A33" t="s">
        <v>8</v>
      </c>
      <c r="B33" t="s">
        <v>12</v>
      </c>
      <c r="C33" t="s">
        <v>105</v>
      </c>
      <c r="D33" s="9" t="s">
        <v>98</v>
      </c>
      <c r="E33" t="s">
        <v>39</v>
      </c>
      <c r="F33" t="s">
        <v>75</v>
      </c>
      <c r="G33">
        <v>25</v>
      </c>
      <c r="H33" s="9">
        <v>-22.84</v>
      </c>
      <c r="I33"/>
    </row>
    <row r="34" spans="1:9" x14ac:dyDescent="0.3">
      <c r="A34" t="s">
        <v>8</v>
      </c>
      <c r="B34" t="s">
        <v>12</v>
      </c>
      <c r="C34" t="s">
        <v>106</v>
      </c>
      <c r="D34" s="9" t="s">
        <v>98</v>
      </c>
      <c r="E34" t="s">
        <v>40</v>
      </c>
      <c r="F34" t="s">
        <v>77</v>
      </c>
      <c r="G34">
        <v>15</v>
      </c>
      <c r="H34" s="9">
        <v>-53.13</v>
      </c>
      <c r="I34"/>
    </row>
    <row r="35" spans="1:9" x14ac:dyDescent="0.3">
      <c r="A35" t="s">
        <v>8</v>
      </c>
      <c r="B35" t="s">
        <v>12</v>
      </c>
      <c r="C35" t="s">
        <v>107</v>
      </c>
      <c r="D35" s="9" t="s">
        <v>98</v>
      </c>
      <c r="E35" t="s">
        <v>41</v>
      </c>
      <c r="F35" t="s">
        <v>79</v>
      </c>
      <c r="G35">
        <v>26.9</v>
      </c>
      <c r="H35" s="9">
        <v>-20.18</v>
      </c>
      <c r="I35"/>
    </row>
    <row r="36" spans="1:9" x14ac:dyDescent="0.3">
      <c r="A36" t="s">
        <v>8</v>
      </c>
      <c r="B36" t="s">
        <v>12</v>
      </c>
      <c r="C36" t="s">
        <v>108</v>
      </c>
      <c r="D36" s="9" t="s">
        <v>98</v>
      </c>
      <c r="E36" t="s">
        <v>42</v>
      </c>
      <c r="F36" t="s">
        <v>81</v>
      </c>
      <c r="G36">
        <v>45.5</v>
      </c>
      <c r="H36" s="9">
        <v>25.34</v>
      </c>
      <c r="I36"/>
    </row>
    <row r="37" spans="1:9" x14ac:dyDescent="0.3">
      <c r="A37" t="s">
        <v>8</v>
      </c>
      <c r="B37" t="s">
        <v>12</v>
      </c>
      <c r="C37" t="s">
        <v>109</v>
      </c>
      <c r="D37" s="9" t="s">
        <v>98</v>
      </c>
      <c r="E37" t="s">
        <v>43</v>
      </c>
      <c r="F37" t="s">
        <v>83</v>
      </c>
      <c r="G37">
        <v>45.8</v>
      </c>
      <c r="H37" s="9">
        <v>23.12</v>
      </c>
      <c r="I37"/>
    </row>
    <row r="38" spans="1:9" x14ac:dyDescent="0.3">
      <c r="A38" t="s">
        <v>8</v>
      </c>
      <c r="B38" t="s">
        <v>12</v>
      </c>
      <c r="C38" t="s">
        <v>110</v>
      </c>
      <c r="D38" s="9" t="s">
        <v>111</v>
      </c>
      <c r="E38" t="s">
        <v>32</v>
      </c>
      <c r="F38" t="s">
        <v>61</v>
      </c>
      <c r="G38">
        <v>37.5</v>
      </c>
      <c r="H38" s="9">
        <v>13.98</v>
      </c>
      <c r="I38"/>
    </row>
    <row r="39" spans="1:9" x14ac:dyDescent="0.3">
      <c r="A39" t="s">
        <v>8</v>
      </c>
      <c r="B39" t="s">
        <v>12</v>
      </c>
      <c r="C39" t="s">
        <v>112</v>
      </c>
      <c r="D39" s="9" t="s">
        <v>111</v>
      </c>
      <c r="E39" t="s">
        <v>33</v>
      </c>
      <c r="F39" t="s">
        <v>63</v>
      </c>
      <c r="G39">
        <v>45.6</v>
      </c>
      <c r="H39" s="9">
        <v>20</v>
      </c>
      <c r="I39"/>
    </row>
    <row r="40" spans="1:9" x14ac:dyDescent="0.3">
      <c r="A40" t="s">
        <v>8</v>
      </c>
      <c r="B40" t="s">
        <v>12</v>
      </c>
      <c r="C40" t="s">
        <v>113</v>
      </c>
      <c r="D40" s="9" t="s">
        <v>111</v>
      </c>
      <c r="E40" t="s">
        <v>34</v>
      </c>
      <c r="F40" t="s">
        <v>65</v>
      </c>
      <c r="G40">
        <v>53.1</v>
      </c>
      <c r="H40" s="9">
        <v>26.13</v>
      </c>
      <c r="I40"/>
    </row>
    <row r="41" spans="1:9" x14ac:dyDescent="0.3">
      <c r="A41" t="s">
        <v>8</v>
      </c>
      <c r="B41" t="s">
        <v>12</v>
      </c>
      <c r="C41" t="s">
        <v>114</v>
      </c>
      <c r="D41" s="9" t="s">
        <v>111</v>
      </c>
      <c r="E41" t="s">
        <v>35</v>
      </c>
      <c r="F41" t="s">
        <v>67</v>
      </c>
      <c r="G41">
        <v>49.6</v>
      </c>
      <c r="H41" s="9">
        <v>22.17</v>
      </c>
      <c r="I41"/>
    </row>
    <row r="42" spans="1:9" x14ac:dyDescent="0.3">
      <c r="A42" t="s">
        <v>8</v>
      </c>
      <c r="B42" t="s">
        <v>12</v>
      </c>
      <c r="C42" t="s">
        <v>115</v>
      </c>
      <c r="D42" s="9" t="s">
        <v>111</v>
      </c>
      <c r="E42" t="s">
        <v>36</v>
      </c>
      <c r="F42" t="s">
        <v>69</v>
      </c>
      <c r="G42">
        <v>53.4</v>
      </c>
      <c r="H42" s="9">
        <v>22.76</v>
      </c>
      <c r="I42"/>
    </row>
    <row r="43" spans="1:9" x14ac:dyDescent="0.3">
      <c r="A43" t="s">
        <v>8</v>
      </c>
      <c r="B43" t="s">
        <v>12</v>
      </c>
      <c r="C43" t="s">
        <v>116</v>
      </c>
      <c r="D43" s="9" t="s">
        <v>111</v>
      </c>
      <c r="E43" t="s">
        <v>37</v>
      </c>
      <c r="F43" t="s">
        <v>71</v>
      </c>
      <c r="G43">
        <v>49.8</v>
      </c>
      <c r="H43" s="9">
        <v>20.58</v>
      </c>
      <c r="I43"/>
    </row>
    <row r="44" spans="1:9" x14ac:dyDescent="0.3">
      <c r="A44" t="s">
        <v>8</v>
      </c>
      <c r="B44" t="s">
        <v>12</v>
      </c>
      <c r="C44" t="s">
        <v>117</v>
      </c>
      <c r="D44" s="9" t="s">
        <v>111</v>
      </c>
      <c r="E44" t="s">
        <v>38</v>
      </c>
      <c r="F44" t="s">
        <v>73</v>
      </c>
      <c r="G44">
        <v>55.1</v>
      </c>
      <c r="H44" s="9">
        <v>29.34</v>
      </c>
      <c r="I44"/>
    </row>
    <row r="45" spans="1:9" x14ac:dyDescent="0.3">
      <c r="A45" t="s">
        <v>8</v>
      </c>
      <c r="B45" t="s">
        <v>12</v>
      </c>
      <c r="C45" t="s">
        <v>118</v>
      </c>
      <c r="D45" s="9" t="s">
        <v>111</v>
      </c>
      <c r="E45" t="s">
        <v>39</v>
      </c>
      <c r="F45" t="s">
        <v>75</v>
      </c>
      <c r="G45">
        <v>58.9</v>
      </c>
      <c r="H45" s="9">
        <v>135.6</v>
      </c>
      <c r="I45"/>
    </row>
    <row r="46" spans="1:9" x14ac:dyDescent="0.3">
      <c r="A46" t="s">
        <v>8</v>
      </c>
      <c r="B46" t="s">
        <v>12</v>
      </c>
      <c r="C46" t="s">
        <v>119</v>
      </c>
      <c r="D46" s="9" t="s">
        <v>111</v>
      </c>
      <c r="E46" t="s">
        <v>40</v>
      </c>
      <c r="F46" t="s">
        <v>77</v>
      </c>
      <c r="G46">
        <v>59.9</v>
      </c>
      <c r="H46" s="9">
        <v>299.33</v>
      </c>
      <c r="I46"/>
    </row>
    <row r="47" spans="1:9" x14ac:dyDescent="0.3">
      <c r="A47" t="s">
        <v>8</v>
      </c>
      <c r="B47" t="s">
        <v>12</v>
      </c>
      <c r="C47" t="s">
        <v>120</v>
      </c>
      <c r="D47" s="9" t="s">
        <v>111</v>
      </c>
      <c r="E47" t="s">
        <v>41</v>
      </c>
      <c r="F47" t="s">
        <v>79</v>
      </c>
      <c r="G47">
        <v>57.1</v>
      </c>
      <c r="H47" s="9">
        <v>112.27</v>
      </c>
      <c r="I47"/>
    </row>
    <row r="48" spans="1:9" x14ac:dyDescent="0.3">
      <c r="A48" t="s">
        <v>8</v>
      </c>
      <c r="B48" t="s">
        <v>12</v>
      </c>
      <c r="C48" t="s">
        <v>121</v>
      </c>
      <c r="D48" s="9" t="s">
        <v>111</v>
      </c>
      <c r="E48" t="s">
        <v>42</v>
      </c>
      <c r="F48" t="s">
        <v>81</v>
      </c>
      <c r="G48">
        <v>63.8</v>
      </c>
      <c r="H48" s="9">
        <v>40.22</v>
      </c>
      <c r="I48"/>
    </row>
    <row r="49" spans="1:9" x14ac:dyDescent="0.3">
      <c r="A49" t="s">
        <v>8</v>
      </c>
      <c r="B49" t="s">
        <v>12</v>
      </c>
      <c r="C49" t="s">
        <v>122</v>
      </c>
      <c r="D49" s="9" t="s">
        <v>111</v>
      </c>
      <c r="E49" t="s">
        <v>43</v>
      </c>
      <c r="F49" t="s">
        <v>83</v>
      </c>
      <c r="G49">
        <v>67.8</v>
      </c>
      <c r="H49" s="9">
        <v>48.03</v>
      </c>
      <c r="I49"/>
    </row>
    <row r="50" spans="1:9" x14ac:dyDescent="0.3">
      <c r="A50" t="s">
        <v>8</v>
      </c>
      <c r="B50" t="s">
        <v>12</v>
      </c>
      <c r="C50" t="s">
        <v>123</v>
      </c>
      <c r="D50" s="9" t="s">
        <v>124</v>
      </c>
      <c r="E50" t="s">
        <v>32</v>
      </c>
      <c r="F50" t="s">
        <v>61</v>
      </c>
      <c r="G50">
        <v>58.1</v>
      </c>
      <c r="H50" s="9">
        <v>54.93</v>
      </c>
      <c r="I50"/>
    </row>
    <row r="51" spans="1:9" x14ac:dyDescent="0.3">
      <c r="A51" t="s">
        <v>8</v>
      </c>
      <c r="B51" t="s">
        <v>12</v>
      </c>
      <c r="C51" t="s">
        <v>125</v>
      </c>
      <c r="D51" s="9" t="s">
        <v>124</v>
      </c>
      <c r="E51" t="s">
        <v>33</v>
      </c>
      <c r="F51" t="s">
        <v>63</v>
      </c>
      <c r="G51">
        <v>60.9</v>
      </c>
      <c r="H51" s="9">
        <v>33.549999999999997</v>
      </c>
      <c r="I51"/>
    </row>
    <row r="52" spans="1:9" x14ac:dyDescent="0.3">
      <c r="A52" t="s">
        <v>8</v>
      </c>
      <c r="B52" t="s">
        <v>12</v>
      </c>
      <c r="C52" t="s">
        <v>126</v>
      </c>
      <c r="D52" s="9" t="s">
        <v>124</v>
      </c>
      <c r="E52" t="s">
        <v>34</v>
      </c>
      <c r="F52" t="s">
        <v>65</v>
      </c>
      <c r="G52">
        <v>66.400000000000006</v>
      </c>
      <c r="H52" s="9">
        <v>25.05</v>
      </c>
      <c r="I52"/>
    </row>
    <row r="53" spans="1:9" x14ac:dyDescent="0.3">
      <c r="A53" t="s">
        <v>8</v>
      </c>
      <c r="B53" t="s">
        <v>12</v>
      </c>
      <c r="C53" t="s">
        <v>127</v>
      </c>
      <c r="D53" s="9" t="s">
        <v>124</v>
      </c>
      <c r="E53" t="s">
        <v>35</v>
      </c>
      <c r="F53" t="s">
        <v>67</v>
      </c>
      <c r="G53">
        <v>60.7</v>
      </c>
      <c r="H53" s="9">
        <v>22.38</v>
      </c>
      <c r="I53"/>
    </row>
    <row r="54" spans="1:9" x14ac:dyDescent="0.3">
      <c r="A54" t="s">
        <v>8</v>
      </c>
      <c r="B54" t="s">
        <v>12</v>
      </c>
      <c r="C54" t="s">
        <v>128</v>
      </c>
      <c r="D54" s="9" t="s">
        <v>124</v>
      </c>
      <c r="E54" t="s">
        <v>36</v>
      </c>
      <c r="F54" t="s">
        <v>69</v>
      </c>
      <c r="G54">
        <v>67.8</v>
      </c>
      <c r="H54" s="9">
        <v>26.97</v>
      </c>
      <c r="I54"/>
    </row>
    <row r="55" spans="1:9" x14ac:dyDescent="0.3">
      <c r="A55" t="s">
        <v>8</v>
      </c>
      <c r="B55" t="s">
        <v>12</v>
      </c>
      <c r="C55" t="s">
        <v>129</v>
      </c>
      <c r="D55" s="9" t="s">
        <v>124</v>
      </c>
      <c r="E55" t="s">
        <v>37</v>
      </c>
      <c r="F55" t="s">
        <v>71</v>
      </c>
      <c r="G55">
        <v>66.8</v>
      </c>
      <c r="H55" s="9">
        <v>34.14</v>
      </c>
      <c r="I55"/>
    </row>
    <row r="56" spans="1:9" x14ac:dyDescent="0.3">
      <c r="A56" t="s">
        <v>8</v>
      </c>
      <c r="B56" t="s">
        <v>12</v>
      </c>
      <c r="C56" t="s">
        <v>130</v>
      </c>
      <c r="D56" s="9" t="s">
        <v>124</v>
      </c>
      <c r="E56" t="s">
        <v>38</v>
      </c>
      <c r="F56" t="s">
        <v>73</v>
      </c>
      <c r="G56">
        <v>68.8</v>
      </c>
      <c r="H56" s="9">
        <v>24.86</v>
      </c>
      <c r="I56"/>
    </row>
    <row r="57" spans="1:9" x14ac:dyDescent="0.3">
      <c r="A57" t="s">
        <v>8</v>
      </c>
      <c r="B57" t="s">
        <v>12</v>
      </c>
      <c r="C57" t="s">
        <v>131</v>
      </c>
      <c r="D57" s="9" t="s">
        <v>124</v>
      </c>
      <c r="E57" t="s">
        <v>39</v>
      </c>
      <c r="F57" t="s">
        <v>75</v>
      </c>
      <c r="G57">
        <v>72.400000000000006</v>
      </c>
      <c r="H57" s="9">
        <v>22.92</v>
      </c>
      <c r="I57"/>
    </row>
    <row r="58" spans="1:9" x14ac:dyDescent="0.3">
      <c r="A58" t="s">
        <v>8</v>
      </c>
      <c r="B58" t="s">
        <v>12</v>
      </c>
      <c r="C58" t="s">
        <v>132</v>
      </c>
      <c r="D58" s="9" t="s">
        <v>124</v>
      </c>
      <c r="E58" t="s">
        <v>40</v>
      </c>
      <c r="F58" t="s">
        <v>77</v>
      </c>
      <c r="G58">
        <v>67.7</v>
      </c>
      <c r="H58" s="9">
        <v>13.02</v>
      </c>
      <c r="I58"/>
    </row>
    <row r="59" spans="1:9" x14ac:dyDescent="0.3">
      <c r="A59" t="s">
        <v>8</v>
      </c>
      <c r="B59" t="s">
        <v>12</v>
      </c>
      <c r="C59" t="s">
        <v>133</v>
      </c>
      <c r="D59" s="9" t="s">
        <v>124</v>
      </c>
      <c r="E59" t="s">
        <v>41</v>
      </c>
      <c r="F59" t="s">
        <v>79</v>
      </c>
      <c r="G59">
        <v>62</v>
      </c>
      <c r="H59" s="9">
        <v>8.58</v>
      </c>
      <c r="I59"/>
    </row>
    <row r="60" spans="1:9" x14ac:dyDescent="0.3">
      <c r="A60" t="s">
        <v>8</v>
      </c>
      <c r="B60" t="s">
        <v>12</v>
      </c>
      <c r="C60" t="s">
        <v>134</v>
      </c>
      <c r="D60" s="9" t="s">
        <v>124</v>
      </c>
      <c r="E60" t="s">
        <v>42</v>
      </c>
      <c r="F60" t="s">
        <v>81</v>
      </c>
      <c r="G60">
        <v>66.099999999999994</v>
      </c>
      <c r="H60" s="9">
        <v>3.61</v>
      </c>
      <c r="I60"/>
    </row>
    <row r="61" spans="1:9" x14ac:dyDescent="0.3">
      <c r="A61" t="s">
        <v>8</v>
      </c>
      <c r="B61" t="s">
        <v>12</v>
      </c>
      <c r="C61" t="s">
        <v>135</v>
      </c>
      <c r="D61" s="9" t="s">
        <v>124</v>
      </c>
      <c r="E61" t="s">
        <v>43</v>
      </c>
      <c r="F61" t="s">
        <v>83</v>
      </c>
      <c r="G61">
        <v>71.099999999999994</v>
      </c>
      <c r="H61" s="9">
        <v>4.87</v>
      </c>
      <c r="I61"/>
    </row>
    <row r="62" spans="1:9" x14ac:dyDescent="0.3">
      <c r="A62" t="s">
        <v>8</v>
      </c>
      <c r="B62" t="s">
        <v>12</v>
      </c>
      <c r="C62" t="s">
        <v>136</v>
      </c>
      <c r="D62" s="9" t="s">
        <v>137</v>
      </c>
      <c r="E62" t="s">
        <v>32</v>
      </c>
      <c r="F62" t="s">
        <v>61</v>
      </c>
      <c r="G62">
        <v>60.1</v>
      </c>
      <c r="H62" s="9">
        <v>3.44</v>
      </c>
      <c r="I62"/>
    </row>
    <row r="63" spans="1:9" x14ac:dyDescent="0.3">
      <c r="A63" t="s">
        <v>8</v>
      </c>
      <c r="B63" t="s">
        <v>12</v>
      </c>
      <c r="C63" t="s">
        <v>138</v>
      </c>
      <c r="D63" s="9" t="s">
        <v>137</v>
      </c>
      <c r="E63" t="s">
        <v>33</v>
      </c>
      <c r="F63" t="s">
        <v>63</v>
      </c>
      <c r="G63">
        <v>63.4</v>
      </c>
      <c r="H63" s="9">
        <v>4.1100000000000003</v>
      </c>
      <c r="I63"/>
    </row>
    <row r="64" spans="1:9" x14ac:dyDescent="0.3">
      <c r="A64" t="s">
        <v>8</v>
      </c>
      <c r="B64" t="s">
        <v>12</v>
      </c>
      <c r="C64" t="s">
        <v>139</v>
      </c>
      <c r="D64" s="9" t="s">
        <v>137</v>
      </c>
      <c r="E64" t="s">
        <v>34</v>
      </c>
      <c r="F64" t="s">
        <v>65</v>
      </c>
      <c r="G64">
        <v>70.7</v>
      </c>
      <c r="H64" s="9">
        <v>6.48</v>
      </c>
      <c r="I64"/>
    </row>
    <row r="65" spans="1:9" x14ac:dyDescent="0.3">
      <c r="A65" t="s">
        <v>8</v>
      </c>
      <c r="B65" t="s">
        <v>12</v>
      </c>
      <c r="C65" t="s">
        <v>140</v>
      </c>
      <c r="D65" s="9" t="s">
        <v>137</v>
      </c>
      <c r="E65" t="s">
        <v>35</v>
      </c>
      <c r="F65" t="s">
        <v>67</v>
      </c>
      <c r="G65">
        <v>68.400000000000006</v>
      </c>
      <c r="H65" s="9">
        <v>12.69</v>
      </c>
      <c r="I65"/>
    </row>
    <row r="66" spans="1:9" x14ac:dyDescent="0.3">
      <c r="A66" t="s">
        <v>8</v>
      </c>
      <c r="B66" t="s">
        <v>12</v>
      </c>
      <c r="C66" t="s">
        <v>141</v>
      </c>
      <c r="D66" s="9" t="s">
        <v>137</v>
      </c>
      <c r="E66" t="s">
        <v>36</v>
      </c>
      <c r="F66" t="s">
        <v>69</v>
      </c>
      <c r="G66">
        <v>69.900000000000006</v>
      </c>
      <c r="H66" s="9">
        <v>3.1</v>
      </c>
      <c r="I66"/>
    </row>
    <row r="67" spans="1:9" x14ac:dyDescent="0.3">
      <c r="A67" t="s">
        <v>8</v>
      </c>
      <c r="B67" t="s">
        <v>12</v>
      </c>
      <c r="C67" t="s">
        <v>142</v>
      </c>
      <c r="D67" s="9" t="s">
        <v>137</v>
      </c>
      <c r="E67" t="s">
        <v>37</v>
      </c>
      <c r="F67" t="s">
        <v>71</v>
      </c>
      <c r="G67">
        <v>66.900000000000006</v>
      </c>
      <c r="H67" s="9">
        <v>0.15</v>
      </c>
      <c r="I67"/>
    </row>
    <row r="68" spans="1:9" x14ac:dyDescent="0.3">
      <c r="A68" t="s">
        <v>8</v>
      </c>
      <c r="B68" t="s">
        <v>12</v>
      </c>
      <c r="C68" t="s">
        <v>143</v>
      </c>
      <c r="D68" s="9" t="s">
        <v>137</v>
      </c>
      <c r="E68" t="s">
        <v>38</v>
      </c>
      <c r="F68" t="s">
        <v>73</v>
      </c>
      <c r="G68">
        <v>73.8</v>
      </c>
      <c r="H68" s="9">
        <v>7.27</v>
      </c>
      <c r="I68"/>
    </row>
    <row r="69" spans="1:9" x14ac:dyDescent="0.3">
      <c r="A69" t="s">
        <v>8</v>
      </c>
      <c r="B69" t="s">
        <v>12</v>
      </c>
      <c r="C69" t="s">
        <v>144</v>
      </c>
      <c r="D69" s="9" t="s">
        <v>137</v>
      </c>
      <c r="E69" t="s">
        <v>39</v>
      </c>
      <c r="F69" t="s">
        <v>75</v>
      </c>
      <c r="G69">
        <v>74</v>
      </c>
      <c r="H69" s="9">
        <v>2.21</v>
      </c>
      <c r="I69"/>
    </row>
    <row r="70" spans="1:9" x14ac:dyDescent="0.3">
      <c r="A70" t="s">
        <v>8</v>
      </c>
      <c r="B70" t="s">
        <v>12</v>
      </c>
      <c r="C70" t="s">
        <v>145</v>
      </c>
      <c r="D70" s="9" t="s">
        <v>137</v>
      </c>
      <c r="E70" t="s">
        <v>40</v>
      </c>
      <c r="F70" t="s">
        <v>77</v>
      </c>
      <c r="G70">
        <v>71.400000000000006</v>
      </c>
      <c r="H70" s="9">
        <v>5.47</v>
      </c>
      <c r="I70"/>
    </row>
    <row r="71" spans="1:9" x14ac:dyDescent="0.3">
      <c r="A71" t="s">
        <v>8</v>
      </c>
      <c r="B71" t="s">
        <v>12</v>
      </c>
      <c r="C71" t="s">
        <v>146</v>
      </c>
      <c r="D71" s="9" t="s">
        <v>137</v>
      </c>
      <c r="E71" t="s">
        <v>41</v>
      </c>
      <c r="F71" t="s">
        <v>79</v>
      </c>
      <c r="G71">
        <v>72.599999999999994</v>
      </c>
      <c r="H71" s="9">
        <v>17.100000000000001</v>
      </c>
      <c r="I71"/>
    </row>
    <row r="72" spans="1:9" x14ac:dyDescent="0.3">
      <c r="A72" t="s">
        <v>8</v>
      </c>
      <c r="B72" t="s">
        <v>12</v>
      </c>
      <c r="C72" t="s">
        <v>147</v>
      </c>
      <c r="D72" s="9" t="s">
        <v>137</v>
      </c>
      <c r="E72" t="s">
        <v>42</v>
      </c>
      <c r="F72" t="s">
        <v>81</v>
      </c>
      <c r="G72">
        <v>74.8</v>
      </c>
      <c r="H72" s="9">
        <v>13.16</v>
      </c>
      <c r="I72"/>
    </row>
    <row r="73" spans="1:9" x14ac:dyDescent="0.3">
      <c r="A73" t="s">
        <v>8</v>
      </c>
      <c r="B73" t="s">
        <v>12</v>
      </c>
      <c r="C73" t="s">
        <v>148</v>
      </c>
      <c r="D73" s="9" t="s">
        <v>137</v>
      </c>
      <c r="E73" t="s">
        <v>43</v>
      </c>
      <c r="F73" t="s">
        <v>83</v>
      </c>
      <c r="G73">
        <v>74.8</v>
      </c>
      <c r="H73" s="9">
        <v>5.2</v>
      </c>
      <c r="I73"/>
    </row>
    <row r="74" spans="1:9" x14ac:dyDescent="0.3">
      <c r="A74" t="s">
        <v>8</v>
      </c>
      <c r="B74" t="s">
        <v>12</v>
      </c>
      <c r="C74" t="s">
        <v>149</v>
      </c>
      <c r="D74" s="9" t="s">
        <v>150</v>
      </c>
      <c r="E74" t="s">
        <v>32</v>
      </c>
      <c r="F74" t="s">
        <v>61</v>
      </c>
      <c r="G74">
        <v>66.099999999999994</v>
      </c>
      <c r="H74" s="9">
        <v>9.98</v>
      </c>
      <c r="I74"/>
    </row>
    <row r="75" spans="1:9" x14ac:dyDescent="0.3">
      <c r="A75" t="s">
        <v>8</v>
      </c>
      <c r="B75" t="s">
        <v>12</v>
      </c>
      <c r="C75" t="s">
        <v>151</v>
      </c>
      <c r="D75" s="9" t="s">
        <v>150</v>
      </c>
      <c r="E75" t="s">
        <v>33</v>
      </c>
      <c r="F75" t="s">
        <v>63</v>
      </c>
      <c r="G75">
        <v>67.599999999999994</v>
      </c>
      <c r="H75" s="9">
        <v>6.62</v>
      </c>
      <c r="I75"/>
    </row>
    <row r="76" spans="1:9" x14ac:dyDescent="0.3">
      <c r="A76" t="s">
        <v>8</v>
      </c>
      <c r="B76" t="s">
        <v>12</v>
      </c>
      <c r="C76" t="s">
        <v>152</v>
      </c>
      <c r="D76" s="9" t="s">
        <v>150</v>
      </c>
      <c r="E76" t="s">
        <v>34</v>
      </c>
      <c r="F76" t="s">
        <v>65</v>
      </c>
      <c r="G76">
        <v>76.7</v>
      </c>
      <c r="H76" s="9">
        <v>8.49</v>
      </c>
      <c r="I76"/>
    </row>
    <row r="77" spans="1:9" x14ac:dyDescent="0.3">
      <c r="A77" t="s">
        <v>8</v>
      </c>
      <c r="B77" t="s">
        <v>12</v>
      </c>
      <c r="C77" t="s">
        <v>153</v>
      </c>
      <c r="D77" s="9" t="s">
        <v>150</v>
      </c>
      <c r="E77" t="s">
        <v>35</v>
      </c>
      <c r="F77" t="s">
        <v>67</v>
      </c>
      <c r="G77">
        <v>70.599999999999994</v>
      </c>
      <c r="H77" s="9">
        <v>3.22</v>
      </c>
      <c r="I77"/>
    </row>
    <row r="78" spans="1:9" x14ac:dyDescent="0.3">
      <c r="A78" t="s">
        <v>8</v>
      </c>
      <c r="B78" t="s">
        <v>12</v>
      </c>
      <c r="C78" t="s">
        <v>154</v>
      </c>
      <c r="D78" s="9" t="s">
        <v>150</v>
      </c>
      <c r="E78" t="s">
        <v>36</v>
      </c>
      <c r="F78" t="s">
        <v>69</v>
      </c>
      <c r="G78">
        <v>76.099999999999994</v>
      </c>
      <c r="H78" s="9">
        <v>8.8699999999999992</v>
      </c>
      <c r="I78"/>
    </row>
    <row r="79" spans="1:9" x14ac:dyDescent="0.3">
      <c r="A79" t="s">
        <v>8</v>
      </c>
      <c r="B79" t="s">
        <v>12</v>
      </c>
      <c r="C79" t="s">
        <v>155</v>
      </c>
      <c r="D79" s="9" t="s">
        <v>150</v>
      </c>
      <c r="E79" t="s">
        <v>37</v>
      </c>
      <c r="F79" t="s">
        <v>71</v>
      </c>
      <c r="G79">
        <v>73.099999999999994</v>
      </c>
      <c r="H79" s="9">
        <v>9.27</v>
      </c>
      <c r="I79"/>
    </row>
    <row r="80" spans="1:9" x14ac:dyDescent="0.3">
      <c r="A80" t="s">
        <v>8</v>
      </c>
      <c r="B80" t="s">
        <v>19</v>
      </c>
      <c r="C80" t="s">
        <v>59</v>
      </c>
      <c r="D80" s="9" t="s">
        <v>60</v>
      </c>
      <c r="E80" t="s">
        <v>32</v>
      </c>
      <c r="F80" t="s">
        <v>61</v>
      </c>
      <c r="G80">
        <v>23</v>
      </c>
      <c r="I80"/>
    </row>
    <row r="81" spans="1:9" x14ac:dyDescent="0.3">
      <c r="A81" t="s">
        <v>8</v>
      </c>
      <c r="B81" t="s">
        <v>19</v>
      </c>
      <c r="C81" t="s">
        <v>62</v>
      </c>
      <c r="D81" s="9" t="s">
        <v>60</v>
      </c>
      <c r="E81" t="s">
        <v>33</v>
      </c>
      <c r="F81" t="s">
        <v>63</v>
      </c>
      <c r="G81">
        <v>19.3</v>
      </c>
      <c r="I81"/>
    </row>
    <row r="82" spans="1:9" x14ac:dyDescent="0.3">
      <c r="A82" t="s">
        <v>8</v>
      </c>
      <c r="B82" t="s">
        <v>19</v>
      </c>
      <c r="C82" t="s">
        <v>64</v>
      </c>
      <c r="D82" s="9" t="s">
        <v>60</v>
      </c>
      <c r="E82" t="s">
        <v>34</v>
      </c>
      <c r="F82" t="s">
        <v>65</v>
      </c>
      <c r="G82">
        <v>24.4</v>
      </c>
      <c r="I82"/>
    </row>
    <row r="83" spans="1:9" x14ac:dyDescent="0.3">
      <c r="A83" t="s">
        <v>8</v>
      </c>
      <c r="B83" t="s">
        <v>19</v>
      </c>
      <c r="C83" t="s">
        <v>66</v>
      </c>
      <c r="D83" s="9" t="s">
        <v>60</v>
      </c>
      <c r="E83" t="s">
        <v>35</v>
      </c>
      <c r="F83" t="s">
        <v>67</v>
      </c>
      <c r="G83">
        <v>26</v>
      </c>
      <c r="I83"/>
    </row>
    <row r="84" spans="1:9" x14ac:dyDescent="0.3">
      <c r="A84" t="s">
        <v>8</v>
      </c>
      <c r="B84" t="s">
        <v>19</v>
      </c>
      <c r="C84" t="s">
        <v>68</v>
      </c>
      <c r="D84" s="9" t="s">
        <v>60</v>
      </c>
      <c r="E84" t="s">
        <v>36</v>
      </c>
      <c r="F84" t="s">
        <v>69</v>
      </c>
      <c r="G84">
        <v>27.7</v>
      </c>
      <c r="I84"/>
    </row>
    <row r="85" spans="1:9" x14ac:dyDescent="0.3">
      <c r="A85" t="s">
        <v>8</v>
      </c>
      <c r="B85" t="s">
        <v>19</v>
      </c>
      <c r="C85" t="s">
        <v>70</v>
      </c>
      <c r="D85" s="9" t="s">
        <v>60</v>
      </c>
      <c r="E85" t="s">
        <v>37</v>
      </c>
      <c r="F85" t="s">
        <v>71</v>
      </c>
      <c r="G85">
        <v>26.8</v>
      </c>
      <c r="I85"/>
    </row>
    <row r="86" spans="1:9" x14ac:dyDescent="0.3">
      <c r="A86" t="s">
        <v>8</v>
      </c>
      <c r="B86" t="s">
        <v>19</v>
      </c>
      <c r="C86" t="s">
        <v>72</v>
      </c>
      <c r="D86" s="9" t="s">
        <v>60</v>
      </c>
      <c r="E86" t="s">
        <v>38</v>
      </c>
      <c r="F86" t="s">
        <v>73</v>
      </c>
      <c r="G86">
        <v>23.4</v>
      </c>
      <c r="I86"/>
    </row>
    <row r="87" spans="1:9" x14ac:dyDescent="0.3">
      <c r="A87" t="s">
        <v>8</v>
      </c>
      <c r="B87" t="s">
        <v>19</v>
      </c>
      <c r="C87" t="s">
        <v>74</v>
      </c>
      <c r="D87" s="9" t="s">
        <v>60</v>
      </c>
      <c r="E87" t="s">
        <v>39</v>
      </c>
      <c r="F87" t="s">
        <v>75</v>
      </c>
      <c r="G87">
        <v>21.6</v>
      </c>
      <c r="I87"/>
    </row>
    <row r="88" spans="1:9" x14ac:dyDescent="0.3">
      <c r="A88" t="s">
        <v>8</v>
      </c>
      <c r="B88" t="s">
        <v>19</v>
      </c>
      <c r="C88" t="s">
        <v>76</v>
      </c>
      <c r="D88" s="9" t="s">
        <v>60</v>
      </c>
      <c r="E88" t="s">
        <v>40</v>
      </c>
      <c r="F88" t="s">
        <v>77</v>
      </c>
      <c r="G88">
        <v>20.7</v>
      </c>
      <c r="I88"/>
    </row>
    <row r="89" spans="1:9" x14ac:dyDescent="0.3">
      <c r="A89" t="s">
        <v>8</v>
      </c>
      <c r="B89" t="s">
        <v>19</v>
      </c>
      <c r="C89" t="s">
        <v>78</v>
      </c>
      <c r="D89" s="9" t="s">
        <v>60</v>
      </c>
      <c r="E89" t="s">
        <v>41</v>
      </c>
      <c r="F89" t="s">
        <v>79</v>
      </c>
      <c r="G89">
        <v>24</v>
      </c>
      <c r="I89"/>
    </row>
    <row r="90" spans="1:9" x14ac:dyDescent="0.3">
      <c r="A90" t="s">
        <v>8</v>
      </c>
      <c r="B90" t="s">
        <v>19</v>
      </c>
      <c r="C90" t="s">
        <v>80</v>
      </c>
      <c r="D90" s="9" t="s">
        <v>60</v>
      </c>
      <c r="E90" t="s">
        <v>42</v>
      </c>
      <c r="F90" t="s">
        <v>81</v>
      </c>
      <c r="G90">
        <v>27</v>
      </c>
      <c r="I90"/>
    </row>
    <row r="91" spans="1:9" x14ac:dyDescent="0.3">
      <c r="A91" t="s">
        <v>8</v>
      </c>
      <c r="B91" t="s">
        <v>19</v>
      </c>
      <c r="C91" t="s">
        <v>82</v>
      </c>
      <c r="D91" s="9" t="s">
        <v>60</v>
      </c>
      <c r="E91" t="s">
        <v>43</v>
      </c>
      <c r="F91" t="s">
        <v>83</v>
      </c>
      <c r="G91">
        <v>37.5</v>
      </c>
      <c r="I91"/>
    </row>
    <row r="92" spans="1:9" x14ac:dyDescent="0.3">
      <c r="A92" t="s">
        <v>8</v>
      </c>
      <c r="B92" t="s">
        <v>19</v>
      </c>
      <c r="C92" t="s">
        <v>84</v>
      </c>
      <c r="D92" s="9" t="s">
        <v>85</v>
      </c>
      <c r="E92" t="s">
        <v>32</v>
      </c>
      <c r="F92" t="s">
        <v>61</v>
      </c>
      <c r="G92">
        <v>21.7</v>
      </c>
      <c r="H92" s="9">
        <v>-5.65</v>
      </c>
      <c r="I92"/>
    </row>
    <row r="93" spans="1:9" x14ac:dyDescent="0.3">
      <c r="A93" t="s">
        <v>8</v>
      </c>
      <c r="B93" t="s">
        <v>19</v>
      </c>
      <c r="C93" t="s">
        <v>86</v>
      </c>
      <c r="D93" s="9" t="s">
        <v>85</v>
      </c>
      <c r="E93" t="s">
        <v>33</v>
      </c>
      <c r="F93" t="s">
        <v>63</v>
      </c>
      <c r="G93">
        <v>20.100000000000001</v>
      </c>
      <c r="H93" s="9">
        <v>4.1500000000000004</v>
      </c>
      <c r="I93"/>
    </row>
    <row r="94" spans="1:9" x14ac:dyDescent="0.3">
      <c r="A94" t="s">
        <v>8</v>
      </c>
      <c r="B94" t="s">
        <v>19</v>
      </c>
      <c r="C94" t="s">
        <v>87</v>
      </c>
      <c r="D94" s="9" t="s">
        <v>85</v>
      </c>
      <c r="E94" t="s">
        <v>34</v>
      </c>
      <c r="F94" t="s">
        <v>65</v>
      </c>
      <c r="G94">
        <v>17.100000000000001</v>
      </c>
      <c r="H94" s="9">
        <v>-29.92</v>
      </c>
      <c r="I94"/>
    </row>
    <row r="95" spans="1:9" x14ac:dyDescent="0.3">
      <c r="A95" t="s">
        <v>8</v>
      </c>
      <c r="B95" t="s">
        <v>19</v>
      </c>
      <c r="C95" t="s">
        <v>88</v>
      </c>
      <c r="D95" s="9" t="s">
        <v>85</v>
      </c>
      <c r="E95" t="s">
        <v>35</v>
      </c>
      <c r="F95" t="s">
        <v>67</v>
      </c>
      <c r="G95">
        <v>9.1</v>
      </c>
      <c r="H95" s="9">
        <v>-65</v>
      </c>
      <c r="I95"/>
    </row>
    <row r="96" spans="1:9" x14ac:dyDescent="0.3">
      <c r="A96" t="s">
        <v>8</v>
      </c>
      <c r="B96" t="s">
        <v>19</v>
      </c>
      <c r="C96" t="s">
        <v>89</v>
      </c>
      <c r="D96" s="9" t="s">
        <v>85</v>
      </c>
      <c r="E96" t="s">
        <v>36</v>
      </c>
      <c r="F96" t="s">
        <v>69</v>
      </c>
      <c r="G96">
        <v>23.9</v>
      </c>
      <c r="H96" s="9">
        <v>-13.72</v>
      </c>
      <c r="I96"/>
    </row>
    <row r="97" spans="1:9" x14ac:dyDescent="0.3">
      <c r="A97" t="s">
        <v>8</v>
      </c>
      <c r="B97" t="s">
        <v>19</v>
      </c>
      <c r="C97" t="s">
        <v>90</v>
      </c>
      <c r="D97" s="9" t="s">
        <v>85</v>
      </c>
      <c r="E97" t="s">
        <v>37</v>
      </c>
      <c r="F97" t="s">
        <v>71</v>
      </c>
      <c r="G97">
        <v>28.3</v>
      </c>
      <c r="H97" s="9">
        <v>5.6</v>
      </c>
      <c r="I97"/>
    </row>
    <row r="98" spans="1:9" x14ac:dyDescent="0.3">
      <c r="A98" t="s">
        <v>8</v>
      </c>
      <c r="B98" t="s">
        <v>19</v>
      </c>
      <c r="C98" t="s">
        <v>91</v>
      </c>
      <c r="D98" s="9" t="s">
        <v>85</v>
      </c>
      <c r="E98" t="s">
        <v>38</v>
      </c>
      <c r="F98" t="s">
        <v>73</v>
      </c>
      <c r="G98">
        <v>29.1</v>
      </c>
      <c r="H98" s="9">
        <v>24.36</v>
      </c>
      <c r="I98"/>
    </row>
    <row r="99" spans="1:9" x14ac:dyDescent="0.3">
      <c r="A99" t="s">
        <v>8</v>
      </c>
      <c r="B99" t="s">
        <v>19</v>
      </c>
      <c r="C99" t="s">
        <v>92</v>
      </c>
      <c r="D99" s="9" t="s">
        <v>85</v>
      </c>
      <c r="E99" t="s">
        <v>39</v>
      </c>
      <c r="F99" t="s">
        <v>75</v>
      </c>
      <c r="G99">
        <v>26.1</v>
      </c>
      <c r="H99" s="9">
        <v>20.83</v>
      </c>
      <c r="I99"/>
    </row>
    <row r="100" spans="1:9" x14ac:dyDescent="0.3">
      <c r="A100" t="s">
        <v>8</v>
      </c>
      <c r="B100" t="s">
        <v>19</v>
      </c>
      <c r="C100" t="s">
        <v>93</v>
      </c>
      <c r="D100" s="9" t="s">
        <v>85</v>
      </c>
      <c r="E100" t="s">
        <v>40</v>
      </c>
      <c r="F100" t="s">
        <v>77</v>
      </c>
      <c r="G100">
        <v>26.8</v>
      </c>
      <c r="H100" s="9">
        <v>29.47</v>
      </c>
      <c r="I100"/>
    </row>
    <row r="101" spans="1:9" x14ac:dyDescent="0.3">
      <c r="A101" t="s">
        <v>8</v>
      </c>
      <c r="B101" t="s">
        <v>19</v>
      </c>
      <c r="C101" t="s">
        <v>94</v>
      </c>
      <c r="D101" s="9" t="s">
        <v>85</v>
      </c>
      <c r="E101" t="s">
        <v>41</v>
      </c>
      <c r="F101" t="s">
        <v>79</v>
      </c>
      <c r="G101">
        <v>31.1</v>
      </c>
      <c r="H101" s="9">
        <v>29.58</v>
      </c>
      <c r="I101"/>
    </row>
    <row r="102" spans="1:9" x14ac:dyDescent="0.3">
      <c r="A102" t="s">
        <v>8</v>
      </c>
      <c r="B102" t="s">
        <v>19</v>
      </c>
      <c r="C102" t="s">
        <v>95</v>
      </c>
      <c r="D102" s="9" t="s">
        <v>85</v>
      </c>
      <c r="E102" t="s">
        <v>42</v>
      </c>
      <c r="F102" t="s">
        <v>81</v>
      </c>
      <c r="G102">
        <v>35.1</v>
      </c>
      <c r="H102" s="9">
        <v>30</v>
      </c>
      <c r="I102"/>
    </row>
    <row r="103" spans="1:9" x14ac:dyDescent="0.3">
      <c r="A103" t="s">
        <v>8</v>
      </c>
      <c r="B103" t="s">
        <v>19</v>
      </c>
      <c r="C103" t="s">
        <v>96</v>
      </c>
      <c r="D103" s="9" t="s">
        <v>85</v>
      </c>
      <c r="E103" t="s">
        <v>43</v>
      </c>
      <c r="F103" t="s">
        <v>83</v>
      </c>
      <c r="G103">
        <v>46.1</v>
      </c>
      <c r="H103" s="9">
        <v>22.93</v>
      </c>
      <c r="I103"/>
    </row>
    <row r="104" spans="1:9" x14ac:dyDescent="0.3">
      <c r="A104" t="s">
        <v>8</v>
      </c>
      <c r="B104" t="s">
        <v>19</v>
      </c>
      <c r="C104" t="s">
        <v>97</v>
      </c>
      <c r="D104" s="9" t="s">
        <v>98</v>
      </c>
      <c r="E104" t="s">
        <v>32</v>
      </c>
      <c r="F104" t="s">
        <v>61</v>
      </c>
      <c r="G104">
        <v>28</v>
      </c>
      <c r="H104" s="9">
        <v>29.03</v>
      </c>
      <c r="I104"/>
    </row>
    <row r="105" spans="1:9" x14ac:dyDescent="0.3">
      <c r="A105" t="s">
        <v>8</v>
      </c>
      <c r="B105" t="s">
        <v>19</v>
      </c>
      <c r="C105" t="s">
        <v>99</v>
      </c>
      <c r="D105" s="9" t="s">
        <v>98</v>
      </c>
      <c r="E105" t="s">
        <v>33</v>
      </c>
      <c r="F105" t="s">
        <v>63</v>
      </c>
      <c r="G105">
        <v>24</v>
      </c>
      <c r="H105" s="9">
        <v>19.399999999999999</v>
      </c>
      <c r="I105"/>
    </row>
    <row r="106" spans="1:9" x14ac:dyDescent="0.3">
      <c r="A106" t="s">
        <v>8</v>
      </c>
      <c r="B106" t="s">
        <v>19</v>
      </c>
      <c r="C106" t="s">
        <v>100</v>
      </c>
      <c r="D106" s="9" t="s">
        <v>98</v>
      </c>
      <c r="E106" t="s">
        <v>34</v>
      </c>
      <c r="F106" t="s">
        <v>65</v>
      </c>
      <c r="G106">
        <v>29.7</v>
      </c>
      <c r="H106" s="9">
        <v>73.680000000000007</v>
      </c>
      <c r="I106"/>
    </row>
    <row r="107" spans="1:9" x14ac:dyDescent="0.3">
      <c r="A107" t="s">
        <v>8</v>
      </c>
      <c r="B107" t="s">
        <v>19</v>
      </c>
      <c r="C107" t="s">
        <v>101</v>
      </c>
      <c r="D107" s="9" t="s">
        <v>98</v>
      </c>
      <c r="E107" t="s">
        <v>35</v>
      </c>
      <c r="F107" t="s">
        <v>67</v>
      </c>
      <c r="G107">
        <v>32.6</v>
      </c>
      <c r="H107" s="9">
        <v>258.24</v>
      </c>
      <c r="I107"/>
    </row>
    <row r="108" spans="1:9" x14ac:dyDescent="0.3">
      <c r="A108" t="s">
        <v>8</v>
      </c>
      <c r="B108" t="s">
        <v>19</v>
      </c>
      <c r="C108" t="s">
        <v>102</v>
      </c>
      <c r="D108" s="9" t="s">
        <v>98</v>
      </c>
      <c r="E108" t="s">
        <v>36</v>
      </c>
      <c r="F108" t="s">
        <v>69</v>
      </c>
      <c r="G108">
        <v>33.5</v>
      </c>
      <c r="H108" s="9">
        <v>40.17</v>
      </c>
      <c r="I108"/>
    </row>
    <row r="109" spans="1:9" x14ac:dyDescent="0.3">
      <c r="A109" t="s">
        <v>8</v>
      </c>
      <c r="B109" t="s">
        <v>19</v>
      </c>
      <c r="C109" t="s">
        <v>103</v>
      </c>
      <c r="D109" s="9" t="s">
        <v>98</v>
      </c>
      <c r="E109" t="s">
        <v>37</v>
      </c>
      <c r="F109" t="s">
        <v>71</v>
      </c>
      <c r="G109">
        <v>31.3</v>
      </c>
      <c r="H109" s="9">
        <v>10.6</v>
      </c>
      <c r="I109"/>
    </row>
    <row r="110" spans="1:9" x14ac:dyDescent="0.3">
      <c r="A110" t="s">
        <v>8</v>
      </c>
      <c r="B110" t="s">
        <v>19</v>
      </c>
      <c r="C110" t="s">
        <v>104</v>
      </c>
      <c r="D110" s="9" t="s">
        <v>98</v>
      </c>
      <c r="E110" t="s">
        <v>38</v>
      </c>
      <c r="F110" t="s">
        <v>73</v>
      </c>
      <c r="G110">
        <v>29.8</v>
      </c>
      <c r="H110" s="9">
        <v>2.41</v>
      </c>
      <c r="I110"/>
    </row>
    <row r="111" spans="1:9" x14ac:dyDescent="0.3">
      <c r="A111" t="s">
        <v>8</v>
      </c>
      <c r="B111" t="s">
        <v>19</v>
      </c>
      <c r="C111" t="s">
        <v>105</v>
      </c>
      <c r="D111" s="9" t="s">
        <v>98</v>
      </c>
      <c r="E111" t="s">
        <v>39</v>
      </c>
      <c r="F111" t="s">
        <v>75</v>
      </c>
      <c r="G111">
        <v>12.6</v>
      </c>
      <c r="H111" s="9">
        <v>-51.72</v>
      </c>
      <c r="I111"/>
    </row>
    <row r="112" spans="1:9" x14ac:dyDescent="0.3">
      <c r="A112" t="s">
        <v>8</v>
      </c>
      <c r="B112" t="s">
        <v>19</v>
      </c>
      <c r="C112" t="s">
        <v>106</v>
      </c>
      <c r="D112" s="9" t="s">
        <v>98</v>
      </c>
      <c r="E112" t="s">
        <v>40</v>
      </c>
      <c r="F112" t="s">
        <v>77</v>
      </c>
      <c r="G112">
        <v>4.5999999999999996</v>
      </c>
      <c r="H112" s="9">
        <v>-82.84</v>
      </c>
      <c r="I112"/>
    </row>
    <row r="113" spans="1:9" x14ac:dyDescent="0.3">
      <c r="A113" t="s">
        <v>8</v>
      </c>
      <c r="B113" t="s">
        <v>19</v>
      </c>
      <c r="C113" t="s">
        <v>107</v>
      </c>
      <c r="D113" s="9" t="s">
        <v>98</v>
      </c>
      <c r="E113" t="s">
        <v>41</v>
      </c>
      <c r="F113" t="s">
        <v>79</v>
      </c>
      <c r="G113">
        <v>10.8</v>
      </c>
      <c r="H113" s="9">
        <v>-65.27</v>
      </c>
      <c r="I113"/>
    </row>
    <row r="114" spans="1:9" x14ac:dyDescent="0.3">
      <c r="A114" t="s">
        <v>8</v>
      </c>
      <c r="B114" t="s">
        <v>19</v>
      </c>
      <c r="C114" t="s">
        <v>108</v>
      </c>
      <c r="D114" s="9" t="s">
        <v>98</v>
      </c>
      <c r="E114" t="s">
        <v>42</v>
      </c>
      <c r="F114" t="s">
        <v>81</v>
      </c>
      <c r="G114">
        <v>32.1</v>
      </c>
      <c r="H114" s="9">
        <v>-8.5500000000000007</v>
      </c>
      <c r="I114"/>
    </row>
    <row r="115" spans="1:9" x14ac:dyDescent="0.3">
      <c r="A115" t="s">
        <v>8</v>
      </c>
      <c r="B115" t="s">
        <v>19</v>
      </c>
      <c r="C115" t="s">
        <v>109</v>
      </c>
      <c r="D115" s="9" t="s">
        <v>98</v>
      </c>
      <c r="E115" t="s">
        <v>43</v>
      </c>
      <c r="F115" t="s">
        <v>83</v>
      </c>
      <c r="G115">
        <v>40.4</v>
      </c>
      <c r="H115" s="9">
        <v>-12.36</v>
      </c>
      <c r="I115"/>
    </row>
    <row r="116" spans="1:9" x14ac:dyDescent="0.3">
      <c r="A116" t="s">
        <v>8</v>
      </c>
      <c r="B116" t="s">
        <v>19</v>
      </c>
      <c r="C116" t="s">
        <v>110</v>
      </c>
      <c r="D116" s="9" t="s">
        <v>111</v>
      </c>
      <c r="E116" t="s">
        <v>32</v>
      </c>
      <c r="F116" t="s">
        <v>61</v>
      </c>
      <c r="G116">
        <v>22.6</v>
      </c>
      <c r="H116" s="9">
        <v>-19.29</v>
      </c>
      <c r="I116"/>
    </row>
    <row r="117" spans="1:9" x14ac:dyDescent="0.3">
      <c r="A117" t="s">
        <v>8</v>
      </c>
      <c r="B117" t="s">
        <v>19</v>
      </c>
      <c r="C117" t="s">
        <v>112</v>
      </c>
      <c r="D117" s="9" t="s">
        <v>111</v>
      </c>
      <c r="E117" t="s">
        <v>33</v>
      </c>
      <c r="F117" t="s">
        <v>63</v>
      </c>
      <c r="G117">
        <v>21</v>
      </c>
      <c r="H117" s="9">
        <v>-12.5</v>
      </c>
      <c r="I117"/>
    </row>
    <row r="118" spans="1:9" x14ac:dyDescent="0.3">
      <c r="A118" t="s">
        <v>8</v>
      </c>
      <c r="B118" t="s">
        <v>19</v>
      </c>
      <c r="C118" t="s">
        <v>113</v>
      </c>
      <c r="D118" s="9" t="s">
        <v>111</v>
      </c>
      <c r="E118" t="s">
        <v>34</v>
      </c>
      <c r="F118" t="s">
        <v>65</v>
      </c>
      <c r="G118">
        <v>25.7</v>
      </c>
      <c r="H118" s="9">
        <v>-13.47</v>
      </c>
      <c r="I118"/>
    </row>
    <row r="119" spans="1:9" x14ac:dyDescent="0.3">
      <c r="A119" t="s">
        <v>8</v>
      </c>
      <c r="B119" t="s">
        <v>19</v>
      </c>
      <c r="C119" t="s">
        <v>114</v>
      </c>
      <c r="D119" s="9" t="s">
        <v>111</v>
      </c>
      <c r="E119" t="s">
        <v>35</v>
      </c>
      <c r="F119" t="s">
        <v>67</v>
      </c>
      <c r="G119">
        <v>30.5</v>
      </c>
      <c r="H119" s="9">
        <v>-6.44</v>
      </c>
      <c r="I119"/>
    </row>
    <row r="120" spans="1:9" x14ac:dyDescent="0.3">
      <c r="A120" t="s">
        <v>8</v>
      </c>
      <c r="B120" t="s">
        <v>19</v>
      </c>
      <c r="C120" t="s">
        <v>115</v>
      </c>
      <c r="D120" s="9" t="s">
        <v>111</v>
      </c>
      <c r="E120" t="s">
        <v>36</v>
      </c>
      <c r="F120" t="s">
        <v>69</v>
      </c>
      <c r="G120">
        <v>27.9</v>
      </c>
      <c r="H120" s="9">
        <v>-16.72</v>
      </c>
      <c r="I120"/>
    </row>
    <row r="121" spans="1:9" x14ac:dyDescent="0.3">
      <c r="A121" t="s">
        <v>8</v>
      </c>
      <c r="B121" t="s">
        <v>19</v>
      </c>
      <c r="C121" t="s">
        <v>116</v>
      </c>
      <c r="D121" s="9" t="s">
        <v>111</v>
      </c>
      <c r="E121" t="s">
        <v>37</v>
      </c>
      <c r="F121" t="s">
        <v>71</v>
      </c>
      <c r="G121">
        <v>26.1</v>
      </c>
      <c r="H121" s="9">
        <v>-16.61</v>
      </c>
      <c r="I121"/>
    </row>
    <row r="122" spans="1:9" x14ac:dyDescent="0.3">
      <c r="A122" t="s">
        <v>8</v>
      </c>
      <c r="B122" t="s">
        <v>19</v>
      </c>
      <c r="C122" t="s">
        <v>117</v>
      </c>
      <c r="D122" s="9" t="s">
        <v>111</v>
      </c>
      <c r="E122" t="s">
        <v>38</v>
      </c>
      <c r="F122" t="s">
        <v>73</v>
      </c>
      <c r="G122">
        <v>25</v>
      </c>
      <c r="H122" s="9">
        <v>-16.11</v>
      </c>
      <c r="I122"/>
    </row>
    <row r="123" spans="1:9" x14ac:dyDescent="0.3">
      <c r="A123" t="s">
        <v>8</v>
      </c>
      <c r="B123" t="s">
        <v>19</v>
      </c>
      <c r="C123" t="s">
        <v>118</v>
      </c>
      <c r="D123" s="9" t="s">
        <v>111</v>
      </c>
      <c r="E123" t="s">
        <v>39</v>
      </c>
      <c r="F123" t="s">
        <v>75</v>
      </c>
      <c r="G123">
        <v>21</v>
      </c>
      <c r="H123" s="9">
        <v>66.67</v>
      </c>
      <c r="I123"/>
    </row>
    <row r="124" spans="1:9" x14ac:dyDescent="0.3">
      <c r="A124" t="s">
        <v>8</v>
      </c>
      <c r="B124" t="s">
        <v>19</v>
      </c>
      <c r="C124" t="s">
        <v>119</v>
      </c>
      <c r="D124" s="9" t="s">
        <v>111</v>
      </c>
      <c r="E124" t="s">
        <v>40</v>
      </c>
      <c r="F124" t="s">
        <v>77</v>
      </c>
      <c r="G124">
        <v>23.2</v>
      </c>
      <c r="H124" s="9">
        <v>404.35</v>
      </c>
      <c r="I124"/>
    </row>
    <row r="125" spans="1:9" x14ac:dyDescent="0.3">
      <c r="A125" t="s">
        <v>8</v>
      </c>
      <c r="B125" t="s">
        <v>19</v>
      </c>
      <c r="C125" t="s">
        <v>120</v>
      </c>
      <c r="D125" s="9" t="s">
        <v>111</v>
      </c>
      <c r="E125" t="s">
        <v>41</v>
      </c>
      <c r="F125" t="s">
        <v>79</v>
      </c>
      <c r="G125">
        <v>23.7</v>
      </c>
      <c r="H125" s="9">
        <v>119.44</v>
      </c>
      <c r="I125"/>
    </row>
    <row r="126" spans="1:9" x14ac:dyDescent="0.3">
      <c r="A126" t="s">
        <v>8</v>
      </c>
      <c r="B126" t="s">
        <v>19</v>
      </c>
      <c r="C126" t="s">
        <v>121</v>
      </c>
      <c r="D126" s="9" t="s">
        <v>111</v>
      </c>
      <c r="E126" t="s">
        <v>42</v>
      </c>
      <c r="F126" t="s">
        <v>81</v>
      </c>
      <c r="G126">
        <v>29.2</v>
      </c>
      <c r="H126" s="9">
        <v>-9.0299999999999994</v>
      </c>
      <c r="I126"/>
    </row>
    <row r="127" spans="1:9" x14ac:dyDescent="0.3">
      <c r="A127" t="s">
        <v>8</v>
      </c>
      <c r="B127" t="s">
        <v>19</v>
      </c>
      <c r="C127" t="s">
        <v>122</v>
      </c>
      <c r="D127" s="9" t="s">
        <v>111</v>
      </c>
      <c r="E127" t="s">
        <v>43</v>
      </c>
      <c r="F127" t="s">
        <v>83</v>
      </c>
      <c r="G127">
        <v>37.9</v>
      </c>
      <c r="H127" s="9">
        <v>-6.19</v>
      </c>
      <c r="I127"/>
    </row>
    <row r="128" spans="1:9" x14ac:dyDescent="0.3">
      <c r="A128" t="s">
        <v>8</v>
      </c>
      <c r="B128" t="s">
        <v>19</v>
      </c>
      <c r="C128" t="s">
        <v>123</v>
      </c>
      <c r="D128" s="9" t="s">
        <v>124</v>
      </c>
      <c r="E128" t="s">
        <v>32</v>
      </c>
      <c r="F128" t="s">
        <v>61</v>
      </c>
      <c r="G128">
        <v>23.4</v>
      </c>
      <c r="H128" s="9">
        <v>3.54</v>
      </c>
      <c r="I128"/>
    </row>
    <row r="129" spans="1:9" x14ac:dyDescent="0.3">
      <c r="A129" t="s">
        <v>8</v>
      </c>
      <c r="B129" t="s">
        <v>19</v>
      </c>
      <c r="C129" t="s">
        <v>125</v>
      </c>
      <c r="D129" s="9" t="s">
        <v>124</v>
      </c>
      <c r="E129" t="s">
        <v>33</v>
      </c>
      <c r="F129" t="s">
        <v>63</v>
      </c>
      <c r="G129">
        <v>20.399999999999999</v>
      </c>
      <c r="H129" s="9">
        <v>-2.86</v>
      </c>
      <c r="I129"/>
    </row>
    <row r="130" spans="1:9" x14ac:dyDescent="0.3">
      <c r="A130" t="s">
        <v>8</v>
      </c>
      <c r="B130" t="s">
        <v>19</v>
      </c>
      <c r="C130" t="s">
        <v>126</v>
      </c>
      <c r="D130" s="9" t="s">
        <v>124</v>
      </c>
      <c r="E130" t="s">
        <v>34</v>
      </c>
      <c r="F130" t="s">
        <v>65</v>
      </c>
      <c r="G130">
        <v>24.8</v>
      </c>
      <c r="H130" s="9">
        <v>-3.5</v>
      </c>
      <c r="I130"/>
    </row>
    <row r="131" spans="1:9" x14ac:dyDescent="0.3">
      <c r="A131" t="s">
        <v>8</v>
      </c>
      <c r="B131" t="s">
        <v>19</v>
      </c>
      <c r="C131" t="s">
        <v>127</v>
      </c>
      <c r="D131" s="9" t="s">
        <v>124</v>
      </c>
      <c r="E131" t="s">
        <v>35</v>
      </c>
      <c r="F131" t="s">
        <v>67</v>
      </c>
      <c r="G131">
        <v>29.4</v>
      </c>
      <c r="H131" s="9">
        <v>-3.61</v>
      </c>
      <c r="I131"/>
    </row>
    <row r="132" spans="1:9" x14ac:dyDescent="0.3">
      <c r="A132" t="s">
        <v>8</v>
      </c>
      <c r="B132" t="s">
        <v>19</v>
      </c>
      <c r="C132" t="s">
        <v>128</v>
      </c>
      <c r="D132" s="9" t="s">
        <v>124</v>
      </c>
      <c r="E132" t="s">
        <v>36</v>
      </c>
      <c r="F132" t="s">
        <v>69</v>
      </c>
      <c r="G132">
        <v>29.3</v>
      </c>
      <c r="H132" s="9">
        <v>5.0199999999999996</v>
      </c>
      <c r="I132"/>
    </row>
    <row r="133" spans="1:9" x14ac:dyDescent="0.3">
      <c r="A133" t="s">
        <v>8</v>
      </c>
      <c r="B133" t="s">
        <v>19</v>
      </c>
      <c r="C133" t="s">
        <v>129</v>
      </c>
      <c r="D133" s="9" t="s">
        <v>124</v>
      </c>
      <c r="E133" t="s">
        <v>37</v>
      </c>
      <c r="F133" t="s">
        <v>71</v>
      </c>
      <c r="G133">
        <v>27.1</v>
      </c>
      <c r="H133" s="9">
        <v>3.83</v>
      </c>
      <c r="I133"/>
    </row>
    <row r="134" spans="1:9" x14ac:dyDescent="0.3">
      <c r="A134" t="s">
        <v>8</v>
      </c>
      <c r="B134" t="s">
        <v>19</v>
      </c>
      <c r="C134" t="s">
        <v>130</v>
      </c>
      <c r="D134" s="9" t="s">
        <v>124</v>
      </c>
      <c r="E134" t="s">
        <v>38</v>
      </c>
      <c r="F134" t="s">
        <v>73</v>
      </c>
      <c r="G134">
        <v>24.8</v>
      </c>
      <c r="H134" s="9">
        <v>-0.8</v>
      </c>
      <c r="I134"/>
    </row>
    <row r="135" spans="1:9" x14ac:dyDescent="0.3">
      <c r="A135" t="s">
        <v>8</v>
      </c>
      <c r="B135" t="s">
        <v>19</v>
      </c>
      <c r="C135" t="s">
        <v>131</v>
      </c>
      <c r="D135" s="9" t="s">
        <v>124</v>
      </c>
      <c r="E135" t="s">
        <v>39</v>
      </c>
      <c r="F135" t="s">
        <v>75</v>
      </c>
      <c r="G135">
        <v>23.3</v>
      </c>
      <c r="H135" s="9">
        <v>10.95</v>
      </c>
      <c r="I135"/>
    </row>
    <row r="136" spans="1:9" x14ac:dyDescent="0.3">
      <c r="A136" t="s">
        <v>8</v>
      </c>
      <c r="B136" t="s">
        <v>19</v>
      </c>
      <c r="C136" t="s">
        <v>132</v>
      </c>
      <c r="D136" s="9" t="s">
        <v>124</v>
      </c>
      <c r="E136" t="s">
        <v>40</v>
      </c>
      <c r="F136" t="s">
        <v>77</v>
      </c>
      <c r="G136">
        <v>26.6</v>
      </c>
      <c r="H136" s="9">
        <v>14.66</v>
      </c>
      <c r="I136"/>
    </row>
    <row r="137" spans="1:9" x14ac:dyDescent="0.3">
      <c r="A137" t="s">
        <v>8</v>
      </c>
      <c r="B137" t="s">
        <v>19</v>
      </c>
      <c r="C137" t="s">
        <v>133</v>
      </c>
      <c r="D137" s="9" t="s">
        <v>124</v>
      </c>
      <c r="E137" t="s">
        <v>41</v>
      </c>
      <c r="F137" t="s">
        <v>79</v>
      </c>
      <c r="G137">
        <v>27.2</v>
      </c>
      <c r="H137" s="9">
        <v>14.77</v>
      </c>
      <c r="I137"/>
    </row>
    <row r="138" spans="1:9" x14ac:dyDescent="0.3">
      <c r="A138" t="s">
        <v>8</v>
      </c>
      <c r="B138" t="s">
        <v>19</v>
      </c>
      <c r="C138" t="s">
        <v>134</v>
      </c>
      <c r="D138" s="9" t="s">
        <v>124</v>
      </c>
      <c r="E138" t="s">
        <v>42</v>
      </c>
      <c r="F138" t="s">
        <v>81</v>
      </c>
      <c r="G138">
        <v>33.9</v>
      </c>
      <c r="H138" s="9">
        <v>16.100000000000001</v>
      </c>
      <c r="I138"/>
    </row>
    <row r="139" spans="1:9" x14ac:dyDescent="0.3">
      <c r="A139" t="s">
        <v>8</v>
      </c>
      <c r="B139" t="s">
        <v>19</v>
      </c>
      <c r="C139" t="s">
        <v>135</v>
      </c>
      <c r="D139" s="9" t="s">
        <v>124</v>
      </c>
      <c r="E139" t="s">
        <v>43</v>
      </c>
      <c r="F139" t="s">
        <v>83</v>
      </c>
      <c r="G139">
        <v>40.700000000000003</v>
      </c>
      <c r="H139" s="9">
        <v>7.39</v>
      </c>
      <c r="I139"/>
    </row>
    <row r="140" spans="1:9" x14ac:dyDescent="0.3">
      <c r="A140" t="s">
        <v>8</v>
      </c>
      <c r="B140" t="s">
        <v>19</v>
      </c>
      <c r="C140" t="s">
        <v>136</v>
      </c>
      <c r="D140" s="9" t="s">
        <v>137</v>
      </c>
      <c r="E140" t="s">
        <v>32</v>
      </c>
      <c r="F140" t="s">
        <v>61</v>
      </c>
      <c r="G140">
        <v>25.1</v>
      </c>
      <c r="H140" s="9">
        <v>7.26</v>
      </c>
      <c r="I140"/>
    </row>
    <row r="141" spans="1:9" x14ac:dyDescent="0.3">
      <c r="A141" t="s">
        <v>8</v>
      </c>
      <c r="B141" t="s">
        <v>19</v>
      </c>
      <c r="C141" t="s">
        <v>138</v>
      </c>
      <c r="D141" s="9" t="s">
        <v>137</v>
      </c>
      <c r="E141" t="s">
        <v>33</v>
      </c>
      <c r="F141" t="s">
        <v>63</v>
      </c>
      <c r="G141">
        <v>21.9</v>
      </c>
      <c r="H141" s="9">
        <v>7.35</v>
      </c>
      <c r="I141"/>
    </row>
    <row r="142" spans="1:9" x14ac:dyDescent="0.3">
      <c r="A142" t="s">
        <v>8</v>
      </c>
      <c r="B142" t="s">
        <v>19</v>
      </c>
      <c r="C142" t="s">
        <v>139</v>
      </c>
      <c r="D142" s="9" t="s">
        <v>137</v>
      </c>
      <c r="E142" t="s">
        <v>34</v>
      </c>
      <c r="F142" t="s">
        <v>65</v>
      </c>
      <c r="G142">
        <v>25.5</v>
      </c>
      <c r="H142" s="9">
        <v>2.82</v>
      </c>
      <c r="I142"/>
    </row>
    <row r="143" spans="1:9" x14ac:dyDescent="0.3">
      <c r="A143" t="s">
        <v>8</v>
      </c>
      <c r="B143" t="s">
        <v>19</v>
      </c>
      <c r="C143" t="s">
        <v>140</v>
      </c>
      <c r="D143" s="9" t="s">
        <v>137</v>
      </c>
      <c r="E143" t="s">
        <v>35</v>
      </c>
      <c r="F143" t="s">
        <v>67</v>
      </c>
      <c r="G143">
        <v>28.9</v>
      </c>
      <c r="H143" s="9">
        <v>-1.7</v>
      </c>
      <c r="I143"/>
    </row>
    <row r="144" spans="1:9" x14ac:dyDescent="0.3">
      <c r="A144" t="s">
        <v>8</v>
      </c>
      <c r="B144" t="s">
        <v>19</v>
      </c>
      <c r="C144" t="s">
        <v>141</v>
      </c>
      <c r="D144" s="9" t="s">
        <v>137</v>
      </c>
      <c r="E144" t="s">
        <v>36</v>
      </c>
      <c r="F144" t="s">
        <v>69</v>
      </c>
      <c r="G144">
        <v>28.8</v>
      </c>
      <c r="H144" s="9">
        <v>-1.71</v>
      </c>
      <c r="I144"/>
    </row>
    <row r="145" spans="1:9" x14ac:dyDescent="0.3">
      <c r="A145" t="s">
        <v>8</v>
      </c>
      <c r="B145" t="s">
        <v>19</v>
      </c>
      <c r="C145" t="s">
        <v>142</v>
      </c>
      <c r="D145" s="9" t="s">
        <v>137</v>
      </c>
      <c r="E145" t="s">
        <v>37</v>
      </c>
      <c r="F145" t="s">
        <v>71</v>
      </c>
      <c r="G145">
        <v>27.3</v>
      </c>
      <c r="H145" s="9">
        <v>0.74</v>
      </c>
      <c r="I145"/>
    </row>
    <row r="146" spans="1:9" x14ac:dyDescent="0.3">
      <c r="A146" t="s">
        <v>8</v>
      </c>
      <c r="B146" t="s">
        <v>19</v>
      </c>
      <c r="C146" t="s">
        <v>143</v>
      </c>
      <c r="D146" s="9" t="s">
        <v>137</v>
      </c>
      <c r="E146" t="s">
        <v>38</v>
      </c>
      <c r="F146" t="s">
        <v>73</v>
      </c>
      <c r="G146">
        <v>25</v>
      </c>
      <c r="H146" s="9">
        <v>0.81</v>
      </c>
      <c r="I146"/>
    </row>
    <row r="147" spans="1:9" x14ac:dyDescent="0.3">
      <c r="A147" t="s">
        <v>8</v>
      </c>
      <c r="B147" t="s">
        <v>19</v>
      </c>
      <c r="C147" t="s">
        <v>144</v>
      </c>
      <c r="D147" s="9" t="s">
        <v>137</v>
      </c>
      <c r="E147" t="s">
        <v>39</v>
      </c>
      <c r="F147" t="s">
        <v>75</v>
      </c>
      <c r="G147">
        <v>23.9</v>
      </c>
      <c r="H147" s="9">
        <v>2.58</v>
      </c>
      <c r="I147"/>
    </row>
    <row r="148" spans="1:9" x14ac:dyDescent="0.3">
      <c r="A148" t="s">
        <v>8</v>
      </c>
      <c r="B148" t="s">
        <v>19</v>
      </c>
      <c r="C148" t="s">
        <v>145</v>
      </c>
      <c r="D148" s="9" t="s">
        <v>137</v>
      </c>
      <c r="E148" t="s">
        <v>40</v>
      </c>
      <c r="F148" t="s">
        <v>77</v>
      </c>
      <c r="G148">
        <v>24.4</v>
      </c>
      <c r="H148" s="9">
        <v>-8.27</v>
      </c>
      <c r="I148"/>
    </row>
    <row r="149" spans="1:9" x14ac:dyDescent="0.3">
      <c r="A149" t="s">
        <v>8</v>
      </c>
      <c r="B149" t="s">
        <v>19</v>
      </c>
      <c r="C149" t="s">
        <v>146</v>
      </c>
      <c r="D149" s="9" t="s">
        <v>137</v>
      </c>
      <c r="E149" t="s">
        <v>41</v>
      </c>
      <c r="F149" t="s">
        <v>79</v>
      </c>
      <c r="G149">
        <v>26.4</v>
      </c>
      <c r="H149" s="9">
        <v>-2.94</v>
      </c>
      <c r="I149"/>
    </row>
    <row r="150" spans="1:9" x14ac:dyDescent="0.3">
      <c r="A150" t="s">
        <v>8</v>
      </c>
      <c r="B150" t="s">
        <v>19</v>
      </c>
      <c r="C150" t="s">
        <v>147</v>
      </c>
      <c r="D150" s="9" t="s">
        <v>137</v>
      </c>
      <c r="E150" t="s">
        <v>42</v>
      </c>
      <c r="F150" t="s">
        <v>81</v>
      </c>
      <c r="G150">
        <v>32</v>
      </c>
      <c r="H150" s="9">
        <v>-5.6</v>
      </c>
      <c r="I150"/>
    </row>
    <row r="151" spans="1:9" x14ac:dyDescent="0.3">
      <c r="A151" t="s">
        <v>8</v>
      </c>
      <c r="B151" t="s">
        <v>19</v>
      </c>
      <c r="C151" t="s">
        <v>148</v>
      </c>
      <c r="D151" s="9" t="s">
        <v>137</v>
      </c>
      <c r="E151" t="s">
        <v>43</v>
      </c>
      <c r="F151" t="s">
        <v>83</v>
      </c>
      <c r="G151">
        <v>41.7</v>
      </c>
      <c r="H151" s="9">
        <v>2.46</v>
      </c>
      <c r="I151"/>
    </row>
    <row r="152" spans="1:9" x14ac:dyDescent="0.3">
      <c r="A152" t="s">
        <v>8</v>
      </c>
      <c r="B152" t="s">
        <v>19</v>
      </c>
      <c r="C152" t="s">
        <v>149</v>
      </c>
      <c r="D152" s="9" t="s">
        <v>150</v>
      </c>
      <c r="E152" t="s">
        <v>32</v>
      </c>
      <c r="F152" t="s">
        <v>61</v>
      </c>
      <c r="G152">
        <v>24.6</v>
      </c>
      <c r="H152" s="9">
        <v>-1.99</v>
      </c>
      <c r="I152"/>
    </row>
    <row r="153" spans="1:9" x14ac:dyDescent="0.3">
      <c r="A153" t="s">
        <v>8</v>
      </c>
      <c r="B153" t="s">
        <v>19</v>
      </c>
      <c r="C153" t="s">
        <v>151</v>
      </c>
      <c r="D153" s="9" t="s">
        <v>150</v>
      </c>
      <c r="E153" t="s">
        <v>33</v>
      </c>
      <c r="F153" t="s">
        <v>63</v>
      </c>
      <c r="G153">
        <v>20.8</v>
      </c>
      <c r="H153" s="9">
        <v>-5.0199999999999996</v>
      </c>
      <c r="I153"/>
    </row>
    <row r="154" spans="1:9" x14ac:dyDescent="0.3">
      <c r="A154" t="s">
        <v>8</v>
      </c>
      <c r="B154" t="s">
        <v>19</v>
      </c>
      <c r="C154" t="s">
        <v>152</v>
      </c>
      <c r="D154" s="9" t="s">
        <v>150</v>
      </c>
      <c r="E154" t="s">
        <v>34</v>
      </c>
      <c r="F154" t="s">
        <v>65</v>
      </c>
      <c r="G154">
        <v>24.3</v>
      </c>
      <c r="H154" s="9">
        <v>-4.71</v>
      </c>
      <c r="I154"/>
    </row>
    <row r="155" spans="1:9" x14ac:dyDescent="0.3">
      <c r="A155" t="s">
        <v>8</v>
      </c>
      <c r="B155" t="s">
        <v>19</v>
      </c>
      <c r="C155" t="s">
        <v>153</v>
      </c>
      <c r="D155" s="9" t="s">
        <v>150</v>
      </c>
      <c r="E155" t="s">
        <v>35</v>
      </c>
      <c r="F155" t="s">
        <v>67</v>
      </c>
      <c r="G155">
        <v>25.8</v>
      </c>
      <c r="H155" s="9">
        <v>-10.73</v>
      </c>
      <c r="I155"/>
    </row>
    <row r="156" spans="1:9" x14ac:dyDescent="0.3">
      <c r="A156" t="s">
        <v>8</v>
      </c>
      <c r="B156" t="s">
        <v>19</v>
      </c>
      <c r="C156" t="s">
        <v>154</v>
      </c>
      <c r="D156" s="9" t="s">
        <v>150</v>
      </c>
      <c r="E156" t="s">
        <v>36</v>
      </c>
      <c r="F156" t="s">
        <v>69</v>
      </c>
      <c r="G156">
        <v>28.5</v>
      </c>
      <c r="H156" s="9">
        <v>-1.04</v>
      </c>
      <c r="I156"/>
    </row>
    <row r="157" spans="1:9" x14ac:dyDescent="0.3">
      <c r="A157" t="s">
        <v>8</v>
      </c>
      <c r="B157" t="s">
        <v>19</v>
      </c>
      <c r="C157" t="s">
        <v>155</v>
      </c>
      <c r="D157" s="9" t="s">
        <v>150</v>
      </c>
      <c r="E157" t="s">
        <v>37</v>
      </c>
      <c r="F157" t="s">
        <v>71</v>
      </c>
      <c r="G157">
        <v>28</v>
      </c>
      <c r="H157" s="9">
        <v>2.56</v>
      </c>
      <c r="I157"/>
    </row>
    <row r="158" spans="1:9" x14ac:dyDescent="0.3">
      <c r="A158" t="s">
        <v>8</v>
      </c>
      <c r="B158" t="s">
        <v>16</v>
      </c>
      <c r="C158" t="s">
        <v>59</v>
      </c>
      <c r="D158" s="9" t="s">
        <v>60</v>
      </c>
      <c r="E158" t="s">
        <v>32</v>
      </c>
      <c r="F158" t="s">
        <v>61</v>
      </c>
      <c r="G158">
        <v>27.9</v>
      </c>
      <c r="I158"/>
    </row>
    <row r="159" spans="1:9" x14ac:dyDescent="0.3">
      <c r="A159" t="s">
        <v>8</v>
      </c>
      <c r="B159" t="s">
        <v>16</v>
      </c>
      <c r="C159" t="s">
        <v>62</v>
      </c>
      <c r="D159" s="9" t="s">
        <v>60</v>
      </c>
      <c r="E159" t="s">
        <v>33</v>
      </c>
      <c r="F159" t="s">
        <v>63</v>
      </c>
      <c r="G159">
        <v>21.9</v>
      </c>
      <c r="I159"/>
    </row>
    <row r="160" spans="1:9" x14ac:dyDescent="0.3">
      <c r="A160" t="s">
        <v>8</v>
      </c>
      <c r="B160" t="s">
        <v>16</v>
      </c>
      <c r="C160" t="s">
        <v>64</v>
      </c>
      <c r="D160" s="9" t="s">
        <v>60</v>
      </c>
      <c r="E160" t="s">
        <v>34</v>
      </c>
      <c r="F160" t="s">
        <v>65</v>
      </c>
      <c r="G160">
        <v>28.1</v>
      </c>
      <c r="I160"/>
    </row>
    <row r="161" spans="1:9" x14ac:dyDescent="0.3">
      <c r="A161" t="s">
        <v>8</v>
      </c>
      <c r="B161" t="s">
        <v>16</v>
      </c>
      <c r="C161" t="s">
        <v>66</v>
      </c>
      <c r="D161" s="9" t="s">
        <v>60</v>
      </c>
      <c r="E161" t="s">
        <v>35</v>
      </c>
      <c r="F161" t="s">
        <v>67</v>
      </c>
      <c r="G161">
        <v>31</v>
      </c>
      <c r="I161"/>
    </row>
    <row r="162" spans="1:9" x14ac:dyDescent="0.3">
      <c r="A162" t="s">
        <v>8</v>
      </c>
      <c r="B162" t="s">
        <v>16</v>
      </c>
      <c r="C162" t="s">
        <v>68</v>
      </c>
      <c r="D162" s="9" t="s">
        <v>60</v>
      </c>
      <c r="E162" t="s">
        <v>36</v>
      </c>
      <c r="F162" t="s">
        <v>69</v>
      </c>
      <c r="G162">
        <v>30.2</v>
      </c>
      <c r="I162"/>
    </row>
    <row r="163" spans="1:9" x14ac:dyDescent="0.3">
      <c r="A163" t="s">
        <v>8</v>
      </c>
      <c r="B163" t="s">
        <v>16</v>
      </c>
      <c r="C163" t="s">
        <v>70</v>
      </c>
      <c r="D163" s="9" t="s">
        <v>60</v>
      </c>
      <c r="E163" t="s">
        <v>37</v>
      </c>
      <c r="F163" t="s">
        <v>71</v>
      </c>
      <c r="G163">
        <v>30.7</v>
      </c>
      <c r="I163"/>
    </row>
    <row r="164" spans="1:9" x14ac:dyDescent="0.3">
      <c r="A164" t="s">
        <v>8</v>
      </c>
      <c r="B164" t="s">
        <v>16</v>
      </c>
      <c r="C164" t="s">
        <v>72</v>
      </c>
      <c r="D164" s="9" t="s">
        <v>60</v>
      </c>
      <c r="E164" t="s">
        <v>38</v>
      </c>
      <c r="F164" t="s">
        <v>73</v>
      </c>
      <c r="G164">
        <v>28</v>
      </c>
      <c r="I164"/>
    </row>
    <row r="165" spans="1:9" x14ac:dyDescent="0.3">
      <c r="A165" t="s">
        <v>8</v>
      </c>
      <c r="B165" t="s">
        <v>16</v>
      </c>
      <c r="C165" t="s">
        <v>74</v>
      </c>
      <c r="D165" s="9" t="s">
        <v>60</v>
      </c>
      <c r="E165" t="s">
        <v>39</v>
      </c>
      <c r="F165" t="s">
        <v>75</v>
      </c>
      <c r="G165">
        <v>26.8</v>
      </c>
      <c r="I165"/>
    </row>
    <row r="166" spans="1:9" x14ac:dyDescent="0.3">
      <c r="A166" t="s">
        <v>8</v>
      </c>
      <c r="B166" t="s">
        <v>16</v>
      </c>
      <c r="C166" t="s">
        <v>76</v>
      </c>
      <c r="D166" s="9" t="s">
        <v>60</v>
      </c>
      <c r="E166" t="s">
        <v>40</v>
      </c>
      <c r="F166" t="s">
        <v>77</v>
      </c>
      <c r="G166">
        <v>27.1</v>
      </c>
      <c r="I166"/>
    </row>
    <row r="167" spans="1:9" x14ac:dyDescent="0.3">
      <c r="A167" t="s">
        <v>8</v>
      </c>
      <c r="B167" t="s">
        <v>16</v>
      </c>
      <c r="C167" t="s">
        <v>78</v>
      </c>
      <c r="D167" s="9" t="s">
        <v>60</v>
      </c>
      <c r="E167" t="s">
        <v>41</v>
      </c>
      <c r="F167" t="s">
        <v>79</v>
      </c>
      <c r="G167">
        <v>30.3</v>
      </c>
      <c r="I167"/>
    </row>
    <row r="168" spans="1:9" x14ac:dyDescent="0.3">
      <c r="A168" t="s">
        <v>8</v>
      </c>
      <c r="B168" t="s">
        <v>16</v>
      </c>
      <c r="C168" t="s">
        <v>80</v>
      </c>
      <c r="D168" s="9" t="s">
        <v>60</v>
      </c>
      <c r="E168" t="s">
        <v>42</v>
      </c>
      <c r="F168" t="s">
        <v>81</v>
      </c>
      <c r="G168">
        <v>35.200000000000003</v>
      </c>
      <c r="I168"/>
    </row>
    <row r="169" spans="1:9" x14ac:dyDescent="0.3">
      <c r="A169" t="s">
        <v>8</v>
      </c>
      <c r="B169" t="s">
        <v>16</v>
      </c>
      <c r="C169" t="s">
        <v>82</v>
      </c>
      <c r="D169" s="9" t="s">
        <v>60</v>
      </c>
      <c r="E169" t="s">
        <v>43</v>
      </c>
      <c r="F169" t="s">
        <v>83</v>
      </c>
      <c r="G169">
        <v>57</v>
      </c>
      <c r="I169"/>
    </row>
    <row r="170" spans="1:9" x14ac:dyDescent="0.3">
      <c r="A170" t="s">
        <v>8</v>
      </c>
      <c r="B170" t="s">
        <v>16</v>
      </c>
      <c r="C170" t="s">
        <v>84</v>
      </c>
      <c r="D170" s="9" t="s">
        <v>85</v>
      </c>
      <c r="E170" t="s">
        <v>32</v>
      </c>
      <c r="F170" t="s">
        <v>61</v>
      </c>
      <c r="G170">
        <v>27.5</v>
      </c>
      <c r="H170" s="9">
        <v>-1.43</v>
      </c>
      <c r="I170"/>
    </row>
    <row r="171" spans="1:9" x14ac:dyDescent="0.3">
      <c r="A171" t="s">
        <v>8</v>
      </c>
      <c r="B171" t="s">
        <v>16</v>
      </c>
      <c r="C171" t="s">
        <v>86</v>
      </c>
      <c r="D171" s="9" t="s">
        <v>85</v>
      </c>
      <c r="E171" t="s">
        <v>33</v>
      </c>
      <c r="F171" t="s">
        <v>63</v>
      </c>
      <c r="G171">
        <v>23.5</v>
      </c>
      <c r="H171" s="9">
        <v>7.31</v>
      </c>
      <c r="I171"/>
    </row>
    <row r="172" spans="1:9" x14ac:dyDescent="0.3">
      <c r="A172" t="s">
        <v>8</v>
      </c>
      <c r="B172" t="s">
        <v>16</v>
      </c>
      <c r="C172" t="s">
        <v>87</v>
      </c>
      <c r="D172" s="9" t="s">
        <v>85</v>
      </c>
      <c r="E172" t="s">
        <v>34</v>
      </c>
      <c r="F172" t="s">
        <v>65</v>
      </c>
      <c r="G172">
        <v>25.6</v>
      </c>
      <c r="H172" s="9">
        <v>-8.9</v>
      </c>
      <c r="I172"/>
    </row>
    <row r="173" spans="1:9" x14ac:dyDescent="0.3">
      <c r="A173" t="s">
        <v>8</v>
      </c>
      <c r="B173" t="s">
        <v>16</v>
      </c>
      <c r="C173" t="s">
        <v>88</v>
      </c>
      <c r="D173" s="9" t="s">
        <v>85</v>
      </c>
      <c r="E173" t="s">
        <v>35</v>
      </c>
      <c r="F173" t="s">
        <v>67</v>
      </c>
      <c r="G173">
        <v>22.8</v>
      </c>
      <c r="H173" s="9">
        <v>-26.45</v>
      </c>
      <c r="I173"/>
    </row>
    <row r="174" spans="1:9" x14ac:dyDescent="0.3">
      <c r="A174" t="s">
        <v>8</v>
      </c>
      <c r="B174" t="s">
        <v>16</v>
      </c>
      <c r="C174" t="s">
        <v>89</v>
      </c>
      <c r="D174" s="9" t="s">
        <v>85</v>
      </c>
      <c r="E174" t="s">
        <v>36</v>
      </c>
      <c r="F174" t="s">
        <v>69</v>
      </c>
      <c r="G174">
        <v>32</v>
      </c>
      <c r="H174" s="9">
        <v>5.96</v>
      </c>
      <c r="I174"/>
    </row>
    <row r="175" spans="1:9" x14ac:dyDescent="0.3">
      <c r="A175" t="s">
        <v>8</v>
      </c>
      <c r="B175" t="s">
        <v>16</v>
      </c>
      <c r="C175" t="s">
        <v>90</v>
      </c>
      <c r="D175" s="9" t="s">
        <v>85</v>
      </c>
      <c r="E175" t="s">
        <v>37</v>
      </c>
      <c r="F175" t="s">
        <v>71</v>
      </c>
      <c r="G175">
        <v>30.6</v>
      </c>
      <c r="H175" s="9">
        <v>-0.33</v>
      </c>
      <c r="I175"/>
    </row>
    <row r="176" spans="1:9" x14ac:dyDescent="0.3">
      <c r="A176" t="s">
        <v>8</v>
      </c>
      <c r="B176" t="s">
        <v>16</v>
      </c>
      <c r="C176" t="s">
        <v>91</v>
      </c>
      <c r="D176" s="9" t="s">
        <v>85</v>
      </c>
      <c r="E176" t="s">
        <v>38</v>
      </c>
      <c r="F176" t="s">
        <v>73</v>
      </c>
      <c r="G176">
        <v>29.6</v>
      </c>
      <c r="H176" s="9">
        <v>5.71</v>
      </c>
      <c r="I176"/>
    </row>
    <row r="177" spans="1:9" x14ac:dyDescent="0.3">
      <c r="A177" t="s">
        <v>8</v>
      </c>
      <c r="B177" t="s">
        <v>16</v>
      </c>
      <c r="C177" t="s">
        <v>92</v>
      </c>
      <c r="D177" s="9" t="s">
        <v>85</v>
      </c>
      <c r="E177" t="s">
        <v>39</v>
      </c>
      <c r="F177" t="s">
        <v>75</v>
      </c>
      <c r="G177">
        <v>26.9</v>
      </c>
      <c r="H177" s="9">
        <v>0.37</v>
      </c>
      <c r="I177"/>
    </row>
    <row r="178" spans="1:9" x14ac:dyDescent="0.3">
      <c r="A178" t="s">
        <v>8</v>
      </c>
      <c r="B178" t="s">
        <v>16</v>
      </c>
      <c r="C178" t="s">
        <v>93</v>
      </c>
      <c r="D178" s="9" t="s">
        <v>85</v>
      </c>
      <c r="E178" t="s">
        <v>40</v>
      </c>
      <c r="F178" t="s">
        <v>77</v>
      </c>
      <c r="G178">
        <v>28.2</v>
      </c>
      <c r="H178" s="9">
        <v>4.0599999999999996</v>
      </c>
      <c r="I178"/>
    </row>
    <row r="179" spans="1:9" x14ac:dyDescent="0.3">
      <c r="A179" t="s">
        <v>8</v>
      </c>
      <c r="B179" t="s">
        <v>16</v>
      </c>
      <c r="C179" t="s">
        <v>94</v>
      </c>
      <c r="D179" s="9" t="s">
        <v>85</v>
      </c>
      <c r="E179" t="s">
        <v>41</v>
      </c>
      <c r="F179" t="s">
        <v>79</v>
      </c>
      <c r="G179">
        <v>32.1</v>
      </c>
      <c r="H179" s="9">
        <v>5.94</v>
      </c>
      <c r="I179"/>
    </row>
    <row r="180" spans="1:9" x14ac:dyDescent="0.3">
      <c r="A180" t="s">
        <v>8</v>
      </c>
      <c r="B180" t="s">
        <v>16</v>
      </c>
      <c r="C180" t="s">
        <v>95</v>
      </c>
      <c r="D180" s="9" t="s">
        <v>85</v>
      </c>
      <c r="E180" t="s">
        <v>42</v>
      </c>
      <c r="F180" t="s">
        <v>81</v>
      </c>
      <c r="G180">
        <v>37</v>
      </c>
      <c r="H180" s="9">
        <v>5.1100000000000003</v>
      </c>
      <c r="I180"/>
    </row>
    <row r="181" spans="1:9" x14ac:dyDescent="0.3">
      <c r="A181" t="s">
        <v>8</v>
      </c>
      <c r="B181" t="s">
        <v>16</v>
      </c>
      <c r="C181" t="s">
        <v>96</v>
      </c>
      <c r="D181" s="9" t="s">
        <v>85</v>
      </c>
      <c r="E181" t="s">
        <v>43</v>
      </c>
      <c r="F181" t="s">
        <v>83</v>
      </c>
      <c r="G181">
        <v>59.9</v>
      </c>
      <c r="H181" s="9">
        <v>5.09</v>
      </c>
      <c r="I181"/>
    </row>
    <row r="182" spans="1:9" x14ac:dyDescent="0.3">
      <c r="A182" t="s">
        <v>8</v>
      </c>
      <c r="B182" t="s">
        <v>16</v>
      </c>
      <c r="C182" t="s">
        <v>97</v>
      </c>
      <c r="D182" s="9" t="s">
        <v>98</v>
      </c>
      <c r="E182" t="s">
        <v>32</v>
      </c>
      <c r="F182" t="s">
        <v>61</v>
      </c>
      <c r="G182">
        <v>31.2</v>
      </c>
      <c r="H182" s="9">
        <v>13.45</v>
      </c>
      <c r="I182"/>
    </row>
    <row r="183" spans="1:9" x14ac:dyDescent="0.3">
      <c r="A183" t="s">
        <v>8</v>
      </c>
      <c r="B183" t="s">
        <v>16</v>
      </c>
      <c r="C183" t="s">
        <v>99</v>
      </c>
      <c r="D183" s="9" t="s">
        <v>98</v>
      </c>
      <c r="E183" t="s">
        <v>33</v>
      </c>
      <c r="F183" t="s">
        <v>63</v>
      </c>
      <c r="G183">
        <v>25.7</v>
      </c>
      <c r="H183" s="9">
        <v>9.36</v>
      </c>
      <c r="I183"/>
    </row>
    <row r="184" spans="1:9" x14ac:dyDescent="0.3">
      <c r="A184" t="s">
        <v>8</v>
      </c>
      <c r="B184" t="s">
        <v>16</v>
      </c>
      <c r="C184" t="s">
        <v>100</v>
      </c>
      <c r="D184" s="9" t="s">
        <v>98</v>
      </c>
      <c r="E184" t="s">
        <v>34</v>
      </c>
      <c r="F184" t="s">
        <v>65</v>
      </c>
      <c r="G184">
        <v>34.1</v>
      </c>
      <c r="H184" s="9">
        <v>33.200000000000003</v>
      </c>
      <c r="I184"/>
    </row>
    <row r="185" spans="1:9" x14ac:dyDescent="0.3">
      <c r="A185" t="s">
        <v>8</v>
      </c>
      <c r="B185" t="s">
        <v>16</v>
      </c>
      <c r="C185" t="s">
        <v>101</v>
      </c>
      <c r="D185" s="9" t="s">
        <v>98</v>
      </c>
      <c r="E185" t="s">
        <v>35</v>
      </c>
      <c r="F185" t="s">
        <v>67</v>
      </c>
      <c r="G185">
        <v>33.6</v>
      </c>
      <c r="H185" s="9">
        <v>47.37</v>
      </c>
      <c r="I185"/>
    </row>
    <row r="186" spans="1:9" x14ac:dyDescent="0.3">
      <c r="A186" t="s">
        <v>8</v>
      </c>
      <c r="B186" t="s">
        <v>16</v>
      </c>
      <c r="C186" t="s">
        <v>102</v>
      </c>
      <c r="D186" s="9" t="s">
        <v>98</v>
      </c>
      <c r="E186" t="s">
        <v>36</v>
      </c>
      <c r="F186" t="s">
        <v>69</v>
      </c>
      <c r="G186">
        <v>33.799999999999997</v>
      </c>
      <c r="H186" s="9">
        <v>5.63</v>
      </c>
      <c r="I186"/>
    </row>
    <row r="187" spans="1:9" x14ac:dyDescent="0.3">
      <c r="A187" t="s">
        <v>8</v>
      </c>
      <c r="B187" t="s">
        <v>16</v>
      </c>
      <c r="C187" t="s">
        <v>103</v>
      </c>
      <c r="D187" s="9" t="s">
        <v>98</v>
      </c>
      <c r="E187" t="s">
        <v>37</v>
      </c>
      <c r="F187" t="s">
        <v>71</v>
      </c>
      <c r="G187">
        <v>32.700000000000003</v>
      </c>
      <c r="H187" s="9">
        <v>6.86</v>
      </c>
      <c r="I187"/>
    </row>
    <row r="188" spans="1:9" x14ac:dyDescent="0.3">
      <c r="A188" t="s">
        <v>8</v>
      </c>
      <c r="B188" t="s">
        <v>16</v>
      </c>
      <c r="C188" t="s">
        <v>104</v>
      </c>
      <c r="D188" s="9" t="s">
        <v>98</v>
      </c>
      <c r="E188" t="s">
        <v>38</v>
      </c>
      <c r="F188" t="s">
        <v>73</v>
      </c>
      <c r="G188">
        <v>31</v>
      </c>
      <c r="H188" s="9">
        <v>4.7300000000000004</v>
      </c>
      <c r="I188"/>
    </row>
    <row r="189" spans="1:9" x14ac:dyDescent="0.3">
      <c r="A189" t="s">
        <v>8</v>
      </c>
      <c r="B189" t="s">
        <v>16</v>
      </c>
      <c r="C189" t="s">
        <v>105</v>
      </c>
      <c r="D189" s="9" t="s">
        <v>98</v>
      </c>
      <c r="E189" t="s">
        <v>39</v>
      </c>
      <c r="F189" t="s">
        <v>75</v>
      </c>
      <c r="G189">
        <v>12.7</v>
      </c>
      <c r="H189" s="9">
        <v>-52.79</v>
      </c>
      <c r="I189"/>
    </row>
    <row r="190" spans="1:9" x14ac:dyDescent="0.3">
      <c r="A190" t="s">
        <v>8</v>
      </c>
      <c r="B190" t="s">
        <v>16</v>
      </c>
      <c r="C190" t="s">
        <v>106</v>
      </c>
      <c r="D190" s="9" t="s">
        <v>98</v>
      </c>
      <c r="E190" t="s">
        <v>40</v>
      </c>
      <c r="F190" t="s">
        <v>77</v>
      </c>
      <c r="G190">
        <v>0.6</v>
      </c>
      <c r="H190" s="9">
        <v>-97.87</v>
      </c>
      <c r="I190"/>
    </row>
    <row r="191" spans="1:9" x14ac:dyDescent="0.3">
      <c r="A191" t="s">
        <v>8</v>
      </c>
      <c r="B191" t="s">
        <v>16</v>
      </c>
      <c r="C191" t="s">
        <v>107</v>
      </c>
      <c r="D191" s="9" t="s">
        <v>98</v>
      </c>
      <c r="E191" t="s">
        <v>41</v>
      </c>
      <c r="F191" t="s">
        <v>79</v>
      </c>
      <c r="G191">
        <v>17.100000000000001</v>
      </c>
      <c r="H191" s="9">
        <v>-46.73</v>
      </c>
      <c r="I191"/>
    </row>
    <row r="192" spans="1:9" x14ac:dyDescent="0.3">
      <c r="A192" t="s">
        <v>8</v>
      </c>
      <c r="B192" t="s">
        <v>16</v>
      </c>
      <c r="C192" t="s">
        <v>108</v>
      </c>
      <c r="D192" s="9" t="s">
        <v>98</v>
      </c>
      <c r="E192" t="s">
        <v>42</v>
      </c>
      <c r="F192" t="s">
        <v>81</v>
      </c>
      <c r="G192">
        <v>42.5</v>
      </c>
      <c r="H192" s="9">
        <v>14.86</v>
      </c>
      <c r="I192"/>
    </row>
    <row r="193" spans="1:9" x14ac:dyDescent="0.3">
      <c r="A193" t="s">
        <v>8</v>
      </c>
      <c r="B193" t="s">
        <v>16</v>
      </c>
      <c r="C193" t="s">
        <v>109</v>
      </c>
      <c r="D193" s="9" t="s">
        <v>98</v>
      </c>
      <c r="E193" t="s">
        <v>43</v>
      </c>
      <c r="F193" t="s">
        <v>83</v>
      </c>
      <c r="G193">
        <v>55.9</v>
      </c>
      <c r="H193" s="9">
        <v>-6.68</v>
      </c>
      <c r="I193"/>
    </row>
    <row r="194" spans="1:9" x14ac:dyDescent="0.3">
      <c r="A194" t="s">
        <v>8</v>
      </c>
      <c r="B194" t="s">
        <v>16</v>
      </c>
      <c r="C194" t="s">
        <v>110</v>
      </c>
      <c r="D194" s="9" t="s">
        <v>111</v>
      </c>
      <c r="E194" t="s">
        <v>32</v>
      </c>
      <c r="F194" t="s">
        <v>61</v>
      </c>
      <c r="G194">
        <v>29</v>
      </c>
      <c r="H194" s="9">
        <v>-7.05</v>
      </c>
      <c r="I194"/>
    </row>
    <row r="195" spans="1:9" x14ac:dyDescent="0.3">
      <c r="A195" t="s">
        <v>8</v>
      </c>
      <c r="B195" t="s">
        <v>16</v>
      </c>
      <c r="C195" t="s">
        <v>112</v>
      </c>
      <c r="D195" s="9" t="s">
        <v>111</v>
      </c>
      <c r="E195" t="s">
        <v>33</v>
      </c>
      <c r="F195" t="s">
        <v>63</v>
      </c>
      <c r="G195">
        <v>24.4</v>
      </c>
      <c r="H195" s="9">
        <v>-5.0599999999999996</v>
      </c>
      <c r="I195"/>
    </row>
    <row r="196" spans="1:9" x14ac:dyDescent="0.3">
      <c r="A196" t="s">
        <v>8</v>
      </c>
      <c r="B196" t="s">
        <v>16</v>
      </c>
      <c r="C196" t="s">
        <v>113</v>
      </c>
      <c r="D196" s="9" t="s">
        <v>111</v>
      </c>
      <c r="E196" t="s">
        <v>34</v>
      </c>
      <c r="F196" t="s">
        <v>65</v>
      </c>
      <c r="G196">
        <v>31.4</v>
      </c>
      <c r="H196" s="9">
        <v>-7.92</v>
      </c>
      <c r="I196"/>
    </row>
    <row r="197" spans="1:9" x14ac:dyDescent="0.3">
      <c r="A197" t="s">
        <v>8</v>
      </c>
      <c r="B197" t="s">
        <v>16</v>
      </c>
      <c r="C197" t="s">
        <v>114</v>
      </c>
      <c r="D197" s="9" t="s">
        <v>111</v>
      </c>
      <c r="E197" t="s">
        <v>35</v>
      </c>
      <c r="F197" t="s">
        <v>67</v>
      </c>
      <c r="G197">
        <v>35.299999999999997</v>
      </c>
      <c r="H197" s="9">
        <v>5.0599999999999996</v>
      </c>
      <c r="I197"/>
    </row>
    <row r="198" spans="1:9" x14ac:dyDescent="0.3">
      <c r="A198" t="s">
        <v>8</v>
      </c>
      <c r="B198" t="s">
        <v>16</v>
      </c>
      <c r="C198" t="s">
        <v>115</v>
      </c>
      <c r="D198" s="9" t="s">
        <v>111</v>
      </c>
      <c r="E198" t="s">
        <v>36</v>
      </c>
      <c r="F198" t="s">
        <v>69</v>
      </c>
      <c r="G198">
        <v>34.200000000000003</v>
      </c>
      <c r="H198" s="9">
        <v>1.18</v>
      </c>
      <c r="I198"/>
    </row>
    <row r="199" spans="1:9" x14ac:dyDescent="0.3">
      <c r="A199" t="s">
        <v>8</v>
      </c>
      <c r="B199" t="s">
        <v>16</v>
      </c>
      <c r="C199" t="s">
        <v>116</v>
      </c>
      <c r="D199" s="9" t="s">
        <v>111</v>
      </c>
      <c r="E199" t="s">
        <v>37</v>
      </c>
      <c r="F199" t="s">
        <v>71</v>
      </c>
      <c r="G199">
        <v>34.9</v>
      </c>
      <c r="H199" s="9">
        <v>6.73</v>
      </c>
      <c r="I199"/>
    </row>
    <row r="200" spans="1:9" x14ac:dyDescent="0.3">
      <c r="A200" t="s">
        <v>8</v>
      </c>
      <c r="B200" t="s">
        <v>16</v>
      </c>
      <c r="C200" t="s">
        <v>117</v>
      </c>
      <c r="D200" s="9" t="s">
        <v>111</v>
      </c>
      <c r="E200" t="s">
        <v>38</v>
      </c>
      <c r="F200" t="s">
        <v>73</v>
      </c>
      <c r="G200">
        <v>33.299999999999997</v>
      </c>
      <c r="H200" s="9">
        <v>7.42</v>
      </c>
      <c r="I200"/>
    </row>
    <row r="201" spans="1:9" x14ac:dyDescent="0.3">
      <c r="A201" t="s">
        <v>8</v>
      </c>
      <c r="B201" t="s">
        <v>16</v>
      </c>
      <c r="C201" t="s">
        <v>118</v>
      </c>
      <c r="D201" s="9" t="s">
        <v>111</v>
      </c>
      <c r="E201" t="s">
        <v>39</v>
      </c>
      <c r="F201" t="s">
        <v>75</v>
      </c>
      <c r="G201">
        <v>30.5</v>
      </c>
      <c r="H201" s="9">
        <v>140.16</v>
      </c>
      <c r="I201"/>
    </row>
    <row r="202" spans="1:9" x14ac:dyDescent="0.3">
      <c r="A202" t="s">
        <v>8</v>
      </c>
      <c r="B202" t="s">
        <v>16</v>
      </c>
      <c r="C202" t="s">
        <v>119</v>
      </c>
      <c r="D202" s="9" t="s">
        <v>111</v>
      </c>
      <c r="E202" t="s">
        <v>40</v>
      </c>
      <c r="F202" t="s">
        <v>77</v>
      </c>
      <c r="G202">
        <v>34.4</v>
      </c>
      <c r="H202" s="9">
        <v>5633.33</v>
      </c>
      <c r="I202"/>
    </row>
    <row r="203" spans="1:9" x14ac:dyDescent="0.3">
      <c r="A203" t="s">
        <v>8</v>
      </c>
      <c r="B203" t="s">
        <v>16</v>
      </c>
      <c r="C203" t="s">
        <v>120</v>
      </c>
      <c r="D203" s="9" t="s">
        <v>111</v>
      </c>
      <c r="E203" t="s">
        <v>41</v>
      </c>
      <c r="F203" t="s">
        <v>79</v>
      </c>
      <c r="G203">
        <v>36.4</v>
      </c>
      <c r="H203" s="9">
        <v>112.87</v>
      </c>
      <c r="I203"/>
    </row>
    <row r="204" spans="1:9" x14ac:dyDescent="0.3">
      <c r="A204" t="s">
        <v>8</v>
      </c>
      <c r="B204" t="s">
        <v>16</v>
      </c>
      <c r="C204" t="s">
        <v>121</v>
      </c>
      <c r="D204" s="9" t="s">
        <v>111</v>
      </c>
      <c r="E204" t="s">
        <v>42</v>
      </c>
      <c r="F204" t="s">
        <v>81</v>
      </c>
      <c r="G204">
        <v>43.7</v>
      </c>
      <c r="H204" s="9">
        <v>2.82</v>
      </c>
      <c r="I204"/>
    </row>
    <row r="205" spans="1:9" x14ac:dyDescent="0.3">
      <c r="A205" t="s">
        <v>8</v>
      </c>
      <c r="B205" t="s">
        <v>16</v>
      </c>
      <c r="C205" t="s">
        <v>122</v>
      </c>
      <c r="D205" s="9" t="s">
        <v>111</v>
      </c>
      <c r="E205" t="s">
        <v>43</v>
      </c>
      <c r="F205" t="s">
        <v>83</v>
      </c>
      <c r="G205">
        <v>61.6</v>
      </c>
      <c r="H205" s="9">
        <v>10.199999999999999</v>
      </c>
      <c r="I205"/>
    </row>
    <row r="206" spans="1:9" x14ac:dyDescent="0.3">
      <c r="A206" t="s">
        <v>8</v>
      </c>
      <c r="B206" t="s">
        <v>16</v>
      </c>
      <c r="C206" t="s">
        <v>123</v>
      </c>
      <c r="D206" s="9" t="s">
        <v>124</v>
      </c>
      <c r="E206" t="s">
        <v>32</v>
      </c>
      <c r="F206" t="s">
        <v>61</v>
      </c>
      <c r="G206">
        <v>33.700000000000003</v>
      </c>
      <c r="H206" s="9">
        <v>16.21</v>
      </c>
      <c r="I206"/>
    </row>
    <row r="207" spans="1:9" x14ac:dyDescent="0.3">
      <c r="A207" t="s">
        <v>8</v>
      </c>
      <c r="B207" t="s">
        <v>16</v>
      </c>
      <c r="C207" t="s">
        <v>125</v>
      </c>
      <c r="D207" s="9" t="s">
        <v>124</v>
      </c>
      <c r="E207" t="s">
        <v>33</v>
      </c>
      <c r="F207" t="s">
        <v>63</v>
      </c>
      <c r="G207">
        <v>25.7</v>
      </c>
      <c r="H207" s="9">
        <v>5.33</v>
      </c>
      <c r="I207"/>
    </row>
    <row r="208" spans="1:9" x14ac:dyDescent="0.3">
      <c r="A208" t="s">
        <v>8</v>
      </c>
      <c r="B208" t="s">
        <v>16</v>
      </c>
      <c r="C208" t="s">
        <v>126</v>
      </c>
      <c r="D208" s="9" t="s">
        <v>124</v>
      </c>
      <c r="E208" t="s">
        <v>34</v>
      </c>
      <c r="F208" t="s">
        <v>65</v>
      </c>
      <c r="G208">
        <v>33.200000000000003</v>
      </c>
      <c r="H208" s="9">
        <v>5.73</v>
      </c>
      <c r="I208"/>
    </row>
    <row r="209" spans="1:9" x14ac:dyDescent="0.3">
      <c r="A209" t="s">
        <v>8</v>
      </c>
      <c r="B209" t="s">
        <v>16</v>
      </c>
      <c r="C209" t="s">
        <v>127</v>
      </c>
      <c r="D209" s="9" t="s">
        <v>124</v>
      </c>
      <c r="E209" t="s">
        <v>35</v>
      </c>
      <c r="F209" t="s">
        <v>67</v>
      </c>
      <c r="G209">
        <v>36.9</v>
      </c>
      <c r="H209" s="9">
        <v>4.53</v>
      </c>
      <c r="I209"/>
    </row>
    <row r="210" spans="1:9" x14ac:dyDescent="0.3">
      <c r="A210" t="s">
        <v>8</v>
      </c>
      <c r="B210" t="s">
        <v>16</v>
      </c>
      <c r="C210" t="s">
        <v>128</v>
      </c>
      <c r="D210" s="9" t="s">
        <v>124</v>
      </c>
      <c r="E210" t="s">
        <v>36</v>
      </c>
      <c r="F210" t="s">
        <v>69</v>
      </c>
      <c r="G210">
        <v>35.5</v>
      </c>
      <c r="H210" s="9">
        <v>3.8</v>
      </c>
      <c r="I210"/>
    </row>
    <row r="211" spans="1:9" x14ac:dyDescent="0.3">
      <c r="A211" t="s">
        <v>8</v>
      </c>
      <c r="B211" t="s">
        <v>16</v>
      </c>
      <c r="C211" t="s">
        <v>129</v>
      </c>
      <c r="D211" s="9" t="s">
        <v>124</v>
      </c>
      <c r="E211" t="s">
        <v>37</v>
      </c>
      <c r="F211" t="s">
        <v>71</v>
      </c>
      <c r="G211">
        <v>33.700000000000003</v>
      </c>
      <c r="H211" s="9">
        <v>-3.44</v>
      </c>
      <c r="I211"/>
    </row>
    <row r="212" spans="1:9" x14ac:dyDescent="0.3">
      <c r="A212" t="s">
        <v>8</v>
      </c>
      <c r="B212" t="s">
        <v>16</v>
      </c>
      <c r="C212" t="s">
        <v>130</v>
      </c>
      <c r="D212" s="9" t="s">
        <v>124</v>
      </c>
      <c r="E212" t="s">
        <v>38</v>
      </c>
      <c r="F212" t="s">
        <v>73</v>
      </c>
      <c r="G212">
        <v>33.299999999999997</v>
      </c>
      <c r="H212" s="9">
        <v>0</v>
      </c>
      <c r="I212"/>
    </row>
    <row r="213" spans="1:9" x14ac:dyDescent="0.3">
      <c r="A213" t="s">
        <v>8</v>
      </c>
      <c r="B213" t="s">
        <v>16</v>
      </c>
      <c r="C213" t="s">
        <v>131</v>
      </c>
      <c r="D213" s="9" t="s">
        <v>124</v>
      </c>
      <c r="E213" t="s">
        <v>39</v>
      </c>
      <c r="F213" t="s">
        <v>75</v>
      </c>
      <c r="G213">
        <v>30.7</v>
      </c>
      <c r="H213" s="9">
        <v>0.66</v>
      </c>
      <c r="I213"/>
    </row>
    <row r="214" spans="1:9" x14ac:dyDescent="0.3">
      <c r="A214" t="s">
        <v>8</v>
      </c>
      <c r="B214" t="s">
        <v>16</v>
      </c>
      <c r="C214" t="s">
        <v>132</v>
      </c>
      <c r="D214" s="9" t="s">
        <v>124</v>
      </c>
      <c r="E214" t="s">
        <v>40</v>
      </c>
      <c r="F214" t="s">
        <v>77</v>
      </c>
      <c r="G214">
        <v>34.200000000000003</v>
      </c>
      <c r="H214" s="9">
        <v>-0.57999999999999996</v>
      </c>
      <c r="I214"/>
    </row>
    <row r="215" spans="1:9" x14ac:dyDescent="0.3">
      <c r="A215" t="s">
        <v>8</v>
      </c>
      <c r="B215" t="s">
        <v>16</v>
      </c>
      <c r="C215" t="s">
        <v>133</v>
      </c>
      <c r="D215" s="9" t="s">
        <v>124</v>
      </c>
      <c r="E215" t="s">
        <v>41</v>
      </c>
      <c r="F215" t="s">
        <v>79</v>
      </c>
      <c r="G215">
        <v>35.1</v>
      </c>
      <c r="H215" s="9">
        <v>-3.57</v>
      </c>
      <c r="I215"/>
    </row>
    <row r="216" spans="1:9" x14ac:dyDescent="0.3">
      <c r="A216" t="s">
        <v>8</v>
      </c>
      <c r="B216" t="s">
        <v>16</v>
      </c>
      <c r="C216" t="s">
        <v>134</v>
      </c>
      <c r="D216" s="9" t="s">
        <v>124</v>
      </c>
      <c r="E216" t="s">
        <v>42</v>
      </c>
      <c r="F216" t="s">
        <v>81</v>
      </c>
      <c r="G216">
        <v>45.2</v>
      </c>
      <c r="H216" s="9">
        <v>3.43</v>
      </c>
      <c r="I216"/>
    </row>
    <row r="217" spans="1:9" x14ac:dyDescent="0.3">
      <c r="A217" t="s">
        <v>8</v>
      </c>
      <c r="B217" t="s">
        <v>16</v>
      </c>
      <c r="C217" t="s">
        <v>135</v>
      </c>
      <c r="D217" s="9" t="s">
        <v>124</v>
      </c>
      <c r="E217" t="s">
        <v>43</v>
      </c>
      <c r="F217" t="s">
        <v>83</v>
      </c>
      <c r="G217">
        <v>62.7</v>
      </c>
      <c r="H217" s="9">
        <v>1.79</v>
      </c>
      <c r="I217"/>
    </row>
    <row r="218" spans="1:9" x14ac:dyDescent="0.3">
      <c r="A218" t="s">
        <v>8</v>
      </c>
      <c r="B218" t="s">
        <v>16</v>
      </c>
      <c r="C218" t="s">
        <v>136</v>
      </c>
      <c r="D218" s="9" t="s">
        <v>137</v>
      </c>
      <c r="E218" t="s">
        <v>32</v>
      </c>
      <c r="F218" t="s">
        <v>61</v>
      </c>
      <c r="G218">
        <v>32</v>
      </c>
      <c r="H218" s="9">
        <v>-5.04</v>
      </c>
      <c r="I218"/>
    </row>
    <row r="219" spans="1:9" x14ac:dyDescent="0.3">
      <c r="A219" t="s">
        <v>8</v>
      </c>
      <c r="B219" t="s">
        <v>16</v>
      </c>
      <c r="C219" t="s">
        <v>138</v>
      </c>
      <c r="D219" s="9" t="s">
        <v>137</v>
      </c>
      <c r="E219" t="s">
        <v>33</v>
      </c>
      <c r="F219" t="s">
        <v>63</v>
      </c>
      <c r="G219">
        <v>26.8</v>
      </c>
      <c r="H219" s="9">
        <v>4.28</v>
      </c>
      <c r="I219"/>
    </row>
    <row r="220" spans="1:9" x14ac:dyDescent="0.3">
      <c r="A220" t="s">
        <v>8</v>
      </c>
      <c r="B220" t="s">
        <v>16</v>
      </c>
      <c r="C220" t="s">
        <v>139</v>
      </c>
      <c r="D220" s="9" t="s">
        <v>137</v>
      </c>
      <c r="E220" t="s">
        <v>34</v>
      </c>
      <c r="F220" t="s">
        <v>65</v>
      </c>
      <c r="G220">
        <v>33.799999999999997</v>
      </c>
      <c r="H220" s="9">
        <v>1.81</v>
      </c>
      <c r="I220"/>
    </row>
    <row r="221" spans="1:9" x14ac:dyDescent="0.3">
      <c r="A221" t="s">
        <v>8</v>
      </c>
      <c r="B221" t="s">
        <v>16</v>
      </c>
      <c r="C221" t="s">
        <v>140</v>
      </c>
      <c r="D221" s="9" t="s">
        <v>137</v>
      </c>
      <c r="E221" t="s">
        <v>35</v>
      </c>
      <c r="F221" t="s">
        <v>67</v>
      </c>
      <c r="G221">
        <v>34.6</v>
      </c>
      <c r="H221" s="9">
        <v>-6.23</v>
      </c>
      <c r="I221"/>
    </row>
    <row r="222" spans="1:9" x14ac:dyDescent="0.3">
      <c r="A222" t="s">
        <v>8</v>
      </c>
      <c r="B222" t="s">
        <v>16</v>
      </c>
      <c r="C222" t="s">
        <v>141</v>
      </c>
      <c r="D222" s="9" t="s">
        <v>137</v>
      </c>
      <c r="E222" t="s">
        <v>36</v>
      </c>
      <c r="F222" t="s">
        <v>69</v>
      </c>
      <c r="G222">
        <v>34.700000000000003</v>
      </c>
      <c r="H222" s="9">
        <v>-2.25</v>
      </c>
      <c r="I222"/>
    </row>
    <row r="223" spans="1:9" x14ac:dyDescent="0.3">
      <c r="A223" t="s">
        <v>8</v>
      </c>
      <c r="B223" t="s">
        <v>16</v>
      </c>
      <c r="C223" t="s">
        <v>142</v>
      </c>
      <c r="D223" s="9" t="s">
        <v>137</v>
      </c>
      <c r="E223" t="s">
        <v>37</v>
      </c>
      <c r="F223" t="s">
        <v>71</v>
      </c>
      <c r="G223">
        <v>34.799999999999997</v>
      </c>
      <c r="H223" s="9">
        <v>3.26</v>
      </c>
      <c r="I223"/>
    </row>
    <row r="224" spans="1:9" x14ac:dyDescent="0.3">
      <c r="A224" t="s">
        <v>8</v>
      </c>
      <c r="B224" t="s">
        <v>16</v>
      </c>
      <c r="C224" t="s">
        <v>143</v>
      </c>
      <c r="D224" s="9" t="s">
        <v>137</v>
      </c>
      <c r="E224" t="s">
        <v>38</v>
      </c>
      <c r="F224" t="s">
        <v>73</v>
      </c>
      <c r="G224">
        <v>32.299999999999997</v>
      </c>
      <c r="H224" s="9">
        <v>-3</v>
      </c>
      <c r="I224"/>
    </row>
    <row r="225" spans="1:9" x14ac:dyDescent="0.3">
      <c r="A225" t="s">
        <v>8</v>
      </c>
      <c r="B225" t="s">
        <v>16</v>
      </c>
      <c r="C225" t="s">
        <v>144</v>
      </c>
      <c r="D225" s="9" t="s">
        <v>137</v>
      </c>
      <c r="E225" t="s">
        <v>39</v>
      </c>
      <c r="F225" t="s">
        <v>75</v>
      </c>
      <c r="G225">
        <v>31.3</v>
      </c>
      <c r="H225" s="9">
        <v>1.95</v>
      </c>
      <c r="I225"/>
    </row>
    <row r="226" spans="1:9" x14ac:dyDescent="0.3">
      <c r="A226" t="s">
        <v>8</v>
      </c>
      <c r="B226" t="s">
        <v>16</v>
      </c>
      <c r="C226" t="s">
        <v>145</v>
      </c>
      <c r="D226" s="9" t="s">
        <v>137</v>
      </c>
      <c r="E226" t="s">
        <v>40</v>
      </c>
      <c r="F226" t="s">
        <v>77</v>
      </c>
      <c r="G226">
        <v>32.1</v>
      </c>
      <c r="H226" s="9">
        <v>-6.14</v>
      </c>
      <c r="I226"/>
    </row>
    <row r="227" spans="1:9" x14ac:dyDescent="0.3">
      <c r="A227" t="s">
        <v>8</v>
      </c>
      <c r="B227" t="s">
        <v>16</v>
      </c>
      <c r="C227" t="s">
        <v>146</v>
      </c>
      <c r="D227" s="9" t="s">
        <v>137</v>
      </c>
      <c r="E227" t="s">
        <v>41</v>
      </c>
      <c r="F227" t="s">
        <v>79</v>
      </c>
      <c r="G227">
        <v>34.700000000000003</v>
      </c>
      <c r="H227" s="9">
        <v>-1.1399999999999999</v>
      </c>
      <c r="I227"/>
    </row>
    <row r="228" spans="1:9" x14ac:dyDescent="0.3">
      <c r="A228" t="s">
        <v>8</v>
      </c>
      <c r="B228" t="s">
        <v>16</v>
      </c>
      <c r="C228" t="s">
        <v>147</v>
      </c>
      <c r="D228" s="9" t="s">
        <v>137</v>
      </c>
      <c r="E228" t="s">
        <v>42</v>
      </c>
      <c r="F228" t="s">
        <v>81</v>
      </c>
      <c r="G228">
        <v>45.8</v>
      </c>
      <c r="H228" s="9">
        <v>1.33</v>
      </c>
      <c r="I228"/>
    </row>
    <row r="229" spans="1:9" x14ac:dyDescent="0.3">
      <c r="A229" t="s">
        <v>8</v>
      </c>
      <c r="B229" t="s">
        <v>16</v>
      </c>
      <c r="C229" t="s">
        <v>148</v>
      </c>
      <c r="D229" s="9" t="s">
        <v>137</v>
      </c>
      <c r="E229" t="s">
        <v>43</v>
      </c>
      <c r="F229" t="s">
        <v>83</v>
      </c>
      <c r="G229">
        <v>62</v>
      </c>
      <c r="H229" s="9">
        <v>-1.1200000000000001</v>
      </c>
      <c r="I229"/>
    </row>
    <row r="230" spans="1:9" x14ac:dyDescent="0.3">
      <c r="A230" t="s">
        <v>8</v>
      </c>
      <c r="B230" t="s">
        <v>16</v>
      </c>
      <c r="C230" t="s">
        <v>149</v>
      </c>
      <c r="D230" s="9" t="s">
        <v>150</v>
      </c>
      <c r="E230" t="s">
        <v>32</v>
      </c>
      <c r="F230" t="s">
        <v>61</v>
      </c>
      <c r="G230">
        <v>32</v>
      </c>
      <c r="H230" s="9">
        <v>0</v>
      </c>
      <c r="I230"/>
    </row>
    <row r="231" spans="1:9" x14ac:dyDescent="0.3">
      <c r="A231" t="s">
        <v>8</v>
      </c>
      <c r="B231" t="s">
        <v>16</v>
      </c>
      <c r="C231" t="s">
        <v>151</v>
      </c>
      <c r="D231" s="9" t="s">
        <v>150</v>
      </c>
      <c r="E231" t="s">
        <v>33</v>
      </c>
      <c r="F231" t="s">
        <v>63</v>
      </c>
      <c r="G231">
        <v>27.2</v>
      </c>
      <c r="H231" s="9">
        <v>1.49</v>
      </c>
      <c r="I231"/>
    </row>
    <row r="232" spans="1:9" x14ac:dyDescent="0.3">
      <c r="A232" t="s">
        <v>8</v>
      </c>
      <c r="B232" t="s">
        <v>16</v>
      </c>
      <c r="C232" t="s">
        <v>152</v>
      </c>
      <c r="D232" s="9" t="s">
        <v>150</v>
      </c>
      <c r="E232" t="s">
        <v>34</v>
      </c>
      <c r="F232" t="s">
        <v>65</v>
      </c>
      <c r="G232">
        <v>32.9</v>
      </c>
      <c r="H232" s="9">
        <v>-2.66</v>
      </c>
      <c r="I232"/>
    </row>
    <row r="233" spans="1:9" x14ac:dyDescent="0.3">
      <c r="A233" t="s">
        <v>8</v>
      </c>
      <c r="B233" t="s">
        <v>16</v>
      </c>
      <c r="C233" t="s">
        <v>153</v>
      </c>
      <c r="D233" s="9" t="s">
        <v>150</v>
      </c>
      <c r="E233" t="s">
        <v>35</v>
      </c>
      <c r="F233" t="s">
        <v>67</v>
      </c>
      <c r="G233">
        <v>34.200000000000003</v>
      </c>
      <c r="H233" s="9">
        <v>-1.1599999999999999</v>
      </c>
      <c r="I233"/>
    </row>
    <row r="234" spans="1:9" x14ac:dyDescent="0.3">
      <c r="A234" t="s">
        <v>8</v>
      </c>
      <c r="B234" t="s">
        <v>16</v>
      </c>
      <c r="C234" t="s">
        <v>154</v>
      </c>
      <c r="D234" s="9" t="s">
        <v>150</v>
      </c>
      <c r="E234" t="s">
        <v>36</v>
      </c>
      <c r="F234" t="s">
        <v>69</v>
      </c>
      <c r="G234">
        <v>35.1</v>
      </c>
      <c r="H234" s="9">
        <v>1.1499999999999999</v>
      </c>
      <c r="I234"/>
    </row>
    <row r="235" spans="1:9" x14ac:dyDescent="0.3">
      <c r="A235" t="s">
        <v>8</v>
      </c>
      <c r="B235" t="s">
        <v>16</v>
      </c>
      <c r="C235" t="s">
        <v>155</v>
      </c>
      <c r="D235" s="9" t="s">
        <v>150</v>
      </c>
      <c r="E235" t="s">
        <v>37</v>
      </c>
      <c r="F235" t="s">
        <v>71</v>
      </c>
      <c r="G235">
        <v>37.1</v>
      </c>
      <c r="H235" s="9">
        <v>6.61</v>
      </c>
      <c r="I235"/>
    </row>
    <row r="236" spans="1:9" x14ac:dyDescent="0.3">
      <c r="A236" t="s">
        <v>8</v>
      </c>
      <c r="B236" t="s">
        <v>13</v>
      </c>
      <c r="C236" t="s">
        <v>59</v>
      </c>
      <c r="D236" s="9" t="s">
        <v>60</v>
      </c>
      <c r="E236" t="s">
        <v>32</v>
      </c>
      <c r="F236" t="s">
        <v>61</v>
      </c>
      <c r="G236">
        <v>38.799999999999997</v>
      </c>
      <c r="I236"/>
    </row>
    <row r="237" spans="1:9" x14ac:dyDescent="0.3">
      <c r="A237" t="s">
        <v>8</v>
      </c>
      <c r="B237" t="s">
        <v>13</v>
      </c>
      <c r="C237" t="s">
        <v>62</v>
      </c>
      <c r="D237" s="9" t="s">
        <v>60</v>
      </c>
      <c r="E237" t="s">
        <v>33</v>
      </c>
      <c r="F237" t="s">
        <v>63</v>
      </c>
      <c r="G237">
        <v>33.200000000000003</v>
      </c>
      <c r="I237"/>
    </row>
    <row r="238" spans="1:9" x14ac:dyDescent="0.3">
      <c r="A238" t="s">
        <v>8</v>
      </c>
      <c r="B238" t="s">
        <v>13</v>
      </c>
      <c r="C238" t="s">
        <v>64</v>
      </c>
      <c r="D238" s="9" t="s">
        <v>60</v>
      </c>
      <c r="E238" t="s">
        <v>34</v>
      </c>
      <c r="F238" t="s">
        <v>65</v>
      </c>
      <c r="G238">
        <v>35.299999999999997</v>
      </c>
      <c r="I238"/>
    </row>
    <row r="239" spans="1:9" x14ac:dyDescent="0.3">
      <c r="A239" t="s">
        <v>8</v>
      </c>
      <c r="B239" t="s">
        <v>13</v>
      </c>
      <c r="C239" t="s">
        <v>66</v>
      </c>
      <c r="D239" s="9" t="s">
        <v>60</v>
      </c>
      <c r="E239" t="s">
        <v>35</v>
      </c>
      <c r="F239" t="s">
        <v>67</v>
      </c>
      <c r="G239">
        <v>31.5</v>
      </c>
      <c r="I239"/>
    </row>
    <row r="240" spans="1:9" x14ac:dyDescent="0.3">
      <c r="A240" t="s">
        <v>8</v>
      </c>
      <c r="B240" t="s">
        <v>13</v>
      </c>
      <c r="C240" t="s">
        <v>68</v>
      </c>
      <c r="D240" s="9" t="s">
        <v>60</v>
      </c>
      <c r="E240" t="s">
        <v>36</v>
      </c>
      <c r="F240" t="s">
        <v>69</v>
      </c>
      <c r="G240">
        <v>35.4</v>
      </c>
      <c r="I240"/>
    </row>
    <row r="241" spans="1:9" x14ac:dyDescent="0.3">
      <c r="A241" t="s">
        <v>8</v>
      </c>
      <c r="B241" t="s">
        <v>13</v>
      </c>
      <c r="C241" t="s">
        <v>70</v>
      </c>
      <c r="D241" s="9" t="s">
        <v>60</v>
      </c>
      <c r="E241" t="s">
        <v>37</v>
      </c>
      <c r="F241" t="s">
        <v>71</v>
      </c>
      <c r="G241">
        <v>39.6</v>
      </c>
      <c r="I241"/>
    </row>
    <row r="242" spans="1:9" x14ac:dyDescent="0.3">
      <c r="A242" t="s">
        <v>8</v>
      </c>
      <c r="B242" t="s">
        <v>13</v>
      </c>
      <c r="C242" t="s">
        <v>72</v>
      </c>
      <c r="D242" s="9" t="s">
        <v>60</v>
      </c>
      <c r="E242" t="s">
        <v>38</v>
      </c>
      <c r="F242" t="s">
        <v>73</v>
      </c>
      <c r="G242">
        <v>34.9</v>
      </c>
      <c r="I242"/>
    </row>
    <row r="243" spans="1:9" x14ac:dyDescent="0.3">
      <c r="A243" t="s">
        <v>8</v>
      </c>
      <c r="B243" t="s">
        <v>13</v>
      </c>
      <c r="C243" t="s">
        <v>74</v>
      </c>
      <c r="D243" s="9" t="s">
        <v>60</v>
      </c>
      <c r="E243" t="s">
        <v>39</v>
      </c>
      <c r="F243" t="s">
        <v>75</v>
      </c>
      <c r="G243">
        <v>34.9</v>
      </c>
      <c r="I243"/>
    </row>
    <row r="244" spans="1:9" x14ac:dyDescent="0.3">
      <c r="A244" t="s">
        <v>8</v>
      </c>
      <c r="B244" t="s">
        <v>13</v>
      </c>
      <c r="C244" t="s">
        <v>76</v>
      </c>
      <c r="D244" s="9" t="s">
        <v>60</v>
      </c>
      <c r="E244" t="s">
        <v>40</v>
      </c>
      <c r="F244" t="s">
        <v>77</v>
      </c>
      <c r="G244">
        <v>33.799999999999997</v>
      </c>
      <c r="I244"/>
    </row>
    <row r="245" spans="1:9" x14ac:dyDescent="0.3">
      <c r="A245" t="s">
        <v>8</v>
      </c>
      <c r="B245" t="s">
        <v>13</v>
      </c>
      <c r="C245" t="s">
        <v>78</v>
      </c>
      <c r="D245" s="9" t="s">
        <v>60</v>
      </c>
      <c r="E245" t="s">
        <v>41</v>
      </c>
      <c r="F245" t="s">
        <v>79</v>
      </c>
      <c r="G245">
        <v>34.799999999999997</v>
      </c>
      <c r="I245"/>
    </row>
    <row r="246" spans="1:9" x14ac:dyDescent="0.3">
      <c r="A246" t="s">
        <v>8</v>
      </c>
      <c r="B246" t="s">
        <v>13</v>
      </c>
      <c r="C246" t="s">
        <v>80</v>
      </c>
      <c r="D246" s="9" t="s">
        <v>60</v>
      </c>
      <c r="E246" t="s">
        <v>42</v>
      </c>
      <c r="F246" t="s">
        <v>81</v>
      </c>
      <c r="G246">
        <v>41.5</v>
      </c>
      <c r="I246"/>
    </row>
    <row r="247" spans="1:9" x14ac:dyDescent="0.3">
      <c r="A247" t="s">
        <v>8</v>
      </c>
      <c r="B247" t="s">
        <v>13</v>
      </c>
      <c r="C247" t="s">
        <v>82</v>
      </c>
      <c r="D247" s="9" t="s">
        <v>60</v>
      </c>
      <c r="E247" t="s">
        <v>43</v>
      </c>
      <c r="F247" t="s">
        <v>83</v>
      </c>
      <c r="G247">
        <v>58</v>
      </c>
      <c r="I247"/>
    </row>
    <row r="248" spans="1:9" x14ac:dyDescent="0.3">
      <c r="A248" t="s">
        <v>8</v>
      </c>
      <c r="B248" t="s">
        <v>13</v>
      </c>
      <c r="C248" t="s">
        <v>84</v>
      </c>
      <c r="D248" s="9" t="s">
        <v>85</v>
      </c>
      <c r="E248" t="s">
        <v>32</v>
      </c>
      <c r="F248" t="s">
        <v>61</v>
      </c>
      <c r="G248">
        <v>36.799999999999997</v>
      </c>
      <c r="H248" s="9">
        <v>-5.15</v>
      </c>
      <c r="I248"/>
    </row>
    <row r="249" spans="1:9" x14ac:dyDescent="0.3">
      <c r="A249" t="s">
        <v>8</v>
      </c>
      <c r="B249" t="s">
        <v>13</v>
      </c>
      <c r="C249" t="s">
        <v>86</v>
      </c>
      <c r="D249" s="9" t="s">
        <v>85</v>
      </c>
      <c r="E249" t="s">
        <v>33</v>
      </c>
      <c r="F249" t="s">
        <v>63</v>
      </c>
      <c r="G249">
        <v>34.299999999999997</v>
      </c>
      <c r="H249" s="9">
        <v>3.31</v>
      </c>
      <c r="I249"/>
    </row>
    <row r="250" spans="1:9" x14ac:dyDescent="0.3">
      <c r="A250" t="s">
        <v>8</v>
      </c>
      <c r="B250" t="s">
        <v>13</v>
      </c>
      <c r="C250" t="s">
        <v>87</v>
      </c>
      <c r="D250" s="9" t="s">
        <v>85</v>
      </c>
      <c r="E250" t="s">
        <v>34</v>
      </c>
      <c r="F250" t="s">
        <v>65</v>
      </c>
      <c r="G250">
        <v>41.5</v>
      </c>
      <c r="H250" s="9">
        <v>17.559999999999999</v>
      </c>
      <c r="I250"/>
    </row>
    <row r="251" spans="1:9" x14ac:dyDescent="0.3">
      <c r="A251" t="s">
        <v>8</v>
      </c>
      <c r="B251" t="s">
        <v>13</v>
      </c>
      <c r="C251" t="s">
        <v>88</v>
      </c>
      <c r="D251" s="9" t="s">
        <v>85</v>
      </c>
      <c r="E251" t="s">
        <v>35</v>
      </c>
      <c r="F251" t="s">
        <v>67</v>
      </c>
      <c r="G251">
        <v>34</v>
      </c>
      <c r="H251" s="9">
        <v>7.94</v>
      </c>
      <c r="I251"/>
    </row>
    <row r="252" spans="1:9" x14ac:dyDescent="0.3">
      <c r="A252" t="s">
        <v>8</v>
      </c>
      <c r="B252" t="s">
        <v>13</v>
      </c>
      <c r="C252" t="s">
        <v>89</v>
      </c>
      <c r="D252" s="9" t="s">
        <v>85</v>
      </c>
      <c r="E252" t="s">
        <v>36</v>
      </c>
      <c r="F252" t="s">
        <v>69</v>
      </c>
      <c r="G252">
        <v>42.1</v>
      </c>
      <c r="H252" s="9">
        <v>18.93</v>
      </c>
      <c r="I252"/>
    </row>
    <row r="253" spans="1:9" x14ac:dyDescent="0.3">
      <c r="A253" t="s">
        <v>8</v>
      </c>
      <c r="B253" t="s">
        <v>13</v>
      </c>
      <c r="C253" t="s">
        <v>90</v>
      </c>
      <c r="D253" s="9" t="s">
        <v>85</v>
      </c>
      <c r="E253" t="s">
        <v>37</v>
      </c>
      <c r="F253" t="s">
        <v>71</v>
      </c>
      <c r="G253">
        <v>44.9</v>
      </c>
      <c r="H253" s="9">
        <v>13.38</v>
      </c>
      <c r="I253"/>
    </row>
    <row r="254" spans="1:9" x14ac:dyDescent="0.3">
      <c r="A254" t="s">
        <v>8</v>
      </c>
      <c r="B254" t="s">
        <v>13</v>
      </c>
      <c r="C254" t="s">
        <v>91</v>
      </c>
      <c r="D254" s="9" t="s">
        <v>85</v>
      </c>
      <c r="E254" t="s">
        <v>38</v>
      </c>
      <c r="F254" t="s">
        <v>73</v>
      </c>
      <c r="G254">
        <v>44.2</v>
      </c>
      <c r="H254" s="9">
        <v>26.65</v>
      </c>
      <c r="I254"/>
    </row>
    <row r="255" spans="1:9" x14ac:dyDescent="0.3">
      <c r="A255" t="s">
        <v>8</v>
      </c>
      <c r="B255" t="s">
        <v>13</v>
      </c>
      <c r="C255" t="s">
        <v>92</v>
      </c>
      <c r="D255" s="9" t="s">
        <v>85</v>
      </c>
      <c r="E255" t="s">
        <v>39</v>
      </c>
      <c r="F255" t="s">
        <v>75</v>
      </c>
      <c r="G255">
        <v>45</v>
      </c>
      <c r="H255" s="9">
        <v>28.94</v>
      </c>
      <c r="I255"/>
    </row>
    <row r="256" spans="1:9" x14ac:dyDescent="0.3">
      <c r="A256" t="s">
        <v>8</v>
      </c>
      <c r="B256" t="s">
        <v>13</v>
      </c>
      <c r="C256" t="s">
        <v>93</v>
      </c>
      <c r="D256" s="9" t="s">
        <v>85</v>
      </c>
      <c r="E256" t="s">
        <v>40</v>
      </c>
      <c r="F256" t="s">
        <v>77</v>
      </c>
      <c r="G256">
        <v>40.799999999999997</v>
      </c>
      <c r="H256" s="9">
        <v>20.71</v>
      </c>
      <c r="I256"/>
    </row>
    <row r="257" spans="1:9" x14ac:dyDescent="0.3">
      <c r="A257" t="s">
        <v>8</v>
      </c>
      <c r="B257" t="s">
        <v>13</v>
      </c>
      <c r="C257" t="s">
        <v>94</v>
      </c>
      <c r="D257" s="9" t="s">
        <v>85</v>
      </c>
      <c r="E257" t="s">
        <v>41</v>
      </c>
      <c r="F257" t="s">
        <v>79</v>
      </c>
      <c r="G257">
        <v>42.5</v>
      </c>
      <c r="H257" s="9">
        <v>22.13</v>
      </c>
      <c r="I257"/>
    </row>
    <row r="258" spans="1:9" x14ac:dyDescent="0.3">
      <c r="A258" t="s">
        <v>8</v>
      </c>
      <c r="B258" t="s">
        <v>13</v>
      </c>
      <c r="C258" t="s">
        <v>95</v>
      </c>
      <c r="D258" s="9" t="s">
        <v>85</v>
      </c>
      <c r="E258" t="s">
        <v>42</v>
      </c>
      <c r="F258" t="s">
        <v>81</v>
      </c>
      <c r="G258">
        <v>53.5</v>
      </c>
      <c r="H258" s="9">
        <v>28.92</v>
      </c>
      <c r="I258"/>
    </row>
    <row r="259" spans="1:9" x14ac:dyDescent="0.3">
      <c r="A259" t="s">
        <v>8</v>
      </c>
      <c r="B259" t="s">
        <v>13</v>
      </c>
      <c r="C259" t="s">
        <v>96</v>
      </c>
      <c r="D259" s="9" t="s">
        <v>85</v>
      </c>
      <c r="E259" t="s">
        <v>43</v>
      </c>
      <c r="F259" t="s">
        <v>83</v>
      </c>
      <c r="G259">
        <v>64.8</v>
      </c>
      <c r="H259" s="9">
        <v>11.72</v>
      </c>
      <c r="I259"/>
    </row>
    <row r="260" spans="1:9" x14ac:dyDescent="0.3">
      <c r="A260" t="s">
        <v>8</v>
      </c>
      <c r="B260" t="s">
        <v>13</v>
      </c>
      <c r="C260" t="s">
        <v>97</v>
      </c>
      <c r="D260" s="9" t="s">
        <v>98</v>
      </c>
      <c r="E260" t="s">
        <v>32</v>
      </c>
      <c r="F260" t="s">
        <v>61</v>
      </c>
      <c r="G260">
        <v>42.4</v>
      </c>
      <c r="H260" s="9">
        <v>15.22</v>
      </c>
      <c r="I260"/>
    </row>
    <row r="261" spans="1:9" x14ac:dyDescent="0.3">
      <c r="A261" t="s">
        <v>8</v>
      </c>
      <c r="B261" t="s">
        <v>13</v>
      </c>
      <c r="C261" t="s">
        <v>99</v>
      </c>
      <c r="D261" s="9" t="s">
        <v>98</v>
      </c>
      <c r="E261" t="s">
        <v>33</v>
      </c>
      <c r="F261" t="s">
        <v>63</v>
      </c>
      <c r="G261">
        <v>40.299999999999997</v>
      </c>
      <c r="H261" s="9">
        <v>17.489999999999998</v>
      </c>
      <c r="I261"/>
    </row>
    <row r="262" spans="1:9" x14ac:dyDescent="0.3">
      <c r="A262" t="s">
        <v>8</v>
      </c>
      <c r="B262" t="s">
        <v>13</v>
      </c>
      <c r="C262" t="s">
        <v>100</v>
      </c>
      <c r="D262" s="9" t="s">
        <v>98</v>
      </c>
      <c r="E262" t="s">
        <v>34</v>
      </c>
      <c r="F262" t="s">
        <v>65</v>
      </c>
      <c r="G262">
        <v>39.799999999999997</v>
      </c>
      <c r="H262" s="9">
        <v>-4.0999999999999996</v>
      </c>
      <c r="I262"/>
    </row>
    <row r="263" spans="1:9" x14ac:dyDescent="0.3">
      <c r="A263" t="s">
        <v>8</v>
      </c>
      <c r="B263" t="s">
        <v>13</v>
      </c>
      <c r="C263" t="s">
        <v>101</v>
      </c>
      <c r="D263" s="9" t="s">
        <v>98</v>
      </c>
      <c r="E263" t="s">
        <v>35</v>
      </c>
      <c r="F263" t="s">
        <v>67</v>
      </c>
      <c r="G263">
        <v>36.6</v>
      </c>
      <c r="H263" s="9">
        <v>7.65</v>
      </c>
      <c r="I263"/>
    </row>
    <row r="264" spans="1:9" x14ac:dyDescent="0.3">
      <c r="A264" t="s">
        <v>8</v>
      </c>
      <c r="B264" t="s">
        <v>13</v>
      </c>
      <c r="C264" t="s">
        <v>102</v>
      </c>
      <c r="D264" s="9" t="s">
        <v>98</v>
      </c>
      <c r="E264" t="s">
        <v>36</v>
      </c>
      <c r="F264" t="s">
        <v>69</v>
      </c>
      <c r="G264">
        <v>41.6</v>
      </c>
      <c r="H264" s="9">
        <v>-1.19</v>
      </c>
      <c r="I264"/>
    </row>
    <row r="265" spans="1:9" x14ac:dyDescent="0.3">
      <c r="A265" t="s">
        <v>8</v>
      </c>
      <c r="B265" t="s">
        <v>13</v>
      </c>
      <c r="C265" t="s">
        <v>103</v>
      </c>
      <c r="D265" s="9" t="s">
        <v>98</v>
      </c>
      <c r="E265" t="s">
        <v>37</v>
      </c>
      <c r="F265" t="s">
        <v>71</v>
      </c>
      <c r="G265">
        <v>46.6</v>
      </c>
      <c r="H265" s="9">
        <v>3.79</v>
      </c>
      <c r="I265"/>
    </row>
    <row r="266" spans="1:9" x14ac:dyDescent="0.3">
      <c r="A266" t="s">
        <v>8</v>
      </c>
      <c r="B266" t="s">
        <v>13</v>
      </c>
      <c r="C266" t="s">
        <v>104</v>
      </c>
      <c r="D266" s="9" t="s">
        <v>98</v>
      </c>
      <c r="E266" t="s">
        <v>38</v>
      </c>
      <c r="F266" t="s">
        <v>73</v>
      </c>
      <c r="G266">
        <v>48.3</v>
      </c>
      <c r="H266" s="9">
        <v>9.2799999999999994</v>
      </c>
      <c r="I266"/>
    </row>
    <row r="267" spans="1:9" x14ac:dyDescent="0.3">
      <c r="A267" t="s">
        <v>8</v>
      </c>
      <c r="B267" t="s">
        <v>13</v>
      </c>
      <c r="C267" t="s">
        <v>105</v>
      </c>
      <c r="D267" s="9" t="s">
        <v>98</v>
      </c>
      <c r="E267" t="s">
        <v>39</v>
      </c>
      <c r="F267" t="s">
        <v>75</v>
      </c>
      <c r="G267">
        <v>29.2</v>
      </c>
      <c r="H267" s="9">
        <v>-35.11</v>
      </c>
      <c r="I267"/>
    </row>
    <row r="268" spans="1:9" x14ac:dyDescent="0.3">
      <c r="A268" t="s">
        <v>8</v>
      </c>
      <c r="B268" t="s">
        <v>13</v>
      </c>
      <c r="C268" t="s">
        <v>106</v>
      </c>
      <c r="D268" s="9" t="s">
        <v>98</v>
      </c>
      <c r="E268" t="s">
        <v>40</v>
      </c>
      <c r="F268" t="s">
        <v>77</v>
      </c>
      <c r="G268">
        <v>26.9</v>
      </c>
      <c r="H268" s="9">
        <v>-34.07</v>
      </c>
      <c r="I268"/>
    </row>
    <row r="269" spans="1:9" x14ac:dyDescent="0.3">
      <c r="A269" t="s">
        <v>8</v>
      </c>
      <c r="B269" t="s">
        <v>13</v>
      </c>
      <c r="C269" t="s">
        <v>107</v>
      </c>
      <c r="D269" s="9" t="s">
        <v>98</v>
      </c>
      <c r="E269" t="s">
        <v>41</v>
      </c>
      <c r="F269" t="s">
        <v>79</v>
      </c>
      <c r="G269">
        <v>34.9</v>
      </c>
      <c r="H269" s="9">
        <v>-17.88</v>
      </c>
      <c r="I269"/>
    </row>
    <row r="270" spans="1:9" x14ac:dyDescent="0.3">
      <c r="A270" t="s">
        <v>8</v>
      </c>
      <c r="B270" t="s">
        <v>13</v>
      </c>
      <c r="C270" t="s">
        <v>108</v>
      </c>
      <c r="D270" s="9" t="s">
        <v>98</v>
      </c>
      <c r="E270" t="s">
        <v>42</v>
      </c>
      <c r="F270" t="s">
        <v>81</v>
      </c>
      <c r="G270">
        <v>55.2</v>
      </c>
      <c r="H270" s="9">
        <v>3.18</v>
      </c>
      <c r="I270"/>
    </row>
    <row r="271" spans="1:9" x14ac:dyDescent="0.3">
      <c r="A271" t="s">
        <v>8</v>
      </c>
      <c r="B271" t="s">
        <v>13</v>
      </c>
      <c r="C271" t="s">
        <v>109</v>
      </c>
      <c r="D271" s="9" t="s">
        <v>98</v>
      </c>
      <c r="E271" t="s">
        <v>43</v>
      </c>
      <c r="F271" t="s">
        <v>83</v>
      </c>
      <c r="G271">
        <v>63.5</v>
      </c>
      <c r="H271" s="9">
        <v>-2.0099999999999998</v>
      </c>
      <c r="I271"/>
    </row>
    <row r="272" spans="1:9" x14ac:dyDescent="0.3">
      <c r="A272" t="s">
        <v>8</v>
      </c>
      <c r="B272" t="s">
        <v>13</v>
      </c>
      <c r="C272" t="s">
        <v>110</v>
      </c>
      <c r="D272" s="9" t="s">
        <v>111</v>
      </c>
      <c r="E272" t="s">
        <v>32</v>
      </c>
      <c r="F272" t="s">
        <v>61</v>
      </c>
      <c r="G272">
        <v>43</v>
      </c>
      <c r="H272" s="9">
        <v>1.42</v>
      </c>
      <c r="I272"/>
    </row>
    <row r="273" spans="1:9" x14ac:dyDescent="0.3">
      <c r="A273" t="s">
        <v>8</v>
      </c>
      <c r="B273" t="s">
        <v>13</v>
      </c>
      <c r="C273" t="s">
        <v>112</v>
      </c>
      <c r="D273" s="9" t="s">
        <v>111</v>
      </c>
      <c r="E273" t="s">
        <v>33</v>
      </c>
      <c r="F273" t="s">
        <v>63</v>
      </c>
      <c r="G273">
        <v>41.1</v>
      </c>
      <c r="H273" s="9">
        <v>1.99</v>
      </c>
      <c r="I273"/>
    </row>
    <row r="274" spans="1:9" x14ac:dyDescent="0.3">
      <c r="A274" t="s">
        <v>8</v>
      </c>
      <c r="B274" t="s">
        <v>13</v>
      </c>
      <c r="C274" t="s">
        <v>113</v>
      </c>
      <c r="D274" s="9" t="s">
        <v>111</v>
      </c>
      <c r="E274" t="s">
        <v>34</v>
      </c>
      <c r="F274" t="s">
        <v>65</v>
      </c>
      <c r="G274">
        <v>43.1</v>
      </c>
      <c r="H274" s="9">
        <v>8.2899999999999991</v>
      </c>
      <c r="I274"/>
    </row>
    <row r="275" spans="1:9" x14ac:dyDescent="0.3">
      <c r="A275" t="s">
        <v>8</v>
      </c>
      <c r="B275" t="s">
        <v>13</v>
      </c>
      <c r="C275" t="s">
        <v>114</v>
      </c>
      <c r="D275" s="9" t="s">
        <v>111</v>
      </c>
      <c r="E275" t="s">
        <v>35</v>
      </c>
      <c r="F275" t="s">
        <v>67</v>
      </c>
      <c r="G275">
        <v>40.799999999999997</v>
      </c>
      <c r="H275" s="9">
        <v>11.48</v>
      </c>
      <c r="I275"/>
    </row>
    <row r="276" spans="1:9" x14ac:dyDescent="0.3">
      <c r="A276" t="s">
        <v>8</v>
      </c>
      <c r="B276" t="s">
        <v>13</v>
      </c>
      <c r="C276" t="s">
        <v>115</v>
      </c>
      <c r="D276" s="9" t="s">
        <v>111</v>
      </c>
      <c r="E276" t="s">
        <v>36</v>
      </c>
      <c r="F276" t="s">
        <v>69</v>
      </c>
      <c r="G276">
        <v>40.799999999999997</v>
      </c>
      <c r="H276" s="9">
        <v>-1.92</v>
      </c>
      <c r="I276"/>
    </row>
    <row r="277" spans="1:9" x14ac:dyDescent="0.3">
      <c r="A277" t="s">
        <v>8</v>
      </c>
      <c r="B277" t="s">
        <v>13</v>
      </c>
      <c r="C277" t="s">
        <v>116</v>
      </c>
      <c r="D277" s="9" t="s">
        <v>111</v>
      </c>
      <c r="E277" t="s">
        <v>37</v>
      </c>
      <c r="F277" t="s">
        <v>71</v>
      </c>
      <c r="G277">
        <v>47.7</v>
      </c>
      <c r="H277" s="9">
        <v>2.36</v>
      </c>
      <c r="I277"/>
    </row>
    <row r="278" spans="1:9" x14ac:dyDescent="0.3">
      <c r="A278" t="s">
        <v>8</v>
      </c>
      <c r="B278" t="s">
        <v>13</v>
      </c>
      <c r="C278" t="s">
        <v>117</v>
      </c>
      <c r="D278" s="9" t="s">
        <v>111</v>
      </c>
      <c r="E278" t="s">
        <v>38</v>
      </c>
      <c r="F278" t="s">
        <v>73</v>
      </c>
      <c r="G278">
        <v>46.5</v>
      </c>
      <c r="H278" s="9">
        <v>-3.73</v>
      </c>
      <c r="I278"/>
    </row>
    <row r="279" spans="1:9" x14ac:dyDescent="0.3">
      <c r="A279" t="s">
        <v>8</v>
      </c>
      <c r="B279" t="s">
        <v>13</v>
      </c>
      <c r="C279" t="s">
        <v>118</v>
      </c>
      <c r="D279" s="9" t="s">
        <v>111</v>
      </c>
      <c r="E279" t="s">
        <v>39</v>
      </c>
      <c r="F279" t="s">
        <v>75</v>
      </c>
      <c r="G279">
        <v>45.3</v>
      </c>
      <c r="H279" s="9">
        <v>55.14</v>
      </c>
      <c r="I279"/>
    </row>
    <row r="280" spans="1:9" x14ac:dyDescent="0.3">
      <c r="A280" t="s">
        <v>8</v>
      </c>
      <c r="B280" t="s">
        <v>13</v>
      </c>
      <c r="C280" t="s">
        <v>119</v>
      </c>
      <c r="D280" s="9" t="s">
        <v>111</v>
      </c>
      <c r="E280" t="s">
        <v>40</v>
      </c>
      <c r="F280" t="s">
        <v>77</v>
      </c>
      <c r="G280">
        <v>46</v>
      </c>
      <c r="H280" s="9">
        <v>71</v>
      </c>
      <c r="I280"/>
    </row>
    <row r="281" spans="1:9" x14ac:dyDescent="0.3">
      <c r="A281" t="s">
        <v>8</v>
      </c>
      <c r="B281" t="s">
        <v>13</v>
      </c>
      <c r="C281" t="s">
        <v>120</v>
      </c>
      <c r="D281" s="9" t="s">
        <v>111</v>
      </c>
      <c r="E281" t="s">
        <v>41</v>
      </c>
      <c r="F281" t="s">
        <v>79</v>
      </c>
      <c r="G281">
        <v>47.2</v>
      </c>
      <c r="H281" s="9">
        <v>35.24</v>
      </c>
      <c r="I281"/>
    </row>
    <row r="282" spans="1:9" x14ac:dyDescent="0.3">
      <c r="A282" t="s">
        <v>8</v>
      </c>
      <c r="B282" t="s">
        <v>13</v>
      </c>
      <c r="C282" t="s">
        <v>121</v>
      </c>
      <c r="D282" s="9" t="s">
        <v>111</v>
      </c>
      <c r="E282" t="s">
        <v>42</v>
      </c>
      <c r="F282" t="s">
        <v>81</v>
      </c>
      <c r="G282">
        <v>53.1</v>
      </c>
      <c r="H282" s="9">
        <v>-3.8</v>
      </c>
      <c r="I282"/>
    </row>
    <row r="283" spans="1:9" x14ac:dyDescent="0.3">
      <c r="A283" t="s">
        <v>8</v>
      </c>
      <c r="B283" t="s">
        <v>13</v>
      </c>
      <c r="C283" t="s">
        <v>122</v>
      </c>
      <c r="D283" s="9" t="s">
        <v>111</v>
      </c>
      <c r="E283" t="s">
        <v>43</v>
      </c>
      <c r="F283" t="s">
        <v>83</v>
      </c>
      <c r="G283">
        <v>61.2</v>
      </c>
      <c r="H283" s="9">
        <v>-3.62</v>
      </c>
      <c r="I283"/>
    </row>
    <row r="284" spans="1:9" x14ac:dyDescent="0.3">
      <c r="A284" t="s">
        <v>8</v>
      </c>
      <c r="B284" t="s">
        <v>13</v>
      </c>
      <c r="C284" t="s">
        <v>123</v>
      </c>
      <c r="D284" s="9" t="s">
        <v>124</v>
      </c>
      <c r="E284" t="s">
        <v>32</v>
      </c>
      <c r="F284" t="s">
        <v>61</v>
      </c>
      <c r="G284">
        <v>44.4</v>
      </c>
      <c r="H284" s="9">
        <v>3.26</v>
      </c>
      <c r="I284"/>
    </row>
    <row r="285" spans="1:9" x14ac:dyDescent="0.3">
      <c r="A285" t="s">
        <v>8</v>
      </c>
      <c r="B285" t="s">
        <v>13</v>
      </c>
      <c r="C285" t="s">
        <v>125</v>
      </c>
      <c r="D285" s="9" t="s">
        <v>124</v>
      </c>
      <c r="E285" t="s">
        <v>33</v>
      </c>
      <c r="F285" t="s">
        <v>63</v>
      </c>
      <c r="G285">
        <v>41.6</v>
      </c>
      <c r="H285" s="9">
        <v>1.22</v>
      </c>
      <c r="I285"/>
    </row>
    <row r="286" spans="1:9" x14ac:dyDescent="0.3">
      <c r="A286" t="s">
        <v>8</v>
      </c>
      <c r="B286" t="s">
        <v>13</v>
      </c>
      <c r="C286" t="s">
        <v>126</v>
      </c>
      <c r="D286" s="9" t="s">
        <v>124</v>
      </c>
      <c r="E286" t="s">
        <v>34</v>
      </c>
      <c r="F286" t="s">
        <v>65</v>
      </c>
      <c r="G286">
        <v>42.5</v>
      </c>
      <c r="H286" s="9">
        <v>-1.39</v>
      </c>
      <c r="I286"/>
    </row>
    <row r="287" spans="1:9" x14ac:dyDescent="0.3">
      <c r="A287" t="s">
        <v>8</v>
      </c>
      <c r="B287" t="s">
        <v>13</v>
      </c>
      <c r="C287" t="s">
        <v>127</v>
      </c>
      <c r="D287" s="9" t="s">
        <v>124</v>
      </c>
      <c r="E287" t="s">
        <v>35</v>
      </c>
      <c r="F287" t="s">
        <v>67</v>
      </c>
      <c r="G287">
        <v>37.9</v>
      </c>
      <c r="H287" s="9">
        <v>-7.11</v>
      </c>
      <c r="I287"/>
    </row>
    <row r="288" spans="1:9" x14ac:dyDescent="0.3">
      <c r="A288" t="s">
        <v>8</v>
      </c>
      <c r="B288" t="s">
        <v>13</v>
      </c>
      <c r="C288" t="s">
        <v>128</v>
      </c>
      <c r="D288" s="9" t="s">
        <v>124</v>
      </c>
      <c r="E288" t="s">
        <v>36</v>
      </c>
      <c r="F288" t="s">
        <v>69</v>
      </c>
      <c r="G288">
        <v>42.7</v>
      </c>
      <c r="H288" s="9">
        <v>4.66</v>
      </c>
      <c r="I288"/>
    </row>
    <row r="289" spans="1:9" x14ac:dyDescent="0.3">
      <c r="A289" t="s">
        <v>8</v>
      </c>
      <c r="B289" t="s">
        <v>13</v>
      </c>
      <c r="C289" t="s">
        <v>129</v>
      </c>
      <c r="D289" s="9" t="s">
        <v>124</v>
      </c>
      <c r="E289" t="s">
        <v>37</v>
      </c>
      <c r="F289" t="s">
        <v>71</v>
      </c>
      <c r="G289">
        <v>49.3</v>
      </c>
      <c r="H289" s="9">
        <v>3.35</v>
      </c>
      <c r="I289"/>
    </row>
    <row r="290" spans="1:9" x14ac:dyDescent="0.3">
      <c r="A290" t="s">
        <v>8</v>
      </c>
      <c r="B290" t="s">
        <v>13</v>
      </c>
      <c r="C290" t="s">
        <v>130</v>
      </c>
      <c r="D290" s="9" t="s">
        <v>124</v>
      </c>
      <c r="E290" t="s">
        <v>38</v>
      </c>
      <c r="F290" t="s">
        <v>73</v>
      </c>
      <c r="G290">
        <v>42.5</v>
      </c>
      <c r="H290" s="9">
        <v>-8.6</v>
      </c>
      <c r="I290"/>
    </row>
    <row r="291" spans="1:9" x14ac:dyDescent="0.3">
      <c r="A291" t="s">
        <v>8</v>
      </c>
      <c r="B291" t="s">
        <v>13</v>
      </c>
      <c r="C291" t="s">
        <v>131</v>
      </c>
      <c r="D291" s="9" t="s">
        <v>124</v>
      </c>
      <c r="E291" t="s">
        <v>39</v>
      </c>
      <c r="F291" t="s">
        <v>75</v>
      </c>
      <c r="G291">
        <v>40.9</v>
      </c>
      <c r="H291" s="9">
        <v>-9.7100000000000009</v>
      </c>
      <c r="I291"/>
    </row>
    <row r="292" spans="1:9" x14ac:dyDescent="0.3">
      <c r="A292" t="s">
        <v>8</v>
      </c>
      <c r="B292" t="s">
        <v>13</v>
      </c>
      <c r="C292" t="s">
        <v>132</v>
      </c>
      <c r="D292" s="9" t="s">
        <v>124</v>
      </c>
      <c r="E292" t="s">
        <v>40</v>
      </c>
      <c r="F292" t="s">
        <v>77</v>
      </c>
      <c r="G292">
        <v>43.8</v>
      </c>
      <c r="H292" s="9">
        <v>-4.78</v>
      </c>
      <c r="I292"/>
    </row>
    <row r="293" spans="1:9" x14ac:dyDescent="0.3">
      <c r="A293" t="s">
        <v>8</v>
      </c>
      <c r="B293" t="s">
        <v>13</v>
      </c>
      <c r="C293" t="s">
        <v>133</v>
      </c>
      <c r="D293" s="9" t="s">
        <v>124</v>
      </c>
      <c r="E293" t="s">
        <v>41</v>
      </c>
      <c r="F293" t="s">
        <v>79</v>
      </c>
      <c r="G293">
        <v>42.6</v>
      </c>
      <c r="H293" s="9">
        <v>-9.75</v>
      </c>
      <c r="I293"/>
    </row>
    <row r="294" spans="1:9" x14ac:dyDescent="0.3">
      <c r="A294" t="s">
        <v>8</v>
      </c>
      <c r="B294" t="s">
        <v>13</v>
      </c>
      <c r="C294" t="s">
        <v>134</v>
      </c>
      <c r="D294" s="9" t="s">
        <v>124</v>
      </c>
      <c r="E294" t="s">
        <v>42</v>
      </c>
      <c r="F294" t="s">
        <v>81</v>
      </c>
      <c r="G294">
        <v>56.6</v>
      </c>
      <c r="H294" s="9">
        <v>6.59</v>
      </c>
      <c r="I294"/>
    </row>
    <row r="295" spans="1:9" x14ac:dyDescent="0.3">
      <c r="A295" t="s">
        <v>8</v>
      </c>
      <c r="B295" t="s">
        <v>13</v>
      </c>
      <c r="C295" t="s">
        <v>135</v>
      </c>
      <c r="D295" s="9" t="s">
        <v>124</v>
      </c>
      <c r="E295" t="s">
        <v>43</v>
      </c>
      <c r="F295" t="s">
        <v>83</v>
      </c>
      <c r="G295">
        <v>61.2</v>
      </c>
      <c r="H295" s="9">
        <v>0</v>
      </c>
      <c r="I295"/>
    </row>
    <row r="296" spans="1:9" x14ac:dyDescent="0.3">
      <c r="A296" t="s">
        <v>8</v>
      </c>
      <c r="B296" t="s">
        <v>13</v>
      </c>
      <c r="C296" t="s">
        <v>136</v>
      </c>
      <c r="D296" s="9" t="s">
        <v>137</v>
      </c>
      <c r="E296" t="s">
        <v>32</v>
      </c>
      <c r="F296" t="s">
        <v>61</v>
      </c>
      <c r="G296">
        <v>41.6</v>
      </c>
      <c r="H296" s="9">
        <v>-6.31</v>
      </c>
      <c r="I296"/>
    </row>
    <row r="297" spans="1:9" x14ac:dyDescent="0.3">
      <c r="A297" t="s">
        <v>8</v>
      </c>
      <c r="B297" t="s">
        <v>13</v>
      </c>
      <c r="C297" t="s">
        <v>138</v>
      </c>
      <c r="D297" s="9" t="s">
        <v>137</v>
      </c>
      <c r="E297" t="s">
        <v>33</v>
      </c>
      <c r="F297" t="s">
        <v>63</v>
      </c>
      <c r="G297">
        <v>38.700000000000003</v>
      </c>
      <c r="H297" s="9">
        <v>-6.97</v>
      </c>
      <c r="I297"/>
    </row>
    <row r="298" spans="1:9" x14ac:dyDescent="0.3">
      <c r="A298" t="s">
        <v>8</v>
      </c>
      <c r="B298" t="s">
        <v>13</v>
      </c>
      <c r="C298" t="s">
        <v>139</v>
      </c>
      <c r="D298" s="9" t="s">
        <v>137</v>
      </c>
      <c r="E298" t="s">
        <v>34</v>
      </c>
      <c r="F298" t="s">
        <v>65</v>
      </c>
      <c r="G298">
        <v>38.799999999999997</v>
      </c>
      <c r="H298" s="9">
        <v>-8.7100000000000009</v>
      </c>
      <c r="I298"/>
    </row>
    <row r="299" spans="1:9" x14ac:dyDescent="0.3">
      <c r="A299" t="s">
        <v>8</v>
      </c>
      <c r="B299" t="s">
        <v>13</v>
      </c>
      <c r="C299" t="s">
        <v>140</v>
      </c>
      <c r="D299" s="9" t="s">
        <v>137</v>
      </c>
      <c r="E299" t="s">
        <v>35</v>
      </c>
      <c r="F299" t="s">
        <v>67</v>
      </c>
      <c r="G299">
        <v>36.9</v>
      </c>
      <c r="H299" s="9">
        <v>-2.64</v>
      </c>
      <c r="I299"/>
    </row>
    <row r="300" spans="1:9" x14ac:dyDescent="0.3">
      <c r="A300" t="s">
        <v>8</v>
      </c>
      <c r="B300" t="s">
        <v>13</v>
      </c>
      <c r="C300" t="s">
        <v>141</v>
      </c>
      <c r="D300" s="9" t="s">
        <v>137</v>
      </c>
      <c r="E300" t="s">
        <v>36</v>
      </c>
      <c r="F300" t="s">
        <v>69</v>
      </c>
      <c r="G300">
        <v>41.1</v>
      </c>
      <c r="H300" s="9">
        <v>-3.75</v>
      </c>
      <c r="I300"/>
    </row>
    <row r="301" spans="1:9" x14ac:dyDescent="0.3">
      <c r="A301" t="s">
        <v>8</v>
      </c>
      <c r="B301" t="s">
        <v>13</v>
      </c>
      <c r="C301" t="s">
        <v>142</v>
      </c>
      <c r="D301" s="9" t="s">
        <v>137</v>
      </c>
      <c r="E301" t="s">
        <v>37</v>
      </c>
      <c r="F301" t="s">
        <v>71</v>
      </c>
      <c r="G301">
        <v>47</v>
      </c>
      <c r="H301" s="9">
        <v>-4.67</v>
      </c>
      <c r="I301"/>
    </row>
    <row r="302" spans="1:9" x14ac:dyDescent="0.3">
      <c r="A302" t="s">
        <v>8</v>
      </c>
      <c r="B302" t="s">
        <v>13</v>
      </c>
      <c r="C302" t="s">
        <v>143</v>
      </c>
      <c r="D302" s="9" t="s">
        <v>137</v>
      </c>
      <c r="E302" t="s">
        <v>38</v>
      </c>
      <c r="F302" t="s">
        <v>73</v>
      </c>
      <c r="G302">
        <v>40.5</v>
      </c>
      <c r="H302" s="9">
        <v>-4.71</v>
      </c>
      <c r="I302"/>
    </row>
    <row r="303" spans="1:9" x14ac:dyDescent="0.3">
      <c r="A303" t="s">
        <v>8</v>
      </c>
      <c r="B303" t="s">
        <v>13</v>
      </c>
      <c r="C303" t="s">
        <v>144</v>
      </c>
      <c r="D303" s="9" t="s">
        <v>137</v>
      </c>
      <c r="E303" t="s">
        <v>39</v>
      </c>
      <c r="F303" t="s">
        <v>75</v>
      </c>
      <c r="G303">
        <v>39.700000000000003</v>
      </c>
      <c r="H303" s="9">
        <v>-2.93</v>
      </c>
      <c r="I303"/>
    </row>
    <row r="304" spans="1:9" x14ac:dyDescent="0.3">
      <c r="A304" t="s">
        <v>8</v>
      </c>
      <c r="B304" t="s">
        <v>13</v>
      </c>
      <c r="C304" t="s">
        <v>145</v>
      </c>
      <c r="D304" s="9" t="s">
        <v>137</v>
      </c>
      <c r="E304" t="s">
        <v>40</v>
      </c>
      <c r="F304" t="s">
        <v>77</v>
      </c>
      <c r="G304">
        <v>41.9</v>
      </c>
      <c r="H304" s="9">
        <v>-4.34</v>
      </c>
      <c r="I304"/>
    </row>
    <row r="305" spans="1:9" x14ac:dyDescent="0.3">
      <c r="A305" t="s">
        <v>8</v>
      </c>
      <c r="B305" t="s">
        <v>13</v>
      </c>
      <c r="C305" t="s">
        <v>146</v>
      </c>
      <c r="D305" s="9" t="s">
        <v>137</v>
      </c>
      <c r="E305" t="s">
        <v>41</v>
      </c>
      <c r="F305" t="s">
        <v>79</v>
      </c>
      <c r="G305">
        <v>43.9</v>
      </c>
      <c r="H305" s="9">
        <v>3.05</v>
      </c>
      <c r="I305"/>
    </row>
    <row r="306" spans="1:9" x14ac:dyDescent="0.3">
      <c r="A306" t="s">
        <v>8</v>
      </c>
      <c r="B306" t="s">
        <v>13</v>
      </c>
      <c r="C306" t="s">
        <v>147</v>
      </c>
      <c r="D306" s="9" t="s">
        <v>137</v>
      </c>
      <c r="E306" t="s">
        <v>42</v>
      </c>
      <c r="F306" t="s">
        <v>81</v>
      </c>
      <c r="G306">
        <v>55.8</v>
      </c>
      <c r="H306" s="9">
        <v>-1.41</v>
      </c>
      <c r="I306"/>
    </row>
    <row r="307" spans="1:9" x14ac:dyDescent="0.3">
      <c r="A307" t="s">
        <v>8</v>
      </c>
      <c r="B307" t="s">
        <v>13</v>
      </c>
      <c r="C307" t="s">
        <v>148</v>
      </c>
      <c r="D307" s="9" t="s">
        <v>137</v>
      </c>
      <c r="E307" t="s">
        <v>43</v>
      </c>
      <c r="F307" t="s">
        <v>83</v>
      </c>
      <c r="G307">
        <v>64</v>
      </c>
      <c r="H307" s="9">
        <v>4.58</v>
      </c>
      <c r="I307"/>
    </row>
    <row r="308" spans="1:9" x14ac:dyDescent="0.3">
      <c r="A308" t="s">
        <v>8</v>
      </c>
      <c r="B308" t="s">
        <v>13</v>
      </c>
      <c r="C308" t="s">
        <v>149</v>
      </c>
      <c r="D308" s="9" t="s">
        <v>150</v>
      </c>
      <c r="E308" t="s">
        <v>32</v>
      </c>
      <c r="F308" t="s">
        <v>61</v>
      </c>
      <c r="G308">
        <v>43.4</v>
      </c>
      <c r="H308" s="9">
        <v>4.33</v>
      </c>
      <c r="I308"/>
    </row>
    <row r="309" spans="1:9" x14ac:dyDescent="0.3">
      <c r="A309" t="s">
        <v>8</v>
      </c>
      <c r="B309" t="s">
        <v>13</v>
      </c>
      <c r="C309" t="s">
        <v>151</v>
      </c>
      <c r="D309" s="9" t="s">
        <v>150</v>
      </c>
      <c r="E309" t="s">
        <v>33</v>
      </c>
      <c r="F309" t="s">
        <v>63</v>
      </c>
      <c r="G309">
        <v>38.799999999999997</v>
      </c>
      <c r="H309" s="9">
        <v>0.26</v>
      </c>
      <c r="I309"/>
    </row>
    <row r="310" spans="1:9" x14ac:dyDescent="0.3">
      <c r="A310" t="s">
        <v>8</v>
      </c>
      <c r="B310" t="s">
        <v>13</v>
      </c>
      <c r="C310" t="s">
        <v>152</v>
      </c>
      <c r="D310" s="9" t="s">
        <v>150</v>
      </c>
      <c r="E310" t="s">
        <v>34</v>
      </c>
      <c r="F310" t="s">
        <v>65</v>
      </c>
      <c r="G310">
        <v>41.4</v>
      </c>
      <c r="H310" s="9">
        <v>6.7</v>
      </c>
      <c r="I310"/>
    </row>
    <row r="311" spans="1:9" x14ac:dyDescent="0.3">
      <c r="A311" t="s">
        <v>8</v>
      </c>
      <c r="B311" t="s">
        <v>13</v>
      </c>
      <c r="C311" t="s">
        <v>153</v>
      </c>
      <c r="D311" s="9" t="s">
        <v>150</v>
      </c>
      <c r="E311" t="s">
        <v>35</v>
      </c>
      <c r="F311" t="s">
        <v>67</v>
      </c>
      <c r="G311">
        <v>37.6</v>
      </c>
      <c r="H311" s="9">
        <v>1.9</v>
      </c>
      <c r="I311"/>
    </row>
    <row r="312" spans="1:9" x14ac:dyDescent="0.3">
      <c r="A312" t="s">
        <v>8</v>
      </c>
      <c r="B312" t="s">
        <v>13</v>
      </c>
      <c r="C312" t="s">
        <v>154</v>
      </c>
      <c r="D312" s="9" t="s">
        <v>150</v>
      </c>
      <c r="E312" t="s">
        <v>36</v>
      </c>
      <c r="F312" t="s">
        <v>69</v>
      </c>
      <c r="G312">
        <v>40.700000000000003</v>
      </c>
      <c r="H312" s="9">
        <v>-0.97</v>
      </c>
      <c r="I312"/>
    </row>
    <row r="313" spans="1:9" x14ac:dyDescent="0.3">
      <c r="A313" t="s">
        <v>8</v>
      </c>
      <c r="B313" t="s">
        <v>13</v>
      </c>
      <c r="C313" t="s">
        <v>155</v>
      </c>
      <c r="D313" s="9" t="s">
        <v>150</v>
      </c>
      <c r="E313" t="s">
        <v>37</v>
      </c>
      <c r="F313" t="s">
        <v>71</v>
      </c>
      <c r="G313">
        <v>49.7</v>
      </c>
      <c r="H313" s="9">
        <v>5.74</v>
      </c>
      <c r="I313"/>
    </row>
    <row r="314" spans="1:9" x14ac:dyDescent="0.3">
      <c r="A314" t="s">
        <v>8</v>
      </c>
      <c r="B314" t="s">
        <v>22</v>
      </c>
      <c r="C314" t="s">
        <v>59</v>
      </c>
      <c r="D314" s="9" t="s">
        <v>60</v>
      </c>
      <c r="E314" t="s">
        <v>32</v>
      </c>
      <c r="F314" t="s">
        <v>61</v>
      </c>
      <c r="G314">
        <v>13</v>
      </c>
      <c r="I314"/>
    </row>
    <row r="315" spans="1:9" x14ac:dyDescent="0.3">
      <c r="A315" t="s">
        <v>8</v>
      </c>
      <c r="B315" t="s">
        <v>22</v>
      </c>
      <c r="C315" t="s">
        <v>62</v>
      </c>
      <c r="D315" s="9" t="s">
        <v>60</v>
      </c>
      <c r="E315" t="s">
        <v>33</v>
      </c>
      <c r="F315" t="s">
        <v>63</v>
      </c>
      <c r="G315">
        <v>11.1</v>
      </c>
      <c r="I315"/>
    </row>
    <row r="316" spans="1:9" x14ac:dyDescent="0.3">
      <c r="A316" t="s">
        <v>8</v>
      </c>
      <c r="B316" t="s">
        <v>22</v>
      </c>
      <c r="C316" t="s">
        <v>64</v>
      </c>
      <c r="D316" s="9" t="s">
        <v>60</v>
      </c>
      <c r="E316" t="s">
        <v>34</v>
      </c>
      <c r="F316" t="s">
        <v>65</v>
      </c>
      <c r="G316">
        <v>12.4</v>
      </c>
      <c r="I316"/>
    </row>
    <row r="317" spans="1:9" x14ac:dyDescent="0.3">
      <c r="A317" t="s">
        <v>8</v>
      </c>
      <c r="B317" t="s">
        <v>22</v>
      </c>
      <c r="C317" t="s">
        <v>66</v>
      </c>
      <c r="D317" s="9" t="s">
        <v>60</v>
      </c>
      <c r="E317" t="s">
        <v>35</v>
      </c>
      <c r="F317" t="s">
        <v>67</v>
      </c>
      <c r="G317">
        <v>12.4</v>
      </c>
      <c r="I317"/>
    </row>
    <row r="318" spans="1:9" x14ac:dyDescent="0.3">
      <c r="A318" t="s">
        <v>8</v>
      </c>
      <c r="B318" t="s">
        <v>22</v>
      </c>
      <c r="C318" t="s">
        <v>68</v>
      </c>
      <c r="D318" s="9" t="s">
        <v>60</v>
      </c>
      <c r="E318" t="s">
        <v>36</v>
      </c>
      <c r="F318" t="s">
        <v>69</v>
      </c>
      <c r="G318">
        <v>13.6</v>
      </c>
      <c r="I318"/>
    </row>
    <row r="319" spans="1:9" x14ac:dyDescent="0.3">
      <c r="A319" t="s">
        <v>8</v>
      </c>
      <c r="B319" t="s">
        <v>22</v>
      </c>
      <c r="C319" t="s">
        <v>70</v>
      </c>
      <c r="D319" s="9" t="s">
        <v>60</v>
      </c>
      <c r="E319" t="s">
        <v>37</v>
      </c>
      <c r="F319" t="s">
        <v>71</v>
      </c>
      <c r="G319">
        <v>12.8</v>
      </c>
      <c r="I319"/>
    </row>
    <row r="320" spans="1:9" x14ac:dyDescent="0.3">
      <c r="A320" t="s">
        <v>8</v>
      </c>
      <c r="B320" t="s">
        <v>22</v>
      </c>
      <c r="C320" t="s">
        <v>72</v>
      </c>
      <c r="D320" s="9" t="s">
        <v>60</v>
      </c>
      <c r="E320" t="s">
        <v>38</v>
      </c>
      <c r="F320" t="s">
        <v>73</v>
      </c>
      <c r="G320">
        <v>11.8</v>
      </c>
      <c r="I320"/>
    </row>
    <row r="321" spans="1:9" x14ac:dyDescent="0.3">
      <c r="A321" t="s">
        <v>8</v>
      </c>
      <c r="B321" t="s">
        <v>22</v>
      </c>
      <c r="C321" t="s">
        <v>74</v>
      </c>
      <c r="D321" s="9" t="s">
        <v>60</v>
      </c>
      <c r="E321" t="s">
        <v>39</v>
      </c>
      <c r="F321" t="s">
        <v>75</v>
      </c>
      <c r="G321">
        <v>12.3</v>
      </c>
      <c r="I321"/>
    </row>
    <row r="322" spans="1:9" x14ac:dyDescent="0.3">
      <c r="A322" t="s">
        <v>8</v>
      </c>
      <c r="B322" t="s">
        <v>22</v>
      </c>
      <c r="C322" t="s">
        <v>76</v>
      </c>
      <c r="D322" s="9" t="s">
        <v>60</v>
      </c>
      <c r="E322" t="s">
        <v>40</v>
      </c>
      <c r="F322" t="s">
        <v>77</v>
      </c>
      <c r="G322">
        <v>12</v>
      </c>
      <c r="I322"/>
    </row>
    <row r="323" spans="1:9" x14ac:dyDescent="0.3">
      <c r="A323" t="s">
        <v>8</v>
      </c>
      <c r="B323" t="s">
        <v>22</v>
      </c>
      <c r="C323" t="s">
        <v>78</v>
      </c>
      <c r="D323" s="9" t="s">
        <v>60</v>
      </c>
      <c r="E323" t="s">
        <v>41</v>
      </c>
      <c r="F323" t="s">
        <v>79</v>
      </c>
      <c r="G323">
        <v>12.7</v>
      </c>
      <c r="I323"/>
    </row>
    <row r="324" spans="1:9" x14ac:dyDescent="0.3">
      <c r="A324" t="s">
        <v>8</v>
      </c>
      <c r="B324" t="s">
        <v>22</v>
      </c>
      <c r="C324" t="s">
        <v>80</v>
      </c>
      <c r="D324" s="9" t="s">
        <v>60</v>
      </c>
      <c r="E324" t="s">
        <v>42</v>
      </c>
      <c r="F324" t="s">
        <v>81</v>
      </c>
      <c r="G324">
        <v>15.1</v>
      </c>
      <c r="I324"/>
    </row>
    <row r="325" spans="1:9" x14ac:dyDescent="0.3">
      <c r="A325" t="s">
        <v>8</v>
      </c>
      <c r="B325" t="s">
        <v>22</v>
      </c>
      <c r="C325" t="s">
        <v>82</v>
      </c>
      <c r="D325" s="9" t="s">
        <v>60</v>
      </c>
      <c r="E325" t="s">
        <v>43</v>
      </c>
      <c r="F325" t="s">
        <v>83</v>
      </c>
      <c r="G325">
        <v>23.3</v>
      </c>
      <c r="I325"/>
    </row>
    <row r="326" spans="1:9" x14ac:dyDescent="0.3">
      <c r="A326" t="s">
        <v>8</v>
      </c>
      <c r="B326" t="s">
        <v>22</v>
      </c>
      <c r="C326" t="s">
        <v>84</v>
      </c>
      <c r="D326" s="9" t="s">
        <v>85</v>
      </c>
      <c r="E326" t="s">
        <v>32</v>
      </c>
      <c r="F326" t="s">
        <v>61</v>
      </c>
      <c r="G326">
        <v>12.6</v>
      </c>
      <c r="H326" s="9">
        <v>-3.08</v>
      </c>
      <c r="I326"/>
    </row>
    <row r="327" spans="1:9" x14ac:dyDescent="0.3">
      <c r="A327" t="s">
        <v>8</v>
      </c>
      <c r="B327" t="s">
        <v>22</v>
      </c>
      <c r="C327" t="s">
        <v>86</v>
      </c>
      <c r="D327" s="9" t="s">
        <v>85</v>
      </c>
      <c r="E327" t="s">
        <v>33</v>
      </c>
      <c r="F327" t="s">
        <v>63</v>
      </c>
      <c r="G327">
        <v>11.5</v>
      </c>
      <c r="H327" s="9">
        <v>3.6</v>
      </c>
      <c r="I327"/>
    </row>
    <row r="328" spans="1:9" x14ac:dyDescent="0.3">
      <c r="A328" t="s">
        <v>8</v>
      </c>
      <c r="B328" t="s">
        <v>22</v>
      </c>
      <c r="C328" t="s">
        <v>87</v>
      </c>
      <c r="D328" s="9" t="s">
        <v>85</v>
      </c>
      <c r="E328" t="s">
        <v>34</v>
      </c>
      <c r="F328" t="s">
        <v>65</v>
      </c>
      <c r="G328">
        <v>10.1</v>
      </c>
      <c r="H328" s="9">
        <v>-18.55</v>
      </c>
      <c r="I328"/>
    </row>
    <row r="329" spans="1:9" x14ac:dyDescent="0.3">
      <c r="A329" t="s">
        <v>8</v>
      </c>
      <c r="B329" t="s">
        <v>22</v>
      </c>
      <c r="C329" t="s">
        <v>88</v>
      </c>
      <c r="D329" s="9" t="s">
        <v>85</v>
      </c>
      <c r="E329" t="s">
        <v>35</v>
      </c>
      <c r="F329" t="s">
        <v>67</v>
      </c>
      <c r="G329">
        <v>4.9000000000000004</v>
      </c>
      <c r="H329" s="9">
        <v>-60.48</v>
      </c>
      <c r="I329"/>
    </row>
    <row r="330" spans="1:9" x14ac:dyDescent="0.3">
      <c r="A330" t="s">
        <v>8</v>
      </c>
      <c r="B330" t="s">
        <v>22</v>
      </c>
      <c r="C330" t="s">
        <v>89</v>
      </c>
      <c r="D330" s="9" t="s">
        <v>85</v>
      </c>
      <c r="E330" t="s">
        <v>36</v>
      </c>
      <c r="F330" t="s">
        <v>69</v>
      </c>
      <c r="G330">
        <v>11.4</v>
      </c>
      <c r="H330" s="9">
        <v>-16.18</v>
      </c>
      <c r="I330"/>
    </row>
    <row r="331" spans="1:9" x14ac:dyDescent="0.3">
      <c r="A331" t="s">
        <v>8</v>
      </c>
      <c r="B331" t="s">
        <v>22</v>
      </c>
      <c r="C331" t="s">
        <v>90</v>
      </c>
      <c r="D331" s="9" t="s">
        <v>85</v>
      </c>
      <c r="E331" t="s">
        <v>37</v>
      </c>
      <c r="F331" t="s">
        <v>71</v>
      </c>
      <c r="G331">
        <v>12.2</v>
      </c>
      <c r="H331" s="9">
        <v>-4.6900000000000004</v>
      </c>
      <c r="I331"/>
    </row>
    <row r="332" spans="1:9" x14ac:dyDescent="0.3">
      <c r="A332" t="s">
        <v>8</v>
      </c>
      <c r="B332" t="s">
        <v>22</v>
      </c>
      <c r="C332" t="s">
        <v>91</v>
      </c>
      <c r="D332" s="9" t="s">
        <v>85</v>
      </c>
      <c r="E332" t="s">
        <v>38</v>
      </c>
      <c r="F332" t="s">
        <v>73</v>
      </c>
      <c r="G332">
        <v>13.6</v>
      </c>
      <c r="H332" s="9">
        <v>15.25</v>
      </c>
      <c r="I332"/>
    </row>
    <row r="333" spans="1:9" x14ac:dyDescent="0.3">
      <c r="A333" t="s">
        <v>8</v>
      </c>
      <c r="B333" t="s">
        <v>22</v>
      </c>
      <c r="C333" t="s">
        <v>92</v>
      </c>
      <c r="D333" s="9" t="s">
        <v>85</v>
      </c>
      <c r="E333" t="s">
        <v>39</v>
      </c>
      <c r="F333" t="s">
        <v>75</v>
      </c>
      <c r="G333">
        <v>13.5</v>
      </c>
      <c r="H333" s="9">
        <v>9.76</v>
      </c>
      <c r="I333"/>
    </row>
    <row r="334" spans="1:9" x14ac:dyDescent="0.3">
      <c r="A334" t="s">
        <v>8</v>
      </c>
      <c r="B334" t="s">
        <v>22</v>
      </c>
      <c r="C334" t="s">
        <v>93</v>
      </c>
      <c r="D334" s="9" t="s">
        <v>85</v>
      </c>
      <c r="E334" t="s">
        <v>40</v>
      </c>
      <c r="F334" t="s">
        <v>77</v>
      </c>
      <c r="G334">
        <v>13.8</v>
      </c>
      <c r="H334" s="9">
        <v>15</v>
      </c>
      <c r="I334"/>
    </row>
    <row r="335" spans="1:9" x14ac:dyDescent="0.3">
      <c r="A335" t="s">
        <v>8</v>
      </c>
      <c r="B335" t="s">
        <v>22</v>
      </c>
      <c r="C335" t="s">
        <v>94</v>
      </c>
      <c r="D335" s="9" t="s">
        <v>85</v>
      </c>
      <c r="E335" t="s">
        <v>41</v>
      </c>
      <c r="F335" t="s">
        <v>79</v>
      </c>
      <c r="G335">
        <v>15.1</v>
      </c>
      <c r="H335" s="9">
        <v>18.899999999999999</v>
      </c>
      <c r="I335"/>
    </row>
    <row r="336" spans="1:9" x14ac:dyDescent="0.3">
      <c r="A336" t="s">
        <v>8</v>
      </c>
      <c r="B336" t="s">
        <v>22</v>
      </c>
      <c r="C336" t="s">
        <v>95</v>
      </c>
      <c r="D336" s="9" t="s">
        <v>85</v>
      </c>
      <c r="E336" t="s">
        <v>42</v>
      </c>
      <c r="F336" t="s">
        <v>81</v>
      </c>
      <c r="G336">
        <v>16.7</v>
      </c>
      <c r="H336" s="9">
        <v>10.6</v>
      </c>
      <c r="I336"/>
    </row>
    <row r="337" spans="1:9" x14ac:dyDescent="0.3">
      <c r="A337" t="s">
        <v>8</v>
      </c>
      <c r="B337" t="s">
        <v>22</v>
      </c>
      <c r="C337" t="s">
        <v>96</v>
      </c>
      <c r="D337" s="9" t="s">
        <v>85</v>
      </c>
      <c r="E337" t="s">
        <v>43</v>
      </c>
      <c r="F337" t="s">
        <v>83</v>
      </c>
      <c r="G337">
        <v>27.1</v>
      </c>
      <c r="H337" s="9">
        <v>16.309999999999999</v>
      </c>
      <c r="I337"/>
    </row>
    <row r="338" spans="1:9" x14ac:dyDescent="0.3">
      <c r="A338" t="s">
        <v>8</v>
      </c>
      <c r="B338" t="s">
        <v>22</v>
      </c>
      <c r="C338" t="s">
        <v>97</v>
      </c>
      <c r="D338" s="9" t="s">
        <v>98</v>
      </c>
      <c r="E338" t="s">
        <v>32</v>
      </c>
      <c r="F338" t="s">
        <v>61</v>
      </c>
      <c r="G338">
        <v>16.8</v>
      </c>
      <c r="H338" s="9">
        <v>33.33</v>
      </c>
      <c r="I338"/>
    </row>
    <row r="339" spans="1:9" x14ac:dyDescent="0.3">
      <c r="A339" t="s">
        <v>8</v>
      </c>
      <c r="B339" t="s">
        <v>22</v>
      </c>
      <c r="C339" t="s">
        <v>99</v>
      </c>
      <c r="D339" s="9" t="s">
        <v>98</v>
      </c>
      <c r="E339" t="s">
        <v>33</v>
      </c>
      <c r="F339" t="s">
        <v>63</v>
      </c>
      <c r="G339">
        <v>14.1</v>
      </c>
      <c r="H339" s="9">
        <v>22.61</v>
      </c>
      <c r="I339"/>
    </row>
    <row r="340" spans="1:9" x14ac:dyDescent="0.3">
      <c r="A340" t="s">
        <v>8</v>
      </c>
      <c r="B340" t="s">
        <v>22</v>
      </c>
      <c r="C340" t="s">
        <v>100</v>
      </c>
      <c r="D340" s="9" t="s">
        <v>98</v>
      </c>
      <c r="E340" t="s">
        <v>34</v>
      </c>
      <c r="F340" t="s">
        <v>65</v>
      </c>
      <c r="G340">
        <v>14.8</v>
      </c>
      <c r="H340" s="9">
        <v>46.53</v>
      </c>
      <c r="I340"/>
    </row>
    <row r="341" spans="1:9" x14ac:dyDescent="0.3">
      <c r="A341" t="s">
        <v>8</v>
      </c>
      <c r="B341" t="s">
        <v>22</v>
      </c>
      <c r="C341" t="s">
        <v>101</v>
      </c>
      <c r="D341" s="9" t="s">
        <v>98</v>
      </c>
      <c r="E341" t="s">
        <v>35</v>
      </c>
      <c r="F341" t="s">
        <v>67</v>
      </c>
      <c r="G341">
        <v>14.6</v>
      </c>
      <c r="H341" s="9">
        <v>197.96</v>
      </c>
      <c r="I341"/>
    </row>
    <row r="342" spans="1:9" x14ac:dyDescent="0.3">
      <c r="A342" t="s">
        <v>8</v>
      </c>
      <c r="B342" t="s">
        <v>22</v>
      </c>
      <c r="C342" t="s">
        <v>102</v>
      </c>
      <c r="D342" s="9" t="s">
        <v>98</v>
      </c>
      <c r="E342" t="s">
        <v>36</v>
      </c>
      <c r="F342" t="s">
        <v>69</v>
      </c>
      <c r="G342">
        <v>15.8</v>
      </c>
      <c r="H342" s="9">
        <v>38.6</v>
      </c>
      <c r="I342"/>
    </row>
    <row r="343" spans="1:9" x14ac:dyDescent="0.3">
      <c r="A343" t="s">
        <v>8</v>
      </c>
      <c r="B343" t="s">
        <v>22</v>
      </c>
      <c r="C343" t="s">
        <v>103</v>
      </c>
      <c r="D343" s="9" t="s">
        <v>98</v>
      </c>
      <c r="E343" t="s">
        <v>37</v>
      </c>
      <c r="F343" t="s">
        <v>71</v>
      </c>
      <c r="G343">
        <v>15.5</v>
      </c>
      <c r="H343" s="9">
        <v>27.05</v>
      </c>
      <c r="I343"/>
    </row>
    <row r="344" spans="1:9" x14ac:dyDescent="0.3">
      <c r="A344" t="s">
        <v>8</v>
      </c>
      <c r="B344" t="s">
        <v>22</v>
      </c>
      <c r="C344" t="s">
        <v>104</v>
      </c>
      <c r="D344" s="9" t="s">
        <v>98</v>
      </c>
      <c r="E344" t="s">
        <v>38</v>
      </c>
      <c r="F344" t="s">
        <v>73</v>
      </c>
      <c r="G344">
        <v>16.399999999999999</v>
      </c>
      <c r="H344" s="9">
        <v>20.59</v>
      </c>
      <c r="I344"/>
    </row>
    <row r="345" spans="1:9" x14ac:dyDescent="0.3">
      <c r="A345" t="s">
        <v>8</v>
      </c>
      <c r="B345" t="s">
        <v>22</v>
      </c>
      <c r="C345" t="s">
        <v>105</v>
      </c>
      <c r="D345" s="9" t="s">
        <v>98</v>
      </c>
      <c r="E345" t="s">
        <v>39</v>
      </c>
      <c r="F345" t="s">
        <v>75</v>
      </c>
      <c r="G345">
        <v>8.6</v>
      </c>
      <c r="H345" s="9">
        <v>-36.299999999999997</v>
      </c>
      <c r="I345"/>
    </row>
    <row r="346" spans="1:9" x14ac:dyDescent="0.3">
      <c r="A346" t="s">
        <v>8</v>
      </c>
      <c r="B346" t="s">
        <v>22</v>
      </c>
      <c r="C346" t="s">
        <v>106</v>
      </c>
      <c r="D346" s="9" t="s">
        <v>98</v>
      </c>
      <c r="E346" t="s">
        <v>40</v>
      </c>
      <c r="F346" t="s">
        <v>77</v>
      </c>
      <c r="G346">
        <v>4.3</v>
      </c>
      <c r="H346" s="9">
        <v>-68.84</v>
      </c>
      <c r="I346"/>
    </row>
    <row r="347" spans="1:9" x14ac:dyDescent="0.3">
      <c r="A347" t="s">
        <v>8</v>
      </c>
      <c r="B347" t="s">
        <v>22</v>
      </c>
      <c r="C347" t="s">
        <v>107</v>
      </c>
      <c r="D347" s="9" t="s">
        <v>98</v>
      </c>
      <c r="E347" t="s">
        <v>41</v>
      </c>
      <c r="F347" t="s">
        <v>79</v>
      </c>
      <c r="G347">
        <v>9.1999999999999993</v>
      </c>
      <c r="H347" s="9">
        <v>-39.07</v>
      </c>
      <c r="I347"/>
    </row>
    <row r="348" spans="1:9" x14ac:dyDescent="0.3">
      <c r="A348" t="s">
        <v>8</v>
      </c>
      <c r="B348" t="s">
        <v>22</v>
      </c>
      <c r="C348" t="s">
        <v>108</v>
      </c>
      <c r="D348" s="9" t="s">
        <v>98</v>
      </c>
      <c r="E348" t="s">
        <v>42</v>
      </c>
      <c r="F348" t="s">
        <v>81</v>
      </c>
      <c r="G348">
        <v>20.9</v>
      </c>
      <c r="H348" s="9">
        <v>25.15</v>
      </c>
      <c r="I348"/>
    </row>
    <row r="349" spans="1:9" x14ac:dyDescent="0.3">
      <c r="A349" t="s">
        <v>8</v>
      </c>
      <c r="B349" t="s">
        <v>22</v>
      </c>
      <c r="C349" t="s">
        <v>109</v>
      </c>
      <c r="D349" s="9" t="s">
        <v>98</v>
      </c>
      <c r="E349" t="s">
        <v>43</v>
      </c>
      <c r="F349" t="s">
        <v>83</v>
      </c>
      <c r="G349">
        <v>27.1</v>
      </c>
      <c r="H349" s="9">
        <v>0</v>
      </c>
      <c r="I349"/>
    </row>
    <row r="350" spans="1:9" x14ac:dyDescent="0.3">
      <c r="A350" t="s">
        <v>8</v>
      </c>
      <c r="B350" t="s">
        <v>22</v>
      </c>
      <c r="C350" t="s">
        <v>110</v>
      </c>
      <c r="D350" s="9" t="s">
        <v>111</v>
      </c>
      <c r="E350" t="s">
        <v>32</v>
      </c>
      <c r="F350" t="s">
        <v>61</v>
      </c>
      <c r="G350">
        <v>15.1</v>
      </c>
      <c r="H350" s="9">
        <v>-10.119999999999999</v>
      </c>
      <c r="I350"/>
    </row>
    <row r="351" spans="1:9" x14ac:dyDescent="0.3">
      <c r="A351" t="s">
        <v>8</v>
      </c>
      <c r="B351" t="s">
        <v>22</v>
      </c>
      <c r="C351" t="s">
        <v>112</v>
      </c>
      <c r="D351" s="9" t="s">
        <v>111</v>
      </c>
      <c r="E351" t="s">
        <v>33</v>
      </c>
      <c r="F351" t="s">
        <v>63</v>
      </c>
      <c r="G351">
        <v>13.8</v>
      </c>
      <c r="H351" s="9">
        <v>-2.13</v>
      </c>
      <c r="I351"/>
    </row>
    <row r="352" spans="1:9" x14ac:dyDescent="0.3">
      <c r="A352" t="s">
        <v>8</v>
      </c>
      <c r="B352" t="s">
        <v>22</v>
      </c>
      <c r="C352" t="s">
        <v>113</v>
      </c>
      <c r="D352" s="9" t="s">
        <v>111</v>
      </c>
      <c r="E352" t="s">
        <v>34</v>
      </c>
      <c r="F352" t="s">
        <v>65</v>
      </c>
      <c r="G352">
        <v>14.2</v>
      </c>
      <c r="H352" s="9">
        <v>-4.05</v>
      </c>
      <c r="I352"/>
    </row>
    <row r="353" spans="1:9" x14ac:dyDescent="0.3">
      <c r="A353" t="s">
        <v>8</v>
      </c>
      <c r="B353" t="s">
        <v>22</v>
      </c>
      <c r="C353" t="s">
        <v>114</v>
      </c>
      <c r="D353" s="9" t="s">
        <v>111</v>
      </c>
      <c r="E353" t="s">
        <v>35</v>
      </c>
      <c r="F353" t="s">
        <v>67</v>
      </c>
      <c r="G353">
        <v>15</v>
      </c>
      <c r="H353" s="9">
        <v>2.74</v>
      </c>
      <c r="I353"/>
    </row>
    <row r="354" spans="1:9" x14ac:dyDescent="0.3">
      <c r="A354" t="s">
        <v>8</v>
      </c>
      <c r="B354" t="s">
        <v>22</v>
      </c>
      <c r="C354" t="s">
        <v>115</v>
      </c>
      <c r="D354" s="9" t="s">
        <v>111</v>
      </c>
      <c r="E354" t="s">
        <v>36</v>
      </c>
      <c r="F354" t="s">
        <v>69</v>
      </c>
      <c r="G354">
        <v>16.100000000000001</v>
      </c>
      <c r="H354" s="9">
        <v>1.9</v>
      </c>
      <c r="I354"/>
    </row>
    <row r="355" spans="1:9" x14ac:dyDescent="0.3">
      <c r="A355" t="s">
        <v>8</v>
      </c>
      <c r="B355" t="s">
        <v>22</v>
      </c>
      <c r="C355" t="s">
        <v>116</v>
      </c>
      <c r="D355" s="9" t="s">
        <v>111</v>
      </c>
      <c r="E355" t="s">
        <v>37</v>
      </c>
      <c r="F355" t="s">
        <v>71</v>
      </c>
      <c r="G355">
        <v>15</v>
      </c>
      <c r="H355" s="9">
        <v>-3.23</v>
      </c>
      <c r="I355"/>
    </row>
    <row r="356" spans="1:9" x14ac:dyDescent="0.3">
      <c r="A356" t="s">
        <v>8</v>
      </c>
      <c r="B356" t="s">
        <v>22</v>
      </c>
      <c r="C356" t="s">
        <v>117</v>
      </c>
      <c r="D356" s="9" t="s">
        <v>111</v>
      </c>
      <c r="E356" t="s">
        <v>38</v>
      </c>
      <c r="F356" t="s">
        <v>73</v>
      </c>
      <c r="G356">
        <v>15.3</v>
      </c>
      <c r="H356" s="9">
        <v>-6.71</v>
      </c>
      <c r="I356"/>
    </row>
    <row r="357" spans="1:9" x14ac:dyDescent="0.3">
      <c r="A357" t="s">
        <v>8</v>
      </c>
      <c r="B357" t="s">
        <v>22</v>
      </c>
      <c r="C357" t="s">
        <v>118</v>
      </c>
      <c r="D357" s="9" t="s">
        <v>111</v>
      </c>
      <c r="E357" t="s">
        <v>39</v>
      </c>
      <c r="F357" t="s">
        <v>75</v>
      </c>
      <c r="G357">
        <v>15.4</v>
      </c>
      <c r="H357" s="9">
        <v>79.069999999999993</v>
      </c>
      <c r="I357"/>
    </row>
    <row r="358" spans="1:9" x14ac:dyDescent="0.3">
      <c r="A358" t="s">
        <v>8</v>
      </c>
      <c r="B358" t="s">
        <v>22</v>
      </c>
      <c r="C358" t="s">
        <v>119</v>
      </c>
      <c r="D358" s="9" t="s">
        <v>111</v>
      </c>
      <c r="E358" t="s">
        <v>40</v>
      </c>
      <c r="F358" t="s">
        <v>77</v>
      </c>
      <c r="G358">
        <v>16.100000000000001</v>
      </c>
      <c r="H358" s="9">
        <v>274.42</v>
      </c>
      <c r="I358"/>
    </row>
    <row r="359" spans="1:9" x14ac:dyDescent="0.3">
      <c r="A359" t="s">
        <v>8</v>
      </c>
      <c r="B359" t="s">
        <v>22</v>
      </c>
      <c r="C359" t="s">
        <v>120</v>
      </c>
      <c r="D359" s="9" t="s">
        <v>111</v>
      </c>
      <c r="E359" t="s">
        <v>41</v>
      </c>
      <c r="F359" t="s">
        <v>79</v>
      </c>
      <c r="G359">
        <v>15.9</v>
      </c>
      <c r="H359" s="9">
        <v>72.83</v>
      </c>
      <c r="I359"/>
    </row>
    <row r="360" spans="1:9" x14ac:dyDescent="0.3">
      <c r="A360" t="s">
        <v>8</v>
      </c>
      <c r="B360" t="s">
        <v>22</v>
      </c>
      <c r="C360" t="s">
        <v>121</v>
      </c>
      <c r="D360" s="9" t="s">
        <v>111</v>
      </c>
      <c r="E360" t="s">
        <v>42</v>
      </c>
      <c r="F360" t="s">
        <v>81</v>
      </c>
      <c r="G360">
        <v>20</v>
      </c>
      <c r="H360" s="9">
        <v>-4.3099999999999996</v>
      </c>
      <c r="I360"/>
    </row>
    <row r="361" spans="1:9" x14ac:dyDescent="0.3">
      <c r="A361" t="s">
        <v>8</v>
      </c>
      <c r="B361" t="s">
        <v>22</v>
      </c>
      <c r="C361" t="s">
        <v>122</v>
      </c>
      <c r="D361" s="9" t="s">
        <v>111</v>
      </c>
      <c r="E361" t="s">
        <v>43</v>
      </c>
      <c r="F361" t="s">
        <v>83</v>
      </c>
      <c r="G361">
        <v>27.9</v>
      </c>
      <c r="H361" s="9">
        <v>2.95</v>
      </c>
      <c r="I361"/>
    </row>
    <row r="362" spans="1:9" x14ac:dyDescent="0.3">
      <c r="A362" t="s">
        <v>8</v>
      </c>
      <c r="B362" t="s">
        <v>22</v>
      </c>
      <c r="C362" t="s">
        <v>123</v>
      </c>
      <c r="D362" s="9" t="s">
        <v>124</v>
      </c>
      <c r="E362" t="s">
        <v>32</v>
      </c>
      <c r="F362" t="s">
        <v>61</v>
      </c>
      <c r="G362">
        <v>17.7</v>
      </c>
      <c r="H362" s="9">
        <v>17.22</v>
      </c>
      <c r="I362"/>
    </row>
    <row r="363" spans="1:9" x14ac:dyDescent="0.3">
      <c r="A363" t="s">
        <v>8</v>
      </c>
      <c r="B363" t="s">
        <v>22</v>
      </c>
      <c r="C363" t="s">
        <v>125</v>
      </c>
      <c r="D363" s="9" t="s">
        <v>124</v>
      </c>
      <c r="E363" t="s">
        <v>33</v>
      </c>
      <c r="F363" t="s">
        <v>63</v>
      </c>
      <c r="G363">
        <v>13.8</v>
      </c>
      <c r="H363" s="9">
        <v>0</v>
      </c>
      <c r="I363"/>
    </row>
    <row r="364" spans="1:9" x14ac:dyDescent="0.3">
      <c r="A364" t="s">
        <v>8</v>
      </c>
      <c r="B364" t="s">
        <v>22</v>
      </c>
      <c r="C364" t="s">
        <v>126</v>
      </c>
      <c r="D364" s="9" t="s">
        <v>124</v>
      </c>
      <c r="E364" t="s">
        <v>34</v>
      </c>
      <c r="F364" t="s">
        <v>65</v>
      </c>
      <c r="G364">
        <v>15.2</v>
      </c>
      <c r="H364" s="9">
        <v>7.04</v>
      </c>
      <c r="I364"/>
    </row>
    <row r="365" spans="1:9" x14ac:dyDescent="0.3">
      <c r="A365" t="s">
        <v>8</v>
      </c>
      <c r="B365" t="s">
        <v>22</v>
      </c>
      <c r="C365" t="s">
        <v>127</v>
      </c>
      <c r="D365" s="9" t="s">
        <v>124</v>
      </c>
      <c r="E365" t="s">
        <v>35</v>
      </c>
      <c r="F365" t="s">
        <v>67</v>
      </c>
      <c r="G365">
        <v>15.1</v>
      </c>
      <c r="H365" s="9">
        <v>0.67</v>
      </c>
      <c r="I365"/>
    </row>
    <row r="366" spans="1:9" x14ac:dyDescent="0.3">
      <c r="A366" t="s">
        <v>8</v>
      </c>
      <c r="B366" t="s">
        <v>22</v>
      </c>
      <c r="C366" t="s">
        <v>128</v>
      </c>
      <c r="D366" s="9" t="s">
        <v>124</v>
      </c>
      <c r="E366" t="s">
        <v>36</v>
      </c>
      <c r="F366" t="s">
        <v>69</v>
      </c>
      <c r="G366">
        <v>15.9</v>
      </c>
      <c r="H366" s="9">
        <v>-1.24</v>
      </c>
      <c r="I366"/>
    </row>
    <row r="367" spans="1:9" x14ac:dyDescent="0.3">
      <c r="A367" t="s">
        <v>8</v>
      </c>
      <c r="B367" t="s">
        <v>22</v>
      </c>
      <c r="C367" t="s">
        <v>129</v>
      </c>
      <c r="D367" s="9" t="s">
        <v>124</v>
      </c>
      <c r="E367" t="s">
        <v>37</v>
      </c>
      <c r="F367" t="s">
        <v>71</v>
      </c>
      <c r="G367">
        <v>14.9</v>
      </c>
      <c r="H367" s="9">
        <v>-0.67</v>
      </c>
      <c r="I367"/>
    </row>
    <row r="368" spans="1:9" x14ac:dyDescent="0.3">
      <c r="A368" t="s">
        <v>8</v>
      </c>
      <c r="B368" t="s">
        <v>22</v>
      </c>
      <c r="C368" t="s">
        <v>130</v>
      </c>
      <c r="D368" s="9" t="s">
        <v>124</v>
      </c>
      <c r="E368" t="s">
        <v>38</v>
      </c>
      <c r="F368" t="s">
        <v>73</v>
      </c>
      <c r="G368">
        <v>15.1</v>
      </c>
      <c r="H368" s="9">
        <v>-1.31</v>
      </c>
      <c r="I368"/>
    </row>
    <row r="369" spans="1:9" x14ac:dyDescent="0.3">
      <c r="A369" t="s">
        <v>8</v>
      </c>
      <c r="B369" t="s">
        <v>22</v>
      </c>
      <c r="C369" t="s">
        <v>131</v>
      </c>
      <c r="D369" s="9" t="s">
        <v>124</v>
      </c>
      <c r="E369" t="s">
        <v>39</v>
      </c>
      <c r="F369" t="s">
        <v>75</v>
      </c>
      <c r="G369">
        <v>15.8</v>
      </c>
      <c r="H369" s="9">
        <v>2.6</v>
      </c>
      <c r="I369"/>
    </row>
    <row r="370" spans="1:9" x14ac:dyDescent="0.3">
      <c r="A370" t="s">
        <v>8</v>
      </c>
      <c r="B370" t="s">
        <v>22</v>
      </c>
      <c r="C370" t="s">
        <v>132</v>
      </c>
      <c r="D370" s="9" t="s">
        <v>124</v>
      </c>
      <c r="E370" t="s">
        <v>40</v>
      </c>
      <c r="F370" t="s">
        <v>77</v>
      </c>
      <c r="G370">
        <v>16.100000000000001</v>
      </c>
      <c r="H370" s="9">
        <v>0</v>
      </c>
      <c r="I370"/>
    </row>
    <row r="371" spans="1:9" x14ac:dyDescent="0.3">
      <c r="A371" t="s">
        <v>8</v>
      </c>
      <c r="B371" t="s">
        <v>22</v>
      </c>
      <c r="C371" t="s">
        <v>133</v>
      </c>
      <c r="D371" s="9" t="s">
        <v>124</v>
      </c>
      <c r="E371" t="s">
        <v>41</v>
      </c>
      <c r="F371" t="s">
        <v>79</v>
      </c>
      <c r="G371">
        <v>16.3</v>
      </c>
      <c r="H371" s="9">
        <v>2.52</v>
      </c>
      <c r="I371"/>
    </row>
    <row r="372" spans="1:9" x14ac:dyDescent="0.3">
      <c r="A372" t="s">
        <v>8</v>
      </c>
      <c r="B372" t="s">
        <v>22</v>
      </c>
      <c r="C372" t="s">
        <v>134</v>
      </c>
      <c r="D372" s="9" t="s">
        <v>124</v>
      </c>
      <c r="E372" t="s">
        <v>42</v>
      </c>
      <c r="F372" t="s">
        <v>81</v>
      </c>
      <c r="G372">
        <v>20.7</v>
      </c>
      <c r="H372" s="9">
        <v>3.5</v>
      </c>
      <c r="I372"/>
    </row>
    <row r="373" spans="1:9" x14ac:dyDescent="0.3">
      <c r="A373" t="s">
        <v>8</v>
      </c>
      <c r="B373" t="s">
        <v>22</v>
      </c>
      <c r="C373" t="s">
        <v>135</v>
      </c>
      <c r="D373" s="9" t="s">
        <v>124</v>
      </c>
      <c r="E373" t="s">
        <v>43</v>
      </c>
      <c r="F373" t="s">
        <v>83</v>
      </c>
      <c r="G373">
        <v>28.1</v>
      </c>
      <c r="H373" s="9">
        <v>0.72</v>
      </c>
      <c r="I373"/>
    </row>
    <row r="374" spans="1:9" x14ac:dyDescent="0.3">
      <c r="A374" t="s">
        <v>8</v>
      </c>
      <c r="B374" t="s">
        <v>22</v>
      </c>
      <c r="C374" t="s">
        <v>136</v>
      </c>
      <c r="D374" s="9" t="s">
        <v>137</v>
      </c>
      <c r="E374" t="s">
        <v>32</v>
      </c>
      <c r="F374" t="s">
        <v>61</v>
      </c>
      <c r="G374">
        <v>16.600000000000001</v>
      </c>
      <c r="H374" s="9">
        <v>-6.21</v>
      </c>
      <c r="I374"/>
    </row>
    <row r="375" spans="1:9" x14ac:dyDescent="0.3">
      <c r="A375" t="s">
        <v>8</v>
      </c>
      <c r="B375" t="s">
        <v>22</v>
      </c>
      <c r="C375" t="s">
        <v>138</v>
      </c>
      <c r="D375" s="9" t="s">
        <v>137</v>
      </c>
      <c r="E375" t="s">
        <v>33</v>
      </c>
      <c r="F375" t="s">
        <v>63</v>
      </c>
      <c r="G375">
        <v>14.7</v>
      </c>
      <c r="H375" s="9">
        <v>6.52</v>
      </c>
      <c r="I375"/>
    </row>
    <row r="376" spans="1:9" x14ac:dyDescent="0.3">
      <c r="A376" t="s">
        <v>8</v>
      </c>
      <c r="B376" t="s">
        <v>22</v>
      </c>
      <c r="C376" t="s">
        <v>139</v>
      </c>
      <c r="D376" s="9" t="s">
        <v>137</v>
      </c>
      <c r="E376" t="s">
        <v>34</v>
      </c>
      <c r="F376" t="s">
        <v>65</v>
      </c>
      <c r="G376">
        <v>15.6</v>
      </c>
      <c r="H376" s="9">
        <v>2.63</v>
      </c>
      <c r="I376"/>
    </row>
    <row r="377" spans="1:9" x14ac:dyDescent="0.3">
      <c r="A377" t="s">
        <v>8</v>
      </c>
      <c r="B377" t="s">
        <v>22</v>
      </c>
      <c r="C377" t="s">
        <v>140</v>
      </c>
      <c r="D377" s="9" t="s">
        <v>137</v>
      </c>
      <c r="E377" t="s">
        <v>35</v>
      </c>
      <c r="F377" t="s">
        <v>67</v>
      </c>
      <c r="G377">
        <v>15.6</v>
      </c>
      <c r="H377" s="9">
        <v>3.31</v>
      </c>
      <c r="I377"/>
    </row>
    <row r="378" spans="1:9" x14ac:dyDescent="0.3">
      <c r="A378" t="s">
        <v>8</v>
      </c>
      <c r="B378" t="s">
        <v>22</v>
      </c>
      <c r="C378" t="s">
        <v>141</v>
      </c>
      <c r="D378" s="9" t="s">
        <v>137</v>
      </c>
      <c r="E378" t="s">
        <v>36</v>
      </c>
      <c r="F378" t="s">
        <v>69</v>
      </c>
      <c r="G378">
        <v>15.7</v>
      </c>
      <c r="H378" s="9">
        <v>-1.26</v>
      </c>
      <c r="I378"/>
    </row>
    <row r="379" spans="1:9" x14ac:dyDescent="0.3">
      <c r="A379" t="s">
        <v>8</v>
      </c>
      <c r="B379" t="s">
        <v>22</v>
      </c>
      <c r="C379" t="s">
        <v>142</v>
      </c>
      <c r="D379" s="9" t="s">
        <v>137</v>
      </c>
      <c r="E379" t="s">
        <v>37</v>
      </c>
      <c r="F379" t="s">
        <v>71</v>
      </c>
      <c r="G379">
        <v>15.5</v>
      </c>
      <c r="H379" s="9">
        <v>4.03</v>
      </c>
      <c r="I379"/>
    </row>
    <row r="380" spans="1:9" x14ac:dyDescent="0.3">
      <c r="A380" t="s">
        <v>8</v>
      </c>
      <c r="B380" t="s">
        <v>22</v>
      </c>
      <c r="C380" t="s">
        <v>143</v>
      </c>
      <c r="D380" s="9" t="s">
        <v>137</v>
      </c>
      <c r="E380" t="s">
        <v>38</v>
      </c>
      <c r="F380" t="s">
        <v>73</v>
      </c>
      <c r="G380">
        <v>15.2</v>
      </c>
      <c r="H380" s="9">
        <v>0.66</v>
      </c>
      <c r="I380"/>
    </row>
    <row r="381" spans="1:9" x14ac:dyDescent="0.3">
      <c r="A381" t="s">
        <v>8</v>
      </c>
      <c r="B381" t="s">
        <v>22</v>
      </c>
      <c r="C381" t="s">
        <v>144</v>
      </c>
      <c r="D381" s="9" t="s">
        <v>137</v>
      </c>
      <c r="E381" t="s">
        <v>39</v>
      </c>
      <c r="F381" t="s">
        <v>75</v>
      </c>
      <c r="G381">
        <v>16.100000000000001</v>
      </c>
      <c r="H381" s="9">
        <v>1.9</v>
      </c>
      <c r="I381"/>
    </row>
    <row r="382" spans="1:9" x14ac:dyDescent="0.3">
      <c r="A382" t="s">
        <v>8</v>
      </c>
      <c r="B382" t="s">
        <v>22</v>
      </c>
      <c r="C382" t="s">
        <v>145</v>
      </c>
      <c r="D382" s="9" t="s">
        <v>137</v>
      </c>
      <c r="E382" t="s">
        <v>40</v>
      </c>
      <c r="F382" t="s">
        <v>77</v>
      </c>
      <c r="G382">
        <v>16</v>
      </c>
      <c r="H382" s="9">
        <v>-0.62</v>
      </c>
      <c r="I382"/>
    </row>
    <row r="383" spans="1:9" x14ac:dyDescent="0.3">
      <c r="A383" t="s">
        <v>8</v>
      </c>
      <c r="B383" t="s">
        <v>22</v>
      </c>
      <c r="C383" t="s">
        <v>146</v>
      </c>
      <c r="D383" s="9" t="s">
        <v>137</v>
      </c>
      <c r="E383" t="s">
        <v>41</v>
      </c>
      <c r="F383" t="s">
        <v>79</v>
      </c>
      <c r="G383">
        <v>17.399999999999999</v>
      </c>
      <c r="H383" s="9">
        <v>6.75</v>
      </c>
      <c r="I383"/>
    </row>
    <row r="384" spans="1:9" x14ac:dyDescent="0.3">
      <c r="A384" t="s">
        <v>8</v>
      </c>
      <c r="B384" t="s">
        <v>22</v>
      </c>
      <c r="C384" t="s">
        <v>147</v>
      </c>
      <c r="D384" s="9" t="s">
        <v>137</v>
      </c>
      <c r="E384" t="s">
        <v>42</v>
      </c>
      <c r="F384" t="s">
        <v>81</v>
      </c>
      <c r="G384">
        <v>21.1</v>
      </c>
      <c r="H384" s="9">
        <v>1.93</v>
      </c>
      <c r="I384"/>
    </row>
    <row r="385" spans="1:9" x14ac:dyDescent="0.3">
      <c r="A385" t="s">
        <v>8</v>
      </c>
      <c r="B385" t="s">
        <v>22</v>
      </c>
      <c r="C385" t="s">
        <v>148</v>
      </c>
      <c r="D385" s="9" t="s">
        <v>137</v>
      </c>
      <c r="E385" t="s">
        <v>43</v>
      </c>
      <c r="F385" t="s">
        <v>83</v>
      </c>
      <c r="G385">
        <v>29.3</v>
      </c>
      <c r="H385" s="9">
        <v>4.2699999999999996</v>
      </c>
      <c r="I385"/>
    </row>
    <row r="386" spans="1:9" x14ac:dyDescent="0.3">
      <c r="A386" t="s">
        <v>8</v>
      </c>
      <c r="B386" t="s">
        <v>22</v>
      </c>
      <c r="C386" t="s">
        <v>149</v>
      </c>
      <c r="D386" s="9" t="s">
        <v>150</v>
      </c>
      <c r="E386" t="s">
        <v>32</v>
      </c>
      <c r="F386" t="s">
        <v>61</v>
      </c>
      <c r="G386">
        <v>17.8</v>
      </c>
      <c r="H386" s="9">
        <v>7.23</v>
      </c>
      <c r="I386"/>
    </row>
    <row r="387" spans="1:9" x14ac:dyDescent="0.3">
      <c r="A387" t="s">
        <v>8</v>
      </c>
      <c r="B387" t="s">
        <v>22</v>
      </c>
      <c r="C387" t="s">
        <v>151</v>
      </c>
      <c r="D387" s="9" t="s">
        <v>150</v>
      </c>
      <c r="E387" t="s">
        <v>33</v>
      </c>
      <c r="F387" t="s">
        <v>63</v>
      </c>
      <c r="G387">
        <v>15.4</v>
      </c>
      <c r="H387" s="9">
        <v>4.76</v>
      </c>
      <c r="I387"/>
    </row>
    <row r="388" spans="1:9" x14ac:dyDescent="0.3">
      <c r="A388" t="s">
        <v>8</v>
      </c>
      <c r="B388" t="s">
        <v>22</v>
      </c>
      <c r="C388" t="s">
        <v>152</v>
      </c>
      <c r="D388" s="9" t="s">
        <v>150</v>
      </c>
      <c r="E388" t="s">
        <v>34</v>
      </c>
      <c r="F388" t="s">
        <v>65</v>
      </c>
      <c r="G388">
        <v>16.399999999999999</v>
      </c>
      <c r="H388" s="9">
        <v>5.13</v>
      </c>
      <c r="I388"/>
    </row>
    <row r="389" spans="1:9" x14ac:dyDescent="0.3">
      <c r="A389" t="s">
        <v>8</v>
      </c>
      <c r="B389" t="s">
        <v>22</v>
      </c>
      <c r="C389" t="s">
        <v>153</v>
      </c>
      <c r="D389" s="9" t="s">
        <v>150</v>
      </c>
      <c r="E389" t="s">
        <v>35</v>
      </c>
      <c r="F389" t="s">
        <v>67</v>
      </c>
      <c r="G389">
        <v>15.7</v>
      </c>
      <c r="H389" s="9">
        <v>0.64</v>
      </c>
      <c r="I389"/>
    </row>
    <row r="390" spans="1:9" x14ac:dyDescent="0.3">
      <c r="A390" t="s">
        <v>8</v>
      </c>
      <c r="B390" t="s">
        <v>22</v>
      </c>
      <c r="C390" t="s">
        <v>154</v>
      </c>
      <c r="D390" s="9" t="s">
        <v>150</v>
      </c>
      <c r="E390" t="s">
        <v>36</v>
      </c>
      <c r="F390" t="s">
        <v>69</v>
      </c>
      <c r="G390">
        <v>17.2</v>
      </c>
      <c r="H390" s="9">
        <v>9.5500000000000007</v>
      </c>
      <c r="I390"/>
    </row>
    <row r="391" spans="1:9" x14ac:dyDescent="0.3">
      <c r="A391" t="s">
        <v>8</v>
      </c>
      <c r="B391" t="s">
        <v>22</v>
      </c>
      <c r="C391" t="s">
        <v>155</v>
      </c>
      <c r="D391" s="9" t="s">
        <v>150</v>
      </c>
      <c r="E391" t="s">
        <v>37</v>
      </c>
      <c r="F391" t="s">
        <v>71</v>
      </c>
      <c r="G391">
        <v>15.8</v>
      </c>
      <c r="H391" s="9">
        <v>1.94</v>
      </c>
      <c r="I391"/>
    </row>
    <row r="392" spans="1:9" x14ac:dyDescent="0.3">
      <c r="A392" t="s">
        <v>8</v>
      </c>
      <c r="B392" t="s">
        <v>20</v>
      </c>
      <c r="C392" t="s">
        <v>59</v>
      </c>
      <c r="D392" s="9" t="s">
        <v>60</v>
      </c>
      <c r="E392" t="s">
        <v>32</v>
      </c>
      <c r="F392" t="s">
        <v>61</v>
      </c>
      <c r="G392">
        <v>26.2</v>
      </c>
      <c r="I392"/>
    </row>
    <row r="393" spans="1:9" x14ac:dyDescent="0.3">
      <c r="A393" t="s">
        <v>8</v>
      </c>
      <c r="B393" t="s">
        <v>20</v>
      </c>
      <c r="C393" t="s">
        <v>62</v>
      </c>
      <c r="D393" s="9" t="s">
        <v>60</v>
      </c>
      <c r="E393" t="s">
        <v>33</v>
      </c>
      <c r="F393" t="s">
        <v>63</v>
      </c>
      <c r="G393">
        <v>23.9</v>
      </c>
      <c r="I393"/>
    </row>
    <row r="394" spans="1:9" x14ac:dyDescent="0.3">
      <c r="A394" t="s">
        <v>8</v>
      </c>
      <c r="B394" t="s">
        <v>20</v>
      </c>
      <c r="C394" t="s">
        <v>64</v>
      </c>
      <c r="D394" s="9" t="s">
        <v>60</v>
      </c>
      <c r="E394" t="s">
        <v>34</v>
      </c>
      <c r="F394" t="s">
        <v>65</v>
      </c>
      <c r="G394">
        <v>24.6</v>
      </c>
      <c r="I394"/>
    </row>
    <row r="395" spans="1:9" x14ac:dyDescent="0.3">
      <c r="A395" t="s">
        <v>8</v>
      </c>
      <c r="B395" t="s">
        <v>20</v>
      </c>
      <c r="C395" t="s">
        <v>66</v>
      </c>
      <c r="D395" s="9" t="s">
        <v>60</v>
      </c>
      <c r="E395" t="s">
        <v>35</v>
      </c>
      <c r="F395" t="s">
        <v>67</v>
      </c>
      <c r="G395">
        <v>24.4</v>
      </c>
      <c r="I395"/>
    </row>
    <row r="396" spans="1:9" x14ac:dyDescent="0.3">
      <c r="A396" t="s">
        <v>8</v>
      </c>
      <c r="B396" t="s">
        <v>20</v>
      </c>
      <c r="C396" t="s">
        <v>68</v>
      </c>
      <c r="D396" s="9" t="s">
        <v>60</v>
      </c>
      <c r="E396" t="s">
        <v>36</v>
      </c>
      <c r="F396" t="s">
        <v>69</v>
      </c>
      <c r="G396">
        <v>24.8</v>
      </c>
      <c r="I396"/>
    </row>
    <row r="397" spans="1:9" x14ac:dyDescent="0.3">
      <c r="A397" t="s">
        <v>8</v>
      </c>
      <c r="B397" t="s">
        <v>20</v>
      </c>
      <c r="C397" t="s">
        <v>70</v>
      </c>
      <c r="D397" s="9" t="s">
        <v>60</v>
      </c>
      <c r="E397" t="s">
        <v>37</v>
      </c>
      <c r="F397" t="s">
        <v>71</v>
      </c>
      <c r="G397">
        <v>26.8</v>
      </c>
      <c r="I397"/>
    </row>
    <row r="398" spans="1:9" x14ac:dyDescent="0.3">
      <c r="A398" t="s">
        <v>8</v>
      </c>
      <c r="B398" t="s">
        <v>20</v>
      </c>
      <c r="C398" t="s">
        <v>72</v>
      </c>
      <c r="D398" s="9" t="s">
        <v>60</v>
      </c>
      <c r="E398" t="s">
        <v>38</v>
      </c>
      <c r="F398" t="s">
        <v>73</v>
      </c>
      <c r="G398">
        <v>26.5</v>
      </c>
      <c r="I398"/>
    </row>
    <row r="399" spans="1:9" x14ac:dyDescent="0.3">
      <c r="A399" t="s">
        <v>8</v>
      </c>
      <c r="B399" t="s">
        <v>20</v>
      </c>
      <c r="C399" t="s">
        <v>74</v>
      </c>
      <c r="D399" s="9" t="s">
        <v>60</v>
      </c>
      <c r="E399" t="s">
        <v>39</v>
      </c>
      <c r="F399" t="s">
        <v>75</v>
      </c>
      <c r="G399">
        <v>27.2</v>
      </c>
      <c r="I399"/>
    </row>
    <row r="400" spans="1:9" x14ac:dyDescent="0.3">
      <c r="A400" t="s">
        <v>8</v>
      </c>
      <c r="B400" t="s">
        <v>20</v>
      </c>
      <c r="C400" t="s">
        <v>76</v>
      </c>
      <c r="D400" s="9" t="s">
        <v>60</v>
      </c>
      <c r="E400" t="s">
        <v>40</v>
      </c>
      <c r="F400" t="s">
        <v>77</v>
      </c>
      <c r="G400">
        <v>26.5</v>
      </c>
      <c r="I400"/>
    </row>
    <row r="401" spans="1:9" x14ac:dyDescent="0.3">
      <c r="A401" t="s">
        <v>8</v>
      </c>
      <c r="B401" t="s">
        <v>20</v>
      </c>
      <c r="C401" t="s">
        <v>78</v>
      </c>
      <c r="D401" s="9" t="s">
        <v>60</v>
      </c>
      <c r="E401" t="s">
        <v>41</v>
      </c>
      <c r="F401" t="s">
        <v>79</v>
      </c>
      <c r="G401">
        <v>30.9</v>
      </c>
      <c r="I401"/>
    </row>
    <row r="402" spans="1:9" x14ac:dyDescent="0.3">
      <c r="A402" t="s">
        <v>8</v>
      </c>
      <c r="B402" t="s">
        <v>20</v>
      </c>
      <c r="C402" t="s">
        <v>80</v>
      </c>
      <c r="D402" s="9" t="s">
        <v>60</v>
      </c>
      <c r="E402" t="s">
        <v>42</v>
      </c>
      <c r="F402" t="s">
        <v>81</v>
      </c>
      <c r="G402">
        <v>31.9</v>
      </c>
      <c r="I402"/>
    </row>
    <row r="403" spans="1:9" x14ac:dyDescent="0.3">
      <c r="A403" t="s">
        <v>8</v>
      </c>
      <c r="B403" t="s">
        <v>20</v>
      </c>
      <c r="C403" t="s">
        <v>82</v>
      </c>
      <c r="D403" s="9" t="s">
        <v>60</v>
      </c>
      <c r="E403" t="s">
        <v>43</v>
      </c>
      <c r="F403" t="s">
        <v>83</v>
      </c>
      <c r="G403">
        <v>35</v>
      </c>
      <c r="I403"/>
    </row>
    <row r="404" spans="1:9" x14ac:dyDescent="0.3">
      <c r="A404" t="s">
        <v>8</v>
      </c>
      <c r="B404" t="s">
        <v>20</v>
      </c>
      <c r="C404" t="s">
        <v>84</v>
      </c>
      <c r="D404" s="9" t="s">
        <v>85</v>
      </c>
      <c r="E404" t="s">
        <v>32</v>
      </c>
      <c r="F404" t="s">
        <v>61</v>
      </c>
      <c r="G404">
        <v>27.1</v>
      </c>
      <c r="H404" s="9">
        <v>3.44</v>
      </c>
      <c r="I404"/>
    </row>
    <row r="405" spans="1:9" x14ac:dyDescent="0.3">
      <c r="A405" t="s">
        <v>8</v>
      </c>
      <c r="B405" t="s">
        <v>20</v>
      </c>
      <c r="C405" t="s">
        <v>86</v>
      </c>
      <c r="D405" s="9" t="s">
        <v>85</v>
      </c>
      <c r="E405" t="s">
        <v>33</v>
      </c>
      <c r="F405" t="s">
        <v>63</v>
      </c>
      <c r="G405">
        <v>27.2</v>
      </c>
      <c r="H405" s="9">
        <v>13.81</v>
      </c>
      <c r="I405"/>
    </row>
    <row r="406" spans="1:9" x14ac:dyDescent="0.3">
      <c r="A406" t="s">
        <v>8</v>
      </c>
      <c r="B406" t="s">
        <v>20</v>
      </c>
      <c r="C406" t="s">
        <v>87</v>
      </c>
      <c r="D406" s="9" t="s">
        <v>85</v>
      </c>
      <c r="E406" t="s">
        <v>34</v>
      </c>
      <c r="F406" t="s">
        <v>65</v>
      </c>
      <c r="G406">
        <v>27.4</v>
      </c>
      <c r="H406" s="9">
        <v>11.38</v>
      </c>
      <c r="I406"/>
    </row>
    <row r="407" spans="1:9" x14ac:dyDescent="0.3">
      <c r="A407" t="s">
        <v>8</v>
      </c>
      <c r="B407" t="s">
        <v>20</v>
      </c>
      <c r="C407" t="s">
        <v>88</v>
      </c>
      <c r="D407" s="9" t="s">
        <v>85</v>
      </c>
      <c r="E407" t="s">
        <v>35</v>
      </c>
      <c r="F407" t="s">
        <v>67</v>
      </c>
      <c r="G407">
        <v>26.1</v>
      </c>
      <c r="H407" s="9">
        <v>6.97</v>
      </c>
      <c r="I407"/>
    </row>
    <row r="408" spans="1:9" x14ac:dyDescent="0.3">
      <c r="A408" t="s">
        <v>8</v>
      </c>
      <c r="B408" t="s">
        <v>20</v>
      </c>
      <c r="C408" t="s">
        <v>89</v>
      </c>
      <c r="D408" s="9" t="s">
        <v>85</v>
      </c>
      <c r="E408" t="s">
        <v>36</v>
      </c>
      <c r="F408" t="s">
        <v>69</v>
      </c>
      <c r="G408">
        <v>33.9</v>
      </c>
      <c r="H408" s="9">
        <v>36.69</v>
      </c>
      <c r="I408"/>
    </row>
    <row r="409" spans="1:9" x14ac:dyDescent="0.3">
      <c r="A409" t="s">
        <v>8</v>
      </c>
      <c r="B409" t="s">
        <v>20</v>
      </c>
      <c r="C409" t="s">
        <v>90</v>
      </c>
      <c r="D409" s="9" t="s">
        <v>85</v>
      </c>
      <c r="E409" t="s">
        <v>37</v>
      </c>
      <c r="F409" t="s">
        <v>71</v>
      </c>
      <c r="G409">
        <v>35.299999999999997</v>
      </c>
      <c r="H409" s="9">
        <v>31.72</v>
      </c>
      <c r="I409"/>
    </row>
    <row r="410" spans="1:9" x14ac:dyDescent="0.3">
      <c r="A410" t="s">
        <v>8</v>
      </c>
      <c r="B410" t="s">
        <v>20</v>
      </c>
      <c r="C410" t="s">
        <v>91</v>
      </c>
      <c r="D410" s="9" t="s">
        <v>85</v>
      </c>
      <c r="E410" t="s">
        <v>38</v>
      </c>
      <c r="F410" t="s">
        <v>73</v>
      </c>
      <c r="G410">
        <v>38</v>
      </c>
      <c r="H410" s="9">
        <v>43.4</v>
      </c>
      <c r="I410"/>
    </row>
    <row r="411" spans="1:9" x14ac:dyDescent="0.3">
      <c r="A411" t="s">
        <v>8</v>
      </c>
      <c r="B411" t="s">
        <v>20</v>
      </c>
      <c r="C411" t="s">
        <v>92</v>
      </c>
      <c r="D411" s="9" t="s">
        <v>85</v>
      </c>
      <c r="E411" t="s">
        <v>39</v>
      </c>
      <c r="F411" t="s">
        <v>75</v>
      </c>
      <c r="G411">
        <v>37.4</v>
      </c>
      <c r="H411" s="9">
        <v>37.5</v>
      </c>
      <c r="I411"/>
    </row>
    <row r="412" spans="1:9" x14ac:dyDescent="0.3">
      <c r="A412" t="s">
        <v>8</v>
      </c>
      <c r="B412" t="s">
        <v>20</v>
      </c>
      <c r="C412" t="s">
        <v>93</v>
      </c>
      <c r="D412" s="9" t="s">
        <v>85</v>
      </c>
      <c r="E412" t="s">
        <v>40</v>
      </c>
      <c r="F412" t="s">
        <v>77</v>
      </c>
      <c r="G412">
        <v>36.1</v>
      </c>
      <c r="H412" s="9">
        <v>36.229999999999997</v>
      </c>
      <c r="I412"/>
    </row>
    <row r="413" spans="1:9" x14ac:dyDescent="0.3">
      <c r="A413" t="s">
        <v>8</v>
      </c>
      <c r="B413" t="s">
        <v>20</v>
      </c>
      <c r="C413" t="s">
        <v>94</v>
      </c>
      <c r="D413" s="9" t="s">
        <v>85</v>
      </c>
      <c r="E413" t="s">
        <v>41</v>
      </c>
      <c r="F413" t="s">
        <v>79</v>
      </c>
      <c r="G413">
        <v>39.9</v>
      </c>
      <c r="H413" s="9">
        <v>29.13</v>
      </c>
      <c r="I413"/>
    </row>
    <row r="414" spans="1:9" x14ac:dyDescent="0.3">
      <c r="A414" t="s">
        <v>8</v>
      </c>
      <c r="B414" t="s">
        <v>20</v>
      </c>
      <c r="C414" t="s">
        <v>95</v>
      </c>
      <c r="D414" s="9" t="s">
        <v>85</v>
      </c>
      <c r="E414" t="s">
        <v>42</v>
      </c>
      <c r="F414" t="s">
        <v>81</v>
      </c>
      <c r="G414">
        <v>39</v>
      </c>
      <c r="H414" s="9">
        <v>22.26</v>
      </c>
      <c r="I414"/>
    </row>
    <row r="415" spans="1:9" x14ac:dyDescent="0.3">
      <c r="A415" t="s">
        <v>8</v>
      </c>
      <c r="B415" t="s">
        <v>20</v>
      </c>
      <c r="C415" t="s">
        <v>96</v>
      </c>
      <c r="D415" s="9" t="s">
        <v>85</v>
      </c>
      <c r="E415" t="s">
        <v>43</v>
      </c>
      <c r="F415" t="s">
        <v>83</v>
      </c>
      <c r="G415">
        <v>41.8</v>
      </c>
      <c r="H415" s="9">
        <v>19.43</v>
      </c>
      <c r="I415"/>
    </row>
    <row r="416" spans="1:9" x14ac:dyDescent="0.3">
      <c r="A416" t="s">
        <v>8</v>
      </c>
      <c r="B416" t="s">
        <v>20</v>
      </c>
      <c r="C416" t="s">
        <v>97</v>
      </c>
      <c r="D416" s="9" t="s">
        <v>98</v>
      </c>
      <c r="E416" t="s">
        <v>32</v>
      </c>
      <c r="F416" t="s">
        <v>61</v>
      </c>
      <c r="G416">
        <v>37.5</v>
      </c>
      <c r="H416" s="9">
        <v>38.380000000000003</v>
      </c>
      <c r="I416"/>
    </row>
    <row r="417" spans="1:9" x14ac:dyDescent="0.3">
      <c r="A417" t="s">
        <v>8</v>
      </c>
      <c r="B417" t="s">
        <v>20</v>
      </c>
      <c r="C417" t="s">
        <v>99</v>
      </c>
      <c r="D417" s="9" t="s">
        <v>98</v>
      </c>
      <c r="E417" t="s">
        <v>33</v>
      </c>
      <c r="F417" t="s">
        <v>63</v>
      </c>
      <c r="G417">
        <v>34.200000000000003</v>
      </c>
      <c r="H417" s="9">
        <v>25.74</v>
      </c>
      <c r="I417"/>
    </row>
    <row r="418" spans="1:9" x14ac:dyDescent="0.3">
      <c r="A418" t="s">
        <v>8</v>
      </c>
      <c r="B418" t="s">
        <v>20</v>
      </c>
      <c r="C418" t="s">
        <v>100</v>
      </c>
      <c r="D418" s="9" t="s">
        <v>98</v>
      </c>
      <c r="E418" t="s">
        <v>34</v>
      </c>
      <c r="F418" t="s">
        <v>65</v>
      </c>
      <c r="G418">
        <v>33.9</v>
      </c>
      <c r="H418" s="9">
        <v>23.72</v>
      </c>
      <c r="I418"/>
    </row>
    <row r="419" spans="1:9" x14ac:dyDescent="0.3">
      <c r="A419" t="s">
        <v>8</v>
      </c>
      <c r="B419" t="s">
        <v>20</v>
      </c>
      <c r="C419" t="s">
        <v>101</v>
      </c>
      <c r="D419" s="9" t="s">
        <v>98</v>
      </c>
      <c r="E419" t="s">
        <v>35</v>
      </c>
      <c r="F419" t="s">
        <v>67</v>
      </c>
      <c r="G419">
        <v>33.200000000000003</v>
      </c>
      <c r="H419" s="9">
        <v>27.2</v>
      </c>
      <c r="I419"/>
    </row>
    <row r="420" spans="1:9" x14ac:dyDescent="0.3">
      <c r="A420" t="s">
        <v>8</v>
      </c>
      <c r="B420" t="s">
        <v>20</v>
      </c>
      <c r="C420" t="s">
        <v>102</v>
      </c>
      <c r="D420" s="9" t="s">
        <v>98</v>
      </c>
      <c r="E420" t="s">
        <v>36</v>
      </c>
      <c r="F420" t="s">
        <v>69</v>
      </c>
      <c r="G420">
        <v>32.700000000000003</v>
      </c>
      <c r="H420" s="9">
        <v>-3.54</v>
      </c>
      <c r="I420"/>
    </row>
    <row r="421" spans="1:9" x14ac:dyDescent="0.3">
      <c r="A421" t="s">
        <v>8</v>
      </c>
      <c r="B421" t="s">
        <v>20</v>
      </c>
      <c r="C421" t="s">
        <v>103</v>
      </c>
      <c r="D421" s="9" t="s">
        <v>98</v>
      </c>
      <c r="E421" t="s">
        <v>37</v>
      </c>
      <c r="F421" t="s">
        <v>71</v>
      </c>
      <c r="G421">
        <v>36.6</v>
      </c>
      <c r="H421" s="9">
        <v>3.68</v>
      </c>
      <c r="I421"/>
    </row>
    <row r="422" spans="1:9" x14ac:dyDescent="0.3">
      <c r="A422" t="s">
        <v>8</v>
      </c>
      <c r="B422" t="s">
        <v>20</v>
      </c>
      <c r="C422" t="s">
        <v>104</v>
      </c>
      <c r="D422" s="9" t="s">
        <v>98</v>
      </c>
      <c r="E422" t="s">
        <v>38</v>
      </c>
      <c r="F422" t="s">
        <v>73</v>
      </c>
      <c r="G422">
        <v>38.4</v>
      </c>
      <c r="H422" s="9">
        <v>1.05</v>
      </c>
      <c r="I422"/>
    </row>
    <row r="423" spans="1:9" x14ac:dyDescent="0.3">
      <c r="A423" t="s">
        <v>8</v>
      </c>
      <c r="B423" t="s">
        <v>20</v>
      </c>
      <c r="C423" t="s">
        <v>105</v>
      </c>
      <c r="D423" s="9" t="s">
        <v>98</v>
      </c>
      <c r="E423" t="s">
        <v>39</v>
      </c>
      <c r="F423" t="s">
        <v>75</v>
      </c>
      <c r="G423">
        <v>21.6</v>
      </c>
      <c r="H423" s="9">
        <v>-42.25</v>
      </c>
      <c r="I423"/>
    </row>
    <row r="424" spans="1:9" x14ac:dyDescent="0.3">
      <c r="A424" t="s">
        <v>8</v>
      </c>
      <c r="B424" t="s">
        <v>20</v>
      </c>
      <c r="C424" t="s">
        <v>106</v>
      </c>
      <c r="D424" s="9" t="s">
        <v>98</v>
      </c>
      <c r="E424" t="s">
        <v>40</v>
      </c>
      <c r="F424" t="s">
        <v>77</v>
      </c>
      <c r="G424">
        <v>16.899999999999999</v>
      </c>
      <c r="H424" s="9">
        <v>-53.19</v>
      </c>
      <c r="I424"/>
    </row>
    <row r="425" spans="1:9" x14ac:dyDescent="0.3">
      <c r="A425" t="s">
        <v>8</v>
      </c>
      <c r="B425" t="s">
        <v>20</v>
      </c>
      <c r="C425" t="s">
        <v>107</v>
      </c>
      <c r="D425" s="9" t="s">
        <v>98</v>
      </c>
      <c r="E425" t="s">
        <v>41</v>
      </c>
      <c r="F425" t="s">
        <v>79</v>
      </c>
      <c r="G425">
        <v>30.3</v>
      </c>
      <c r="H425" s="9">
        <v>-24.06</v>
      </c>
      <c r="I425"/>
    </row>
    <row r="426" spans="1:9" x14ac:dyDescent="0.3">
      <c r="A426" t="s">
        <v>8</v>
      </c>
      <c r="B426" t="s">
        <v>20</v>
      </c>
      <c r="C426" t="s">
        <v>108</v>
      </c>
      <c r="D426" s="9" t="s">
        <v>98</v>
      </c>
      <c r="E426" t="s">
        <v>42</v>
      </c>
      <c r="F426" t="s">
        <v>81</v>
      </c>
      <c r="G426">
        <v>44.4</v>
      </c>
      <c r="H426" s="9">
        <v>13.85</v>
      </c>
      <c r="I426"/>
    </row>
    <row r="427" spans="1:9" x14ac:dyDescent="0.3">
      <c r="A427" t="s">
        <v>8</v>
      </c>
      <c r="B427" t="s">
        <v>20</v>
      </c>
      <c r="C427" t="s">
        <v>109</v>
      </c>
      <c r="D427" s="9" t="s">
        <v>98</v>
      </c>
      <c r="E427" t="s">
        <v>43</v>
      </c>
      <c r="F427" t="s">
        <v>83</v>
      </c>
      <c r="G427">
        <v>42.1</v>
      </c>
      <c r="H427" s="9">
        <v>0.72</v>
      </c>
      <c r="I427"/>
    </row>
    <row r="428" spans="1:9" x14ac:dyDescent="0.3">
      <c r="A428" t="s">
        <v>8</v>
      </c>
      <c r="B428" t="s">
        <v>20</v>
      </c>
      <c r="C428" t="s">
        <v>110</v>
      </c>
      <c r="D428" s="9" t="s">
        <v>111</v>
      </c>
      <c r="E428" t="s">
        <v>32</v>
      </c>
      <c r="F428" t="s">
        <v>61</v>
      </c>
      <c r="G428">
        <v>35.5</v>
      </c>
      <c r="H428" s="9">
        <v>-5.33</v>
      </c>
      <c r="I428"/>
    </row>
    <row r="429" spans="1:9" x14ac:dyDescent="0.3">
      <c r="A429" t="s">
        <v>8</v>
      </c>
      <c r="B429" t="s">
        <v>20</v>
      </c>
      <c r="C429" t="s">
        <v>112</v>
      </c>
      <c r="D429" s="9" t="s">
        <v>111</v>
      </c>
      <c r="E429" t="s">
        <v>33</v>
      </c>
      <c r="F429" t="s">
        <v>63</v>
      </c>
      <c r="G429">
        <v>32.299999999999997</v>
      </c>
      <c r="H429" s="9">
        <v>-5.56</v>
      </c>
      <c r="I429"/>
    </row>
    <row r="430" spans="1:9" x14ac:dyDescent="0.3">
      <c r="A430" t="s">
        <v>8</v>
      </c>
      <c r="B430" t="s">
        <v>20</v>
      </c>
      <c r="C430" t="s">
        <v>113</v>
      </c>
      <c r="D430" s="9" t="s">
        <v>111</v>
      </c>
      <c r="E430" t="s">
        <v>34</v>
      </c>
      <c r="F430" t="s">
        <v>65</v>
      </c>
      <c r="G430">
        <v>36.299999999999997</v>
      </c>
      <c r="H430" s="9">
        <v>7.08</v>
      </c>
      <c r="I430"/>
    </row>
    <row r="431" spans="1:9" x14ac:dyDescent="0.3">
      <c r="A431" t="s">
        <v>8</v>
      </c>
      <c r="B431" t="s">
        <v>20</v>
      </c>
      <c r="C431" t="s">
        <v>114</v>
      </c>
      <c r="D431" s="9" t="s">
        <v>111</v>
      </c>
      <c r="E431" t="s">
        <v>35</v>
      </c>
      <c r="F431" t="s">
        <v>67</v>
      </c>
      <c r="G431">
        <v>34.4</v>
      </c>
      <c r="H431" s="9">
        <v>3.61</v>
      </c>
      <c r="I431"/>
    </row>
    <row r="432" spans="1:9" x14ac:dyDescent="0.3">
      <c r="A432" t="s">
        <v>8</v>
      </c>
      <c r="B432" t="s">
        <v>20</v>
      </c>
      <c r="C432" t="s">
        <v>115</v>
      </c>
      <c r="D432" s="9" t="s">
        <v>111</v>
      </c>
      <c r="E432" t="s">
        <v>36</v>
      </c>
      <c r="F432" t="s">
        <v>69</v>
      </c>
      <c r="G432">
        <v>36.799999999999997</v>
      </c>
      <c r="H432" s="9">
        <v>12.54</v>
      </c>
      <c r="I432"/>
    </row>
    <row r="433" spans="1:9" x14ac:dyDescent="0.3">
      <c r="A433" t="s">
        <v>8</v>
      </c>
      <c r="B433" t="s">
        <v>20</v>
      </c>
      <c r="C433" t="s">
        <v>116</v>
      </c>
      <c r="D433" s="9" t="s">
        <v>111</v>
      </c>
      <c r="E433" t="s">
        <v>37</v>
      </c>
      <c r="F433" t="s">
        <v>71</v>
      </c>
      <c r="G433">
        <v>37.5</v>
      </c>
      <c r="H433" s="9">
        <v>2.46</v>
      </c>
      <c r="I433"/>
    </row>
    <row r="434" spans="1:9" x14ac:dyDescent="0.3">
      <c r="A434" t="s">
        <v>8</v>
      </c>
      <c r="B434" t="s">
        <v>20</v>
      </c>
      <c r="C434" t="s">
        <v>117</v>
      </c>
      <c r="D434" s="9" t="s">
        <v>111</v>
      </c>
      <c r="E434" t="s">
        <v>38</v>
      </c>
      <c r="F434" t="s">
        <v>73</v>
      </c>
      <c r="G434">
        <v>38.9</v>
      </c>
      <c r="H434" s="9">
        <v>1.3</v>
      </c>
      <c r="I434"/>
    </row>
    <row r="435" spans="1:9" x14ac:dyDescent="0.3">
      <c r="A435" t="s">
        <v>8</v>
      </c>
      <c r="B435" t="s">
        <v>20</v>
      </c>
      <c r="C435" t="s">
        <v>118</v>
      </c>
      <c r="D435" s="9" t="s">
        <v>111</v>
      </c>
      <c r="E435" t="s">
        <v>39</v>
      </c>
      <c r="F435" t="s">
        <v>75</v>
      </c>
      <c r="G435">
        <v>38.9</v>
      </c>
      <c r="H435" s="9">
        <v>80.09</v>
      </c>
      <c r="I435"/>
    </row>
    <row r="436" spans="1:9" x14ac:dyDescent="0.3">
      <c r="A436" t="s">
        <v>8</v>
      </c>
      <c r="B436" t="s">
        <v>20</v>
      </c>
      <c r="C436" t="s">
        <v>119</v>
      </c>
      <c r="D436" s="9" t="s">
        <v>111</v>
      </c>
      <c r="E436" t="s">
        <v>40</v>
      </c>
      <c r="F436" t="s">
        <v>77</v>
      </c>
      <c r="G436">
        <v>37.5</v>
      </c>
      <c r="H436" s="9">
        <v>121.89</v>
      </c>
      <c r="I436"/>
    </row>
    <row r="437" spans="1:9" x14ac:dyDescent="0.3">
      <c r="A437" t="s">
        <v>8</v>
      </c>
      <c r="B437" t="s">
        <v>20</v>
      </c>
      <c r="C437" t="s">
        <v>120</v>
      </c>
      <c r="D437" s="9" t="s">
        <v>111</v>
      </c>
      <c r="E437" t="s">
        <v>41</v>
      </c>
      <c r="F437" t="s">
        <v>79</v>
      </c>
      <c r="G437">
        <v>38.299999999999997</v>
      </c>
      <c r="H437" s="9">
        <v>26.4</v>
      </c>
      <c r="I437"/>
    </row>
    <row r="438" spans="1:9" x14ac:dyDescent="0.3">
      <c r="A438" t="s">
        <v>8</v>
      </c>
      <c r="B438" t="s">
        <v>20</v>
      </c>
      <c r="C438" t="s">
        <v>121</v>
      </c>
      <c r="D438" s="9" t="s">
        <v>111</v>
      </c>
      <c r="E438" t="s">
        <v>42</v>
      </c>
      <c r="F438" t="s">
        <v>81</v>
      </c>
      <c r="G438">
        <v>41.9</v>
      </c>
      <c r="H438" s="9">
        <v>-5.63</v>
      </c>
      <c r="I438"/>
    </row>
    <row r="439" spans="1:9" x14ac:dyDescent="0.3">
      <c r="A439" t="s">
        <v>8</v>
      </c>
      <c r="B439" t="s">
        <v>20</v>
      </c>
      <c r="C439" t="s">
        <v>122</v>
      </c>
      <c r="D439" s="9" t="s">
        <v>111</v>
      </c>
      <c r="E439" t="s">
        <v>43</v>
      </c>
      <c r="F439" t="s">
        <v>83</v>
      </c>
      <c r="G439">
        <v>44</v>
      </c>
      <c r="H439" s="9">
        <v>4.51</v>
      </c>
      <c r="I439"/>
    </row>
    <row r="440" spans="1:9" x14ac:dyDescent="0.3">
      <c r="A440" t="s">
        <v>8</v>
      </c>
      <c r="B440" t="s">
        <v>20</v>
      </c>
      <c r="C440" t="s">
        <v>123</v>
      </c>
      <c r="D440" s="9" t="s">
        <v>124</v>
      </c>
      <c r="E440" t="s">
        <v>32</v>
      </c>
      <c r="F440" t="s">
        <v>61</v>
      </c>
      <c r="G440">
        <v>37.5</v>
      </c>
      <c r="H440" s="9">
        <v>5.63</v>
      </c>
      <c r="I440"/>
    </row>
    <row r="441" spans="1:9" x14ac:dyDescent="0.3">
      <c r="A441" t="s">
        <v>8</v>
      </c>
      <c r="B441" t="s">
        <v>20</v>
      </c>
      <c r="C441" t="s">
        <v>125</v>
      </c>
      <c r="D441" s="9" t="s">
        <v>124</v>
      </c>
      <c r="E441" t="s">
        <v>33</v>
      </c>
      <c r="F441" t="s">
        <v>63</v>
      </c>
      <c r="G441">
        <v>36.200000000000003</v>
      </c>
      <c r="H441" s="9">
        <v>12.07</v>
      </c>
      <c r="I441"/>
    </row>
    <row r="442" spans="1:9" x14ac:dyDescent="0.3">
      <c r="A442" t="s">
        <v>8</v>
      </c>
      <c r="B442" t="s">
        <v>20</v>
      </c>
      <c r="C442" t="s">
        <v>126</v>
      </c>
      <c r="D442" s="9" t="s">
        <v>124</v>
      </c>
      <c r="E442" t="s">
        <v>34</v>
      </c>
      <c r="F442" t="s">
        <v>65</v>
      </c>
      <c r="G442">
        <v>37.299999999999997</v>
      </c>
      <c r="H442" s="9">
        <v>2.75</v>
      </c>
      <c r="I442"/>
    </row>
    <row r="443" spans="1:9" x14ac:dyDescent="0.3">
      <c r="A443" t="s">
        <v>8</v>
      </c>
      <c r="B443" t="s">
        <v>20</v>
      </c>
      <c r="C443" t="s">
        <v>127</v>
      </c>
      <c r="D443" s="9" t="s">
        <v>124</v>
      </c>
      <c r="E443" t="s">
        <v>35</v>
      </c>
      <c r="F443" t="s">
        <v>67</v>
      </c>
      <c r="G443">
        <v>35.1</v>
      </c>
      <c r="H443" s="9">
        <v>2.0299999999999998</v>
      </c>
      <c r="I443"/>
    </row>
    <row r="444" spans="1:9" x14ac:dyDescent="0.3">
      <c r="A444" t="s">
        <v>8</v>
      </c>
      <c r="B444" t="s">
        <v>20</v>
      </c>
      <c r="C444" t="s">
        <v>128</v>
      </c>
      <c r="D444" s="9" t="s">
        <v>124</v>
      </c>
      <c r="E444" t="s">
        <v>36</v>
      </c>
      <c r="F444" t="s">
        <v>69</v>
      </c>
      <c r="G444">
        <v>36.1</v>
      </c>
      <c r="H444" s="9">
        <v>-1.9</v>
      </c>
      <c r="I444"/>
    </row>
    <row r="445" spans="1:9" x14ac:dyDescent="0.3">
      <c r="A445" t="s">
        <v>8</v>
      </c>
      <c r="B445" t="s">
        <v>20</v>
      </c>
      <c r="C445" t="s">
        <v>129</v>
      </c>
      <c r="D445" s="9" t="s">
        <v>124</v>
      </c>
      <c r="E445" t="s">
        <v>37</v>
      </c>
      <c r="F445" t="s">
        <v>71</v>
      </c>
      <c r="G445">
        <v>34.1</v>
      </c>
      <c r="H445" s="9">
        <v>-9.07</v>
      </c>
      <c r="I445"/>
    </row>
    <row r="446" spans="1:9" x14ac:dyDescent="0.3">
      <c r="A446" t="s">
        <v>8</v>
      </c>
      <c r="B446" t="s">
        <v>20</v>
      </c>
      <c r="C446" t="s">
        <v>130</v>
      </c>
      <c r="D446" s="9" t="s">
        <v>124</v>
      </c>
      <c r="E446" t="s">
        <v>38</v>
      </c>
      <c r="F446" t="s">
        <v>73</v>
      </c>
      <c r="G446">
        <v>35.299999999999997</v>
      </c>
      <c r="H446" s="9">
        <v>-9.25</v>
      </c>
      <c r="I446"/>
    </row>
    <row r="447" spans="1:9" x14ac:dyDescent="0.3">
      <c r="A447" t="s">
        <v>8</v>
      </c>
      <c r="B447" t="s">
        <v>20</v>
      </c>
      <c r="C447" t="s">
        <v>131</v>
      </c>
      <c r="D447" s="9" t="s">
        <v>124</v>
      </c>
      <c r="E447" t="s">
        <v>39</v>
      </c>
      <c r="F447" t="s">
        <v>75</v>
      </c>
      <c r="G447">
        <v>33.4</v>
      </c>
      <c r="H447" s="9">
        <v>-14.14</v>
      </c>
      <c r="I447"/>
    </row>
    <row r="448" spans="1:9" x14ac:dyDescent="0.3">
      <c r="A448" t="s">
        <v>8</v>
      </c>
      <c r="B448" t="s">
        <v>20</v>
      </c>
      <c r="C448" t="s">
        <v>132</v>
      </c>
      <c r="D448" s="9" t="s">
        <v>124</v>
      </c>
      <c r="E448" t="s">
        <v>40</v>
      </c>
      <c r="F448" t="s">
        <v>77</v>
      </c>
      <c r="G448">
        <v>33.1</v>
      </c>
      <c r="H448" s="9">
        <v>-11.73</v>
      </c>
      <c r="I448"/>
    </row>
    <row r="449" spans="1:9" x14ac:dyDescent="0.3">
      <c r="A449" t="s">
        <v>8</v>
      </c>
      <c r="B449" t="s">
        <v>20</v>
      </c>
      <c r="C449" t="s">
        <v>133</v>
      </c>
      <c r="D449" s="9" t="s">
        <v>124</v>
      </c>
      <c r="E449" t="s">
        <v>41</v>
      </c>
      <c r="F449" t="s">
        <v>79</v>
      </c>
      <c r="G449">
        <v>35.9</v>
      </c>
      <c r="H449" s="9">
        <v>-6.27</v>
      </c>
      <c r="I449"/>
    </row>
    <row r="450" spans="1:9" x14ac:dyDescent="0.3">
      <c r="A450" t="s">
        <v>8</v>
      </c>
      <c r="B450" t="s">
        <v>20</v>
      </c>
      <c r="C450" t="s">
        <v>134</v>
      </c>
      <c r="D450" s="9" t="s">
        <v>124</v>
      </c>
      <c r="E450" t="s">
        <v>42</v>
      </c>
      <c r="F450" t="s">
        <v>81</v>
      </c>
      <c r="G450">
        <v>39.6</v>
      </c>
      <c r="H450" s="9">
        <v>-5.49</v>
      </c>
      <c r="I450"/>
    </row>
    <row r="451" spans="1:9" x14ac:dyDescent="0.3">
      <c r="A451" t="s">
        <v>8</v>
      </c>
      <c r="B451" t="s">
        <v>20</v>
      </c>
      <c r="C451" t="s">
        <v>135</v>
      </c>
      <c r="D451" s="9" t="s">
        <v>124</v>
      </c>
      <c r="E451" t="s">
        <v>43</v>
      </c>
      <c r="F451" t="s">
        <v>83</v>
      </c>
      <c r="G451">
        <v>41.2</v>
      </c>
      <c r="H451" s="9">
        <v>-6.36</v>
      </c>
      <c r="I451"/>
    </row>
    <row r="452" spans="1:9" x14ac:dyDescent="0.3">
      <c r="A452" t="s">
        <v>8</v>
      </c>
      <c r="B452" t="s">
        <v>20</v>
      </c>
      <c r="C452" t="s">
        <v>136</v>
      </c>
      <c r="D452" s="9" t="s">
        <v>137</v>
      </c>
      <c r="E452" t="s">
        <v>32</v>
      </c>
      <c r="F452" t="s">
        <v>61</v>
      </c>
      <c r="G452">
        <v>35.1</v>
      </c>
      <c r="H452" s="9">
        <v>-6.4</v>
      </c>
      <c r="I452"/>
    </row>
    <row r="453" spans="1:9" x14ac:dyDescent="0.3">
      <c r="A453" t="s">
        <v>8</v>
      </c>
      <c r="B453" t="s">
        <v>20</v>
      </c>
      <c r="C453" t="s">
        <v>138</v>
      </c>
      <c r="D453" s="9" t="s">
        <v>137</v>
      </c>
      <c r="E453" t="s">
        <v>33</v>
      </c>
      <c r="F453" t="s">
        <v>63</v>
      </c>
      <c r="G453">
        <v>33</v>
      </c>
      <c r="H453" s="9">
        <v>-8.84</v>
      </c>
      <c r="I453"/>
    </row>
    <row r="454" spans="1:9" x14ac:dyDescent="0.3">
      <c r="A454" t="s">
        <v>8</v>
      </c>
      <c r="B454" t="s">
        <v>20</v>
      </c>
      <c r="C454" t="s">
        <v>139</v>
      </c>
      <c r="D454" s="9" t="s">
        <v>137</v>
      </c>
      <c r="E454" t="s">
        <v>34</v>
      </c>
      <c r="F454" t="s">
        <v>65</v>
      </c>
      <c r="G454">
        <v>33.299999999999997</v>
      </c>
      <c r="H454" s="9">
        <v>-10.72</v>
      </c>
      <c r="I454"/>
    </row>
    <row r="455" spans="1:9" x14ac:dyDescent="0.3">
      <c r="A455" t="s">
        <v>8</v>
      </c>
      <c r="B455" t="s">
        <v>20</v>
      </c>
      <c r="C455" t="s">
        <v>140</v>
      </c>
      <c r="D455" s="9" t="s">
        <v>137</v>
      </c>
      <c r="E455" t="s">
        <v>35</v>
      </c>
      <c r="F455" t="s">
        <v>67</v>
      </c>
      <c r="G455">
        <v>31.3</v>
      </c>
      <c r="H455" s="9">
        <v>-10.83</v>
      </c>
      <c r="I455"/>
    </row>
    <row r="456" spans="1:9" x14ac:dyDescent="0.3">
      <c r="A456" t="s">
        <v>8</v>
      </c>
      <c r="B456" t="s">
        <v>20</v>
      </c>
      <c r="C456" t="s">
        <v>141</v>
      </c>
      <c r="D456" s="9" t="s">
        <v>137</v>
      </c>
      <c r="E456" t="s">
        <v>36</v>
      </c>
      <c r="F456" t="s">
        <v>69</v>
      </c>
      <c r="G456">
        <v>32.6</v>
      </c>
      <c r="H456" s="9">
        <v>-9.6999999999999993</v>
      </c>
      <c r="I456"/>
    </row>
    <row r="457" spans="1:9" x14ac:dyDescent="0.3">
      <c r="A457" t="s">
        <v>8</v>
      </c>
      <c r="B457" t="s">
        <v>20</v>
      </c>
      <c r="C457" t="s">
        <v>142</v>
      </c>
      <c r="D457" s="9" t="s">
        <v>137</v>
      </c>
      <c r="E457" t="s">
        <v>37</v>
      </c>
      <c r="F457" t="s">
        <v>71</v>
      </c>
      <c r="G457">
        <v>36.299999999999997</v>
      </c>
      <c r="H457" s="9">
        <v>6.45</v>
      </c>
      <c r="I457"/>
    </row>
    <row r="458" spans="1:9" x14ac:dyDescent="0.3">
      <c r="A458" t="s">
        <v>8</v>
      </c>
      <c r="B458" t="s">
        <v>20</v>
      </c>
      <c r="C458" t="s">
        <v>143</v>
      </c>
      <c r="D458" s="9" t="s">
        <v>137</v>
      </c>
      <c r="E458" t="s">
        <v>38</v>
      </c>
      <c r="F458" t="s">
        <v>73</v>
      </c>
      <c r="G458">
        <v>33</v>
      </c>
      <c r="H458" s="9">
        <v>-6.52</v>
      </c>
      <c r="I458"/>
    </row>
    <row r="459" spans="1:9" x14ac:dyDescent="0.3">
      <c r="A459" t="s">
        <v>8</v>
      </c>
      <c r="B459" t="s">
        <v>20</v>
      </c>
      <c r="C459" t="s">
        <v>144</v>
      </c>
      <c r="D459" s="9" t="s">
        <v>137</v>
      </c>
      <c r="E459" t="s">
        <v>39</v>
      </c>
      <c r="F459" t="s">
        <v>75</v>
      </c>
      <c r="G459">
        <v>32.299999999999997</v>
      </c>
      <c r="H459" s="9">
        <v>-3.29</v>
      </c>
      <c r="I459"/>
    </row>
    <row r="460" spans="1:9" x14ac:dyDescent="0.3">
      <c r="A460" t="s">
        <v>8</v>
      </c>
      <c r="B460" t="s">
        <v>20</v>
      </c>
      <c r="C460" t="s">
        <v>145</v>
      </c>
      <c r="D460" s="9" t="s">
        <v>137</v>
      </c>
      <c r="E460" t="s">
        <v>40</v>
      </c>
      <c r="F460" t="s">
        <v>77</v>
      </c>
      <c r="G460">
        <v>31.4</v>
      </c>
      <c r="H460" s="9">
        <v>-5.14</v>
      </c>
      <c r="I460"/>
    </row>
    <row r="461" spans="1:9" x14ac:dyDescent="0.3">
      <c r="A461" t="s">
        <v>8</v>
      </c>
      <c r="B461" t="s">
        <v>20</v>
      </c>
      <c r="C461" t="s">
        <v>146</v>
      </c>
      <c r="D461" s="9" t="s">
        <v>137</v>
      </c>
      <c r="E461" t="s">
        <v>41</v>
      </c>
      <c r="F461" t="s">
        <v>79</v>
      </c>
      <c r="G461">
        <v>36.200000000000003</v>
      </c>
      <c r="H461" s="9">
        <v>0.84</v>
      </c>
      <c r="I461"/>
    </row>
    <row r="462" spans="1:9" x14ac:dyDescent="0.3">
      <c r="A462" t="s">
        <v>8</v>
      </c>
      <c r="B462" t="s">
        <v>20</v>
      </c>
      <c r="C462" t="s">
        <v>147</v>
      </c>
      <c r="D462" s="9" t="s">
        <v>137</v>
      </c>
      <c r="E462" t="s">
        <v>42</v>
      </c>
      <c r="F462" t="s">
        <v>81</v>
      </c>
      <c r="G462">
        <v>38.5</v>
      </c>
      <c r="H462" s="9">
        <v>-2.78</v>
      </c>
      <c r="I462"/>
    </row>
    <row r="463" spans="1:9" x14ac:dyDescent="0.3">
      <c r="A463" t="s">
        <v>8</v>
      </c>
      <c r="B463" t="s">
        <v>20</v>
      </c>
      <c r="C463" t="s">
        <v>148</v>
      </c>
      <c r="D463" s="9" t="s">
        <v>137</v>
      </c>
      <c r="E463" t="s">
        <v>43</v>
      </c>
      <c r="F463" t="s">
        <v>83</v>
      </c>
      <c r="G463">
        <v>43.3</v>
      </c>
      <c r="H463" s="9">
        <v>5.0999999999999996</v>
      </c>
      <c r="I463"/>
    </row>
    <row r="464" spans="1:9" x14ac:dyDescent="0.3">
      <c r="A464" t="s">
        <v>8</v>
      </c>
      <c r="B464" t="s">
        <v>20</v>
      </c>
      <c r="C464" t="s">
        <v>149</v>
      </c>
      <c r="D464" s="9" t="s">
        <v>150</v>
      </c>
      <c r="E464" t="s">
        <v>32</v>
      </c>
      <c r="F464" t="s">
        <v>61</v>
      </c>
      <c r="G464">
        <v>37.4</v>
      </c>
      <c r="H464" s="9">
        <v>6.55</v>
      </c>
      <c r="I464"/>
    </row>
    <row r="465" spans="1:9" x14ac:dyDescent="0.3">
      <c r="A465" t="s">
        <v>8</v>
      </c>
      <c r="B465" t="s">
        <v>20</v>
      </c>
      <c r="C465" t="s">
        <v>151</v>
      </c>
      <c r="D465" s="9" t="s">
        <v>150</v>
      </c>
      <c r="E465" t="s">
        <v>33</v>
      </c>
      <c r="F465" t="s">
        <v>63</v>
      </c>
      <c r="G465">
        <v>31.6</v>
      </c>
      <c r="H465" s="9">
        <v>-4.24</v>
      </c>
      <c r="I465"/>
    </row>
    <row r="466" spans="1:9" x14ac:dyDescent="0.3">
      <c r="A466" t="s">
        <v>8</v>
      </c>
      <c r="B466" t="s">
        <v>20</v>
      </c>
      <c r="C466" t="s">
        <v>152</v>
      </c>
      <c r="D466" s="9" t="s">
        <v>150</v>
      </c>
      <c r="E466" t="s">
        <v>34</v>
      </c>
      <c r="F466" t="s">
        <v>65</v>
      </c>
      <c r="G466">
        <v>34.299999999999997</v>
      </c>
      <c r="H466" s="9">
        <v>3</v>
      </c>
      <c r="I466"/>
    </row>
    <row r="467" spans="1:9" x14ac:dyDescent="0.3">
      <c r="A467" t="s">
        <v>8</v>
      </c>
      <c r="B467" t="s">
        <v>20</v>
      </c>
      <c r="C467" t="s">
        <v>153</v>
      </c>
      <c r="D467" s="9" t="s">
        <v>150</v>
      </c>
      <c r="E467" t="s">
        <v>35</v>
      </c>
      <c r="F467" t="s">
        <v>67</v>
      </c>
      <c r="G467">
        <v>31.6</v>
      </c>
      <c r="H467" s="9">
        <v>0.96</v>
      </c>
      <c r="I467"/>
    </row>
    <row r="468" spans="1:9" x14ac:dyDescent="0.3">
      <c r="A468" t="s">
        <v>8</v>
      </c>
      <c r="B468" t="s">
        <v>20</v>
      </c>
      <c r="C468" t="s">
        <v>154</v>
      </c>
      <c r="D468" s="9" t="s">
        <v>150</v>
      </c>
      <c r="E468" t="s">
        <v>36</v>
      </c>
      <c r="F468" t="s">
        <v>69</v>
      </c>
      <c r="G468">
        <v>33.5</v>
      </c>
      <c r="H468" s="9">
        <v>2.76</v>
      </c>
      <c r="I468"/>
    </row>
    <row r="469" spans="1:9" x14ac:dyDescent="0.3">
      <c r="A469" t="s">
        <v>8</v>
      </c>
      <c r="B469" t="s">
        <v>20</v>
      </c>
      <c r="C469" t="s">
        <v>155</v>
      </c>
      <c r="D469" s="9" t="s">
        <v>150</v>
      </c>
      <c r="E469" t="s">
        <v>37</v>
      </c>
      <c r="F469" t="s">
        <v>71</v>
      </c>
      <c r="G469">
        <v>37.1</v>
      </c>
      <c r="H469" s="9">
        <v>2.2000000000000002</v>
      </c>
      <c r="I469"/>
    </row>
    <row r="470" spans="1:9" x14ac:dyDescent="0.3">
      <c r="A470" t="s">
        <v>8</v>
      </c>
      <c r="B470" t="s">
        <v>15</v>
      </c>
      <c r="C470" t="s">
        <v>59</v>
      </c>
      <c r="D470" s="9" t="s">
        <v>60</v>
      </c>
      <c r="E470" t="s">
        <v>32</v>
      </c>
      <c r="F470" t="s">
        <v>61</v>
      </c>
      <c r="G470">
        <v>29.1</v>
      </c>
      <c r="I470"/>
    </row>
    <row r="471" spans="1:9" x14ac:dyDescent="0.3">
      <c r="A471" t="s">
        <v>8</v>
      </c>
      <c r="B471" t="s">
        <v>15</v>
      </c>
      <c r="C471" t="s">
        <v>62</v>
      </c>
      <c r="D471" s="9" t="s">
        <v>60</v>
      </c>
      <c r="E471" t="s">
        <v>33</v>
      </c>
      <c r="F471" t="s">
        <v>63</v>
      </c>
      <c r="G471">
        <v>28.2</v>
      </c>
      <c r="I471"/>
    </row>
    <row r="472" spans="1:9" x14ac:dyDescent="0.3">
      <c r="A472" t="s">
        <v>8</v>
      </c>
      <c r="B472" t="s">
        <v>15</v>
      </c>
      <c r="C472" t="s">
        <v>64</v>
      </c>
      <c r="D472" s="9" t="s">
        <v>60</v>
      </c>
      <c r="E472" t="s">
        <v>34</v>
      </c>
      <c r="F472" t="s">
        <v>65</v>
      </c>
      <c r="G472">
        <v>30.4</v>
      </c>
      <c r="I472"/>
    </row>
    <row r="473" spans="1:9" x14ac:dyDescent="0.3">
      <c r="A473" t="s">
        <v>8</v>
      </c>
      <c r="B473" t="s">
        <v>15</v>
      </c>
      <c r="C473" t="s">
        <v>66</v>
      </c>
      <c r="D473" s="9" t="s">
        <v>60</v>
      </c>
      <c r="E473" t="s">
        <v>35</v>
      </c>
      <c r="F473" t="s">
        <v>67</v>
      </c>
      <c r="G473">
        <v>28.9</v>
      </c>
      <c r="I473"/>
    </row>
    <row r="474" spans="1:9" x14ac:dyDescent="0.3">
      <c r="A474" t="s">
        <v>8</v>
      </c>
      <c r="B474" t="s">
        <v>15</v>
      </c>
      <c r="C474" t="s">
        <v>68</v>
      </c>
      <c r="D474" s="9" t="s">
        <v>60</v>
      </c>
      <c r="E474" t="s">
        <v>36</v>
      </c>
      <c r="F474" t="s">
        <v>69</v>
      </c>
      <c r="G474">
        <v>28.7</v>
      </c>
      <c r="I474"/>
    </row>
    <row r="475" spans="1:9" x14ac:dyDescent="0.3">
      <c r="A475" t="s">
        <v>8</v>
      </c>
      <c r="B475" t="s">
        <v>15</v>
      </c>
      <c r="C475" t="s">
        <v>70</v>
      </c>
      <c r="D475" s="9" t="s">
        <v>60</v>
      </c>
      <c r="E475" t="s">
        <v>37</v>
      </c>
      <c r="F475" t="s">
        <v>71</v>
      </c>
      <c r="G475">
        <v>26.4</v>
      </c>
      <c r="I475"/>
    </row>
    <row r="476" spans="1:9" x14ac:dyDescent="0.3">
      <c r="A476" t="s">
        <v>8</v>
      </c>
      <c r="B476" t="s">
        <v>15</v>
      </c>
      <c r="C476" t="s">
        <v>72</v>
      </c>
      <c r="D476" s="9" t="s">
        <v>60</v>
      </c>
      <c r="E476" t="s">
        <v>38</v>
      </c>
      <c r="F476" t="s">
        <v>73</v>
      </c>
      <c r="G476">
        <v>26.3</v>
      </c>
      <c r="I476"/>
    </row>
    <row r="477" spans="1:9" x14ac:dyDescent="0.3">
      <c r="A477" t="s">
        <v>8</v>
      </c>
      <c r="B477" t="s">
        <v>15</v>
      </c>
      <c r="C477" t="s">
        <v>74</v>
      </c>
      <c r="D477" s="9" t="s">
        <v>60</v>
      </c>
      <c r="E477" t="s">
        <v>39</v>
      </c>
      <c r="F477" t="s">
        <v>75</v>
      </c>
      <c r="G477">
        <v>29.2</v>
      </c>
      <c r="I477"/>
    </row>
    <row r="478" spans="1:9" x14ac:dyDescent="0.3">
      <c r="A478" t="s">
        <v>8</v>
      </c>
      <c r="B478" t="s">
        <v>15</v>
      </c>
      <c r="C478" t="s">
        <v>76</v>
      </c>
      <c r="D478" s="9" t="s">
        <v>60</v>
      </c>
      <c r="E478" t="s">
        <v>40</v>
      </c>
      <c r="F478" t="s">
        <v>77</v>
      </c>
      <c r="G478">
        <v>32.799999999999997</v>
      </c>
      <c r="I478"/>
    </row>
    <row r="479" spans="1:9" x14ac:dyDescent="0.3">
      <c r="A479" t="s">
        <v>8</v>
      </c>
      <c r="B479" t="s">
        <v>15</v>
      </c>
      <c r="C479" t="s">
        <v>78</v>
      </c>
      <c r="D479" s="9" t="s">
        <v>60</v>
      </c>
      <c r="E479" t="s">
        <v>41</v>
      </c>
      <c r="F479" t="s">
        <v>79</v>
      </c>
      <c r="G479">
        <v>37.700000000000003</v>
      </c>
      <c r="I479"/>
    </row>
    <row r="480" spans="1:9" x14ac:dyDescent="0.3">
      <c r="A480" t="s">
        <v>8</v>
      </c>
      <c r="B480" t="s">
        <v>15</v>
      </c>
      <c r="C480" t="s">
        <v>80</v>
      </c>
      <c r="D480" s="9" t="s">
        <v>60</v>
      </c>
      <c r="E480" t="s">
        <v>42</v>
      </c>
      <c r="F480" t="s">
        <v>81</v>
      </c>
      <c r="G480">
        <v>37.700000000000003</v>
      </c>
      <c r="I480"/>
    </row>
    <row r="481" spans="1:9" x14ac:dyDescent="0.3">
      <c r="A481" t="s">
        <v>8</v>
      </c>
      <c r="B481" t="s">
        <v>15</v>
      </c>
      <c r="C481" t="s">
        <v>82</v>
      </c>
      <c r="D481" s="9" t="s">
        <v>60</v>
      </c>
      <c r="E481" t="s">
        <v>43</v>
      </c>
      <c r="F481" t="s">
        <v>83</v>
      </c>
      <c r="G481">
        <v>36.4</v>
      </c>
      <c r="I481"/>
    </row>
    <row r="482" spans="1:9" x14ac:dyDescent="0.3">
      <c r="A482" t="s">
        <v>8</v>
      </c>
      <c r="B482" t="s">
        <v>15</v>
      </c>
      <c r="C482" t="s">
        <v>84</v>
      </c>
      <c r="D482" s="9" t="s">
        <v>85</v>
      </c>
      <c r="E482" t="s">
        <v>32</v>
      </c>
      <c r="F482" t="s">
        <v>61</v>
      </c>
      <c r="G482">
        <v>32.6</v>
      </c>
      <c r="H482" s="9">
        <v>12.03</v>
      </c>
      <c r="I482"/>
    </row>
    <row r="483" spans="1:9" x14ac:dyDescent="0.3">
      <c r="A483" t="s">
        <v>8</v>
      </c>
      <c r="B483" t="s">
        <v>15</v>
      </c>
      <c r="C483" t="s">
        <v>86</v>
      </c>
      <c r="D483" s="9" t="s">
        <v>85</v>
      </c>
      <c r="E483" t="s">
        <v>33</v>
      </c>
      <c r="F483" t="s">
        <v>63</v>
      </c>
      <c r="G483">
        <v>29.2</v>
      </c>
      <c r="H483" s="9">
        <v>3.55</v>
      </c>
      <c r="I483"/>
    </row>
    <row r="484" spans="1:9" x14ac:dyDescent="0.3">
      <c r="A484" t="s">
        <v>8</v>
      </c>
      <c r="B484" t="s">
        <v>15</v>
      </c>
      <c r="C484" t="s">
        <v>87</v>
      </c>
      <c r="D484" s="9" t="s">
        <v>85</v>
      </c>
      <c r="E484" t="s">
        <v>34</v>
      </c>
      <c r="F484" t="s">
        <v>65</v>
      </c>
      <c r="G484">
        <v>38</v>
      </c>
      <c r="H484" s="9">
        <v>25</v>
      </c>
      <c r="I484"/>
    </row>
    <row r="485" spans="1:9" x14ac:dyDescent="0.3">
      <c r="A485" t="s">
        <v>8</v>
      </c>
      <c r="B485" t="s">
        <v>15</v>
      </c>
      <c r="C485" t="s">
        <v>88</v>
      </c>
      <c r="D485" s="9" t="s">
        <v>85</v>
      </c>
      <c r="E485" t="s">
        <v>35</v>
      </c>
      <c r="F485" t="s">
        <v>67</v>
      </c>
      <c r="G485">
        <v>41.2</v>
      </c>
      <c r="H485" s="9">
        <v>42.56</v>
      </c>
      <c r="I485"/>
    </row>
    <row r="486" spans="1:9" x14ac:dyDescent="0.3">
      <c r="A486" t="s">
        <v>8</v>
      </c>
      <c r="B486" t="s">
        <v>15</v>
      </c>
      <c r="C486" t="s">
        <v>89</v>
      </c>
      <c r="D486" s="9" t="s">
        <v>85</v>
      </c>
      <c r="E486" t="s">
        <v>36</v>
      </c>
      <c r="F486" t="s">
        <v>69</v>
      </c>
      <c r="G486">
        <v>42</v>
      </c>
      <c r="H486" s="9">
        <v>46.34</v>
      </c>
      <c r="I486"/>
    </row>
    <row r="487" spans="1:9" x14ac:dyDescent="0.3">
      <c r="A487" t="s">
        <v>8</v>
      </c>
      <c r="B487" t="s">
        <v>15</v>
      </c>
      <c r="C487" t="s">
        <v>90</v>
      </c>
      <c r="D487" s="9" t="s">
        <v>85</v>
      </c>
      <c r="E487" t="s">
        <v>37</v>
      </c>
      <c r="F487" t="s">
        <v>71</v>
      </c>
      <c r="G487">
        <v>37.6</v>
      </c>
      <c r="H487" s="9">
        <v>42.42</v>
      </c>
      <c r="I487"/>
    </row>
    <row r="488" spans="1:9" x14ac:dyDescent="0.3">
      <c r="A488" t="s">
        <v>8</v>
      </c>
      <c r="B488" t="s">
        <v>15</v>
      </c>
      <c r="C488" t="s">
        <v>91</v>
      </c>
      <c r="D488" s="9" t="s">
        <v>85</v>
      </c>
      <c r="E488" t="s">
        <v>38</v>
      </c>
      <c r="F488" t="s">
        <v>73</v>
      </c>
      <c r="G488">
        <v>38</v>
      </c>
      <c r="H488" s="9">
        <v>44.49</v>
      </c>
      <c r="I488"/>
    </row>
    <row r="489" spans="1:9" x14ac:dyDescent="0.3">
      <c r="A489" t="s">
        <v>8</v>
      </c>
      <c r="B489" t="s">
        <v>15</v>
      </c>
      <c r="C489" t="s">
        <v>92</v>
      </c>
      <c r="D489" s="9" t="s">
        <v>85</v>
      </c>
      <c r="E489" t="s">
        <v>39</v>
      </c>
      <c r="F489" t="s">
        <v>75</v>
      </c>
      <c r="G489">
        <v>38.9</v>
      </c>
      <c r="H489" s="9">
        <v>33.22</v>
      </c>
      <c r="I489"/>
    </row>
    <row r="490" spans="1:9" x14ac:dyDescent="0.3">
      <c r="A490" t="s">
        <v>8</v>
      </c>
      <c r="B490" t="s">
        <v>15</v>
      </c>
      <c r="C490" t="s">
        <v>93</v>
      </c>
      <c r="D490" s="9" t="s">
        <v>85</v>
      </c>
      <c r="E490" t="s">
        <v>40</v>
      </c>
      <c r="F490" t="s">
        <v>77</v>
      </c>
      <c r="G490">
        <v>45.9</v>
      </c>
      <c r="H490" s="9">
        <v>39.94</v>
      </c>
      <c r="I490"/>
    </row>
    <row r="491" spans="1:9" x14ac:dyDescent="0.3">
      <c r="A491" t="s">
        <v>8</v>
      </c>
      <c r="B491" t="s">
        <v>15</v>
      </c>
      <c r="C491" t="s">
        <v>94</v>
      </c>
      <c r="D491" s="9" t="s">
        <v>85</v>
      </c>
      <c r="E491" t="s">
        <v>41</v>
      </c>
      <c r="F491" t="s">
        <v>79</v>
      </c>
      <c r="G491">
        <v>49.2</v>
      </c>
      <c r="H491" s="9">
        <v>30.5</v>
      </c>
      <c r="I491"/>
    </row>
    <row r="492" spans="1:9" x14ac:dyDescent="0.3">
      <c r="A492" t="s">
        <v>8</v>
      </c>
      <c r="B492" t="s">
        <v>15</v>
      </c>
      <c r="C492" t="s">
        <v>95</v>
      </c>
      <c r="D492" s="9" t="s">
        <v>85</v>
      </c>
      <c r="E492" t="s">
        <v>42</v>
      </c>
      <c r="F492" t="s">
        <v>81</v>
      </c>
      <c r="G492">
        <v>49.2</v>
      </c>
      <c r="H492" s="9">
        <v>30.5</v>
      </c>
      <c r="I492"/>
    </row>
    <row r="493" spans="1:9" x14ac:dyDescent="0.3">
      <c r="A493" t="s">
        <v>8</v>
      </c>
      <c r="B493" t="s">
        <v>15</v>
      </c>
      <c r="C493" t="s">
        <v>96</v>
      </c>
      <c r="D493" s="9" t="s">
        <v>85</v>
      </c>
      <c r="E493" t="s">
        <v>43</v>
      </c>
      <c r="F493" t="s">
        <v>83</v>
      </c>
      <c r="G493">
        <v>48.7</v>
      </c>
      <c r="H493" s="9">
        <v>33.79</v>
      </c>
      <c r="I493"/>
    </row>
    <row r="494" spans="1:9" x14ac:dyDescent="0.3">
      <c r="A494" t="s">
        <v>8</v>
      </c>
      <c r="B494" t="s">
        <v>15</v>
      </c>
      <c r="C494" t="s">
        <v>97</v>
      </c>
      <c r="D494" s="9" t="s">
        <v>98</v>
      </c>
      <c r="E494" t="s">
        <v>32</v>
      </c>
      <c r="F494" t="s">
        <v>61</v>
      </c>
      <c r="G494">
        <v>43.2</v>
      </c>
      <c r="H494" s="9">
        <v>32.520000000000003</v>
      </c>
      <c r="I494"/>
    </row>
    <row r="495" spans="1:9" x14ac:dyDescent="0.3">
      <c r="A495" t="s">
        <v>8</v>
      </c>
      <c r="B495" t="s">
        <v>15</v>
      </c>
      <c r="C495" t="s">
        <v>99</v>
      </c>
      <c r="D495" s="9" t="s">
        <v>98</v>
      </c>
      <c r="E495" t="s">
        <v>33</v>
      </c>
      <c r="F495" t="s">
        <v>63</v>
      </c>
      <c r="G495">
        <v>37</v>
      </c>
      <c r="H495" s="9">
        <v>26.71</v>
      </c>
      <c r="I495"/>
    </row>
    <row r="496" spans="1:9" x14ac:dyDescent="0.3">
      <c r="A496" t="s">
        <v>8</v>
      </c>
      <c r="B496" t="s">
        <v>15</v>
      </c>
      <c r="C496" t="s">
        <v>100</v>
      </c>
      <c r="D496" s="9" t="s">
        <v>98</v>
      </c>
      <c r="E496" t="s">
        <v>34</v>
      </c>
      <c r="F496" t="s">
        <v>65</v>
      </c>
      <c r="G496">
        <v>39.1</v>
      </c>
      <c r="H496" s="9">
        <v>2.89</v>
      </c>
      <c r="I496"/>
    </row>
    <row r="497" spans="1:9" x14ac:dyDescent="0.3">
      <c r="A497" t="s">
        <v>8</v>
      </c>
      <c r="B497" t="s">
        <v>15</v>
      </c>
      <c r="C497" t="s">
        <v>101</v>
      </c>
      <c r="D497" s="9" t="s">
        <v>98</v>
      </c>
      <c r="E497" t="s">
        <v>35</v>
      </c>
      <c r="F497" t="s">
        <v>67</v>
      </c>
      <c r="G497">
        <v>39.200000000000003</v>
      </c>
      <c r="H497" s="9">
        <v>-4.8499999999999996</v>
      </c>
      <c r="I497"/>
    </row>
    <row r="498" spans="1:9" x14ac:dyDescent="0.3">
      <c r="A498" t="s">
        <v>8</v>
      </c>
      <c r="B498" t="s">
        <v>15</v>
      </c>
      <c r="C498" t="s">
        <v>102</v>
      </c>
      <c r="D498" s="9" t="s">
        <v>98</v>
      </c>
      <c r="E498" t="s">
        <v>36</v>
      </c>
      <c r="F498" t="s">
        <v>69</v>
      </c>
      <c r="G498">
        <v>37</v>
      </c>
      <c r="H498" s="9">
        <v>-11.9</v>
      </c>
      <c r="I498"/>
    </row>
    <row r="499" spans="1:9" x14ac:dyDescent="0.3">
      <c r="A499" t="s">
        <v>8</v>
      </c>
      <c r="B499" t="s">
        <v>15</v>
      </c>
      <c r="C499" t="s">
        <v>103</v>
      </c>
      <c r="D499" s="9" t="s">
        <v>98</v>
      </c>
      <c r="E499" t="s">
        <v>37</v>
      </c>
      <c r="F499" t="s">
        <v>71</v>
      </c>
      <c r="G499">
        <v>35.5</v>
      </c>
      <c r="H499" s="9">
        <v>-5.59</v>
      </c>
      <c r="I499"/>
    </row>
    <row r="500" spans="1:9" x14ac:dyDescent="0.3">
      <c r="A500" t="s">
        <v>8</v>
      </c>
      <c r="B500" t="s">
        <v>15</v>
      </c>
      <c r="C500" t="s">
        <v>104</v>
      </c>
      <c r="D500" s="9" t="s">
        <v>98</v>
      </c>
      <c r="E500" t="s">
        <v>38</v>
      </c>
      <c r="F500" t="s">
        <v>73</v>
      </c>
      <c r="G500">
        <v>35.9</v>
      </c>
      <c r="H500" s="9">
        <v>-5.53</v>
      </c>
      <c r="I500"/>
    </row>
    <row r="501" spans="1:9" x14ac:dyDescent="0.3">
      <c r="A501" t="s">
        <v>8</v>
      </c>
      <c r="B501" t="s">
        <v>15</v>
      </c>
      <c r="C501" t="s">
        <v>105</v>
      </c>
      <c r="D501" s="9" t="s">
        <v>98</v>
      </c>
      <c r="E501" t="s">
        <v>39</v>
      </c>
      <c r="F501" t="s">
        <v>75</v>
      </c>
      <c r="G501">
        <v>30.5</v>
      </c>
      <c r="H501" s="9">
        <v>-21.59</v>
      </c>
      <c r="I501"/>
    </row>
    <row r="502" spans="1:9" x14ac:dyDescent="0.3">
      <c r="A502" t="s">
        <v>8</v>
      </c>
      <c r="B502" t="s">
        <v>15</v>
      </c>
      <c r="C502" t="s">
        <v>106</v>
      </c>
      <c r="D502" s="9" t="s">
        <v>98</v>
      </c>
      <c r="E502" t="s">
        <v>40</v>
      </c>
      <c r="F502" t="s">
        <v>77</v>
      </c>
      <c r="G502">
        <v>31.2</v>
      </c>
      <c r="H502" s="9">
        <v>-32.03</v>
      </c>
      <c r="I502"/>
    </row>
    <row r="503" spans="1:9" x14ac:dyDescent="0.3">
      <c r="A503" t="s">
        <v>8</v>
      </c>
      <c r="B503" t="s">
        <v>15</v>
      </c>
      <c r="C503" t="s">
        <v>107</v>
      </c>
      <c r="D503" s="9" t="s">
        <v>98</v>
      </c>
      <c r="E503" t="s">
        <v>41</v>
      </c>
      <c r="F503" t="s">
        <v>79</v>
      </c>
      <c r="G503">
        <v>49.6</v>
      </c>
      <c r="H503" s="9">
        <v>0.81</v>
      </c>
      <c r="I503"/>
    </row>
    <row r="504" spans="1:9" x14ac:dyDescent="0.3">
      <c r="A504" t="s">
        <v>8</v>
      </c>
      <c r="B504" t="s">
        <v>15</v>
      </c>
      <c r="C504" t="s">
        <v>108</v>
      </c>
      <c r="D504" s="9" t="s">
        <v>98</v>
      </c>
      <c r="E504" t="s">
        <v>42</v>
      </c>
      <c r="F504" t="s">
        <v>81</v>
      </c>
      <c r="G504">
        <v>52.5</v>
      </c>
      <c r="H504" s="9">
        <v>6.71</v>
      </c>
      <c r="I504"/>
    </row>
    <row r="505" spans="1:9" x14ac:dyDescent="0.3">
      <c r="A505" t="s">
        <v>8</v>
      </c>
      <c r="B505" t="s">
        <v>15</v>
      </c>
      <c r="C505" t="s">
        <v>109</v>
      </c>
      <c r="D505" s="9" t="s">
        <v>98</v>
      </c>
      <c r="E505" t="s">
        <v>43</v>
      </c>
      <c r="F505" t="s">
        <v>83</v>
      </c>
      <c r="G505">
        <v>54.4</v>
      </c>
      <c r="H505" s="9">
        <v>11.7</v>
      </c>
      <c r="I505"/>
    </row>
    <row r="506" spans="1:9" x14ac:dyDescent="0.3">
      <c r="A506" t="s">
        <v>8</v>
      </c>
      <c r="B506" t="s">
        <v>15</v>
      </c>
      <c r="C506" t="s">
        <v>110</v>
      </c>
      <c r="D506" s="9" t="s">
        <v>111</v>
      </c>
      <c r="E506" t="s">
        <v>32</v>
      </c>
      <c r="F506" t="s">
        <v>61</v>
      </c>
      <c r="G506">
        <v>47.2</v>
      </c>
      <c r="H506" s="9">
        <v>9.26</v>
      </c>
      <c r="I506"/>
    </row>
    <row r="507" spans="1:9" x14ac:dyDescent="0.3">
      <c r="A507" t="s">
        <v>8</v>
      </c>
      <c r="B507" t="s">
        <v>15</v>
      </c>
      <c r="C507" t="s">
        <v>112</v>
      </c>
      <c r="D507" s="9" t="s">
        <v>111</v>
      </c>
      <c r="E507" t="s">
        <v>33</v>
      </c>
      <c r="F507" t="s">
        <v>63</v>
      </c>
      <c r="G507">
        <v>42.3</v>
      </c>
      <c r="H507" s="9">
        <v>14.32</v>
      </c>
      <c r="I507"/>
    </row>
    <row r="508" spans="1:9" x14ac:dyDescent="0.3">
      <c r="A508" t="s">
        <v>8</v>
      </c>
      <c r="B508" t="s">
        <v>15</v>
      </c>
      <c r="C508" t="s">
        <v>113</v>
      </c>
      <c r="D508" s="9" t="s">
        <v>111</v>
      </c>
      <c r="E508" t="s">
        <v>34</v>
      </c>
      <c r="F508" t="s">
        <v>65</v>
      </c>
      <c r="G508">
        <v>44.3</v>
      </c>
      <c r="H508" s="9">
        <v>13.3</v>
      </c>
      <c r="I508"/>
    </row>
    <row r="509" spans="1:9" x14ac:dyDescent="0.3">
      <c r="A509" t="s">
        <v>8</v>
      </c>
      <c r="B509" t="s">
        <v>15</v>
      </c>
      <c r="C509" t="s">
        <v>114</v>
      </c>
      <c r="D509" s="9" t="s">
        <v>111</v>
      </c>
      <c r="E509" t="s">
        <v>35</v>
      </c>
      <c r="F509" t="s">
        <v>67</v>
      </c>
      <c r="G509">
        <v>42</v>
      </c>
      <c r="H509" s="9">
        <v>7.14</v>
      </c>
      <c r="I509"/>
    </row>
    <row r="510" spans="1:9" x14ac:dyDescent="0.3">
      <c r="A510" t="s">
        <v>8</v>
      </c>
      <c r="B510" t="s">
        <v>15</v>
      </c>
      <c r="C510" t="s">
        <v>115</v>
      </c>
      <c r="D510" s="9" t="s">
        <v>111</v>
      </c>
      <c r="E510" t="s">
        <v>36</v>
      </c>
      <c r="F510" t="s">
        <v>69</v>
      </c>
      <c r="G510">
        <v>39.200000000000003</v>
      </c>
      <c r="H510" s="9">
        <v>5.95</v>
      </c>
      <c r="I510"/>
    </row>
    <row r="511" spans="1:9" x14ac:dyDescent="0.3">
      <c r="A511" t="s">
        <v>8</v>
      </c>
      <c r="B511" t="s">
        <v>15</v>
      </c>
      <c r="C511" t="s">
        <v>116</v>
      </c>
      <c r="D511" s="9" t="s">
        <v>111</v>
      </c>
      <c r="E511" t="s">
        <v>37</v>
      </c>
      <c r="F511" t="s">
        <v>71</v>
      </c>
      <c r="G511">
        <v>38.5</v>
      </c>
      <c r="H511" s="9">
        <v>8.4499999999999993</v>
      </c>
      <c r="I511"/>
    </row>
    <row r="512" spans="1:9" x14ac:dyDescent="0.3">
      <c r="A512" t="s">
        <v>8</v>
      </c>
      <c r="B512" t="s">
        <v>15</v>
      </c>
      <c r="C512" t="s">
        <v>117</v>
      </c>
      <c r="D512" s="9" t="s">
        <v>111</v>
      </c>
      <c r="E512" t="s">
        <v>38</v>
      </c>
      <c r="F512" t="s">
        <v>73</v>
      </c>
      <c r="G512">
        <v>38</v>
      </c>
      <c r="H512" s="9">
        <v>5.85</v>
      </c>
      <c r="I512"/>
    </row>
    <row r="513" spans="1:9" x14ac:dyDescent="0.3">
      <c r="A513" t="s">
        <v>8</v>
      </c>
      <c r="B513" t="s">
        <v>15</v>
      </c>
      <c r="C513" t="s">
        <v>118</v>
      </c>
      <c r="D513" s="9" t="s">
        <v>111</v>
      </c>
      <c r="E513" t="s">
        <v>39</v>
      </c>
      <c r="F513" t="s">
        <v>75</v>
      </c>
      <c r="G513">
        <v>40.9</v>
      </c>
      <c r="H513" s="9">
        <v>34.1</v>
      </c>
      <c r="I513"/>
    </row>
    <row r="514" spans="1:9" x14ac:dyDescent="0.3">
      <c r="A514" t="s">
        <v>8</v>
      </c>
      <c r="B514" t="s">
        <v>15</v>
      </c>
      <c r="C514" t="s">
        <v>119</v>
      </c>
      <c r="D514" s="9" t="s">
        <v>111</v>
      </c>
      <c r="E514" t="s">
        <v>40</v>
      </c>
      <c r="F514" t="s">
        <v>77</v>
      </c>
      <c r="G514">
        <v>45</v>
      </c>
      <c r="H514" s="9">
        <v>44.23</v>
      </c>
      <c r="I514"/>
    </row>
    <row r="515" spans="1:9" x14ac:dyDescent="0.3">
      <c r="A515" t="s">
        <v>8</v>
      </c>
      <c r="B515" t="s">
        <v>15</v>
      </c>
      <c r="C515" t="s">
        <v>120</v>
      </c>
      <c r="D515" s="9" t="s">
        <v>111</v>
      </c>
      <c r="E515" t="s">
        <v>41</v>
      </c>
      <c r="F515" t="s">
        <v>79</v>
      </c>
      <c r="G515">
        <v>49.5</v>
      </c>
      <c r="H515" s="9">
        <v>-0.2</v>
      </c>
      <c r="I515"/>
    </row>
    <row r="516" spans="1:9" x14ac:dyDescent="0.3">
      <c r="A516" t="s">
        <v>8</v>
      </c>
      <c r="B516" t="s">
        <v>15</v>
      </c>
      <c r="C516" t="s">
        <v>121</v>
      </c>
      <c r="D516" s="9" t="s">
        <v>111</v>
      </c>
      <c r="E516" t="s">
        <v>42</v>
      </c>
      <c r="F516" t="s">
        <v>81</v>
      </c>
      <c r="G516">
        <v>50.1</v>
      </c>
      <c r="H516" s="9">
        <v>-4.57</v>
      </c>
      <c r="I516"/>
    </row>
    <row r="517" spans="1:9" x14ac:dyDescent="0.3">
      <c r="A517" t="s">
        <v>8</v>
      </c>
      <c r="B517" t="s">
        <v>15</v>
      </c>
      <c r="C517" t="s">
        <v>122</v>
      </c>
      <c r="D517" s="9" t="s">
        <v>111</v>
      </c>
      <c r="E517" t="s">
        <v>43</v>
      </c>
      <c r="F517" t="s">
        <v>83</v>
      </c>
      <c r="G517">
        <v>53.9</v>
      </c>
      <c r="H517" s="9">
        <v>-0.92</v>
      </c>
      <c r="I517"/>
    </row>
    <row r="518" spans="1:9" x14ac:dyDescent="0.3">
      <c r="A518" t="s">
        <v>8</v>
      </c>
      <c r="B518" t="s">
        <v>15</v>
      </c>
      <c r="C518" t="s">
        <v>123</v>
      </c>
      <c r="D518" s="9" t="s">
        <v>124</v>
      </c>
      <c r="E518" t="s">
        <v>32</v>
      </c>
      <c r="F518" t="s">
        <v>61</v>
      </c>
      <c r="G518">
        <v>46</v>
      </c>
      <c r="H518" s="9">
        <v>-2.54</v>
      </c>
      <c r="I518"/>
    </row>
    <row r="519" spans="1:9" x14ac:dyDescent="0.3">
      <c r="A519" t="s">
        <v>8</v>
      </c>
      <c r="B519" t="s">
        <v>15</v>
      </c>
      <c r="C519" t="s">
        <v>125</v>
      </c>
      <c r="D519" s="9" t="s">
        <v>124</v>
      </c>
      <c r="E519" t="s">
        <v>33</v>
      </c>
      <c r="F519" t="s">
        <v>63</v>
      </c>
      <c r="G519">
        <v>41.6</v>
      </c>
      <c r="H519" s="9">
        <v>-1.65</v>
      </c>
      <c r="I519"/>
    </row>
    <row r="520" spans="1:9" x14ac:dyDescent="0.3">
      <c r="A520" t="s">
        <v>8</v>
      </c>
      <c r="B520" t="s">
        <v>15</v>
      </c>
      <c r="C520" t="s">
        <v>126</v>
      </c>
      <c r="D520" s="9" t="s">
        <v>124</v>
      </c>
      <c r="E520" t="s">
        <v>34</v>
      </c>
      <c r="F520" t="s">
        <v>65</v>
      </c>
      <c r="G520">
        <v>44.7</v>
      </c>
      <c r="H520" s="9">
        <v>0.9</v>
      </c>
      <c r="I520"/>
    </row>
    <row r="521" spans="1:9" x14ac:dyDescent="0.3">
      <c r="A521" t="s">
        <v>8</v>
      </c>
      <c r="B521" t="s">
        <v>15</v>
      </c>
      <c r="C521" t="s">
        <v>127</v>
      </c>
      <c r="D521" s="9" t="s">
        <v>124</v>
      </c>
      <c r="E521" t="s">
        <v>35</v>
      </c>
      <c r="F521" t="s">
        <v>67</v>
      </c>
      <c r="G521">
        <v>41.5</v>
      </c>
      <c r="H521" s="9">
        <v>-1.19</v>
      </c>
      <c r="I521"/>
    </row>
    <row r="522" spans="1:9" x14ac:dyDescent="0.3">
      <c r="A522" t="s">
        <v>8</v>
      </c>
      <c r="B522" t="s">
        <v>15</v>
      </c>
      <c r="C522" t="s">
        <v>128</v>
      </c>
      <c r="D522" s="9" t="s">
        <v>124</v>
      </c>
      <c r="E522" t="s">
        <v>36</v>
      </c>
      <c r="F522" t="s">
        <v>69</v>
      </c>
      <c r="G522">
        <v>41.9</v>
      </c>
      <c r="H522" s="9">
        <v>6.89</v>
      </c>
      <c r="I522"/>
    </row>
    <row r="523" spans="1:9" x14ac:dyDescent="0.3">
      <c r="A523" t="s">
        <v>8</v>
      </c>
      <c r="B523" t="s">
        <v>15</v>
      </c>
      <c r="C523" t="s">
        <v>129</v>
      </c>
      <c r="D523" s="9" t="s">
        <v>124</v>
      </c>
      <c r="E523" t="s">
        <v>37</v>
      </c>
      <c r="F523" t="s">
        <v>71</v>
      </c>
      <c r="G523">
        <v>40.1</v>
      </c>
      <c r="H523" s="9">
        <v>4.16</v>
      </c>
      <c r="I523"/>
    </row>
    <row r="524" spans="1:9" x14ac:dyDescent="0.3">
      <c r="A524" t="s">
        <v>8</v>
      </c>
      <c r="B524" t="s">
        <v>15</v>
      </c>
      <c r="C524" t="s">
        <v>130</v>
      </c>
      <c r="D524" s="9" t="s">
        <v>124</v>
      </c>
      <c r="E524" t="s">
        <v>38</v>
      </c>
      <c r="F524" t="s">
        <v>73</v>
      </c>
      <c r="G524">
        <v>39.799999999999997</v>
      </c>
      <c r="H524" s="9">
        <v>4.74</v>
      </c>
      <c r="I524"/>
    </row>
    <row r="525" spans="1:9" x14ac:dyDescent="0.3">
      <c r="A525" t="s">
        <v>8</v>
      </c>
      <c r="B525" t="s">
        <v>15</v>
      </c>
      <c r="C525" t="s">
        <v>131</v>
      </c>
      <c r="D525" s="9" t="s">
        <v>124</v>
      </c>
      <c r="E525" t="s">
        <v>39</v>
      </c>
      <c r="F525" t="s">
        <v>75</v>
      </c>
      <c r="G525">
        <v>42.3</v>
      </c>
      <c r="H525" s="9">
        <v>3.42</v>
      </c>
      <c r="I525"/>
    </row>
    <row r="526" spans="1:9" x14ac:dyDescent="0.3">
      <c r="A526" t="s">
        <v>8</v>
      </c>
      <c r="B526" t="s">
        <v>15</v>
      </c>
      <c r="C526" t="s">
        <v>132</v>
      </c>
      <c r="D526" s="9" t="s">
        <v>124</v>
      </c>
      <c r="E526" t="s">
        <v>40</v>
      </c>
      <c r="F526" t="s">
        <v>77</v>
      </c>
      <c r="G526">
        <v>49.7</v>
      </c>
      <c r="H526" s="9">
        <v>10.44</v>
      </c>
      <c r="I526"/>
    </row>
    <row r="527" spans="1:9" x14ac:dyDescent="0.3">
      <c r="A527" t="s">
        <v>8</v>
      </c>
      <c r="B527" t="s">
        <v>15</v>
      </c>
      <c r="C527" t="s">
        <v>133</v>
      </c>
      <c r="D527" s="9" t="s">
        <v>124</v>
      </c>
      <c r="E527" t="s">
        <v>41</v>
      </c>
      <c r="F527" t="s">
        <v>79</v>
      </c>
      <c r="G527">
        <v>51.4</v>
      </c>
      <c r="H527" s="9">
        <v>3.84</v>
      </c>
      <c r="I527"/>
    </row>
    <row r="528" spans="1:9" x14ac:dyDescent="0.3">
      <c r="A528" t="s">
        <v>8</v>
      </c>
      <c r="B528" t="s">
        <v>15</v>
      </c>
      <c r="C528" t="s">
        <v>134</v>
      </c>
      <c r="D528" s="9" t="s">
        <v>124</v>
      </c>
      <c r="E528" t="s">
        <v>42</v>
      </c>
      <c r="F528" t="s">
        <v>81</v>
      </c>
      <c r="G528">
        <v>49.6</v>
      </c>
      <c r="H528" s="9">
        <v>-1</v>
      </c>
      <c r="I528"/>
    </row>
    <row r="529" spans="1:9" x14ac:dyDescent="0.3">
      <c r="A529" t="s">
        <v>8</v>
      </c>
      <c r="B529" t="s">
        <v>15</v>
      </c>
      <c r="C529" t="s">
        <v>135</v>
      </c>
      <c r="D529" s="9" t="s">
        <v>124</v>
      </c>
      <c r="E529" t="s">
        <v>43</v>
      </c>
      <c r="F529" t="s">
        <v>83</v>
      </c>
      <c r="G529">
        <v>51.2</v>
      </c>
      <c r="H529" s="9">
        <v>-5.01</v>
      </c>
      <c r="I529"/>
    </row>
    <row r="530" spans="1:9" x14ac:dyDescent="0.3">
      <c r="A530" t="s">
        <v>8</v>
      </c>
      <c r="B530" t="s">
        <v>15</v>
      </c>
      <c r="C530" t="s">
        <v>136</v>
      </c>
      <c r="D530" s="9" t="s">
        <v>137</v>
      </c>
      <c r="E530" t="s">
        <v>32</v>
      </c>
      <c r="F530" t="s">
        <v>61</v>
      </c>
      <c r="G530">
        <v>45.3</v>
      </c>
      <c r="H530" s="9">
        <v>-1.52</v>
      </c>
      <c r="I530"/>
    </row>
    <row r="531" spans="1:9" x14ac:dyDescent="0.3">
      <c r="A531" t="s">
        <v>8</v>
      </c>
      <c r="B531" t="s">
        <v>15</v>
      </c>
      <c r="C531" t="s">
        <v>138</v>
      </c>
      <c r="D531" s="9" t="s">
        <v>137</v>
      </c>
      <c r="E531" t="s">
        <v>33</v>
      </c>
      <c r="F531" t="s">
        <v>63</v>
      </c>
      <c r="G531">
        <v>42.5</v>
      </c>
      <c r="H531" s="9">
        <v>2.16</v>
      </c>
      <c r="I531"/>
    </row>
    <row r="532" spans="1:9" x14ac:dyDescent="0.3">
      <c r="A532" t="s">
        <v>8</v>
      </c>
      <c r="B532" t="s">
        <v>15</v>
      </c>
      <c r="C532" t="s">
        <v>139</v>
      </c>
      <c r="D532" s="9" t="s">
        <v>137</v>
      </c>
      <c r="E532" t="s">
        <v>34</v>
      </c>
      <c r="F532" t="s">
        <v>65</v>
      </c>
      <c r="G532">
        <v>44</v>
      </c>
      <c r="H532" s="9">
        <v>-1.57</v>
      </c>
      <c r="I532"/>
    </row>
    <row r="533" spans="1:9" x14ac:dyDescent="0.3">
      <c r="A533" t="s">
        <v>8</v>
      </c>
      <c r="B533" t="s">
        <v>15</v>
      </c>
      <c r="C533" t="s">
        <v>140</v>
      </c>
      <c r="D533" s="9" t="s">
        <v>137</v>
      </c>
      <c r="E533" t="s">
        <v>35</v>
      </c>
      <c r="F533" t="s">
        <v>67</v>
      </c>
      <c r="G533">
        <v>40.9</v>
      </c>
      <c r="H533" s="9">
        <v>-1.45</v>
      </c>
      <c r="I533"/>
    </row>
    <row r="534" spans="1:9" x14ac:dyDescent="0.3">
      <c r="A534" t="s">
        <v>8</v>
      </c>
      <c r="B534" t="s">
        <v>15</v>
      </c>
      <c r="C534" t="s">
        <v>141</v>
      </c>
      <c r="D534" s="9" t="s">
        <v>137</v>
      </c>
      <c r="E534" t="s">
        <v>36</v>
      </c>
      <c r="F534" t="s">
        <v>69</v>
      </c>
      <c r="G534">
        <v>41.2</v>
      </c>
      <c r="H534" s="9">
        <v>-1.67</v>
      </c>
      <c r="I534"/>
    </row>
    <row r="535" spans="1:9" x14ac:dyDescent="0.3">
      <c r="A535" t="s">
        <v>8</v>
      </c>
      <c r="B535" t="s">
        <v>15</v>
      </c>
      <c r="C535" t="s">
        <v>142</v>
      </c>
      <c r="D535" s="9" t="s">
        <v>137</v>
      </c>
      <c r="E535" t="s">
        <v>37</v>
      </c>
      <c r="F535" t="s">
        <v>71</v>
      </c>
      <c r="G535">
        <v>40.1</v>
      </c>
      <c r="H535" s="9">
        <v>0</v>
      </c>
      <c r="I535"/>
    </row>
    <row r="536" spans="1:9" x14ac:dyDescent="0.3">
      <c r="A536" t="s">
        <v>8</v>
      </c>
      <c r="B536" t="s">
        <v>15</v>
      </c>
      <c r="C536" t="s">
        <v>143</v>
      </c>
      <c r="D536" s="9" t="s">
        <v>137</v>
      </c>
      <c r="E536" t="s">
        <v>38</v>
      </c>
      <c r="F536" t="s">
        <v>73</v>
      </c>
      <c r="G536">
        <v>38.6</v>
      </c>
      <c r="H536" s="9">
        <v>-3.02</v>
      </c>
      <c r="I536"/>
    </row>
    <row r="537" spans="1:9" x14ac:dyDescent="0.3">
      <c r="A537" t="s">
        <v>8</v>
      </c>
      <c r="B537" t="s">
        <v>15</v>
      </c>
      <c r="C537" t="s">
        <v>144</v>
      </c>
      <c r="D537" s="9" t="s">
        <v>137</v>
      </c>
      <c r="E537" t="s">
        <v>39</v>
      </c>
      <c r="F537" t="s">
        <v>75</v>
      </c>
      <c r="G537">
        <v>41.5</v>
      </c>
      <c r="H537" s="9">
        <v>-1.89</v>
      </c>
      <c r="I537"/>
    </row>
    <row r="538" spans="1:9" x14ac:dyDescent="0.3">
      <c r="A538" t="s">
        <v>8</v>
      </c>
      <c r="B538" t="s">
        <v>15</v>
      </c>
      <c r="C538" t="s">
        <v>145</v>
      </c>
      <c r="D538" s="9" t="s">
        <v>137</v>
      </c>
      <c r="E538" t="s">
        <v>40</v>
      </c>
      <c r="F538" t="s">
        <v>77</v>
      </c>
      <c r="G538">
        <v>46.6</v>
      </c>
      <c r="H538" s="9">
        <v>-6.24</v>
      </c>
      <c r="I538"/>
    </row>
    <row r="539" spans="1:9" x14ac:dyDescent="0.3">
      <c r="A539" t="s">
        <v>8</v>
      </c>
      <c r="B539" t="s">
        <v>15</v>
      </c>
      <c r="C539" t="s">
        <v>146</v>
      </c>
      <c r="D539" s="9" t="s">
        <v>137</v>
      </c>
      <c r="E539" t="s">
        <v>41</v>
      </c>
      <c r="F539" t="s">
        <v>79</v>
      </c>
      <c r="G539">
        <v>51.5</v>
      </c>
      <c r="H539" s="9">
        <v>0.19</v>
      </c>
      <c r="I539"/>
    </row>
    <row r="540" spans="1:9" x14ac:dyDescent="0.3">
      <c r="A540" t="s">
        <v>8</v>
      </c>
      <c r="B540" t="s">
        <v>15</v>
      </c>
      <c r="C540" t="s">
        <v>147</v>
      </c>
      <c r="D540" s="9" t="s">
        <v>137</v>
      </c>
      <c r="E540" t="s">
        <v>42</v>
      </c>
      <c r="F540" t="s">
        <v>81</v>
      </c>
      <c r="G540">
        <v>52</v>
      </c>
      <c r="H540" s="9">
        <v>4.84</v>
      </c>
      <c r="I540"/>
    </row>
    <row r="541" spans="1:9" x14ac:dyDescent="0.3">
      <c r="A541" t="s">
        <v>8</v>
      </c>
      <c r="B541" t="s">
        <v>15</v>
      </c>
      <c r="C541" t="s">
        <v>148</v>
      </c>
      <c r="D541" s="9" t="s">
        <v>137</v>
      </c>
      <c r="E541" t="s">
        <v>43</v>
      </c>
      <c r="F541" t="s">
        <v>83</v>
      </c>
      <c r="G541">
        <v>50.3</v>
      </c>
      <c r="H541" s="9">
        <v>-1.76</v>
      </c>
      <c r="I541"/>
    </row>
    <row r="542" spans="1:9" x14ac:dyDescent="0.3">
      <c r="A542" t="s">
        <v>8</v>
      </c>
      <c r="B542" t="s">
        <v>15</v>
      </c>
      <c r="C542" t="s">
        <v>149</v>
      </c>
      <c r="D542" s="9" t="s">
        <v>150</v>
      </c>
      <c r="E542" t="s">
        <v>32</v>
      </c>
      <c r="F542" t="s">
        <v>61</v>
      </c>
      <c r="G542">
        <v>44.9</v>
      </c>
      <c r="H542" s="9">
        <v>-0.88</v>
      </c>
      <c r="I542"/>
    </row>
    <row r="543" spans="1:9" x14ac:dyDescent="0.3">
      <c r="A543" t="s">
        <v>8</v>
      </c>
      <c r="B543" t="s">
        <v>15</v>
      </c>
      <c r="C543" t="s">
        <v>151</v>
      </c>
      <c r="D543" s="9" t="s">
        <v>150</v>
      </c>
      <c r="E543" t="s">
        <v>33</v>
      </c>
      <c r="F543" t="s">
        <v>63</v>
      </c>
      <c r="G543">
        <v>40.799999999999997</v>
      </c>
      <c r="H543" s="9">
        <v>-4</v>
      </c>
      <c r="I543"/>
    </row>
    <row r="544" spans="1:9" x14ac:dyDescent="0.3">
      <c r="A544" t="s">
        <v>8</v>
      </c>
      <c r="B544" t="s">
        <v>15</v>
      </c>
      <c r="C544" t="s">
        <v>152</v>
      </c>
      <c r="D544" s="9" t="s">
        <v>150</v>
      </c>
      <c r="E544" t="s">
        <v>34</v>
      </c>
      <c r="F544" t="s">
        <v>65</v>
      </c>
      <c r="G544">
        <v>43.5</v>
      </c>
      <c r="H544" s="9">
        <v>-1.1399999999999999</v>
      </c>
      <c r="I544"/>
    </row>
    <row r="545" spans="1:9" x14ac:dyDescent="0.3">
      <c r="A545" t="s">
        <v>8</v>
      </c>
      <c r="B545" t="s">
        <v>15</v>
      </c>
      <c r="C545" t="s">
        <v>153</v>
      </c>
      <c r="D545" s="9" t="s">
        <v>150</v>
      </c>
      <c r="E545" t="s">
        <v>35</v>
      </c>
      <c r="F545" t="s">
        <v>67</v>
      </c>
      <c r="G545">
        <v>41.4</v>
      </c>
      <c r="H545" s="9">
        <v>1.22</v>
      </c>
      <c r="I545"/>
    </row>
    <row r="546" spans="1:9" x14ac:dyDescent="0.3">
      <c r="A546" t="s">
        <v>8</v>
      </c>
      <c r="B546" t="s">
        <v>15</v>
      </c>
      <c r="C546" t="s">
        <v>154</v>
      </c>
      <c r="D546" s="9" t="s">
        <v>150</v>
      </c>
      <c r="E546" t="s">
        <v>36</v>
      </c>
      <c r="F546" t="s">
        <v>69</v>
      </c>
      <c r="G546">
        <v>41</v>
      </c>
      <c r="H546" s="9">
        <v>-0.49</v>
      </c>
      <c r="I546"/>
    </row>
    <row r="547" spans="1:9" x14ac:dyDescent="0.3">
      <c r="A547" t="s">
        <v>8</v>
      </c>
      <c r="B547" t="s">
        <v>15</v>
      </c>
      <c r="C547" t="s">
        <v>155</v>
      </c>
      <c r="D547" s="9" t="s">
        <v>150</v>
      </c>
      <c r="E547" t="s">
        <v>37</v>
      </c>
      <c r="F547" t="s">
        <v>71</v>
      </c>
      <c r="G547">
        <v>38.1</v>
      </c>
      <c r="H547" s="9">
        <v>-4.99</v>
      </c>
      <c r="I547"/>
    </row>
    <row r="548" spans="1:9" x14ac:dyDescent="0.3">
      <c r="A548" t="s">
        <v>8</v>
      </c>
      <c r="B548" t="s">
        <v>21</v>
      </c>
      <c r="C548" t="s">
        <v>59</v>
      </c>
      <c r="D548" s="9" t="s">
        <v>60</v>
      </c>
      <c r="E548" t="s">
        <v>32</v>
      </c>
      <c r="F548" t="s">
        <v>61</v>
      </c>
      <c r="G548">
        <v>12.6</v>
      </c>
      <c r="I548"/>
    </row>
    <row r="549" spans="1:9" x14ac:dyDescent="0.3">
      <c r="A549" t="s">
        <v>8</v>
      </c>
      <c r="B549" t="s">
        <v>21</v>
      </c>
      <c r="C549" t="s">
        <v>62</v>
      </c>
      <c r="D549" s="9" t="s">
        <v>60</v>
      </c>
      <c r="E549" t="s">
        <v>33</v>
      </c>
      <c r="F549" t="s">
        <v>63</v>
      </c>
      <c r="G549">
        <v>11.9</v>
      </c>
      <c r="I549"/>
    </row>
    <row r="550" spans="1:9" x14ac:dyDescent="0.3">
      <c r="A550" t="s">
        <v>8</v>
      </c>
      <c r="B550" t="s">
        <v>21</v>
      </c>
      <c r="C550" t="s">
        <v>64</v>
      </c>
      <c r="D550" s="9" t="s">
        <v>60</v>
      </c>
      <c r="E550" t="s">
        <v>34</v>
      </c>
      <c r="F550" t="s">
        <v>65</v>
      </c>
      <c r="G550">
        <v>13.2</v>
      </c>
      <c r="I550"/>
    </row>
    <row r="551" spans="1:9" x14ac:dyDescent="0.3">
      <c r="A551" t="s">
        <v>8</v>
      </c>
      <c r="B551" t="s">
        <v>21</v>
      </c>
      <c r="C551" t="s">
        <v>66</v>
      </c>
      <c r="D551" s="9" t="s">
        <v>60</v>
      </c>
      <c r="E551" t="s">
        <v>35</v>
      </c>
      <c r="F551" t="s">
        <v>67</v>
      </c>
      <c r="G551">
        <v>12.7</v>
      </c>
      <c r="I551"/>
    </row>
    <row r="552" spans="1:9" x14ac:dyDescent="0.3">
      <c r="A552" t="s">
        <v>8</v>
      </c>
      <c r="B552" t="s">
        <v>21</v>
      </c>
      <c r="C552" t="s">
        <v>68</v>
      </c>
      <c r="D552" s="9" t="s">
        <v>60</v>
      </c>
      <c r="E552" t="s">
        <v>36</v>
      </c>
      <c r="F552" t="s">
        <v>69</v>
      </c>
      <c r="G552">
        <v>12.1</v>
      </c>
      <c r="I552"/>
    </row>
    <row r="553" spans="1:9" x14ac:dyDescent="0.3">
      <c r="A553" t="s">
        <v>8</v>
      </c>
      <c r="B553" t="s">
        <v>21</v>
      </c>
      <c r="C553" t="s">
        <v>70</v>
      </c>
      <c r="D553" s="9" t="s">
        <v>60</v>
      </c>
      <c r="E553" t="s">
        <v>37</v>
      </c>
      <c r="F553" t="s">
        <v>71</v>
      </c>
      <c r="G553">
        <v>11.7</v>
      </c>
      <c r="I553"/>
    </row>
    <row r="554" spans="1:9" x14ac:dyDescent="0.3">
      <c r="A554" t="s">
        <v>8</v>
      </c>
      <c r="B554" t="s">
        <v>21</v>
      </c>
      <c r="C554" t="s">
        <v>72</v>
      </c>
      <c r="D554" s="9" t="s">
        <v>60</v>
      </c>
      <c r="E554" t="s">
        <v>38</v>
      </c>
      <c r="F554" t="s">
        <v>73</v>
      </c>
      <c r="G554">
        <v>12</v>
      </c>
      <c r="I554"/>
    </row>
    <row r="555" spans="1:9" x14ac:dyDescent="0.3">
      <c r="A555" t="s">
        <v>8</v>
      </c>
      <c r="B555" t="s">
        <v>21</v>
      </c>
      <c r="C555" t="s">
        <v>74</v>
      </c>
      <c r="D555" s="9" t="s">
        <v>60</v>
      </c>
      <c r="E555" t="s">
        <v>39</v>
      </c>
      <c r="F555" t="s">
        <v>75</v>
      </c>
      <c r="G555">
        <v>12.6</v>
      </c>
      <c r="I555"/>
    </row>
    <row r="556" spans="1:9" x14ac:dyDescent="0.3">
      <c r="A556" t="s">
        <v>8</v>
      </c>
      <c r="B556" t="s">
        <v>21</v>
      </c>
      <c r="C556" t="s">
        <v>76</v>
      </c>
      <c r="D556" s="9" t="s">
        <v>60</v>
      </c>
      <c r="E556" t="s">
        <v>40</v>
      </c>
      <c r="F556" t="s">
        <v>77</v>
      </c>
      <c r="G556">
        <v>12.2</v>
      </c>
      <c r="I556"/>
    </row>
    <row r="557" spans="1:9" x14ac:dyDescent="0.3">
      <c r="A557" t="s">
        <v>8</v>
      </c>
      <c r="B557" t="s">
        <v>21</v>
      </c>
      <c r="C557" t="s">
        <v>78</v>
      </c>
      <c r="D557" s="9" t="s">
        <v>60</v>
      </c>
      <c r="E557" t="s">
        <v>41</v>
      </c>
      <c r="F557" t="s">
        <v>79</v>
      </c>
      <c r="G557">
        <v>12.6</v>
      </c>
      <c r="I557"/>
    </row>
    <row r="558" spans="1:9" x14ac:dyDescent="0.3">
      <c r="A558" t="s">
        <v>8</v>
      </c>
      <c r="B558" t="s">
        <v>21</v>
      </c>
      <c r="C558" t="s">
        <v>80</v>
      </c>
      <c r="D558" s="9" t="s">
        <v>60</v>
      </c>
      <c r="E558" t="s">
        <v>42</v>
      </c>
      <c r="F558" t="s">
        <v>81</v>
      </c>
      <c r="G558">
        <v>13.8</v>
      </c>
      <c r="I558"/>
    </row>
    <row r="559" spans="1:9" x14ac:dyDescent="0.3">
      <c r="A559" t="s">
        <v>8</v>
      </c>
      <c r="B559" t="s">
        <v>21</v>
      </c>
      <c r="C559" t="s">
        <v>82</v>
      </c>
      <c r="D559" s="9" t="s">
        <v>60</v>
      </c>
      <c r="E559" t="s">
        <v>43</v>
      </c>
      <c r="F559" t="s">
        <v>83</v>
      </c>
      <c r="G559">
        <v>18.5</v>
      </c>
      <c r="I559"/>
    </row>
    <row r="560" spans="1:9" x14ac:dyDescent="0.3">
      <c r="A560" t="s">
        <v>8</v>
      </c>
      <c r="B560" t="s">
        <v>21</v>
      </c>
      <c r="C560" t="s">
        <v>84</v>
      </c>
      <c r="D560" s="9" t="s">
        <v>85</v>
      </c>
      <c r="E560" t="s">
        <v>32</v>
      </c>
      <c r="F560" t="s">
        <v>61</v>
      </c>
      <c r="G560">
        <v>11.8</v>
      </c>
      <c r="H560" s="9">
        <v>-6.35</v>
      </c>
      <c r="I560"/>
    </row>
    <row r="561" spans="1:9" x14ac:dyDescent="0.3">
      <c r="A561" t="s">
        <v>8</v>
      </c>
      <c r="B561" t="s">
        <v>21</v>
      </c>
      <c r="C561" t="s">
        <v>86</v>
      </c>
      <c r="D561" s="9" t="s">
        <v>85</v>
      </c>
      <c r="E561" t="s">
        <v>33</v>
      </c>
      <c r="F561" t="s">
        <v>63</v>
      </c>
      <c r="G561">
        <v>11.8</v>
      </c>
      <c r="H561" s="9">
        <v>-0.84</v>
      </c>
      <c r="I561"/>
    </row>
    <row r="562" spans="1:9" x14ac:dyDescent="0.3">
      <c r="A562" t="s">
        <v>8</v>
      </c>
      <c r="B562" t="s">
        <v>21</v>
      </c>
      <c r="C562" t="s">
        <v>87</v>
      </c>
      <c r="D562" s="9" t="s">
        <v>85</v>
      </c>
      <c r="E562" t="s">
        <v>34</v>
      </c>
      <c r="F562" t="s">
        <v>65</v>
      </c>
      <c r="G562">
        <v>16.399999999999999</v>
      </c>
      <c r="H562" s="9">
        <v>24.24</v>
      </c>
      <c r="I562"/>
    </row>
    <row r="563" spans="1:9" x14ac:dyDescent="0.3">
      <c r="A563" t="s">
        <v>8</v>
      </c>
      <c r="B563" t="s">
        <v>21</v>
      </c>
      <c r="C563" t="s">
        <v>88</v>
      </c>
      <c r="D563" s="9" t="s">
        <v>85</v>
      </c>
      <c r="E563" t="s">
        <v>35</v>
      </c>
      <c r="F563" t="s">
        <v>67</v>
      </c>
      <c r="G563">
        <v>14.8</v>
      </c>
      <c r="H563" s="9">
        <v>16.54</v>
      </c>
      <c r="I563"/>
    </row>
    <row r="564" spans="1:9" x14ac:dyDescent="0.3">
      <c r="A564" t="s">
        <v>8</v>
      </c>
      <c r="B564" t="s">
        <v>21</v>
      </c>
      <c r="C564" t="s">
        <v>89</v>
      </c>
      <c r="D564" s="9" t="s">
        <v>85</v>
      </c>
      <c r="E564" t="s">
        <v>36</v>
      </c>
      <c r="F564" t="s">
        <v>69</v>
      </c>
      <c r="G564">
        <v>19.2</v>
      </c>
      <c r="H564" s="9">
        <v>58.68</v>
      </c>
      <c r="I564"/>
    </row>
    <row r="565" spans="1:9" x14ac:dyDescent="0.3">
      <c r="A565" t="s">
        <v>8</v>
      </c>
      <c r="B565" t="s">
        <v>21</v>
      </c>
      <c r="C565" t="s">
        <v>90</v>
      </c>
      <c r="D565" s="9" t="s">
        <v>85</v>
      </c>
      <c r="E565" t="s">
        <v>37</v>
      </c>
      <c r="F565" t="s">
        <v>71</v>
      </c>
      <c r="G565">
        <v>17.3</v>
      </c>
      <c r="H565" s="9">
        <v>47.86</v>
      </c>
      <c r="I565"/>
    </row>
    <row r="566" spans="1:9" x14ac:dyDescent="0.3">
      <c r="A566" t="s">
        <v>8</v>
      </c>
      <c r="B566" t="s">
        <v>21</v>
      </c>
      <c r="C566" t="s">
        <v>91</v>
      </c>
      <c r="D566" s="9" t="s">
        <v>85</v>
      </c>
      <c r="E566" t="s">
        <v>38</v>
      </c>
      <c r="F566" t="s">
        <v>73</v>
      </c>
      <c r="G566">
        <v>18.2</v>
      </c>
      <c r="H566" s="9">
        <v>51.67</v>
      </c>
      <c r="I566"/>
    </row>
    <row r="567" spans="1:9" x14ac:dyDescent="0.3">
      <c r="A567" t="s">
        <v>8</v>
      </c>
      <c r="B567" t="s">
        <v>21</v>
      </c>
      <c r="C567" t="s">
        <v>92</v>
      </c>
      <c r="D567" s="9" t="s">
        <v>85</v>
      </c>
      <c r="E567" t="s">
        <v>39</v>
      </c>
      <c r="F567" t="s">
        <v>75</v>
      </c>
      <c r="G567">
        <v>18.100000000000001</v>
      </c>
      <c r="H567" s="9">
        <v>43.65</v>
      </c>
      <c r="I567"/>
    </row>
    <row r="568" spans="1:9" x14ac:dyDescent="0.3">
      <c r="A568" t="s">
        <v>8</v>
      </c>
      <c r="B568" t="s">
        <v>21</v>
      </c>
      <c r="C568" t="s">
        <v>93</v>
      </c>
      <c r="D568" s="9" t="s">
        <v>85</v>
      </c>
      <c r="E568" t="s">
        <v>40</v>
      </c>
      <c r="F568" t="s">
        <v>77</v>
      </c>
      <c r="G568">
        <v>19.2</v>
      </c>
      <c r="H568" s="9">
        <v>57.38</v>
      </c>
      <c r="I568"/>
    </row>
    <row r="569" spans="1:9" x14ac:dyDescent="0.3">
      <c r="A569" t="s">
        <v>8</v>
      </c>
      <c r="B569" t="s">
        <v>21</v>
      </c>
      <c r="C569" t="s">
        <v>94</v>
      </c>
      <c r="D569" s="9" t="s">
        <v>85</v>
      </c>
      <c r="E569" t="s">
        <v>41</v>
      </c>
      <c r="F569" t="s">
        <v>79</v>
      </c>
      <c r="G569">
        <v>20.5</v>
      </c>
      <c r="H569" s="9">
        <v>62.7</v>
      </c>
      <c r="I569"/>
    </row>
    <row r="570" spans="1:9" x14ac:dyDescent="0.3">
      <c r="A570" t="s">
        <v>8</v>
      </c>
      <c r="B570" t="s">
        <v>21</v>
      </c>
      <c r="C570" t="s">
        <v>95</v>
      </c>
      <c r="D570" s="9" t="s">
        <v>85</v>
      </c>
      <c r="E570" t="s">
        <v>42</v>
      </c>
      <c r="F570" t="s">
        <v>81</v>
      </c>
      <c r="G570">
        <v>20.399999999999999</v>
      </c>
      <c r="H570" s="9">
        <v>47.83</v>
      </c>
      <c r="I570"/>
    </row>
    <row r="571" spans="1:9" x14ac:dyDescent="0.3">
      <c r="A571" t="s">
        <v>8</v>
      </c>
      <c r="B571" t="s">
        <v>21</v>
      </c>
      <c r="C571" t="s">
        <v>96</v>
      </c>
      <c r="D571" s="9" t="s">
        <v>85</v>
      </c>
      <c r="E571" t="s">
        <v>43</v>
      </c>
      <c r="F571" t="s">
        <v>83</v>
      </c>
      <c r="G571">
        <v>30.9</v>
      </c>
      <c r="H571" s="9">
        <v>67.03</v>
      </c>
      <c r="I571"/>
    </row>
    <row r="572" spans="1:9" x14ac:dyDescent="0.3">
      <c r="A572" t="s">
        <v>8</v>
      </c>
      <c r="B572" t="s">
        <v>21</v>
      </c>
      <c r="C572" t="s">
        <v>97</v>
      </c>
      <c r="D572" s="9" t="s">
        <v>98</v>
      </c>
      <c r="E572" t="s">
        <v>32</v>
      </c>
      <c r="F572" t="s">
        <v>61</v>
      </c>
      <c r="G572">
        <v>19.100000000000001</v>
      </c>
      <c r="H572" s="9">
        <v>61.86</v>
      </c>
      <c r="I572"/>
    </row>
    <row r="573" spans="1:9" x14ac:dyDescent="0.3">
      <c r="A573" t="s">
        <v>8</v>
      </c>
      <c r="B573" t="s">
        <v>21</v>
      </c>
      <c r="C573" t="s">
        <v>99</v>
      </c>
      <c r="D573" s="9" t="s">
        <v>98</v>
      </c>
      <c r="E573" t="s">
        <v>33</v>
      </c>
      <c r="F573" t="s">
        <v>63</v>
      </c>
      <c r="G573">
        <v>17.5</v>
      </c>
      <c r="H573" s="9">
        <v>48.31</v>
      </c>
      <c r="I573"/>
    </row>
    <row r="574" spans="1:9" x14ac:dyDescent="0.3">
      <c r="A574" t="s">
        <v>8</v>
      </c>
      <c r="B574" t="s">
        <v>21</v>
      </c>
      <c r="C574" t="s">
        <v>100</v>
      </c>
      <c r="D574" s="9" t="s">
        <v>98</v>
      </c>
      <c r="E574" t="s">
        <v>34</v>
      </c>
      <c r="F574" t="s">
        <v>65</v>
      </c>
      <c r="G574">
        <v>19.3</v>
      </c>
      <c r="H574" s="9">
        <v>17.68</v>
      </c>
      <c r="I574"/>
    </row>
    <row r="575" spans="1:9" x14ac:dyDescent="0.3">
      <c r="A575" t="s">
        <v>8</v>
      </c>
      <c r="B575" t="s">
        <v>21</v>
      </c>
      <c r="C575" t="s">
        <v>101</v>
      </c>
      <c r="D575" s="9" t="s">
        <v>98</v>
      </c>
      <c r="E575" t="s">
        <v>35</v>
      </c>
      <c r="F575" t="s">
        <v>67</v>
      </c>
      <c r="G575">
        <v>19.2</v>
      </c>
      <c r="H575" s="9">
        <v>29.73</v>
      </c>
      <c r="I575"/>
    </row>
    <row r="576" spans="1:9" x14ac:dyDescent="0.3">
      <c r="A576" t="s">
        <v>8</v>
      </c>
      <c r="B576" t="s">
        <v>21</v>
      </c>
      <c r="C576" t="s">
        <v>102</v>
      </c>
      <c r="D576" s="9" t="s">
        <v>98</v>
      </c>
      <c r="E576" t="s">
        <v>36</v>
      </c>
      <c r="F576" t="s">
        <v>69</v>
      </c>
      <c r="G576">
        <v>19.100000000000001</v>
      </c>
      <c r="H576" s="9">
        <v>-0.52</v>
      </c>
      <c r="I576"/>
    </row>
    <row r="577" spans="1:9" x14ac:dyDescent="0.3">
      <c r="A577" t="s">
        <v>8</v>
      </c>
      <c r="B577" t="s">
        <v>21</v>
      </c>
      <c r="C577" t="s">
        <v>103</v>
      </c>
      <c r="D577" s="9" t="s">
        <v>98</v>
      </c>
      <c r="E577" t="s">
        <v>37</v>
      </c>
      <c r="F577" t="s">
        <v>71</v>
      </c>
      <c r="G577">
        <v>18.5</v>
      </c>
      <c r="H577" s="9">
        <v>6.94</v>
      </c>
      <c r="I577"/>
    </row>
    <row r="578" spans="1:9" x14ac:dyDescent="0.3">
      <c r="A578" t="s">
        <v>8</v>
      </c>
      <c r="B578" t="s">
        <v>21</v>
      </c>
      <c r="C578" t="s">
        <v>104</v>
      </c>
      <c r="D578" s="9" t="s">
        <v>98</v>
      </c>
      <c r="E578" t="s">
        <v>38</v>
      </c>
      <c r="F578" t="s">
        <v>73</v>
      </c>
      <c r="G578">
        <v>19.2</v>
      </c>
      <c r="H578" s="9">
        <v>5.49</v>
      </c>
      <c r="I578"/>
    </row>
    <row r="579" spans="1:9" x14ac:dyDescent="0.3">
      <c r="A579" t="s">
        <v>8</v>
      </c>
      <c r="B579" t="s">
        <v>21</v>
      </c>
      <c r="C579" t="s">
        <v>105</v>
      </c>
      <c r="D579" s="9" t="s">
        <v>98</v>
      </c>
      <c r="E579" t="s">
        <v>39</v>
      </c>
      <c r="F579" t="s">
        <v>75</v>
      </c>
      <c r="G579">
        <v>20.5</v>
      </c>
      <c r="H579" s="9">
        <v>13.26</v>
      </c>
      <c r="I579"/>
    </row>
    <row r="580" spans="1:9" x14ac:dyDescent="0.3">
      <c r="A580" t="s">
        <v>8</v>
      </c>
      <c r="B580" t="s">
        <v>21</v>
      </c>
      <c r="C580" t="s">
        <v>106</v>
      </c>
      <c r="D580" s="9" t="s">
        <v>98</v>
      </c>
      <c r="E580" t="s">
        <v>40</v>
      </c>
      <c r="F580" t="s">
        <v>77</v>
      </c>
      <c r="G580">
        <v>20.3</v>
      </c>
      <c r="H580" s="9">
        <v>5.73</v>
      </c>
      <c r="I580"/>
    </row>
    <row r="581" spans="1:9" x14ac:dyDescent="0.3">
      <c r="A581" t="s">
        <v>8</v>
      </c>
      <c r="B581" t="s">
        <v>21</v>
      </c>
      <c r="C581" t="s">
        <v>107</v>
      </c>
      <c r="D581" s="9" t="s">
        <v>98</v>
      </c>
      <c r="E581" t="s">
        <v>41</v>
      </c>
      <c r="F581" t="s">
        <v>79</v>
      </c>
      <c r="G581">
        <v>23.2</v>
      </c>
      <c r="H581" s="9">
        <v>13.17</v>
      </c>
      <c r="I581"/>
    </row>
    <row r="582" spans="1:9" x14ac:dyDescent="0.3">
      <c r="A582" t="s">
        <v>8</v>
      </c>
      <c r="B582" t="s">
        <v>21</v>
      </c>
      <c r="C582" t="s">
        <v>108</v>
      </c>
      <c r="D582" s="9" t="s">
        <v>98</v>
      </c>
      <c r="E582" t="s">
        <v>42</v>
      </c>
      <c r="F582" t="s">
        <v>81</v>
      </c>
      <c r="G582">
        <v>21.8</v>
      </c>
      <c r="H582" s="9">
        <v>6.86</v>
      </c>
      <c r="I582"/>
    </row>
    <row r="583" spans="1:9" x14ac:dyDescent="0.3">
      <c r="A583" t="s">
        <v>8</v>
      </c>
      <c r="B583" t="s">
        <v>21</v>
      </c>
      <c r="C583" t="s">
        <v>109</v>
      </c>
      <c r="D583" s="9" t="s">
        <v>98</v>
      </c>
      <c r="E583" t="s">
        <v>43</v>
      </c>
      <c r="F583" t="s">
        <v>83</v>
      </c>
      <c r="G583">
        <v>34.9</v>
      </c>
      <c r="H583" s="9">
        <v>12.94</v>
      </c>
      <c r="I583"/>
    </row>
    <row r="584" spans="1:9" x14ac:dyDescent="0.3">
      <c r="A584" t="s">
        <v>8</v>
      </c>
      <c r="B584" t="s">
        <v>21</v>
      </c>
      <c r="C584" t="s">
        <v>110</v>
      </c>
      <c r="D584" s="9" t="s">
        <v>111</v>
      </c>
      <c r="E584" t="s">
        <v>32</v>
      </c>
      <c r="F584" t="s">
        <v>61</v>
      </c>
      <c r="G584">
        <v>19.8</v>
      </c>
      <c r="H584" s="9">
        <v>3.66</v>
      </c>
      <c r="I584"/>
    </row>
    <row r="585" spans="1:9" x14ac:dyDescent="0.3">
      <c r="A585" t="s">
        <v>8</v>
      </c>
      <c r="B585" t="s">
        <v>21</v>
      </c>
      <c r="C585" t="s">
        <v>112</v>
      </c>
      <c r="D585" s="9" t="s">
        <v>111</v>
      </c>
      <c r="E585" t="s">
        <v>33</v>
      </c>
      <c r="F585" t="s">
        <v>63</v>
      </c>
      <c r="G585">
        <v>19.7</v>
      </c>
      <c r="H585" s="9">
        <v>12.57</v>
      </c>
      <c r="I585"/>
    </row>
    <row r="586" spans="1:9" x14ac:dyDescent="0.3">
      <c r="A586" t="s">
        <v>8</v>
      </c>
      <c r="B586" t="s">
        <v>21</v>
      </c>
      <c r="C586" t="s">
        <v>113</v>
      </c>
      <c r="D586" s="9" t="s">
        <v>111</v>
      </c>
      <c r="E586" t="s">
        <v>34</v>
      </c>
      <c r="F586" t="s">
        <v>65</v>
      </c>
      <c r="G586">
        <v>20.8</v>
      </c>
      <c r="H586" s="9">
        <v>7.77</v>
      </c>
      <c r="I586"/>
    </row>
    <row r="587" spans="1:9" x14ac:dyDescent="0.3">
      <c r="A587" t="s">
        <v>8</v>
      </c>
      <c r="B587" t="s">
        <v>21</v>
      </c>
      <c r="C587" t="s">
        <v>114</v>
      </c>
      <c r="D587" s="9" t="s">
        <v>111</v>
      </c>
      <c r="E587" t="s">
        <v>35</v>
      </c>
      <c r="F587" t="s">
        <v>67</v>
      </c>
      <c r="G587">
        <v>22.1</v>
      </c>
      <c r="H587" s="9">
        <v>15.1</v>
      </c>
      <c r="I587"/>
    </row>
    <row r="588" spans="1:9" x14ac:dyDescent="0.3">
      <c r="A588" t="s">
        <v>8</v>
      </c>
      <c r="B588" t="s">
        <v>21</v>
      </c>
      <c r="C588" t="s">
        <v>115</v>
      </c>
      <c r="D588" s="9" t="s">
        <v>111</v>
      </c>
      <c r="E588" t="s">
        <v>36</v>
      </c>
      <c r="F588" t="s">
        <v>69</v>
      </c>
      <c r="G588">
        <v>20.399999999999999</v>
      </c>
      <c r="H588" s="9">
        <v>6.81</v>
      </c>
      <c r="I588"/>
    </row>
    <row r="589" spans="1:9" x14ac:dyDescent="0.3">
      <c r="A589" t="s">
        <v>8</v>
      </c>
      <c r="B589" t="s">
        <v>21</v>
      </c>
      <c r="C589" t="s">
        <v>116</v>
      </c>
      <c r="D589" s="9" t="s">
        <v>111</v>
      </c>
      <c r="E589" t="s">
        <v>37</v>
      </c>
      <c r="F589" t="s">
        <v>71</v>
      </c>
      <c r="G589">
        <v>19.8</v>
      </c>
      <c r="H589" s="9">
        <v>7.03</v>
      </c>
      <c r="I589"/>
    </row>
    <row r="590" spans="1:9" x14ac:dyDescent="0.3">
      <c r="A590" t="s">
        <v>8</v>
      </c>
      <c r="B590" t="s">
        <v>21</v>
      </c>
      <c r="C590" t="s">
        <v>117</v>
      </c>
      <c r="D590" s="9" t="s">
        <v>111</v>
      </c>
      <c r="E590" t="s">
        <v>38</v>
      </c>
      <c r="F590" t="s">
        <v>73</v>
      </c>
      <c r="G590">
        <v>21.3</v>
      </c>
      <c r="H590" s="9">
        <v>10.94</v>
      </c>
      <c r="I590"/>
    </row>
    <row r="591" spans="1:9" x14ac:dyDescent="0.3">
      <c r="A591" t="s">
        <v>8</v>
      </c>
      <c r="B591" t="s">
        <v>21</v>
      </c>
      <c r="C591" t="s">
        <v>118</v>
      </c>
      <c r="D591" s="9" t="s">
        <v>111</v>
      </c>
      <c r="E591" t="s">
        <v>39</v>
      </c>
      <c r="F591" t="s">
        <v>75</v>
      </c>
      <c r="G591">
        <v>20.9</v>
      </c>
      <c r="H591" s="9">
        <v>1.95</v>
      </c>
      <c r="I591"/>
    </row>
    <row r="592" spans="1:9" x14ac:dyDescent="0.3">
      <c r="A592" t="s">
        <v>8</v>
      </c>
      <c r="B592" t="s">
        <v>21</v>
      </c>
      <c r="C592" t="s">
        <v>119</v>
      </c>
      <c r="D592" s="9" t="s">
        <v>111</v>
      </c>
      <c r="E592" t="s">
        <v>40</v>
      </c>
      <c r="F592" t="s">
        <v>77</v>
      </c>
      <c r="G592">
        <v>22.6</v>
      </c>
      <c r="H592" s="9">
        <v>11.33</v>
      </c>
      <c r="I592"/>
    </row>
    <row r="593" spans="1:9" x14ac:dyDescent="0.3">
      <c r="A593" t="s">
        <v>8</v>
      </c>
      <c r="B593" t="s">
        <v>21</v>
      </c>
      <c r="C593" t="s">
        <v>120</v>
      </c>
      <c r="D593" s="9" t="s">
        <v>111</v>
      </c>
      <c r="E593" t="s">
        <v>41</v>
      </c>
      <c r="F593" t="s">
        <v>79</v>
      </c>
      <c r="G593">
        <v>22.2</v>
      </c>
      <c r="H593" s="9">
        <v>-4.3099999999999996</v>
      </c>
      <c r="I593"/>
    </row>
    <row r="594" spans="1:9" x14ac:dyDescent="0.3">
      <c r="A594" t="s">
        <v>8</v>
      </c>
      <c r="B594" t="s">
        <v>21</v>
      </c>
      <c r="C594" t="s">
        <v>121</v>
      </c>
      <c r="D594" s="9" t="s">
        <v>111</v>
      </c>
      <c r="E594" t="s">
        <v>42</v>
      </c>
      <c r="F594" t="s">
        <v>81</v>
      </c>
      <c r="G594">
        <v>23.5</v>
      </c>
      <c r="H594" s="9">
        <v>7.8</v>
      </c>
      <c r="I594"/>
    </row>
    <row r="595" spans="1:9" x14ac:dyDescent="0.3">
      <c r="A595" t="s">
        <v>8</v>
      </c>
      <c r="B595" t="s">
        <v>21</v>
      </c>
      <c r="C595" t="s">
        <v>122</v>
      </c>
      <c r="D595" s="9" t="s">
        <v>111</v>
      </c>
      <c r="E595" t="s">
        <v>43</v>
      </c>
      <c r="F595" t="s">
        <v>83</v>
      </c>
      <c r="G595">
        <v>35.5</v>
      </c>
      <c r="H595" s="9">
        <v>1.72</v>
      </c>
      <c r="I595"/>
    </row>
    <row r="596" spans="1:9" x14ac:dyDescent="0.3">
      <c r="A596" t="s">
        <v>8</v>
      </c>
      <c r="B596" t="s">
        <v>21</v>
      </c>
      <c r="C596" t="s">
        <v>123</v>
      </c>
      <c r="D596" s="9" t="s">
        <v>124</v>
      </c>
      <c r="E596" t="s">
        <v>32</v>
      </c>
      <c r="F596" t="s">
        <v>61</v>
      </c>
      <c r="G596">
        <v>20.9</v>
      </c>
      <c r="H596" s="9">
        <v>5.56</v>
      </c>
      <c r="I596"/>
    </row>
    <row r="597" spans="1:9" x14ac:dyDescent="0.3">
      <c r="A597" t="s">
        <v>8</v>
      </c>
      <c r="B597" t="s">
        <v>21</v>
      </c>
      <c r="C597" t="s">
        <v>125</v>
      </c>
      <c r="D597" s="9" t="s">
        <v>124</v>
      </c>
      <c r="E597" t="s">
        <v>33</v>
      </c>
      <c r="F597" t="s">
        <v>63</v>
      </c>
      <c r="G597">
        <v>20.2</v>
      </c>
      <c r="H597" s="9">
        <v>2.54</v>
      </c>
      <c r="I597"/>
    </row>
    <row r="598" spans="1:9" x14ac:dyDescent="0.3">
      <c r="A598" t="s">
        <v>8</v>
      </c>
      <c r="B598" t="s">
        <v>21</v>
      </c>
      <c r="C598" t="s">
        <v>126</v>
      </c>
      <c r="D598" s="9" t="s">
        <v>124</v>
      </c>
      <c r="E598" t="s">
        <v>34</v>
      </c>
      <c r="F598" t="s">
        <v>65</v>
      </c>
      <c r="G598">
        <v>23.3</v>
      </c>
      <c r="H598" s="9">
        <v>12.02</v>
      </c>
      <c r="I598"/>
    </row>
    <row r="599" spans="1:9" x14ac:dyDescent="0.3">
      <c r="A599" t="s">
        <v>8</v>
      </c>
      <c r="B599" t="s">
        <v>21</v>
      </c>
      <c r="C599" t="s">
        <v>127</v>
      </c>
      <c r="D599" s="9" t="s">
        <v>124</v>
      </c>
      <c r="E599" t="s">
        <v>35</v>
      </c>
      <c r="F599" t="s">
        <v>67</v>
      </c>
      <c r="G599">
        <v>23.1</v>
      </c>
      <c r="H599" s="9">
        <v>4.5199999999999996</v>
      </c>
      <c r="I599"/>
    </row>
    <row r="600" spans="1:9" x14ac:dyDescent="0.3">
      <c r="A600" t="s">
        <v>8</v>
      </c>
      <c r="B600" t="s">
        <v>21</v>
      </c>
      <c r="C600" t="s">
        <v>128</v>
      </c>
      <c r="D600" s="9" t="s">
        <v>124</v>
      </c>
      <c r="E600" t="s">
        <v>36</v>
      </c>
      <c r="F600" t="s">
        <v>69</v>
      </c>
      <c r="G600">
        <v>21.4</v>
      </c>
      <c r="H600" s="9">
        <v>4.9000000000000004</v>
      </c>
      <c r="I600"/>
    </row>
    <row r="601" spans="1:9" x14ac:dyDescent="0.3">
      <c r="A601" t="s">
        <v>8</v>
      </c>
      <c r="B601" t="s">
        <v>21</v>
      </c>
      <c r="C601" t="s">
        <v>129</v>
      </c>
      <c r="D601" s="9" t="s">
        <v>124</v>
      </c>
      <c r="E601" t="s">
        <v>37</v>
      </c>
      <c r="F601" t="s">
        <v>71</v>
      </c>
      <c r="G601">
        <v>21.4</v>
      </c>
      <c r="H601" s="9">
        <v>8.08</v>
      </c>
      <c r="I601"/>
    </row>
    <row r="602" spans="1:9" x14ac:dyDescent="0.3">
      <c r="A602" t="s">
        <v>8</v>
      </c>
      <c r="B602" t="s">
        <v>21</v>
      </c>
      <c r="C602" t="s">
        <v>130</v>
      </c>
      <c r="D602" s="9" t="s">
        <v>124</v>
      </c>
      <c r="E602" t="s">
        <v>38</v>
      </c>
      <c r="F602" t="s">
        <v>73</v>
      </c>
      <c r="G602">
        <v>21.4</v>
      </c>
      <c r="H602" s="9">
        <v>0.47</v>
      </c>
      <c r="I602"/>
    </row>
    <row r="603" spans="1:9" x14ac:dyDescent="0.3">
      <c r="A603" t="s">
        <v>8</v>
      </c>
      <c r="B603" t="s">
        <v>21</v>
      </c>
      <c r="C603" t="s">
        <v>131</v>
      </c>
      <c r="D603" s="9" t="s">
        <v>124</v>
      </c>
      <c r="E603" t="s">
        <v>39</v>
      </c>
      <c r="F603" t="s">
        <v>75</v>
      </c>
      <c r="G603">
        <v>22.1</v>
      </c>
      <c r="H603" s="9">
        <v>5.74</v>
      </c>
      <c r="I603"/>
    </row>
    <row r="604" spans="1:9" x14ac:dyDescent="0.3">
      <c r="A604" t="s">
        <v>8</v>
      </c>
      <c r="B604" t="s">
        <v>21</v>
      </c>
      <c r="C604" t="s">
        <v>132</v>
      </c>
      <c r="D604" s="9" t="s">
        <v>124</v>
      </c>
      <c r="E604" t="s">
        <v>40</v>
      </c>
      <c r="F604" t="s">
        <v>77</v>
      </c>
      <c r="G604">
        <v>23.9</v>
      </c>
      <c r="H604" s="9">
        <v>5.75</v>
      </c>
      <c r="I604"/>
    </row>
    <row r="605" spans="1:9" x14ac:dyDescent="0.3">
      <c r="A605" t="s">
        <v>8</v>
      </c>
      <c r="B605" t="s">
        <v>21</v>
      </c>
      <c r="C605" t="s">
        <v>133</v>
      </c>
      <c r="D605" s="9" t="s">
        <v>124</v>
      </c>
      <c r="E605" t="s">
        <v>41</v>
      </c>
      <c r="F605" t="s">
        <v>79</v>
      </c>
      <c r="G605">
        <v>23.2</v>
      </c>
      <c r="H605" s="9">
        <v>4.5</v>
      </c>
      <c r="I605"/>
    </row>
    <row r="606" spans="1:9" x14ac:dyDescent="0.3">
      <c r="A606" t="s">
        <v>8</v>
      </c>
      <c r="B606" t="s">
        <v>21</v>
      </c>
      <c r="C606" t="s">
        <v>134</v>
      </c>
      <c r="D606" s="9" t="s">
        <v>124</v>
      </c>
      <c r="E606" t="s">
        <v>42</v>
      </c>
      <c r="F606" t="s">
        <v>81</v>
      </c>
      <c r="G606">
        <v>25</v>
      </c>
      <c r="H606" s="9">
        <v>6.38</v>
      </c>
      <c r="I606"/>
    </row>
    <row r="607" spans="1:9" x14ac:dyDescent="0.3">
      <c r="A607" t="s">
        <v>8</v>
      </c>
      <c r="B607" t="s">
        <v>21</v>
      </c>
      <c r="C607" t="s">
        <v>135</v>
      </c>
      <c r="D607" s="9" t="s">
        <v>124</v>
      </c>
      <c r="E607" t="s">
        <v>43</v>
      </c>
      <c r="F607" t="s">
        <v>83</v>
      </c>
      <c r="G607">
        <v>35.799999999999997</v>
      </c>
      <c r="H607" s="9">
        <v>0.85</v>
      </c>
      <c r="I607"/>
    </row>
    <row r="608" spans="1:9" x14ac:dyDescent="0.3">
      <c r="A608" t="s">
        <v>8</v>
      </c>
      <c r="B608" t="s">
        <v>21</v>
      </c>
      <c r="C608" t="s">
        <v>136</v>
      </c>
      <c r="D608" s="9" t="s">
        <v>137</v>
      </c>
      <c r="E608" t="s">
        <v>32</v>
      </c>
      <c r="F608" t="s">
        <v>61</v>
      </c>
      <c r="G608">
        <v>21.4</v>
      </c>
      <c r="H608" s="9">
        <v>2.39</v>
      </c>
      <c r="I608"/>
    </row>
    <row r="609" spans="1:9" x14ac:dyDescent="0.3">
      <c r="A609" t="s">
        <v>8</v>
      </c>
      <c r="B609" t="s">
        <v>21</v>
      </c>
      <c r="C609" t="s">
        <v>138</v>
      </c>
      <c r="D609" s="9" t="s">
        <v>137</v>
      </c>
      <c r="E609" t="s">
        <v>33</v>
      </c>
      <c r="F609" t="s">
        <v>63</v>
      </c>
      <c r="G609">
        <v>21.5</v>
      </c>
      <c r="H609" s="9">
        <v>6.44</v>
      </c>
      <c r="I609"/>
    </row>
    <row r="610" spans="1:9" x14ac:dyDescent="0.3">
      <c r="A610" t="s">
        <v>8</v>
      </c>
      <c r="B610" t="s">
        <v>21</v>
      </c>
      <c r="C610" t="s">
        <v>139</v>
      </c>
      <c r="D610" s="9" t="s">
        <v>137</v>
      </c>
      <c r="E610" t="s">
        <v>34</v>
      </c>
      <c r="F610" t="s">
        <v>65</v>
      </c>
      <c r="G610">
        <v>24.5</v>
      </c>
      <c r="H610" s="9">
        <v>5.15</v>
      </c>
      <c r="I610"/>
    </row>
    <row r="611" spans="1:9" x14ac:dyDescent="0.3">
      <c r="A611" t="s">
        <v>8</v>
      </c>
      <c r="B611" t="s">
        <v>21</v>
      </c>
      <c r="C611" t="s">
        <v>140</v>
      </c>
      <c r="D611" s="9" t="s">
        <v>137</v>
      </c>
      <c r="E611" t="s">
        <v>35</v>
      </c>
      <c r="F611" t="s">
        <v>67</v>
      </c>
      <c r="G611">
        <v>20.9</v>
      </c>
      <c r="H611" s="9">
        <v>-9.52</v>
      </c>
      <c r="I611"/>
    </row>
    <row r="612" spans="1:9" x14ac:dyDescent="0.3">
      <c r="A612" t="s">
        <v>8</v>
      </c>
      <c r="B612" t="s">
        <v>21</v>
      </c>
      <c r="C612" t="s">
        <v>141</v>
      </c>
      <c r="D612" s="9" t="s">
        <v>137</v>
      </c>
      <c r="E612" t="s">
        <v>36</v>
      </c>
      <c r="F612" t="s">
        <v>69</v>
      </c>
      <c r="G612">
        <v>21.7</v>
      </c>
      <c r="H612" s="9">
        <v>1.4</v>
      </c>
      <c r="I612"/>
    </row>
    <row r="613" spans="1:9" x14ac:dyDescent="0.3">
      <c r="A613" t="s">
        <v>8</v>
      </c>
      <c r="B613" t="s">
        <v>21</v>
      </c>
      <c r="C613" t="s">
        <v>142</v>
      </c>
      <c r="D613" s="9" t="s">
        <v>137</v>
      </c>
      <c r="E613" t="s">
        <v>37</v>
      </c>
      <c r="F613" t="s">
        <v>71</v>
      </c>
      <c r="G613">
        <v>21.2</v>
      </c>
      <c r="H613" s="9">
        <v>-0.93</v>
      </c>
      <c r="I613"/>
    </row>
    <row r="614" spans="1:9" x14ac:dyDescent="0.3">
      <c r="A614" t="s">
        <v>8</v>
      </c>
      <c r="B614" t="s">
        <v>21</v>
      </c>
      <c r="C614" t="s">
        <v>143</v>
      </c>
      <c r="D614" s="9" t="s">
        <v>137</v>
      </c>
      <c r="E614" t="s">
        <v>38</v>
      </c>
      <c r="F614" t="s">
        <v>73</v>
      </c>
      <c r="G614">
        <v>20.5</v>
      </c>
      <c r="H614" s="9">
        <v>-4.21</v>
      </c>
      <c r="I614"/>
    </row>
    <row r="615" spans="1:9" x14ac:dyDescent="0.3">
      <c r="A615" t="s">
        <v>8</v>
      </c>
      <c r="B615" t="s">
        <v>21</v>
      </c>
      <c r="C615" t="s">
        <v>144</v>
      </c>
      <c r="D615" s="9" t="s">
        <v>137</v>
      </c>
      <c r="E615" t="s">
        <v>39</v>
      </c>
      <c r="F615" t="s">
        <v>75</v>
      </c>
      <c r="G615">
        <v>22.9</v>
      </c>
      <c r="H615" s="9">
        <v>3.62</v>
      </c>
      <c r="I615"/>
    </row>
    <row r="616" spans="1:9" x14ac:dyDescent="0.3">
      <c r="A616" t="s">
        <v>8</v>
      </c>
      <c r="B616" t="s">
        <v>21</v>
      </c>
      <c r="C616" t="s">
        <v>145</v>
      </c>
      <c r="D616" s="9" t="s">
        <v>137</v>
      </c>
      <c r="E616" t="s">
        <v>40</v>
      </c>
      <c r="F616" t="s">
        <v>77</v>
      </c>
      <c r="G616">
        <v>21.4</v>
      </c>
      <c r="H616" s="9">
        <v>-10.46</v>
      </c>
      <c r="I616"/>
    </row>
    <row r="617" spans="1:9" x14ac:dyDescent="0.3">
      <c r="A617" t="s">
        <v>8</v>
      </c>
      <c r="B617" t="s">
        <v>21</v>
      </c>
      <c r="C617" t="s">
        <v>146</v>
      </c>
      <c r="D617" s="9" t="s">
        <v>137</v>
      </c>
      <c r="E617" t="s">
        <v>41</v>
      </c>
      <c r="F617" t="s">
        <v>79</v>
      </c>
      <c r="G617">
        <v>21.8</v>
      </c>
      <c r="H617" s="9">
        <v>-6.03</v>
      </c>
      <c r="I617"/>
    </row>
    <row r="618" spans="1:9" x14ac:dyDescent="0.3">
      <c r="A618" t="s">
        <v>8</v>
      </c>
      <c r="B618" t="s">
        <v>21</v>
      </c>
      <c r="C618" t="s">
        <v>147</v>
      </c>
      <c r="D618" s="9" t="s">
        <v>137</v>
      </c>
      <c r="E618" t="s">
        <v>42</v>
      </c>
      <c r="F618" t="s">
        <v>81</v>
      </c>
      <c r="G618">
        <v>23.8</v>
      </c>
      <c r="H618" s="9">
        <v>-4.8</v>
      </c>
      <c r="I618"/>
    </row>
    <row r="619" spans="1:9" x14ac:dyDescent="0.3">
      <c r="A619" t="s">
        <v>8</v>
      </c>
      <c r="B619" t="s">
        <v>21</v>
      </c>
      <c r="C619" t="s">
        <v>148</v>
      </c>
      <c r="D619" s="9" t="s">
        <v>137</v>
      </c>
      <c r="E619" t="s">
        <v>43</v>
      </c>
      <c r="F619" t="s">
        <v>83</v>
      </c>
      <c r="G619">
        <v>33.4</v>
      </c>
      <c r="H619" s="9">
        <v>-6.7</v>
      </c>
      <c r="I619"/>
    </row>
    <row r="620" spans="1:9" x14ac:dyDescent="0.3">
      <c r="A620" t="s">
        <v>8</v>
      </c>
      <c r="B620" t="s">
        <v>21</v>
      </c>
      <c r="C620" t="s">
        <v>149</v>
      </c>
      <c r="D620" s="9" t="s">
        <v>150</v>
      </c>
      <c r="E620" t="s">
        <v>32</v>
      </c>
      <c r="F620" t="s">
        <v>61</v>
      </c>
      <c r="G620">
        <v>19.899999999999999</v>
      </c>
      <c r="H620" s="9">
        <v>-7.01</v>
      </c>
      <c r="I620"/>
    </row>
    <row r="621" spans="1:9" x14ac:dyDescent="0.3">
      <c r="A621" t="s">
        <v>8</v>
      </c>
      <c r="B621" t="s">
        <v>21</v>
      </c>
      <c r="C621" t="s">
        <v>151</v>
      </c>
      <c r="D621" s="9" t="s">
        <v>150</v>
      </c>
      <c r="E621" t="s">
        <v>33</v>
      </c>
      <c r="F621" t="s">
        <v>63</v>
      </c>
      <c r="G621">
        <v>18.8</v>
      </c>
      <c r="H621" s="9">
        <v>-12.56</v>
      </c>
      <c r="I621"/>
    </row>
    <row r="622" spans="1:9" x14ac:dyDescent="0.3">
      <c r="A622" t="s">
        <v>8</v>
      </c>
      <c r="B622" t="s">
        <v>21</v>
      </c>
      <c r="C622" t="s">
        <v>152</v>
      </c>
      <c r="D622" s="9" t="s">
        <v>150</v>
      </c>
      <c r="E622" t="s">
        <v>34</v>
      </c>
      <c r="F622" t="s">
        <v>65</v>
      </c>
      <c r="G622">
        <v>21.3</v>
      </c>
      <c r="H622" s="9">
        <v>-13.06</v>
      </c>
      <c r="I622"/>
    </row>
    <row r="623" spans="1:9" x14ac:dyDescent="0.3">
      <c r="A623" t="s">
        <v>8</v>
      </c>
      <c r="B623" t="s">
        <v>21</v>
      </c>
      <c r="C623" t="s">
        <v>153</v>
      </c>
      <c r="D623" s="9" t="s">
        <v>150</v>
      </c>
      <c r="E623" t="s">
        <v>35</v>
      </c>
      <c r="F623" t="s">
        <v>67</v>
      </c>
      <c r="G623">
        <v>20.9</v>
      </c>
      <c r="H623" s="9">
        <v>0</v>
      </c>
      <c r="I623"/>
    </row>
    <row r="624" spans="1:9" x14ac:dyDescent="0.3">
      <c r="A624" t="s">
        <v>8</v>
      </c>
      <c r="B624" t="s">
        <v>21</v>
      </c>
      <c r="C624" t="s">
        <v>154</v>
      </c>
      <c r="D624" s="9" t="s">
        <v>150</v>
      </c>
      <c r="E624" t="s">
        <v>36</v>
      </c>
      <c r="F624" t="s">
        <v>69</v>
      </c>
      <c r="G624">
        <v>20.9</v>
      </c>
      <c r="H624" s="9">
        <v>-3.69</v>
      </c>
      <c r="I624"/>
    </row>
    <row r="625" spans="1:9" x14ac:dyDescent="0.3">
      <c r="A625" t="s">
        <v>8</v>
      </c>
      <c r="B625" t="s">
        <v>21</v>
      </c>
      <c r="C625" t="s">
        <v>155</v>
      </c>
      <c r="D625" s="9" t="s">
        <v>150</v>
      </c>
      <c r="E625" t="s">
        <v>37</v>
      </c>
      <c r="F625" t="s">
        <v>71</v>
      </c>
      <c r="G625">
        <v>19.100000000000001</v>
      </c>
      <c r="H625" s="9">
        <v>-9.91</v>
      </c>
      <c r="I625"/>
    </row>
    <row r="626" spans="1:9" x14ac:dyDescent="0.3">
      <c r="A626" t="s">
        <v>8</v>
      </c>
      <c r="B626" t="s">
        <v>25</v>
      </c>
      <c r="C626" t="s">
        <v>59</v>
      </c>
      <c r="D626" s="9" t="s">
        <v>60</v>
      </c>
      <c r="E626" t="s">
        <v>32</v>
      </c>
      <c r="F626" t="s">
        <v>61</v>
      </c>
      <c r="G626">
        <v>4.0999999999999996</v>
      </c>
      <c r="I626"/>
    </row>
    <row r="627" spans="1:9" x14ac:dyDescent="0.3">
      <c r="A627" t="s">
        <v>8</v>
      </c>
      <c r="B627" t="s">
        <v>25</v>
      </c>
      <c r="C627" t="s">
        <v>62</v>
      </c>
      <c r="D627" s="9" t="s">
        <v>60</v>
      </c>
      <c r="E627" t="s">
        <v>33</v>
      </c>
      <c r="F627" t="s">
        <v>63</v>
      </c>
      <c r="G627">
        <v>4</v>
      </c>
      <c r="I627"/>
    </row>
    <row r="628" spans="1:9" x14ac:dyDescent="0.3">
      <c r="A628" t="s">
        <v>8</v>
      </c>
      <c r="B628" t="s">
        <v>25</v>
      </c>
      <c r="C628" t="s">
        <v>64</v>
      </c>
      <c r="D628" s="9" t="s">
        <v>60</v>
      </c>
      <c r="E628" t="s">
        <v>34</v>
      </c>
      <c r="F628" t="s">
        <v>65</v>
      </c>
      <c r="G628">
        <v>3.7</v>
      </c>
      <c r="I628"/>
    </row>
    <row r="629" spans="1:9" x14ac:dyDescent="0.3">
      <c r="A629" t="s">
        <v>8</v>
      </c>
      <c r="B629" t="s">
        <v>25</v>
      </c>
      <c r="C629" t="s">
        <v>66</v>
      </c>
      <c r="D629" s="9" t="s">
        <v>60</v>
      </c>
      <c r="E629" t="s">
        <v>35</v>
      </c>
      <c r="F629" t="s">
        <v>67</v>
      </c>
      <c r="G629">
        <v>2.8</v>
      </c>
      <c r="I629"/>
    </row>
    <row r="630" spans="1:9" x14ac:dyDescent="0.3">
      <c r="A630" t="s">
        <v>8</v>
      </c>
      <c r="B630" t="s">
        <v>25</v>
      </c>
      <c r="C630" t="s">
        <v>68</v>
      </c>
      <c r="D630" s="9" t="s">
        <v>60</v>
      </c>
      <c r="E630" t="s">
        <v>36</v>
      </c>
      <c r="F630" t="s">
        <v>69</v>
      </c>
      <c r="G630">
        <v>2.9</v>
      </c>
      <c r="I630"/>
    </row>
    <row r="631" spans="1:9" x14ac:dyDescent="0.3">
      <c r="A631" t="s">
        <v>8</v>
      </c>
      <c r="B631" t="s">
        <v>25</v>
      </c>
      <c r="C631" t="s">
        <v>70</v>
      </c>
      <c r="D631" s="9" t="s">
        <v>60</v>
      </c>
      <c r="E631" t="s">
        <v>37</v>
      </c>
      <c r="F631" t="s">
        <v>71</v>
      </c>
      <c r="G631">
        <v>3</v>
      </c>
      <c r="I631"/>
    </row>
    <row r="632" spans="1:9" x14ac:dyDescent="0.3">
      <c r="A632" t="s">
        <v>8</v>
      </c>
      <c r="B632" t="s">
        <v>25</v>
      </c>
      <c r="C632" t="s">
        <v>72</v>
      </c>
      <c r="D632" s="9" t="s">
        <v>60</v>
      </c>
      <c r="E632" t="s">
        <v>38</v>
      </c>
      <c r="F632" t="s">
        <v>73</v>
      </c>
      <c r="G632">
        <v>4.4000000000000004</v>
      </c>
      <c r="I632"/>
    </row>
    <row r="633" spans="1:9" x14ac:dyDescent="0.3">
      <c r="A633" t="s">
        <v>8</v>
      </c>
      <c r="B633" t="s">
        <v>25</v>
      </c>
      <c r="C633" t="s">
        <v>74</v>
      </c>
      <c r="D633" s="9" t="s">
        <v>60</v>
      </c>
      <c r="E633" t="s">
        <v>39</v>
      </c>
      <c r="F633" t="s">
        <v>75</v>
      </c>
      <c r="G633">
        <v>3.6</v>
      </c>
      <c r="I633"/>
    </row>
    <row r="634" spans="1:9" x14ac:dyDescent="0.3">
      <c r="A634" t="s">
        <v>8</v>
      </c>
      <c r="B634" t="s">
        <v>25</v>
      </c>
      <c r="C634" t="s">
        <v>76</v>
      </c>
      <c r="D634" s="9" t="s">
        <v>60</v>
      </c>
      <c r="E634" t="s">
        <v>40</v>
      </c>
      <c r="F634" t="s">
        <v>77</v>
      </c>
      <c r="G634">
        <v>3.8</v>
      </c>
      <c r="I634"/>
    </row>
    <row r="635" spans="1:9" x14ac:dyDescent="0.3">
      <c r="A635" t="s">
        <v>8</v>
      </c>
      <c r="B635" t="s">
        <v>25</v>
      </c>
      <c r="C635" t="s">
        <v>78</v>
      </c>
      <c r="D635" s="9" t="s">
        <v>60</v>
      </c>
      <c r="E635" t="s">
        <v>41</v>
      </c>
      <c r="F635" t="s">
        <v>79</v>
      </c>
      <c r="G635">
        <v>3.5</v>
      </c>
      <c r="I635"/>
    </row>
    <row r="636" spans="1:9" x14ac:dyDescent="0.3">
      <c r="A636" t="s">
        <v>8</v>
      </c>
      <c r="B636" t="s">
        <v>25</v>
      </c>
      <c r="C636" t="s">
        <v>80</v>
      </c>
      <c r="D636" s="9" t="s">
        <v>60</v>
      </c>
      <c r="E636" t="s">
        <v>42</v>
      </c>
      <c r="F636" t="s">
        <v>81</v>
      </c>
      <c r="G636">
        <v>4</v>
      </c>
      <c r="I636"/>
    </row>
    <row r="637" spans="1:9" x14ac:dyDescent="0.3">
      <c r="A637" t="s">
        <v>8</v>
      </c>
      <c r="B637" t="s">
        <v>25</v>
      </c>
      <c r="C637" t="s">
        <v>82</v>
      </c>
      <c r="D637" s="9" t="s">
        <v>60</v>
      </c>
      <c r="E637" t="s">
        <v>43</v>
      </c>
      <c r="F637" t="s">
        <v>83</v>
      </c>
      <c r="G637">
        <v>5.7</v>
      </c>
      <c r="I637"/>
    </row>
    <row r="638" spans="1:9" x14ac:dyDescent="0.3">
      <c r="A638" t="s">
        <v>8</v>
      </c>
      <c r="B638" t="s">
        <v>25</v>
      </c>
      <c r="C638" t="s">
        <v>84</v>
      </c>
      <c r="D638" s="9" t="s">
        <v>85</v>
      </c>
      <c r="E638" t="s">
        <v>32</v>
      </c>
      <c r="F638" t="s">
        <v>61</v>
      </c>
      <c r="G638">
        <v>2.9</v>
      </c>
      <c r="H638" s="9">
        <v>-29.27</v>
      </c>
      <c r="I638"/>
    </row>
    <row r="639" spans="1:9" x14ac:dyDescent="0.3">
      <c r="A639" t="s">
        <v>8</v>
      </c>
      <c r="B639" t="s">
        <v>25</v>
      </c>
      <c r="C639" t="s">
        <v>86</v>
      </c>
      <c r="D639" s="9" t="s">
        <v>85</v>
      </c>
      <c r="E639" t="s">
        <v>33</v>
      </c>
      <c r="F639" t="s">
        <v>63</v>
      </c>
      <c r="G639">
        <v>2.8</v>
      </c>
      <c r="H639" s="9">
        <v>-30</v>
      </c>
      <c r="I639"/>
    </row>
    <row r="640" spans="1:9" x14ac:dyDescent="0.3">
      <c r="A640" t="s">
        <v>8</v>
      </c>
      <c r="B640" t="s">
        <v>25</v>
      </c>
      <c r="C640" t="s">
        <v>87</v>
      </c>
      <c r="D640" s="9" t="s">
        <v>85</v>
      </c>
      <c r="E640" t="s">
        <v>34</v>
      </c>
      <c r="F640" t="s">
        <v>65</v>
      </c>
      <c r="G640">
        <v>2.9</v>
      </c>
      <c r="H640" s="9">
        <v>-21.62</v>
      </c>
      <c r="I640"/>
    </row>
    <row r="641" spans="1:9" x14ac:dyDescent="0.3">
      <c r="A641" t="s">
        <v>8</v>
      </c>
      <c r="B641" t="s">
        <v>25</v>
      </c>
      <c r="C641" t="s">
        <v>88</v>
      </c>
      <c r="D641" s="9" t="s">
        <v>85</v>
      </c>
      <c r="E641" t="s">
        <v>35</v>
      </c>
      <c r="F641" t="s">
        <v>67</v>
      </c>
      <c r="G641">
        <v>2.4</v>
      </c>
      <c r="H641" s="9">
        <v>-14.29</v>
      </c>
      <c r="I641"/>
    </row>
    <row r="642" spans="1:9" x14ac:dyDescent="0.3">
      <c r="A642" t="s">
        <v>8</v>
      </c>
      <c r="B642" t="s">
        <v>25</v>
      </c>
      <c r="C642" t="s">
        <v>89</v>
      </c>
      <c r="D642" s="9" t="s">
        <v>85</v>
      </c>
      <c r="E642" t="s">
        <v>36</v>
      </c>
      <c r="F642" t="s">
        <v>69</v>
      </c>
      <c r="G642">
        <v>2.9</v>
      </c>
      <c r="H642" s="9">
        <v>0</v>
      </c>
      <c r="I642"/>
    </row>
    <row r="643" spans="1:9" x14ac:dyDescent="0.3">
      <c r="A643" t="s">
        <v>8</v>
      </c>
      <c r="B643" t="s">
        <v>25</v>
      </c>
      <c r="C643" t="s">
        <v>90</v>
      </c>
      <c r="D643" s="9" t="s">
        <v>85</v>
      </c>
      <c r="E643" t="s">
        <v>37</v>
      </c>
      <c r="F643" t="s">
        <v>71</v>
      </c>
      <c r="G643">
        <v>2.9</v>
      </c>
      <c r="H643" s="9">
        <v>-3.33</v>
      </c>
      <c r="I643"/>
    </row>
    <row r="644" spans="1:9" x14ac:dyDescent="0.3">
      <c r="A644" t="s">
        <v>8</v>
      </c>
      <c r="B644" t="s">
        <v>25</v>
      </c>
      <c r="C644" t="s">
        <v>91</v>
      </c>
      <c r="D644" s="9" t="s">
        <v>85</v>
      </c>
      <c r="E644" t="s">
        <v>38</v>
      </c>
      <c r="F644" t="s">
        <v>73</v>
      </c>
      <c r="G644">
        <v>3</v>
      </c>
      <c r="H644" s="9">
        <v>-31.82</v>
      </c>
      <c r="I644"/>
    </row>
    <row r="645" spans="1:9" x14ac:dyDescent="0.3">
      <c r="A645" t="s">
        <v>8</v>
      </c>
      <c r="B645" t="s">
        <v>25</v>
      </c>
      <c r="C645" t="s">
        <v>92</v>
      </c>
      <c r="D645" s="9" t="s">
        <v>85</v>
      </c>
      <c r="E645" t="s">
        <v>39</v>
      </c>
      <c r="F645" t="s">
        <v>75</v>
      </c>
      <c r="G645">
        <v>2.9</v>
      </c>
      <c r="H645" s="9">
        <v>-19.440000000000001</v>
      </c>
      <c r="I645"/>
    </row>
    <row r="646" spans="1:9" x14ac:dyDescent="0.3">
      <c r="A646" t="s">
        <v>8</v>
      </c>
      <c r="B646" t="s">
        <v>25</v>
      </c>
      <c r="C646" t="s">
        <v>93</v>
      </c>
      <c r="D646" s="9" t="s">
        <v>85</v>
      </c>
      <c r="E646" t="s">
        <v>40</v>
      </c>
      <c r="F646" t="s">
        <v>77</v>
      </c>
      <c r="G646">
        <v>3.1</v>
      </c>
      <c r="H646" s="9">
        <v>-18.420000000000002</v>
      </c>
      <c r="I646"/>
    </row>
    <row r="647" spans="1:9" x14ac:dyDescent="0.3">
      <c r="A647" t="s">
        <v>8</v>
      </c>
      <c r="B647" t="s">
        <v>25</v>
      </c>
      <c r="C647" t="s">
        <v>94</v>
      </c>
      <c r="D647" s="9" t="s">
        <v>85</v>
      </c>
      <c r="E647" t="s">
        <v>41</v>
      </c>
      <c r="F647" t="s">
        <v>79</v>
      </c>
      <c r="G647">
        <v>3</v>
      </c>
      <c r="H647" s="9">
        <v>-14.29</v>
      </c>
      <c r="I647"/>
    </row>
    <row r="648" spans="1:9" x14ac:dyDescent="0.3">
      <c r="A648" t="s">
        <v>8</v>
      </c>
      <c r="B648" t="s">
        <v>25</v>
      </c>
      <c r="C648" t="s">
        <v>95</v>
      </c>
      <c r="D648" s="9" t="s">
        <v>85</v>
      </c>
      <c r="E648" t="s">
        <v>42</v>
      </c>
      <c r="F648" t="s">
        <v>81</v>
      </c>
      <c r="G648">
        <v>3.7</v>
      </c>
      <c r="H648" s="9">
        <v>-7.5</v>
      </c>
      <c r="I648"/>
    </row>
    <row r="649" spans="1:9" x14ac:dyDescent="0.3">
      <c r="A649" t="s">
        <v>8</v>
      </c>
      <c r="B649" t="s">
        <v>25</v>
      </c>
      <c r="C649" t="s">
        <v>96</v>
      </c>
      <c r="D649" s="9" t="s">
        <v>85</v>
      </c>
      <c r="E649" t="s">
        <v>43</v>
      </c>
      <c r="F649" t="s">
        <v>83</v>
      </c>
      <c r="G649">
        <v>6.1</v>
      </c>
      <c r="H649" s="9">
        <v>7.02</v>
      </c>
      <c r="I649"/>
    </row>
    <row r="650" spans="1:9" x14ac:dyDescent="0.3">
      <c r="A650" t="s">
        <v>8</v>
      </c>
      <c r="B650" t="s">
        <v>25</v>
      </c>
      <c r="C650" t="s">
        <v>97</v>
      </c>
      <c r="D650" s="9" t="s">
        <v>98</v>
      </c>
      <c r="E650" t="s">
        <v>32</v>
      </c>
      <c r="F650" t="s">
        <v>61</v>
      </c>
      <c r="G650">
        <v>3.4</v>
      </c>
      <c r="H650" s="9">
        <v>17.239999999999998</v>
      </c>
      <c r="I650"/>
    </row>
    <row r="651" spans="1:9" x14ac:dyDescent="0.3">
      <c r="A651" t="s">
        <v>8</v>
      </c>
      <c r="B651" t="s">
        <v>25</v>
      </c>
      <c r="C651" t="s">
        <v>99</v>
      </c>
      <c r="D651" s="9" t="s">
        <v>98</v>
      </c>
      <c r="E651" t="s">
        <v>33</v>
      </c>
      <c r="F651" t="s">
        <v>63</v>
      </c>
      <c r="G651">
        <v>2.8</v>
      </c>
      <c r="H651" s="9">
        <v>0</v>
      </c>
      <c r="I651"/>
    </row>
    <row r="652" spans="1:9" x14ac:dyDescent="0.3">
      <c r="A652" t="s">
        <v>8</v>
      </c>
      <c r="B652" t="s">
        <v>25</v>
      </c>
      <c r="C652" t="s">
        <v>100</v>
      </c>
      <c r="D652" s="9" t="s">
        <v>98</v>
      </c>
      <c r="E652" t="s">
        <v>34</v>
      </c>
      <c r="F652" t="s">
        <v>65</v>
      </c>
      <c r="G652">
        <v>2.9</v>
      </c>
      <c r="H652" s="9">
        <v>0</v>
      </c>
      <c r="I652"/>
    </row>
    <row r="653" spans="1:9" x14ac:dyDescent="0.3">
      <c r="A653" t="s">
        <v>8</v>
      </c>
      <c r="B653" t="s">
        <v>25</v>
      </c>
      <c r="C653" t="s">
        <v>101</v>
      </c>
      <c r="D653" s="9" t="s">
        <v>98</v>
      </c>
      <c r="E653" t="s">
        <v>35</v>
      </c>
      <c r="F653" t="s">
        <v>67</v>
      </c>
      <c r="G653">
        <v>2.9</v>
      </c>
      <c r="H653" s="9">
        <v>20.83</v>
      </c>
      <c r="I653"/>
    </row>
    <row r="654" spans="1:9" x14ac:dyDescent="0.3">
      <c r="A654" t="s">
        <v>8</v>
      </c>
      <c r="B654" t="s">
        <v>25</v>
      </c>
      <c r="C654" t="s">
        <v>102</v>
      </c>
      <c r="D654" s="9" t="s">
        <v>98</v>
      </c>
      <c r="E654" t="s">
        <v>36</v>
      </c>
      <c r="F654" t="s">
        <v>69</v>
      </c>
      <c r="G654">
        <v>2.8</v>
      </c>
      <c r="H654" s="9">
        <v>-3.45</v>
      </c>
      <c r="I654"/>
    </row>
    <row r="655" spans="1:9" x14ac:dyDescent="0.3">
      <c r="A655" t="s">
        <v>8</v>
      </c>
      <c r="B655" t="s">
        <v>25</v>
      </c>
      <c r="C655" t="s">
        <v>103</v>
      </c>
      <c r="D655" s="9" t="s">
        <v>98</v>
      </c>
      <c r="E655" t="s">
        <v>37</v>
      </c>
      <c r="F655" t="s">
        <v>71</v>
      </c>
      <c r="G655">
        <v>2.6</v>
      </c>
      <c r="H655" s="9">
        <v>-10.34</v>
      </c>
      <c r="I655"/>
    </row>
    <row r="656" spans="1:9" x14ac:dyDescent="0.3">
      <c r="A656" t="s">
        <v>8</v>
      </c>
      <c r="B656" t="s">
        <v>25</v>
      </c>
      <c r="C656" t="s">
        <v>104</v>
      </c>
      <c r="D656" s="9" t="s">
        <v>98</v>
      </c>
      <c r="E656" t="s">
        <v>38</v>
      </c>
      <c r="F656" t="s">
        <v>73</v>
      </c>
      <c r="G656">
        <v>2.8</v>
      </c>
      <c r="H656" s="9">
        <v>-6.67</v>
      </c>
      <c r="I656"/>
    </row>
    <row r="657" spans="1:9" x14ac:dyDescent="0.3">
      <c r="A657" t="s">
        <v>8</v>
      </c>
      <c r="B657" t="s">
        <v>25</v>
      </c>
      <c r="C657" t="s">
        <v>105</v>
      </c>
      <c r="D657" s="9" t="s">
        <v>98</v>
      </c>
      <c r="E657" t="s">
        <v>39</v>
      </c>
      <c r="F657" t="s">
        <v>75</v>
      </c>
      <c r="G657">
        <v>1.5</v>
      </c>
      <c r="H657" s="9">
        <v>-48.28</v>
      </c>
      <c r="I657"/>
    </row>
    <row r="658" spans="1:9" x14ac:dyDescent="0.3">
      <c r="A658" t="s">
        <v>8</v>
      </c>
      <c r="B658" t="s">
        <v>25</v>
      </c>
      <c r="C658" t="s">
        <v>106</v>
      </c>
      <c r="D658" s="9" t="s">
        <v>98</v>
      </c>
      <c r="E658" t="s">
        <v>40</v>
      </c>
      <c r="F658" t="s">
        <v>77</v>
      </c>
      <c r="G658">
        <v>1</v>
      </c>
      <c r="H658" s="9">
        <v>-67.739999999999995</v>
      </c>
      <c r="I658"/>
    </row>
    <row r="659" spans="1:9" x14ac:dyDescent="0.3">
      <c r="A659" t="s">
        <v>8</v>
      </c>
      <c r="B659" t="s">
        <v>25</v>
      </c>
      <c r="C659" t="s">
        <v>107</v>
      </c>
      <c r="D659" s="9" t="s">
        <v>98</v>
      </c>
      <c r="E659" t="s">
        <v>41</v>
      </c>
      <c r="F659" t="s">
        <v>79</v>
      </c>
      <c r="G659">
        <v>1.2</v>
      </c>
      <c r="H659" s="9">
        <v>-60</v>
      </c>
      <c r="I659"/>
    </row>
    <row r="660" spans="1:9" x14ac:dyDescent="0.3">
      <c r="A660" t="s">
        <v>8</v>
      </c>
      <c r="B660" t="s">
        <v>25</v>
      </c>
      <c r="C660" t="s">
        <v>108</v>
      </c>
      <c r="D660" s="9" t="s">
        <v>98</v>
      </c>
      <c r="E660" t="s">
        <v>42</v>
      </c>
      <c r="F660" t="s">
        <v>81</v>
      </c>
      <c r="G660">
        <v>3</v>
      </c>
      <c r="H660" s="9">
        <v>-18.920000000000002</v>
      </c>
      <c r="I660"/>
    </row>
    <row r="661" spans="1:9" x14ac:dyDescent="0.3">
      <c r="A661" t="s">
        <v>8</v>
      </c>
      <c r="B661" t="s">
        <v>25</v>
      </c>
      <c r="C661" t="s">
        <v>109</v>
      </c>
      <c r="D661" s="9" t="s">
        <v>98</v>
      </c>
      <c r="E661" t="s">
        <v>43</v>
      </c>
      <c r="F661" t="s">
        <v>83</v>
      </c>
      <c r="G661">
        <v>4.3</v>
      </c>
      <c r="H661" s="9">
        <v>-29.51</v>
      </c>
      <c r="I661"/>
    </row>
    <row r="662" spans="1:9" x14ac:dyDescent="0.3">
      <c r="A662" t="s">
        <v>8</v>
      </c>
      <c r="B662" t="s">
        <v>25</v>
      </c>
      <c r="C662" t="s">
        <v>110</v>
      </c>
      <c r="D662" s="9" t="s">
        <v>111</v>
      </c>
      <c r="E662" t="s">
        <v>32</v>
      </c>
      <c r="F662" t="s">
        <v>61</v>
      </c>
      <c r="G662">
        <v>2.5</v>
      </c>
      <c r="H662" s="9">
        <v>-26.47</v>
      </c>
      <c r="I662"/>
    </row>
    <row r="663" spans="1:9" x14ac:dyDescent="0.3">
      <c r="A663" t="s">
        <v>8</v>
      </c>
      <c r="B663" t="s">
        <v>25</v>
      </c>
      <c r="C663" t="s">
        <v>112</v>
      </c>
      <c r="D663" s="9" t="s">
        <v>111</v>
      </c>
      <c r="E663" t="s">
        <v>33</v>
      </c>
      <c r="F663" t="s">
        <v>63</v>
      </c>
      <c r="G663">
        <v>2.7</v>
      </c>
      <c r="H663" s="9">
        <v>-3.57</v>
      </c>
      <c r="I663"/>
    </row>
    <row r="664" spans="1:9" x14ac:dyDescent="0.3">
      <c r="A664" t="s">
        <v>8</v>
      </c>
      <c r="B664" t="s">
        <v>25</v>
      </c>
      <c r="C664" t="s">
        <v>113</v>
      </c>
      <c r="D664" s="9" t="s">
        <v>111</v>
      </c>
      <c r="E664" t="s">
        <v>34</v>
      </c>
      <c r="F664" t="s">
        <v>65</v>
      </c>
      <c r="G664">
        <v>2.4</v>
      </c>
      <c r="H664" s="9">
        <v>-17.239999999999998</v>
      </c>
      <c r="I664"/>
    </row>
    <row r="665" spans="1:9" x14ac:dyDescent="0.3">
      <c r="A665" t="s">
        <v>8</v>
      </c>
      <c r="B665" t="s">
        <v>25</v>
      </c>
      <c r="C665" t="s">
        <v>114</v>
      </c>
      <c r="D665" s="9" t="s">
        <v>111</v>
      </c>
      <c r="E665" t="s">
        <v>35</v>
      </c>
      <c r="F665" t="s">
        <v>67</v>
      </c>
      <c r="G665">
        <v>2.2999999999999998</v>
      </c>
      <c r="H665" s="9">
        <v>-20.69</v>
      </c>
      <c r="I665"/>
    </row>
    <row r="666" spans="1:9" x14ac:dyDescent="0.3">
      <c r="A666" t="s">
        <v>8</v>
      </c>
      <c r="B666" t="s">
        <v>25</v>
      </c>
      <c r="C666" t="s">
        <v>115</v>
      </c>
      <c r="D666" s="9" t="s">
        <v>111</v>
      </c>
      <c r="E666" t="s">
        <v>36</v>
      </c>
      <c r="F666" t="s">
        <v>69</v>
      </c>
      <c r="G666">
        <v>2</v>
      </c>
      <c r="H666" s="9">
        <v>-28.57</v>
      </c>
      <c r="I666"/>
    </row>
    <row r="667" spans="1:9" x14ac:dyDescent="0.3">
      <c r="A667" t="s">
        <v>8</v>
      </c>
      <c r="B667" t="s">
        <v>25</v>
      </c>
      <c r="C667" t="s">
        <v>116</v>
      </c>
      <c r="D667" s="9" t="s">
        <v>111</v>
      </c>
      <c r="E667" t="s">
        <v>37</v>
      </c>
      <c r="F667" t="s">
        <v>71</v>
      </c>
      <c r="G667">
        <v>1.6</v>
      </c>
      <c r="H667" s="9">
        <v>-38.46</v>
      </c>
      <c r="I667"/>
    </row>
    <row r="668" spans="1:9" x14ac:dyDescent="0.3">
      <c r="A668" t="s">
        <v>8</v>
      </c>
      <c r="B668" t="s">
        <v>25</v>
      </c>
      <c r="C668" t="s">
        <v>117</v>
      </c>
      <c r="D668" s="9" t="s">
        <v>111</v>
      </c>
      <c r="E668" t="s">
        <v>38</v>
      </c>
      <c r="F668" t="s">
        <v>73</v>
      </c>
      <c r="G668">
        <v>1.6</v>
      </c>
      <c r="H668" s="9">
        <v>-42.86</v>
      </c>
      <c r="I668"/>
    </row>
    <row r="669" spans="1:9" x14ac:dyDescent="0.3">
      <c r="A669" t="s">
        <v>8</v>
      </c>
      <c r="B669" t="s">
        <v>25</v>
      </c>
      <c r="C669" t="s">
        <v>118</v>
      </c>
      <c r="D669" s="9" t="s">
        <v>111</v>
      </c>
      <c r="E669" t="s">
        <v>39</v>
      </c>
      <c r="F669" t="s">
        <v>75</v>
      </c>
      <c r="G669">
        <v>1.6</v>
      </c>
      <c r="H669" s="9">
        <v>6.67</v>
      </c>
      <c r="I669"/>
    </row>
    <row r="670" spans="1:9" x14ac:dyDescent="0.3">
      <c r="A670" t="s">
        <v>8</v>
      </c>
      <c r="B670" t="s">
        <v>25</v>
      </c>
      <c r="C670" t="s">
        <v>119</v>
      </c>
      <c r="D670" s="9" t="s">
        <v>111</v>
      </c>
      <c r="E670" t="s">
        <v>40</v>
      </c>
      <c r="F670" t="s">
        <v>77</v>
      </c>
      <c r="G670">
        <v>1.7</v>
      </c>
      <c r="H670" s="9">
        <v>70</v>
      </c>
      <c r="I670"/>
    </row>
    <row r="671" spans="1:9" x14ac:dyDescent="0.3">
      <c r="A671" t="s">
        <v>8</v>
      </c>
      <c r="B671" t="s">
        <v>25</v>
      </c>
      <c r="C671" t="s">
        <v>120</v>
      </c>
      <c r="D671" s="9" t="s">
        <v>111</v>
      </c>
      <c r="E671" t="s">
        <v>41</v>
      </c>
      <c r="F671" t="s">
        <v>79</v>
      </c>
      <c r="G671">
        <v>2</v>
      </c>
      <c r="H671" s="9">
        <v>66.67</v>
      </c>
      <c r="I671"/>
    </row>
    <row r="672" spans="1:9" x14ac:dyDescent="0.3">
      <c r="A672" t="s">
        <v>8</v>
      </c>
      <c r="B672" t="s">
        <v>25</v>
      </c>
      <c r="C672" t="s">
        <v>121</v>
      </c>
      <c r="D672" s="9" t="s">
        <v>111</v>
      </c>
      <c r="E672" t="s">
        <v>42</v>
      </c>
      <c r="F672" t="s">
        <v>81</v>
      </c>
      <c r="G672">
        <v>2</v>
      </c>
      <c r="H672" s="9">
        <v>-33.33</v>
      </c>
      <c r="I672"/>
    </row>
    <row r="673" spans="1:9" x14ac:dyDescent="0.3">
      <c r="A673" t="s">
        <v>8</v>
      </c>
      <c r="B673" t="s">
        <v>25</v>
      </c>
      <c r="C673" t="s">
        <v>122</v>
      </c>
      <c r="D673" s="9" t="s">
        <v>111</v>
      </c>
      <c r="E673" t="s">
        <v>43</v>
      </c>
      <c r="F673" t="s">
        <v>83</v>
      </c>
      <c r="G673">
        <v>3.9</v>
      </c>
      <c r="H673" s="9">
        <v>-9.3000000000000007</v>
      </c>
      <c r="I673"/>
    </row>
    <row r="674" spans="1:9" x14ac:dyDescent="0.3">
      <c r="A674" t="s">
        <v>8</v>
      </c>
      <c r="B674" t="s">
        <v>25</v>
      </c>
      <c r="C674" t="s">
        <v>123</v>
      </c>
      <c r="D674" s="9" t="s">
        <v>124</v>
      </c>
      <c r="E674" t="s">
        <v>32</v>
      </c>
      <c r="F674" t="s">
        <v>61</v>
      </c>
      <c r="G674">
        <v>1.8</v>
      </c>
      <c r="H674" s="9">
        <v>-28</v>
      </c>
      <c r="I674"/>
    </row>
    <row r="675" spans="1:9" x14ac:dyDescent="0.3">
      <c r="A675" t="s">
        <v>8</v>
      </c>
      <c r="B675" t="s">
        <v>25</v>
      </c>
      <c r="C675" t="s">
        <v>125</v>
      </c>
      <c r="D675" s="9" t="s">
        <v>124</v>
      </c>
      <c r="E675" t="s">
        <v>33</v>
      </c>
      <c r="F675" t="s">
        <v>63</v>
      </c>
      <c r="G675">
        <v>1.8</v>
      </c>
      <c r="H675" s="9">
        <v>-33.33</v>
      </c>
      <c r="I675"/>
    </row>
    <row r="676" spans="1:9" x14ac:dyDescent="0.3">
      <c r="A676" t="s">
        <v>8</v>
      </c>
      <c r="B676" t="s">
        <v>25</v>
      </c>
      <c r="C676" t="s">
        <v>126</v>
      </c>
      <c r="D676" s="9" t="s">
        <v>124</v>
      </c>
      <c r="E676" t="s">
        <v>34</v>
      </c>
      <c r="F676" t="s">
        <v>65</v>
      </c>
      <c r="G676">
        <v>1.9</v>
      </c>
      <c r="H676" s="9">
        <v>-20.83</v>
      </c>
      <c r="I676"/>
    </row>
    <row r="677" spans="1:9" x14ac:dyDescent="0.3">
      <c r="A677" t="s">
        <v>8</v>
      </c>
      <c r="B677" t="s">
        <v>25</v>
      </c>
      <c r="C677" t="s">
        <v>127</v>
      </c>
      <c r="D677" s="9" t="s">
        <v>124</v>
      </c>
      <c r="E677" t="s">
        <v>35</v>
      </c>
      <c r="F677" t="s">
        <v>67</v>
      </c>
      <c r="G677">
        <v>1.8</v>
      </c>
      <c r="H677" s="9">
        <v>-21.74</v>
      </c>
      <c r="I677"/>
    </row>
    <row r="678" spans="1:9" x14ac:dyDescent="0.3">
      <c r="A678" t="s">
        <v>8</v>
      </c>
      <c r="B678" t="s">
        <v>25</v>
      </c>
      <c r="C678" t="s">
        <v>128</v>
      </c>
      <c r="D678" s="9" t="s">
        <v>124</v>
      </c>
      <c r="E678" t="s">
        <v>36</v>
      </c>
      <c r="F678" t="s">
        <v>69</v>
      </c>
      <c r="G678">
        <v>1.8</v>
      </c>
      <c r="H678" s="9">
        <v>-10</v>
      </c>
      <c r="I678"/>
    </row>
    <row r="679" spans="1:9" x14ac:dyDescent="0.3">
      <c r="A679" t="s">
        <v>8</v>
      </c>
      <c r="B679" t="s">
        <v>25</v>
      </c>
      <c r="C679" t="s">
        <v>129</v>
      </c>
      <c r="D679" s="9" t="s">
        <v>124</v>
      </c>
      <c r="E679" t="s">
        <v>37</v>
      </c>
      <c r="F679" t="s">
        <v>71</v>
      </c>
      <c r="G679">
        <v>1.6</v>
      </c>
      <c r="H679" s="9">
        <v>0</v>
      </c>
      <c r="I679"/>
    </row>
    <row r="680" spans="1:9" x14ac:dyDescent="0.3">
      <c r="A680" t="s">
        <v>8</v>
      </c>
      <c r="B680" t="s">
        <v>25</v>
      </c>
      <c r="C680" t="s">
        <v>130</v>
      </c>
      <c r="D680" s="9" t="s">
        <v>124</v>
      </c>
      <c r="E680" t="s">
        <v>38</v>
      </c>
      <c r="F680" t="s">
        <v>73</v>
      </c>
      <c r="G680">
        <v>1.6</v>
      </c>
      <c r="H680" s="9">
        <v>0</v>
      </c>
      <c r="I680"/>
    </row>
    <row r="681" spans="1:9" x14ac:dyDescent="0.3">
      <c r="A681" t="s">
        <v>8</v>
      </c>
      <c r="B681" t="s">
        <v>25</v>
      </c>
      <c r="C681" t="s">
        <v>131</v>
      </c>
      <c r="D681" s="9" t="s">
        <v>124</v>
      </c>
      <c r="E681" t="s">
        <v>39</v>
      </c>
      <c r="F681" t="s">
        <v>75</v>
      </c>
      <c r="G681">
        <v>1.6</v>
      </c>
      <c r="H681" s="9">
        <v>0</v>
      </c>
      <c r="I681"/>
    </row>
    <row r="682" spans="1:9" x14ac:dyDescent="0.3">
      <c r="A682" t="s">
        <v>8</v>
      </c>
      <c r="B682" t="s">
        <v>25</v>
      </c>
      <c r="C682" t="s">
        <v>132</v>
      </c>
      <c r="D682" s="9" t="s">
        <v>124</v>
      </c>
      <c r="E682" t="s">
        <v>40</v>
      </c>
      <c r="F682" t="s">
        <v>77</v>
      </c>
      <c r="G682">
        <v>1.5</v>
      </c>
      <c r="H682" s="9">
        <v>-11.76</v>
      </c>
      <c r="I682"/>
    </row>
    <row r="683" spans="1:9" x14ac:dyDescent="0.3">
      <c r="A683" t="s">
        <v>8</v>
      </c>
      <c r="B683" t="s">
        <v>25</v>
      </c>
      <c r="C683" t="s">
        <v>133</v>
      </c>
      <c r="D683" s="9" t="s">
        <v>124</v>
      </c>
      <c r="E683" t="s">
        <v>41</v>
      </c>
      <c r="F683" t="s">
        <v>79</v>
      </c>
      <c r="G683">
        <v>1.6</v>
      </c>
      <c r="H683" s="9">
        <v>-20</v>
      </c>
      <c r="I683"/>
    </row>
    <row r="684" spans="1:9" x14ac:dyDescent="0.3">
      <c r="A684" t="s">
        <v>8</v>
      </c>
      <c r="B684" t="s">
        <v>25</v>
      </c>
      <c r="C684" t="s">
        <v>134</v>
      </c>
      <c r="D684" s="9" t="s">
        <v>124</v>
      </c>
      <c r="E684" t="s">
        <v>42</v>
      </c>
      <c r="F684" t="s">
        <v>81</v>
      </c>
      <c r="G684">
        <v>2.1</v>
      </c>
      <c r="H684" s="9">
        <v>5</v>
      </c>
      <c r="I684"/>
    </row>
    <row r="685" spans="1:9" x14ac:dyDescent="0.3">
      <c r="A685" t="s">
        <v>8</v>
      </c>
      <c r="B685" t="s">
        <v>25</v>
      </c>
      <c r="C685" t="s">
        <v>135</v>
      </c>
      <c r="D685" s="9" t="s">
        <v>124</v>
      </c>
      <c r="E685" t="s">
        <v>43</v>
      </c>
      <c r="F685" t="s">
        <v>83</v>
      </c>
      <c r="G685">
        <v>4.0999999999999996</v>
      </c>
      <c r="H685" s="9">
        <v>5.13</v>
      </c>
      <c r="I685"/>
    </row>
    <row r="686" spans="1:9" x14ac:dyDescent="0.3">
      <c r="A686" t="s">
        <v>8</v>
      </c>
      <c r="B686" t="s">
        <v>25</v>
      </c>
      <c r="C686" t="s">
        <v>136</v>
      </c>
      <c r="D686" s="9" t="s">
        <v>137</v>
      </c>
      <c r="E686" t="s">
        <v>32</v>
      </c>
      <c r="F686" t="s">
        <v>61</v>
      </c>
      <c r="G686">
        <v>2.2999999999999998</v>
      </c>
      <c r="H686" s="9">
        <v>27.78</v>
      </c>
      <c r="I686"/>
    </row>
    <row r="687" spans="1:9" x14ac:dyDescent="0.3">
      <c r="A687" t="s">
        <v>8</v>
      </c>
      <c r="B687" t="s">
        <v>25</v>
      </c>
      <c r="C687" t="s">
        <v>138</v>
      </c>
      <c r="D687" s="9" t="s">
        <v>137</v>
      </c>
      <c r="E687" t="s">
        <v>33</v>
      </c>
      <c r="F687" t="s">
        <v>63</v>
      </c>
      <c r="G687">
        <v>2.2999999999999998</v>
      </c>
      <c r="H687" s="9">
        <v>27.78</v>
      </c>
      <c r="I687"/>
    </row>
    <row r="688" spans="1:9" x14ac:dyDescent="0.3">
      <c r="A688" t="s">
        <v>8</v>
      </c>
      <c r="B688" t="s">
        <v>25</v>
      </c>
      <c r="C688" t="s">
        <v>139</v>
      </c>
      <c r="D688" s="9" t="s">
        <v>137</v>
      </c>
      <c r="E688" t="s">
        <v>34</v>
      </c>
      <c r="F688" t="s">
        <v>65</v>
      </c>
      <c r="G688">
        <v>2.5</v>
      </c>
      <c r="H688" s="9">
        <v>31.58</v>
      </c>
      <c r="I688"/>
    </row>
    <row r="689" spans="1:9" x14ac:dyDescent="0.3">
      <c r="A689" t="s">
        <v>8</v>
      </c>
      <c r="B689" t="s">
        <v>25</v>
      </c>
      <c r="C689" t="s">
        <v>140</v>
      </c>
      <c r="D689" s="9" t="s">
        <v>137</v>
      </c>
      <c r="E689" t="s">
        <v>35</v>
      </c>
      <c r="F689" t="s">
        <v>67</v>
      </c>
      <c r="G689">
        <v>2.6</v>
      </c>
      <c r="H689" s="9">
        <v>44.44</v>
      </c>
      <c r="I689"/>
    </row>
    <row r="690" spans="1:9" x14ac:dyDescent="0.3">
      <c r="A690" t="s">
        <v>8</v>
      </c>
      <c r="B690" t="s">
        <v>25</v>
      </c>
      <c r="C690" t="s">
        <v>141</v>
      </c>
      <c r="D690" s="9" t="s">
        <v>137</v>
      </c>
      <c r="E690" t="s">
        <v>36</v>
      </c>
      <c r="F690" t="s">
        <v>69</v>
      </c>
      <c r="G690">
        <v>2.8</v>
      </c>
      <c r="H690" s="9">
        <v>55.56</v>
      </c>
      <c r="I690"/>
    </row>
    <row r="691" spans="1:9" x14ac:dyDescent="0.3">
      <c r="A691" t="s">
        <v>8</v>
      </c>
      <c r="B691" t="s">
        <v>25</v>
      </c>
      <c r="C691" t="s">
        <v>142</v>
      </c>
      <c r="D691" s="9" t="s">
        <v>137</v>
      </c>
      <c r="E691" t="s">
        <v>37</v>
      </c>
      <c r="F691" t="s">
        <v>71</v>
      </c>
      <c r="G691">
        <v>2.4</v>
      </c>
      <c r="H691" s="9">
        <v>50</v>
      </c>
      <c r="I691"/>
    </row>
    <row r="692" spans="1:9" x14ac:dyDescent="0.3">
      <c r="A692" t="s">
        <v>8</v>
      </c>
      <c r="B692" t="s">
        <v>25</v>
      </c>
      <c r="C692" t="s">
        <v>143</v>
      </c>
      <c r="D692" s="9" t="s">
        <v>137</v>
      </c>
      <c r="E692" t="s">
        <v>38</v>
      </c>
      <c r="F692" t="s">
        <v>73</v>
      </c>
      <c r="G692">
        <v>2.9</v>
      </c>
      <c r="H692" s="9">
        <v>81.25</v>
      </c>
      <c r="I692"/>
    </row>
    <row r="693" spans="1:9" x14ac:dyDescent="0.3">
      <c r="A693" t="s">
        <v>8</v>
      </c>
      <c r="B693" t="s">
        <v>25</v>
      </c>
      <c r="C693" t="s">
        <v>144</v>
      </c>
      <c r="D693" s="9" t="s">
        <v>137</v>
      </c>
      <c r="E693" t="s">
        <v>39</v>
      </c>
      <c r="F693" t="s">
        <v>75</v>
      </c>
      <c r="G693">
        <v>3.3</v>
      </c>
      <c r="H693" s="9">
        <v>106.25</v>
      </c>
      <c r="I693"/>
    </row>
    <row r="694" spans="1:9" x14ac:dyDescent="0.3">
      <c r="A694" t="s">
        <v>8</v>
      </c>
      <c r="B694" t="s">
        <v>25</v>
      </c>
      <c r="C694" t="s">
        <v>145</v>
      </c>
      <c r="D694" s="9" t="s">
        <v>137</v>
      </c>
      <c r="E694" t="s">
        <v>40</v>
      </c>
      <c r="F694" t="s">
        <v>77</v>
      </c>
      <c r="G694">
        <v>2.8</v>
      </c>
      <c r="H694" s="9">
        <v>86.67</v>
      </c>
      <c r="I694"/>
    </row>
    <row r="695" spans="1:9" x14ac:dyDescent="0.3">
      <c r="A695" t="s">
        <v>8</v>
      </c>
      <c r="B695" t="s">
        <v>25</v>
      </c>
      <c r="C695" t="s">
        <v>146</v>
      </c>
      <c r="D695" s="9" t="s">
        <v>137</v>
      </c>
      <c r="E695" t="s">
        <v>41</v>
      </c>
      <c r="F695" t="s">
        <v>79</v>
      </c>
      <c r="G695">
        <v>2.8</v>
      </c>
      <c r="H695" s="9">
        <v>75</v>
      </c>
      <c r="I695"/>
    </row>
    <row r="696" spans="1:9" x14ac:dyDescent="0.3">
      <c r="A696" t="s">
        <v>8</v>
      </c>
      <c r="B696" t="s">
        <v>25</v>
      </c>
      <c r="C696" t="s">
        <v>147</v>
      </c>
      <c r="D696" s="9" t="s">
        <v>137</v>
      </c>
      <c r="E696" t="s">
        <v>42</v>
      </c>
      <c r="F696" t="s">
        <v>81</v>
      </c>
      <c r="G696">
        <v>3.8</v>
      </c>
      <c r="H696" s="9">
        <v>80.95</v>
      </c>
      <c r="I696"/>
    </row>
    <row r="697" spans="1:9" x14ac:dyDescent="0.3">
      <c r="A697" t="s">
        <v>8</v>
      </c>
      <c r="B697" t="s">
        <v>25</v>
      </c>
      <c r="C697" t="s">
        <v>148</v>
      </c>
      <c r="D697" s="9" t="s">
        <v>137</v>
      </c>
      <c r="E697" t="s">
        <v>43</v>
      </c>
      <c r="F697" t="s">
        <v>83</v>
      </c>
      <c r="G697">
        <v>6</v>
      </c>
      <c r="H697" s="9">
        <v>46.34</v>
      </c>
      <c r="I697"/>
    </row>
    <row r="698" spans="1:9" x14ac:dyDescent="0.3">
      <c r="A698" t="s">
        <v>8</v>
      </c>
      <c r="B698" t="s">
        <v>25</v>
      </c>
      <c r="C698" t="s">
        <v>149</v>
      </c>
      <c r="D698" s="9" t="s">
        <v>150</v>
      </c>
      <c r="E698" t="s">
        <v>32</v>
      </c>
      <c r="F698" t="s">
        <v>61</v>
      </c>
      <c r="G698">
        <v>2.9</v>
      </c>
      <c r="H698" s="9">
        <v>26.09</v>
      </c>
      <c r="I698"/>
    </row>
    <row r="699" spans="1:9" x14ac:dyDescent="0.3">
      <c r="A699" t="s">
        <v>8</v>
      </c>
      <c r="B699" t="s">
        <v>25</v>
      </c>
      <c r="C699" t="s">
        <v>151</v>
      </c>
      <c r="D699" s="9" t="s">
        <v>150</v>
      </c>
      <c r="E699" t="s">
        <v>33</v>
      </c>
      <c r="F699" t="s">
        <v>63</v>
      </c>
      <c r="G699">
        <v>2.5</v>
      </c>
      <c r="H699" s="9">
        <v>8.6999999999999993</v>
      </c>
      <c r="I699"/>
    </row>
    <row r="700" spans="1:9" x14ac:dyDescent="0.3">
      <c r="A700" t="s">
        <v>8</v>
      </c>
      <c r="B700" t="s">
        <v>25</v>
      </c>
      <c r="C700" t="s">
        <v>152</v>
      </c>
      <c r="D700" s="9" t="s">
        <v>150</v>
      </c>
      <c r="E700" t="s">
        <v>34</v>
      </c>
      <c r="F700" t="s">
        <v>65</v>
      </c>
      <c r="G700">
        <v>2.7</v>
      </c>
      <c r="H700" s="9">
        <v>8</v>
      </c>
      <c r="I700"/>
    </row>
    <row r="701" spans="1:9" x14ac:dyDescent="0.3">
      <c r="A701" t="s">
        <v>8</v>
      </c>
      <c r="B701" t="s">
        <v>25</v>
      </c>
      <c r="C701" t="s">
        <v>153</v>
      </c>
      <c r="D701" s="9" t="s">
        <v>150</v>
      </c>
      <c r="E701" t="s">
        <v>35</v>
      </c>
      <c r="F701" t="s">
        <v>67</v>
      </c>
      <c r="G701">
        <v>2.8</v>
      </c>
      <c r="H701" s="9">
        <v>7.69</v>
      </c>
      <c r="I701"/>
    </row>
    <row r="702" spans="1:9" x14ac:dyDescent="0.3">
      <c r="A702" t="s">
        <v>8</v>
      </c>
      <c r="B702" t="s">
        <v>25</v>
      </c>
      <c r="C702" t="s">
        <v>154</v>
      </c>
      <c r="D702" s="9" t="s">
        <v>150</v>
      </c>
      <c r="E702" t="s">
        <v>36</v>
      </c>
      <c r="F702" t="s">
        <v>69</v>
      </c>
      <c r="G702">
        <v>2.8</v>
      </c>
      <c r="H702" s="9">
        <v>0</v>
      </c>
      <c r="I702"/>
    </row>
    <row r="703" spans="1:9" x14ac:dyDescent="0.3">
      <c r="A703" t="s">
        <v>8</v>
      </c>
      <c r="B703" t="s">
        <v>25</v>
      </c>
      <c r="C703" t="s">
        <v>155</v>
      </c>
      <c r="D703" s="9" t="s">
        <v>150</v>
      </c>
      <c r="E703" t="s">
        <v>37</v>
      </c>
      <c r="F703" t="s">
        <v>71</v>
      </c>
      <c r="G703">
        <v>2.5</v>
      </c>
      <c r="H703" s="9">
        <v>4.17</v>
      </c>
      <c r="I703"/>
    </row>
    <row r="704" spans="1:9" x14ac:dyDescent="0.3">
      <c r="A704" t="s">
        <v>8</v>
      </c>
      <c r="B704" t="s">
        <v>24</v>
      </c>
      <c r="C704" t="s">
        <v>59</v>
      </c>
      <c r="D704" s="9" t="s">
        <v>60</v>
      </c>
      <c r="E704" t="s">
        <v>32</v>
      </c>
      <c r="F704" t="s">
        <v>61</v>
      </c>
      <c r="G704">
        <v>8</v>
      </c>
      <c r="I704"/>
    </row>
    <row r="705" spans="1:9" x14ac:dyDescent="0.3">
      <c r="A705" t="s">
        <v>8</v>
      </c>
      <c r="B705" t="s">
        <v>24</v>
      </c>
      <c r="C705" t="s">
        <v>62</v>
      </c>
      <c r="D705" s="9" t="s">
        <v>60</v>
      </c>
      <c r="E705" t="s">
        <v>33</v>
      </c>
      <c r="F705" t="s">
        <v>63</v>
      </c>
      <c r="G705">
        <v>6.6</v>
      </c>
      <c r="I705"/>
    </row>
    <row r="706" spans="1:9" x14ac:dyDescent="0.3">
      <c r="A706" t="s">
        <v>8</v>
      </c>
      <c r="B706" t="s">
        <v>24</v>
      </c>
      <c r="C706" t="s">
        <v>64</v>
      </c>
      <c r="D706" s="9" t="s">
        <v>60</v>
      </c>
      <c r="E706" t="s">
        <v>34</v>
      </c>
      <c r="F706" t="s">
        <v>65</v>
      </c>
      <c r="G706">
        <v>7.3</v>
      </c>
      <c r="I706"/>
    </row>
    <row r="707" spans="1:9" x14ac:dyDescent="0.3">
      <c r="A707" t="s">
        <v>8</v>
      </c>
      <c r="B707" t="s">
        <v>24</v>
      </c>
      <c r="C707" t="s">
        <v>66</v>
      </c>
      <c r="D707" s="9" t="s">
        <v>60</v>
      </c>
      <c r="E707" t="s">
        <v>35</v>
      </c>
      <c r="F707" t="s">
        <v>67</v>
      </c>
      <c r="G707">
        <v>7.3</v>
      </c>
      <c r="I707"/>
    </row>
    <row r="708" spans="1:9" x14ac:dyDescent="0.3">
      <c r="A708" t="s">
        <v>8</v>
      </c>
      <c r="B708" t="s">
        <v>24</v>
      </c>
      <c r="C708" t="s">
        <v>68</v>
      </c>
      <c r="D708" s="9" t="s">
        <v>60</v>
      </c>
      <c r="E708" t="s">
        <v>36</v>
      </c>
      <c r="F708" t="s">
        <v>69</v>
      </c>
      <c r="G708">
        <v>6.5</v>
      </c>
      <c r="I708"/>
    </row>
    <row r="709" spans="1:9" x14ac:dyDescent="0.3">
      <c r="A709" t="s">
        <v>8</v>
      </c>
      <c r="B709" t="s">
        <v>24</v>
      </c>
      <c r="C709" t="s">
        <v>70</v>
      </c>
      <c r="D709" s="9" t="s">
        <v>60</v>
      </c>
      <c r="E709" t="s">
        <v>37</v>
      </c>
      <c r="F709" t="s">
        <v>71</v>
      </c>
      <c r="G709">
        <v>8</v>
      </c>
      <c r="I709"/>
    </row>
    <row r="710" spans="1:9" x14ac:dyDescent="0.3">
      <c r="A710" t="s">
        <v>8</v>
      </c>
      <c r="B710" t="s">
        <v>24</v>
      </c>
      <c r="C710" t="s">
        <v>72</v>
      </c>
      <c r="D710" s="9" t="s">
        <v>60</v>
      </c>
      <c r="E710" t="s">
        <v>38</v>
      </c>
      <c r="F710" t="s">
        <v>73</v>
      </c>
      <c r="G710">
        <v>8.6</v>
      </c>
      <c r="I710"/>
    </row>
    <row r="711" spans="1:9" x14ac:dyDescent="0.3">
      <c r="A711" t="s">
        <v>8</v>
      </c>
      <c r="B711" t="s">
        <v>24</v>
      </c>
      <c r="C711" t="s">
        <v>74</v>
      </c>
      <c r="D711" s="9" t="s">
        <v>60</v>
      </c>
      <c r="E711" t="s">
        <v>39</v>
      </c>
      <c r="F711" t="s">
        <v>75</v>
      </c>
      <c r="G711">
        <v>7.7</v>
      </c>
      <c r="I711"/>
    </row>
    <row r="712" spans="1:9" x14ac:dyDescent="0.3">
      <c r="A712" t="s">
        <v>8</v>
      </c>
      <c r="B712" t="s">
        <v>24</v>
      </c>
      <c r="C712" t="s">
        <v>76</v>
      </c>
      <c r="D712" s="9" t="s">
        <v>60</v>
      </c>
      <c r="E712" t="s">
        <v>40</v>
      </c>
      <c r="F712" t="s">
        <v>77</v>
      </c>
      <c r="G712">
        <v>8.4</v>
      </c>
      <c r="I712"/>
    </row>
    <row r="713" spans="1:9" x14ac:dyDescent="0.3">
      <c r="A713" t="s">
        <v>8</v>
      </c>
      <c r="B713" t="s">
        <v>24</v>
      </c>
      <c r="C713" t="s">
        <v>78</v>
      </c>
      <c r="D713" s="9" t="s">
        <v>60</v>
      </c>
      <c r="E713" t="s">
        <v>41</v>
      </c>
      <c r="F713" t="s">
        <v>79</v>
      </c>
      <c r="G713">
        <v>7.7</v>
      </c>
      <c r="I713"/>
    </row>
    <row r="714" spans="1:9" x14ac:dyDescent="0.3">
      <c r="A714" t="s">
        <v>8</v>
      </c>
      <c r="B714" t="s">
        <v>24</v>
      </c>
      <c r="C714" t="s">
        <v>80</v>
      </c>
      <c r="D714" s="9" t="s">
        <v>60</v>
      </c>
      <c r="E714" t="s">
        <v>42</v>
      </c>
      <c r="F714" t="s">
        <v>81</v>
      </c>
      <c r="G714">
        <v>9.9</v>
      </c>
      <c r="I714"/>
    </row>
    <row r="715" spans="1:9" x14ac:dyDescent="0.3">
      <c r="A715" t="s">
        <v>8</v>
      </c>
      <c r="B715" t="s">
        <v>24</v>
      </c>
      <c r="C715" t="s">
        <v>82</v>
      </c>
      <c r="D715" s="9" t="s">
        <v>60</v>
      </c>
      <c r="E715" t="s">
        <v>43</v>
      </c>
      <c r="F715" t="s">
        <v>83</v>
      </c>
      <c r="G715">
        <v>15.2</v>
      </c>
      <c r="I715"/>
    </row>
    <row r="716" spans="1:9" x14ac:dyDescent="0.3">
      <c r="A716" t="s">
        <v>8</v>
      </c>
      <c r="B716" t="s">
        <v>24</v>
      </c>
      <c r="C716" t="s">
        <v>84</v>
      </c>
      <c r="D716" s="9" t="s">
        <v>85</v>
      </c>
      <c r="E716" t="s">
        <v>32</v>
      </c>
      <c r="F716" t="s">
        <v>61</v>
      </c>
      <c r="G716">
        <v>7.4</v>
      </c>
      <c r="H716" s="9">
        <v>-7.5</v>
      </c>
      <c r="I716"/>
    </row>
    <row r="717" spans="1:9" x14ac:dyDescent="0.3">
      <c r="A717" t="s">
        <v>8</v>
      </c>
      <c r="B717" t="s">
        <v>24</v>
      </c>
      <c r="C717" t="s">
        <v>86</v>
      </c>
      <c r="D717" s="9" t="s">
        <v>85</v>
      </c>
      <c r="E717" t="s">
        <v>33</v>
      </c>
      <c r="F717" t="s">
        <v>63</v>
      </c>
      <c r="G717">
        <v>6</v>
      </c>
      <c r="H717" s="9">
        <v>-9.09</v>
      </c>
      <c r="I717"/>
    </row>
    <row r="718" spans="1:9" x14ac:dyDescent="0.3">
      <c r="A718" t="s">
        <v>8</v>
      </c>
      <c r="B718" t="s">
        <v>24</v>
      </c>
      <c r="C718" t="s">
        <v>87</v>
      </c>
      <c r="D718" s="9" t="s">
        <v>85</v>
      </c>
      <c r="E718" t="s">
        <v>34</v>
      </c>
      <c r="F718" t="s">
        <v>65</v>
      </c>
      <c r="G718">
        <v>8.4</v>
      </c>
      <c r="H718" s="9">
        <v>15.07</v>
      </c>
      <c r="I718"/>
    </row>
    <row r="719" spans="1:9" x14ac:dyDescent="0.3">
      <c r="A719" t="s">
        <v>8</v>
      </c>
      <c r="B719" t="s">
        <v>24</v>
      </c>
      <c r="C719" t="s">
        <v>88</v>
      </c>
      <c r="D719" s="9" t="s">
        <v>85</v>
      </c>
      <c r="E719" t="s">
        <v>35</v>
      </c>
      <c r="F719" t="s">
        <v>67</v>
      </c>
      <c r="G719">
        <v>8.4</v>
      </c>
      <c r="H719" s="9">
        <v>15.07</v>
      </c>
      <c r="I719"/>
    </row>
    <row r="720" spans="1:9" x14ac:dyDescent="0.3">
      <c r="A720" t="s">
        <v>8</v>
      </c>
      <c r="B720" t="s">
        <v>24</v>
      </c>
      <c r="C720" t="s">
        <v>89</v>
      </c>
      <c r="D720" s="9" t="s">
        <v>85</v>
      </c>
      <c r="E720" t="s">
        <v>36</v>
      </c>
      <c r="F720" t="s">
        <v>69</v>
      </c>
      <c r="G720">
        <v>9.5</v>
      </c>
      <c r="H720" s="9">
        <v>46.15</v>
      </c>
      <c r="I720"/>
    </row>
    <row r="721" spans="1:9" x14ac:dyDescent="0.3">
      <c r="A721" t="s">
        <v>8</v>
      </c>
      <c r="B721" t="s">
        <v>24</v>
      </c>
      <c r="C721" t="s">
        <v>90</v>
      </c>
      <c r="D721" s="9" t="s">
        <v>85</v>
      </c>
      <c r="E721" t="s">
        <v>37</v>
      </c>
      <c r="F721" t="s">
        <v>71</v>
      </c>
      <c r="G721">
        <v>10.8</v>
      </c>
      <c r="H721" s="9">
        <v>35</v>
      </c>
      <c r="I721"/>
    </row>
    <row r="722" spans="1:9" x14ac:dyDescent="0.3">
      <c r="A722" t="s">
        <v>8</v>
      </c>
      <c r="B722" t="s">
        <v>24</v>
      </c>
      <c r="C722" t="s">
        <v>91</v>
      </c>
      <c r="D722" s="9" t="s">
        <v>85</v>
      </c>
      <c r="E722" t="s">
        <v>38</v>
      </c>
      <c r="F722" t="s">
        <v>73</v>
      </c>
      <c r="G722">
        <v>10.8</v>
      </c>
      <c r="H722" s="9">
        <v>25.58</v>
      </c>
      <c r="I722"/>
    </row>
    <row r="723" spans="1:9" x14ac:dyDescent="0.3">
      <c r="A723" t="s">
        <v>8</v>
      </c>
      <c r="B723" t="s">
        <v>24</v>
      </c>
      <c r="C723" t="s">
        <v>92</v>
      </c>
      <c r="D723" s="9" t="s">
        <v>85</v>
      </c>
      <c r="E723" t="s">
        <v>39</v>
      </c>
      <c r="F723" t="s">
        <v>75</v>
      </c>
      <c r="G723">
        <v>9.3000000000000007</v>
      </c>
      <c r="H723" s="9">
        <v>20.78</v>
      </c>
      <c r="I723"/>
    </row>
    <row r="724" spans="1:9" x14ac:dyDescent="0.3">
      <c r="A724" t="s">
        <v>8</v>
      </c>
      <c r="B724" t="s">
        <v>24</v>
      </c>
      <c r="C724" t="s">
        <v>93</v>
      </c>
      <c r="D724" s="9" t="s">
        <v>85</v>
      </c>
      <c r="E724" t="s">
        <v>40</v>
      </c>
      <c r="F724" t="s">
        <v>77</v>
      </c>
      <c r="G724">
        <v>8.9</v>
      </c>
      <c r="H724" s="9">
        <v>5.95</v>
      </c>
      <c r="I724"/>
    </row>
    <row r="725" spans="1:9" x14ac:dyDescent="0.3">
      <c r="A725" t="s">
        <v>8</v>
      </c>
      <c r="B725" t="s">
        <v>24</v>
      </c>
      <c r="C725" t="s">
        <v>94</v>
      </c>
      <c r="D725" s="9" t="s">
        <v>85</v>
      </c>
      <c r="E725" t="s">
        <v>41</v>
      </c>
      <c r="F725" t="s">
        <v>79</v>
      </c>
      <c r="G725">
        <v>9.4</v>
      </c>
      <c r="H725" s="9">
        <v>22.08</v>
      </c>
      <c r="I725"/>
    </row>
    <row r="726" spans="1:9" x14ac:dyDescent="0.3">
      <c r="A726" t="s">
        <v>8</v>
      </c>
      <c r="B726" t="s">
        <v>24</v>
      </c>
      <c r="C726" t="s">
        <v>95</v>
      </c>
      <c r="D726" s="9" t="s">
        <v>85</v>
      </c>
      <c r="E726" t="s">
        <v>42</v>
      </c>
      <c r="F726" t="s">
        <v>81</v>
      </c>
      <c r="G726">
        <v>12.3</v>
      </c>
      <c r="H726" s="9">
        <v>24.24</v>
      </c>
      <c r="I726"/>
    </row>
    <row r="727" spans="1:9" x14ac:dyDescent="0.3">
      <c r="A727" t="s">
        <v>8</v>
      </c>
      <c r="B727" t="s">
        <v>24</v>
      </c>
      <c r="C727" t="s">
        <v>96</v>
      </c>
      <c r="D727" s="9" t="s">
        <v>85</v>
      </c>
      <c r="E727" t="s">
        <v>43</v>
      </c>
      <c r="F727" t="s">
        <v>83</v>
      </c>
      <c r="G727">
        <v>20.2</v>
      </c>
      <c r="H727" s="9">
        <v>32.89</v>
      </c>
      <c r="I727"/>
    </row>
    <row r="728" spans="1:9" x14ac:dyDescent="0.3">
      <c r="A728" t="s">
        <v>8</v>
      </c>
      <c r="B728" t="s">
        <v>24</v>
      </c>
      <c r="C728" t="s">
        <v>97</v>
      </c>
      <c r="D728" s="9" t="s">
        <v>98</v>
      </c>
      <c r="E728" t="s">
        <v>32</v>
      </c>
      <c r="F728" t="s">
        <v>61</v>
      </c>
      <c r="G728">
        <v>10.5</v>
      </c>
      <c r="H728" s="9">
        <v>41.89</v>
      </c>
      <c r="I728"/>
    </row>
    <row r="729" spans="1:9" x14ac:dyDescent="0.3">
      <c r="A729" t="s">
        <v>8</v>
      </c>
      <c r="B729" t="s">
        <v>24</v>
      </c>
      <c r="C729" t="s">
        <v>99</v>
      </c>
      <c r="D729" s="9" t="s">
        <v>98</v>
      </c>
      <c r="E729" t="s">
        <v>33</v>
      </c>
      <c r="F729" t="s">
        <v>63</v>
      </c>
      <c r="G729">
        <v>7.6</v>
      </c>
      <c r="H729" s="9">
        <v>26.67</v>
      </c>
      <c r="I729"/>
    </row>
    <row r="730" spans="1:9" x14ac:dyDescent="0.3">
      <c r="A730" t="s">
        <v>8</v>
      </c>
      <c r="B730" t="s">
        <v>24</v>
      </c>
      <c r="C730" t="s">
        <v>100</v>
      </c>
      <c r="D730" s="9" t="s">
        <v>98</v>
      </c>
      <c r="E730" t="s">
        <v>34</v>
      </c>
      <c r="F730" t="s">
        <v>65</v>
      </c>
      <c r="G730">
        <v>8.4</v>
      </c>
      <c r="H730" s="9">
        <v>0</v>
      </c>
      <c r="I730"/>
    </row>
    <row r="731" spans="1:9" x14ac:dyDescent="0.3">
      <c r="A731" t="s">
        <v>8</v>
      </c>
      <c r="B731" t="s">
        <v>24</v>
      </c>
      <c r="C731" t="s">
        <v>101</v>
      </c>
      <c r="D731" s="9" t="s">
        <v>98</v>
      </c>
      <c r="E731" t="s">
        <v>35</v>
      </c>
      <c r="F731" t="s">
        <v>67</v>
      </c>
      <c r="G731">
        <v>8.4</v>
      </c>
      <c r="H731" s="9">
        <v>0</v>
      </c>
      <c r="I731"/>
    </row>
    <row r="732" spans="1:9" x14ac:dyDescent="0.3">
      <c r="A732" t="s">
        <v>8</v>
      </c>
      <c r="B732" t="s">
        <v>24</v>
      </c>
      <c r="C732" t="s">
        <v>102</v>
      </c>
      <c r="D732" s="9" t="s">
        <v>98</v>
      </c>
      <c r="E732" t="s">
        <v>36</v>
      </c>
      <c r="F732" t="s">
        <v>69</v>
      </c>
      <c r="G732">
        <v>8.5</v>
      </c>
      <c r="H732" s="9">
        <v>-10.53</v>
      </c>
      <c r="I732"/>
    </row>
    <row r="733" spans="1:9" x14ac:dyDescent="0.3">
      <c r="A733" t="s">
        <v>8</v>
      </c>
      <c r="B733" t="s">
        <v>24</v>
      </c>
      <c r="C733" t="s">
        <v>103</v>
      </c>
      <c r="D733" s="9" t="s">
        <v>98</v>
      </c>
      <c r="E733" t="s">
        <v>37</v>
      </c>
      <c r="F733" t="s">
        <v>71</v>
      </c>
      <c r="G733">
        <v>10.8</v>
      </c>
      <c r="H733" s="9">
        <v>0</v>
      </c>
      <c r="I733"/>
    </row>
    <row r="734" spans="1:9" x14ac:dyDescent="0.3">
      <c r="A734" t="s">
        <v>8</v>
      </c>
      <c r="B734" t="s">
        <v>24</v>
      </c>
      <c r="C734" t="s">
        <v>104</v>
      </c>
      <c r="D734" s="9" t="s">
        <v>98</v>
      </c>
      <c r="E734" t="s">
        <v>38</v>
      </c>
      <c r="F734" t="s">
        <v>73</v>
      </c>
      <c r="G734">
        <v>8.3000000000000007</v>
      </c>
      <c r="H734" s="9">
        <v>-23.15</v>
      </c>
      <c r="I734"/>
    </row>
    <row r="735" spans="1:9" x14ac:dyDescent="0.3">
      <c r="A735" t="s">
        <v>8</v>
      </c>
      <c r="B735" t="s">
        <v>24</v>
      </c>
      <c r="C735" t="s">
        <v>105</v>
      </c>
      <c r="D735" s="9" t="s">
        <v>98</v>
      </c>
      <c r="E735" t="s">
        <v>39</v>
      </c>
      <c r="F735" t="s">
        <v>75</v>
      </c>
      <c r="G735">
        <v>4.2</v>
      </c>
      <c r="H735" s="9">
        <v>-54.84</v>
      </c>
      <c r="I735"/>
    </row>
    <row r="736" spans="1:9" x14ac:dyDescent="0.3">
      <c r="A736" t="s">
        <v>8</v>
      </c>
      <c r="B736" t="s">
        <v>24</v>
      </c>
      <c r="C736" t="s">
        <v>106</v>
      </c>
      <c r="D736" s="9" t="s">
        <v>98</v>
      </c>
      <c r="E736" t="s">
        <v>40</v>
      </c>
      <c r="F736" t="s">
        <v>77</v>
      </c>
      <c r="G736">
        <v>1.5</v>
      </c>
      <c r="H736" s="9">
        <v>-83.15</v>
      </c>
      <c r="I736"/>
    </row>
    <row r="737" spans="1:9" x14ac:dyDescent="0.3">
      <c r="A737" t="s">
        <v>8</v>
      </c>
      <c r="B737" t="s">
        <v>24</v>
      </c>
      <c r="C737" t="s">
        <v>107</v>
      </c>
      <c r="D737" s="9" t="s">
        <v>98</v>
      </c>
      <c r="E737" t="s">
        <v>41</v>
      </c>
      <c r="F737" t="s">
        <v>79</v>
      </c>
      <c r="G737">
        <v>5</v>
      </c>
      <c r="H737" s="9">
        <v>-46.81</v>
      </c>
      <c r="I737"/>
    </row>
    <row r="738" spans="1:9" x14ac:dyDescent="0.3">
      <c r="A738" t="s">
        <v>8</v>
      </c>
      <c r="B738" t="s">
        <v>24</v>
      </c>
      <c r="C738" t="s">
        <v>108</v>
      </c>
      <c r="D738" s="9" t="s">
        <v>98</v>
      </c>
      <c r="E738" t="s">
        <v>42</v>
      </c>
      <c r="F738" t="s">
        <v>81</v>
      </c>
      <c r="G738">
        <v>11.6</v>
      </c>
      <c r="H738" s="9">
        <v>-5.69</v>
      </c>
      <c r="I738"/>
    </row>
    <row r="739" spans="1:9" x14ac:dyDescent="0.3">
      <c r="A739" t="s">
        <v>8</v>
      </c>
      <c r="B739" t="s">
        <v>24</v>
      </c>
      <c r="C739" t="s">
        <v>109</v>
      </c>
      <c r="D739" s="9" t="s">
        <v>98</v>
      </c>
      <c r="E739" t="s">
        <v>43</v>
      </c>
      <c r="F739" t="s">
        <v>83</v>
      </c>
      <c r="G739">
        <v>14.5</v>
      </c>
      <c r="H739" s="9">
        <v>-28.22</v>
      </c>
      <c r="I739"/>
    </row>
    <row r="740" spans="1:9" x14ac:dyDescent="0.3">
      <c r="A740" t="s">
        <v>8</v>
      </c>
      <c r="B740" t="s">
        <v>24</v>
      </c>
      <c r="C740" t="s">
        <v>110</v>
      </c>
      <c r="D740" s="9" t="s">
        <v>111</v>
      </c>
      <c r="E740" t="s">
        <v>32</v>
      </c>
      <c r="F740" t="s">
        <v>61</v>
      </c>
      <c r="G740">
        <v>10.8</v>
      </c>
      <c r="H740" s="9">
        <v>2.86</v>
      </c>
      <c r="I740"/>
    </row>
    <row r="741" spans="1:9" x14ac:dyDescent="0.3">
      <c r="A741" t="s">
        <v>8</v>
      </c>
      <c r="B741" t="s">
        <v>24</v>
      </c>
      <c r="C741" t="s">
        <v>112</v>
      </c>
      <c r="D741" s="9" t="s">
        <v>111</v>
      </c>
      <c r="E741" t="s">
        <v>33</v>
      </c>
      <c r="F741" t="s">
        <v>63</v>
      </c>
      <c r="G741">
        <v>6.2</v>
      </c>
      <c r="H741" s="9">
        <v>-18.420000000000002</v>
      </c>
      <c r="I741"/>
    </row>
    <row r="742" spans="1:9" x14ac:dyDescent="0.3">
      <c r="A742" t="s">
        <v>8</v>
      </c>
      <c r="B742" t="s">
        <v>24</v>
      </c>
      <c r="C742" t="s">
        <v>113</v>
      </c>
      <c r="D742" s="9" t="s">
        <v>111</v>
      </c>
      <c r="E742" t="s">
        <v>34</v>
      </c>
      <c r="F742" t="s">
        <v>65</v>
      </c>
      <c r="G742">
        <v>7</v>
      </c>
      <c r="H742" s="9">
        <v>-16.670000000000002</v>
      </c>
      <c r="I742"/>
    </row>
    <row r="743" spans="1:9" x14ac:dyDescent="0.3">
      <c r="A743" t="s">
        <v>8</v>
      </c>
      <c r="B743" t="s">
        <v>24</v>
      </c>
      <c r="C743" t="s">
        <v>114</v>
      </c>
      <c r="D743" s="9" t="s">
        <v>111</v>
      </c>
      <c r="E743" t="s">
        <v>35</v>
      </c>
      <c r="F743" t="s">
        <v>67</v>
      </c>
      <c r="G743">
        <v>8.5</v>
      </c>
      <c r="H743" s="9">
        <v>1.19</v>
      </c>
      <c r="I743"/>
    </row>
    <row r="744" spans="1:9" x14ac:dyDescent="0.3">
      <c r="A744" t="s">
        <v>8</v>
      </c>
      <c r="B744" t="s">
        <v>24</v>
      </c>
      <c r="C744" t="s">
        <v>115</v>
      </c>
      <c r="D744" s="9" t="s">
        <v>111</v>
      </c>
      <c r="E744" t="s">
        <v>36</v>
      </c>
      <c r="F744" t="s">
        <v>69</v>
      </c>
      <c r="G744">
        <v>6.9</v>
      </c>
      <c r="H744" s="9">
        <v>-18.82</v>
      </c>
      <c r="I744"/>
    </row>
    <row r="745" spans="1:9" x14ac:dyDescent="0.3">
      <c r="A745" t="s">
        <v>8</v>
      </c>
      <c r="B745" t="s">
        <v>24</v>
      </c>
      <c r="C745" t="s">
        <v>116</v>
      </c>
      <c r="D745" s="9" t="s">
        <v>111</v>
      </c>
      <c r="E745" t="s">
        <v>37</v>
      </c>
      <c r="F745" t="s">
        <v>71</v>
      </c>
      <c r="G745">
        <v>9.6999999999999993</v>
      </c>
      <c r="H745" s="9">
        <v>-10.19</v>
      </c>
      <c r="I745"/>
    </row>
    <row r="746" spans="1:9" x14ac:dyDescent="0.3">
      <c r="A746" t="s">
        <v>8</v>
      </c>
      <c r="B746" t="s">
        <v>24</v>
      </c>
      <c r="C746" t="s">
        <v>117</v>
      </c>
      <c r="D746" s="9" t="s">
        <v>111</v>
      </c>
      <c r="E746" t="s">
        <v>38</v>
      </c>
      <c r="F746" t="s">
        <v>73</v>
      </c>
      <c r="G746">
        <v>7.8</v>
      </c>
      <c r="H746" s="9">
        <v>-6.02</v>
      </c>
      <c r="I746"/>
    </row>
    <row r="747" spans="1:9" x14ac:dyDescent="0.3">
      <c r="A747" t="s">
        <v>8</v>
      </c>
      <c r="B747" t="s">
        <v>24</v>
      </c>
      <c r="C747" t="s">
        <v>118</v>
      </c>
      <c r="D747" s="9" t="s">
        <v>111</v>
      </c>
      <c r="E747" t="s">
        <v>39</v>
      </c>
      <c r="F747" t="s">
        <v>75</v>
      </c>
      <c r="G747">
        <v>7.3</v>
      </c>
      <c r="H747" s="9">
        <v>73.81</v>
      </c>
      <c r="I747"/>
    </row>
    <row r="748" spans="1:9" x14ac:dyDescent="0.3">
      <c r="A748" t="s">
        <v>8</v>
      </c>
      <c r="B748" t="s">
        <v>24</v>
      </c>
      <c r="C748" t="s">
        <v>119</v>
      </c>
      <c r="D748" s="9" t="s">
        <v>111</v>
      </c>
      <c r="E748" t="s">
        <v>40</v>
      </c>
      <c r="F748" t="s">
        <v>77</v>
      </c>
      <c r="G748">
        <v>8</v>
      </c>
      <c r="H748" s="9">
        <v>433.33</v>
      </c>
      <c r="I748"/>
    </row>
    <row r="749" spans="1:9" x14ac:dyDescent="0.3">
      <c r="A749" t="s">
        <v>8</v>
      </c>
      <c r="B749" t="s">
        <v>24</v>
      </c>
      <c r="C749" t="s">
        <v>120</v>
      </c>
      <c r="D749" s="9" t="s">
        <v>111</v>
      </c>
      <c r="E749" t="s">
        <v>41</v>
      </c>
      <c r="F749" t="s">
        <v>79</v>
      </c>
      <c r="G749">
        <v>8</v>
      </c>
      <c r="H749" s="9">
        <v>60</v>
      </c>
      <c r="I749"/>
    </row>
    <row r="750" spans="1:9" x14ac:dyDescent="0.3">
      <c r="A750" t="s">
        <v>8</v>
      </c>
      <c r="B750" t="s">
        <v>24</v>
      </c>
      <c r="C750" t="s">
        <v>121</v>
      </c>
      <c r="D750" s="9" t="s">
        <v>111</v>
      </c>
      <c r="E750" t="s">
        <v>42</v>
      </c>
      <c r="F750" t="s">
        <v>81</v>
      </c>
      <c r="G750">
        <v>10.3</v>
      </c>
      <c r="H750" s="9">
        <v>-11.21</v>
      </c>
      <c r="I750"/>
    </row>
    <row r="751" spans="1:9" x14ac:dyDescent="0.3">
      <c r="A751" t="s">
        <v>8</v>
      </c>
      <c r="B751" t="s">
        <v>24</v>
      </c>
      <c r="C751" t="s">
        <v>122</v>
      </c>
      <c r="D751" s="9" t="s">
        <v>111</v>
      </c>
      <c r="E751" t="s">
        <v>43</v>
      </c>
      <c r="F751" t="s">
        <v>83</v>
      </c>
      <c r="G751">
        <v>15.3</v>
      </c>
      <c r="H751" s="9">
        <v>5.52</v>
      </c>
      <c r="I751"/>
    </row>
    <row r="752" spans="1:9" x14ac:dyDescent="0.3">
      <c r="A752" t="s">
        <v>8</v>
      </c>
      <c r="B752" t="s">
        <v>24</v>
      </c>
      <c r="C752" t="s">
        <v>123</v>
      </c>
      <c r="D752" s="9" t="s">
        <v>124</v>
      </c>
      <c r="E752" t="s">
        <v>32</v>
      </c>
      <c r="F752" t="s">
        <v>61</v>
      </c>
      <c r="G752">
        <v>9</v>
      </c>
      <c r="H752" s="9">
        <v>-16.670000000000002</v>
      </c>
      <c r="I752"/>
    </row>
    <row r="753" spans="1:9" x14ac:dyDescent="0.3">
      <c r="A753" t="s">
        <v>8</v>
      </c>
      <c r="B753" t="s">
        <v>24</v>
      </c>
      <c r="C753" t="s">
        <v>125</v>
      </c>
      <c r="D753" s="9" t="s">
        <v>124</v>
      </c>
      <c r="E753" t="s">
        <v>33</v>
      </c>
      <c r="F753" t="s">
        <v>63</v>
      </c>
      <c r="G753">
        <v>7.2</v>
      </c>
      <c r="H753" s="9">
        <v>16.13</v>
      </c>
      <c r="I753"/>
    </row>
    <row r="754" spans="1:9" x14ac:dyDescent="0.3">
      <c r="A754" t="s">
        <v>8</v>
      </c>
      <c r="B754" t="s">
        <v>24</v>
      </c>
      <c r="C754" t="s">
        <v>126</v>
      </c>
      <c r="D754" s="9" t="s">
        <v>124</v>
      </c>
      <c r="E754" t="s">
        <v>34</v>
      </c>
      <c r="F754" t="s">
        <v>65</v>
      </c>
      <c r="G754">
        <v>8</v>
      </c>
      <c r="H754" s="9">
        <v>14.29</v>
      </c>
      <c r="I754"/>
    </row>
    <row r="755" spans="1:9" x14ac:dyDescent="0.3">
      <c r="A755" t="s">
        <v>8</v>
      </c>
      <c r="B755" t="s">
        <v>24</v>
      </c>
      <c r="C755" t="s">
        <v>127</v>
      </c>
      <c r="D755" s="9" t="s">
        <v>124</v>
      </c>
      <c r="E755" t="s">
        <v>35</v>
      </c>
      <c r="F755" t="s">
        <v>67</v>
      </c>
      <c r="G755">
        <v>8.5</v>
      </c>
      <c r="H755" s="9">
        <v>0</v>
      </c>
      <c r="I755"/>
    </row>
    <row r="756" spans="1:9" x14ac:dyDescent="0.3">
      <c r="A756" t="s">
        <v>8</v>
      </c>
      <c r="B756" t="s">
        <v>24</v>
      </c>
      <c r="C756" t="s">
        <v>128</v>
      </c>
      <c r="D756" s="9" t="s">
        <v>124</v>
      </c>
      <c r="E756" t="s">
        <v>36</v>
      </c>
      <c r="F756" t="s">
        <v>69</v>
      </c>
      <c r="G756">
        <v>7.7</v>
      </c>
      <c r="H756" s="9">
        <v>11.59</v>
      </c>
      <c r="I756"/>
    </row>
    <row r="757" spans="1:9" x14ac:dyDescent="0.3">
      <c r="A757" t="s">
        <v>8</v>
      </c>
      <c r="B757" t="s">
        <v>24</v>
      </c>
      <c r="C757" t="s">
        <v>129</v>
      </c>
      <c r="D757" s="9" t="s">
        <v>124</v>
      </c>
      <c r="E757" t="s">
        <v>37</v>
      </c>
      <c r="F757" t="s">
        <v>71</v>
      </c>
      <c r="G757">
        <v>7.8</v>
      </c>
      <c r="H757" s="9">
        <v>-19.59</v>
      </c>
      <c r="I757"/>
    </row>
    <row r="758" spans="1:9" x14ac:dyDescent="0.3">
      <c r="A758" t="s">
        <v>8</v>
      </c>
      <c r="B758" t="s">
        <v>24</v>
      </c>
      <c r="C758" t="s">
        <v>130</v>
      </c>
      <c r="D758" s="9" t="s">
        <v>124</v>
      </c>
      <c r="E758" t="s">
        <v>38</v>
      </c>
      <c r="F758" t="s">
        <v>73</v>
      </c>
      <c r="G758">
        <v>7.5</v>
      </c>
      <c r="H758" s="9">
        <v>-3.85</v>
      </c>
      <c r="I758"/>
    </row>
    <row r="759" spans="1:9" x14ac:dyDescent="0.3">
      <c r="A759" t="s">
        <v>8</v>
      </c>
      <c r="B759" t="s">
        <v>24</v>
      </c>
      <c r="C759" t="s">
        <v>131</v>
      </c>
      <c r="D759" s="9" t="s">
        <v>124</v>
      </c>
      <c r="E759" t="s">
        <v>39</v>
      </c>
      <c r="F759" t="s">
        <v>75</v>
      </c>
      <c r="G759">
        <v>6</v>
      </c>
      <c r="H759" s="9">
        <v>-17.809999999999999</v>
      </c>
      <c r="I759"/>
    </row>
    <row r="760" spans="1:9" x14ac:dyDescent="0.3">
      <c r="A760" t="s">
        <v>8</v>
      </c>
      <c r="B760" t="s">
        <v>24</v>
      </c>
      <c r="C760" t="s">
        <v>132</v>
      </c>
      <c r="D760" s="9" t="s">
        <v>124</v>
      </c>
      <c r="E760" t="s">
        <v>40</v>
      </c>
      <c r="F760" t="s">
        <v>77</v>
      </c>
      <c r="G760">
        <v>7.5</v>
      </c>
      <c r="H760" s="9">
        <v>-6.25</v>
      </c>
      <c r="I760"/>
    </row>
    <row r="761" spans="1:9" x14ac:dyDescent="0.3">
      <c r="A761" t="s">
        <v>8</v>
      </c>
      <c r="B761" t="s">
        <v>24</v>
      </c>
      <c r="C761" t="s">
        <v>133</v>
      </c>
      <c r="D761" s="9" t="s">
        <v>124</v>
      </c>
      <c r="E761" t="s">
        <v>41</v>
      </c>
      <c r="F761" t="s">
        <v>79</v>
      </c>
      <c r="G761">
        <v>6.9</v>
      </c>
      <c r="H761" s="9">
        <v>-13.75</v>
      </c>
      <c r="I761"/>
    </row>
    <row r="762" spans="1:9" x14ac:dyDescent="0.3">
      <c r="A762" t="s">
        <v>8</v>
      </c>
      <c r="B762" t="s">
        <v>24</v>
      </c>
      <c r="C762" t="s">
        <v>134</v>
      </c>
      <c r="D762" s="9" t="s">
        <v>124</v>
      </c>
      <c r="E762" t="s">
        <v>42</v>
      </c>
      <c r="F762" t="s">
        <v>81</v>
      </c>
      <c r="G762">
        <v>10.1</v>
      </c>
      <c r="H762" s="9">
        <v>-1.94</v>
      </c>
      <c r="I762"/>
    </row>
    <row r="763" spans="1:9" x14ac:dyDescent="0.3">
      <c r="A763" t="s">
        <v>8</v>
      </c>
      <c r="B763" t="s">
        <v>24</v>
      </c>
      <c r="C763" t="s">
        <v>135</v>
      </c>
      <c r="D763" s="9" t="s">
        <v>124</v>
      </c>
      <c r="E763" t="s">
        <v>43</v>
      </c>
      <c r="F763" t="s">
        <v>83</v>
      </c>
      <c r="G763">
        <v>15.9</v>
      </c>
      <c r="H763" s="9">
        <v>3.92</v>
      </c>
      <c r="I763"/>
    </row>
    <row r="764" spans="1:9" x14ac:dyDescent="0.3">
      <c r="A764" t="s">
        <v>8</v>
      </c>
      <c r="B764" t="s">
        <v>24</v>
      </c>
      <c r="C764" t="s">
        <v>136</v>
      </c>
      <c r="D764" s="9" t="s">
        <v>137</v>
      </c>
      <c r="E764" t="s">
        <v>32</v>
      </c>
      <c r="F764" t="s">
        <v>61</v>
      </c>
      <c r="G764">
        <v>8.8000000000000007</v>
      </c>
      <c r="H764" s="9">
        <v>-2.2200000000000002</v>
      </c>
      <c r="I764"/>
    </row>
    <row r="765" spans="1:9" x14ac:dyDescent="0.3">
      <c r="A765" t="s">
        <v>8</v>
      </c>
      <c r="B765" t="s">
        <v>24</v>
      </c>
      <c r="C765" t="s">
        <v>138</v>
      </c>
      <c r="D765" s="9" t="s">
        <v>137</v>
      </c>
      <c r="E765" t="s">
        <v>33</v>
      </c>
      <c r="F765" t="s">
        <v>63</v>
      </c>
      <c r="G765">
        <v>7.6</v>
      </c>
      <c r="H765" s="9">
        <v>5.56</v>
      </c>
      <c r="I765"/>
    </row>
    <row r="766" spans="1:9" x14ac:dyDescent="0.3">
      <c r="A766" t="s">
        <v>8</v>
      </c>
      <c r="B766" t="s">
        <v>24</v>
      </c>
      <c r="C766" t="s">
        <v>139</v>
      </c>
      <c r="D766" s="9" t="s">
        <v>137</v>
      </c>
      <c r="E766" t="s">
        <v>34</v>
      </c>
      <c r="F766" t="s">
        <v>65</v>
      </c>
      <c r="G766">
        <v>7.5</v>
      </c>
      <c r="H766" s="9">
        <v>-6.25</v>
      </c>
      <c r="I766"/>
    </row>
    <row r="767" spans="1:9" x14ac:dyDescent="0.3">
      <c r="A767" t="s">
        <v>8</v>
      </c>
      <c r="B767" t="s">
        <v>24</v>
      </c>
      <c r="C767" t="s">
        <v>140</v>
      </c>
      <c r="D767" s="9" t="s">
        <v>137</v>
      </c>
      <c r="E767" t="s">
        <v>35</v>
      </c>
      <c r="F767" t="s">
        <v>67</v>
      </c>
      <c r="G767">
        <v>7.8</v>
      </c>
      <c r="H767" s="9">
        <v>-8.24</v>
      </c>
      <c r="I767"/>
    </row>
    <row r="768" spans="1:9" x14ac:dyDescent="0.3">
      <c r="A768" t="s">
        <v>8</v>
      </c>
      <c r="B768" t="s">
        <v>24</v>
      </c>
      <c r="C768" t="s">
        <v>141</v>
      </c>
      <c r="D768" s="9" t="s">
        <v>137</v>
      </c>
      <c r="E768" t="s">
        <v>36</v>
      </c>
      <c r="F768" t="s">
        <v>69</v>
      </c>
      <c r="G768">
        <v>6.3</v>
      </c>
      <c r="H768" s="9">
        <v>-18.18</v>
      </c>
      <c r="I768"/>
    </row>
    <row r="769" spans="1:9" x14ac:dyDescent="0.3">
      <c r="A769" t="s">
        <v>8</v>
      </c>
      <c r="B769" t="s">
        <v>24</v>
      </c>
      <c r="C769" t="s">
        <v>142</v>
      </c>
      <c r="D769" s="9" t="s">
        <v>137</v>
      </c>
      <c r="E769" t="s">
        <v>37</v>
      </c>
      <c r="F769" t="s">
        <v>71</v>
      </c>
      <c r="G769">
        <v>6.9</v>
      </c>
      <c r="H769" s="9">
        <v>-11.54</v>
      </c>
      <c r="I769"/>
    </row>
    <row r="770" spans="1:9" x14ac:dyDescent="0.3">
      <c r="A770" t="s">
        <v>8</v>
      </c>
      <c r="B770" t="s">
        <v>24</v>
      </c>
      <c r="C770" t="s">
        <v>143</v>
      </c>
      <c r="D770" s="9" t="s">
        <v>137</v>
      </c>
      <c r="E770" t="s">
        <v>38</v>
      </c>
      <c r="F770" t="s">
        <v>73</v>
      </c>
      <c r="G770">
        <v>7</v>
      </c>
      <c r="H770" s="9">
        <v>-6.67</v>
      </c>
      <c r="I770"/>
    </row>
    <row r="771" spans="1:9" x14ac:dyDescent="0.3">
      <c r="A771" t="s">
        <v>8</v>
      </c>
      <c r="B771" t="s">
        <v>24</v>
      </c>
      <c r="C771" t="s">
        <v>144</v>
      </c>
      <c r="D771" s="9" t="s">
        <v>137</v>
      </c>
      <c r="E771" t="s">
        <v>39</v>
      </c>
      <c r="F771" t="s">
        <v>75</v>
      </c>
      <c r="G771">
        <v>6.6</v>
      </c>
      <c r="H771" s="9">
        <v>10</v>
      </c>
      <c r="I771"/>
    </row>
    <row r="772" spans="1:9" x14ac:dyDescent="0.3">
      <c r="A772" t="s">
        <v>8</v>
      </c>
      <c r="B772" t="s">
        <v>24</v>
      </c>
      <c r="C772" t="s">
        <v>145</v>
      </c>
      <c r="D772" s="9" t="s">
        <v>137</v>
      </c>
      <c r="E772" t="s">
        <v>40</v>
      </c>
      <c r="F772" t="s">
        <v>77</v>
      </c>
      <c r="G772">
        <v>7.3</v>
      </c>
      <c r="H772" s="9">
        <v>-2.67</v>
      </c>
      <c r="I772"/>
    </row>
    <row r="773" spans="1:9" x14ac:dyDescent="0.3">
      <c r="A773" t="s">
        <v>8</v>
      </c>
      <c r="B773" t="s">
        <v>24</v>
      </c>
      <c r="C773" t="s">
        <v>146</v>
      </c>
      <c r="D773" s="9" t="s">
        <v>137</v>
      </c>
      <c r="E773" t="s">
        <v>41</v>
      </c>
      <c r="F773" t="s">
        <v>79</v>
      </c>
      <c r="G773">
        <v>7.3</v>
      </c>
      <c r="H773" s="9">
        <v>5.8</v>
      </c>
      <c r="I773"/>
    </row>
    <row r="774" spans="1:9" x14ac:dyDescent="0.3">
      <c r="A774" t="s">
        <v>8</v>
      </c>
      <c r="B774" t="s">
        <v>24</v>
      </c>
      <c r="C774" t="s">
        <v>147</v>
      </c>
      <c r="D774" s="9" t="s">
        <v>137</v>
      </c>
      <c r="E774" t="s">
        <v>42</v>
      </c>
      <c r="F774" t="s">
        <v>81</v>
      </c>
      <c r="G774">
        <v>9.5</v>
      </c>
      <c r="H774" s="9">
        <v>-5.94</v>
      </c>
      <c r="I774"/>
    </row>
    <row r="775" spans="1:9" x14ac:dyDescent="0.3">
      <c r="A775" t="s">
        <v>8</v>
      </c>
      <c r="B775" t="s">
        <v>24</v>
      </c>
      <c r="C775" t="s">
        <v>148</v>
      </c>
      <c r="D775" s="9" t="s">
        <v>137</v>
      </c>
      <c r="E775" t="s">
        <v>43</v>
      </c>
      <c r="F775" t="s">
        <v>83</v>
      </c>
      <c r="G775">
        <v>12.9</v>
      </c>
      <c r="H775" s="9">
        <v>-18.87</v>
      </c>
      <c r="I775"/>
    </row>
    <row r="776" spans="1:9" x14ac:dyDescent="0.3">
      <c r="A776" t="s">
        <v>8</v>
      </c>
      <c r="B776" t="s">
        <v>24</v>
      </c>
      <c r="C776" t="s">
        <v>149</v>
      </c>
      <c r="D776" s="9" t="s">
        <v>150</v>
      </c>
      <c r="E776" t="s">
        <v>32</v>
      </c>
      <c r="F776" t="s">
        <v>61</v>
      </c>
      <c r="G776">
        <v>8.6999999999999993</v>
      </c>
      <c r="H776" s="9">
        <v>-1.1399999999999999</v>
      </c>
      <c r="I776"/>
    </row>
    <row r="777" spans="1:9" x14ac:dyDescent="0.3">
      <c r="A777" t="s">
        <v>8</v>
      </c>
      <c r="B777" t="s">
        <v>24</v>
      </c>
      <c r="C777" t="s">
        <v>151</v>
      </c>
      <c r="D777" s="9" t="s">
        <v>150</v>
      </c>
      <c r="E777" t="s">
        <v>33</v>
      </c>
      <c r="F777" t="s">
        <v>63</v>
      </c>
      <c r="G777">
        <v>6.2</v>
      </c>
      <c r="H777" s="9">
        <v>-18.420000000000002</v>
      </c>
      <c r="I777"/>
    </row>
    <row r="778" spans="1:9" x14ac:dyDescent="0.3">
      <c r="A778" t="s">
        <v>8</v>
      </c>
      <c r="B778" t="s">
        <v>24</v>
      </c>
      <c r="C778" t="s">
        <v>152</v>
      </c>
      <c r="D778" s="9" t="s">
        <v>150</v>
      </c>
      <c r="E778" t="s">
        <v>34</v>
      </c>
      <c r="F778" t="s">
        <v>65</v>
      </c>
      <c r="G778">
        <v>7.4</v>
      </c>
      <c r="H778" s="9">
        <v>-1.33</v>
      </c>
      <c r="I778"/>
    </row>
    <row r="779" spans="1:9" x14ac:dyDescent="0.3">
      <c r="A779" t="s">
        <v>8</v>
      </c>
      <c r="B779" t="s">
        <v>24</v>
      </c>
      <c r="C779" t="s">
        <v>153</v>
      </c>
      <c r="D779" s="9" t="s">
        <v>150</v>
      </c>
      <c r="E779" t="s">
        <v>35</v>
      </c>
      <c r="F779" t="s">
        <v>67</v>
      </c>
      <c r="G779">
        <v>7.9</v>
      </c>
      <c r="H779" s="9">
        <v>1.28</v>
      </c>
      <c r="I779"/>
    </row>
    <row r="780" spans="1:9" x14ac:dyDescent="0.3">
      <c r="A780" t="s">
        <v>8</v>
      </c>
      <c r="B780" t="s">
        <v>24</v>
      </c>
      <c r="C780" t="s">
        <v>154</v>
      </c>
      <c r="D780" s="9" t="s">
        <v>150</v>
      </c>
      <c r="E780" t="s">
        <v>36</v>
      </c>
      <c r="F780" t="s">
        <v>69</v>
      </c>
      <c r="G780">
        <v>7.2</v>
      </c>
      <c r="H780" s="9">
        <v>14.29</v>
      </c>
      <c r="I780"/>
    </row>
    <row r="781" spans="1:9" x14ac:dyDescent="0.3">
      <c r="A781" t="s">
        <v>8</v>
      </c>
      <c r="B781" t="s">
        <v>24</v>
      </c>
      <c r="C781" t="s">
        <v>155</v>
      </c>
      <c r="D781" s="9" t="s">
        <v>150</v>
      </c>
      <c r="E781" t="s">
        <v>37</v>
      </c>
      <c r="F781" t="s">
        <v>71</v>
      </c>
      <c r="G781">
        <v>8.8000000000000007</v>
      </c>
      <c r="H781" s="9">
        <v>27.54</v>
      </c>
      <c r="I781"/>
    </row>
    <row r="782" spans="1:9" x14ac:dyDescent="0.3">
      <c r="A782" t="s">
        <v>8</v>
      </c>
      <c r="B782" t="s">
        <v>14</v>
      </c>
      <c r="C782" t="s">
        <v>59</v>
      </c>
      <c r="D782" s="9" t="s">
        <v>60</v>
      </c>
      <c r="E782" t="s">
        <v>32</v>
      </c>
      <c r="F782" t="s">
        <v>61</v>
      </c>
      <c r="G782">
        <v>21.4</v>
      </c>
      <c r="I782"/>
    </row>
    <row r="783" spans="1:9" x14ac:dyDescent="0.3">
      <c r="A783" t="s">
        <v>8</v>
      </c>
      <c r="B783" t="s">
        <v>14</v>
      </c>
      <c r="C783" t="s">
        <v>62</v>
      </c>
      <c r="D783" s="9" t="s">
        <v>60</v>
      </c>
      <c r="E783" t="s">
        <v>33</v>
      </c>
      <c r="F783" t="s">
        <v>63</v>
      </c>
      <c r="G783">
        <v>21.4</v>
      </c>
      <c r="I783"/>
    </row>
    <row r="784" spans="1:9" x14ac:dyDescent="0.3">
      <c r="A784" t="s">
        <v>8</v>
      </c>
      <c r="B784" t="s">
        <v>14</v>
      </c>
      <c r="C784" t="s">
        <v>64</v>
      </c>
      <c r="D784" s="9" t="s">
        <v>60</v>
      </c>
      <c r="E784" t="s">
        <v>34</v>
      </c>
      <c r="F784" t="s">
        <v>65</v>
      </c>
      <c r="G784">
        <v>22.5</v>
      </c>
      <c r="I784"/>
    </row>
    <row r="785" spans="1:9" x14ac:dyDescent="0.3">
      <c r="A785" t="s">
        <v>8</v>
      </c>
      <c r="B785" t="s">
        <v>14</v>
      </c>
      <c r="C785" t="s">
        <v>66</v>
      </c>
      <c r="D785" s="9" t="s">
        <v>60</v>
      </c>
      <c r="E785" t="s">
        <v>35</v>
      </c>
      <c r="F785" t="s">
        <v>67</v>
      </c>
      <c r="G785">
        <v>20.8</v>
      </c>
      <c r="I785"/>
    </row>
    <row r="786" spans="1:9" x14ac:dyDescent="0.3">
      <c r="A786" t="s">
        <v>8</v>
      </c>
      <c r="B786" t="s">
        <v>14</v>
      </c>
      <c r="C786" t="s">
        <v>68</v>
      </c>
      <c r="D786" s="9" t="s">
        <v>60</v>
      </c>
      <c r="E786" t="s">
        <v>36</v>
      </c>
      <c r="F786" t="s">
        <v>69</v>
      </c>
      <c r="G786">
        <v>21.8</v>
      </c>
      <c r="I786"/>
    </row>
    <row r="787" spans="1:9" x14ac:dyDescent="0.3">
      <c r="A787" t="s">
        <v>8</v>
      </c>
      <c r="B787" t="s">
        <v>14</v>
      </c>
      <c r="C787" t="s">
        <v>70</v>
      </c>
      <c r="D787" s="9" t="s">
        <v>60</v>
      </c>
      <c r="E787" t="s">
        <v>37</v>
      </c>
      <c r="F787" t="s">
        <v>71</v>
      </c>
      <c r="G787">
        <v>22.5</v>
      </c>
      <c r="I787"/>
    </row>
    <row r="788" spans="1:9" x14ac:dyDescent="0.3">
      <c r="A788" t="s">
        <v>8</v>
      </c>
      <c r="B788" t="s">
        <v>14</v>
      </c>
      <c r="C788" t="s">
        <v>72</v>
      </c>
      <c r="D788" s="9" t="s">
        <v>60</v>
      </c>
      <c r="E788" t="s">
        <v>38</v>
      </c>
      <c r="F788" t="s">
        <v>73</v>
      </c>
      <c r="G788">
        <v>23.4</v>
      </c>
      <c r="I788"/>
    </row>
    <row r="789" spans="1:9" x14ac:dyDescent="0.3">
      <c r="A789" t="s">
        <v>8</v>
      </c>
      <c r="B789" t="s">
        <v>14</v>
      </c>
      <c r="C789" t="s">
        <v>74</v>
      </c>
      <c r="D789" s="9" t="s">
        <v>60</v>
      </c>
      <c r="E789" t="s">
        <v>39</v>
      </c>
      <c r="F789" t="s">
        <v>75</v>
      </c>
      <c r="G789">
        <v>23.4</v>
      </c>
      <c r="I789"/>
    </row>
    <row r="790" spans="1:9" x14ac:dyDescent="0.3">
      <c r="A790" t="s">
        <v>8</v>
      </c>
      <c r="B790" t="s">
        <v>14</v>
      </c>
      <c r="C790" t="s">
        <v>76</v>
      </c>
      <c r="D790" s="9" t="s">
        <v>60</v>
      </c>
      <c r="E790" t="s">
        <v>40</v>
      </c>
      <c r="F790" t="s">
        <v>77</v>
      </c>
      <c r="G790">
        <v>22.5</v>
      </c>
      <c r="I790"/>
    </row>
    <row r="791" spans="1:9" x14ac:dyDescent="0.3">
      <c r="A791" t="s">
        <v>8</v>
      </c>
      <c r="B791" t="s">
        <v>14</v>
      </c>
      <c r="C791" t="s">
        <v>78</v>
      </c>
      <c r="D791" s="9" t="s">
        <v>60</v>
      </c>
      <c r="E791" t="s">
        <v>41</v>
      </c>
      <c r="F791" t="s">
        <v>79</v>
      </c>
      <c r="G791">
        <v>24.8</v>
      </c>
      <c r="I791"/>
    </row>
    <row r="792" spans="1:9" x14ac:dyDescent="0.3">
      <c r="A792" t="s">
        <v>8</v>
      </c>
      <c r="B792" t="s">
        <v>14</v>
      </c>
      <c r="C792" t="s">
        <v>80</v>
      </c>
      <c r="D792" s="9" t="s">
        <v>60</v>
      </c>
      <c r="E792" t="s">
        <v>42</v>
      </c>
      <c r="F792" t="s">
        <v>81</v>
      </c>
      <c r="G792">
        <v>28.1</v>
      </c>
      <c r="I792"/>
    </row>
    <row r="793" spans="1:9" x14ac:dyDescent="0.3">
      <c r="A793" t="s">
        <v>8</v>
      </c>
      <c r="B793" t="s">
        <v>14</v>
      </c>
      <c r="C793" t="s">
        <v>82</v>
      </c>
      <c r="D793" s="9" t="s">
        <v>60</v>
      </c>
      <c r="E793" t="s">
        <v>43</v>
      </c>
      <c r="F793" t="s">
        <v>83</v>
      </c>
      <c r="G793">
        <v>31.4</v>
      </c>
      <c r="I793"/>
    </row>
    <row r="794" spans="1:9" x14ac:dyDescent="0.3">
      <c r="A794" t="s">
        <v>8</v>
      </c>
      <c r="B794" t="s">
        <v>14</v>
      </c>
      <c r="C794" t="s">
        <v>84</v>
      </c>
      <c r="D794" s="9" t="s">
        <v>85</v>
      </c>
      <c r="E794" t="s">
        <v>32</v>
      </c>
      <c r="F794" t="s">
        <v>61</v>
      </c>
      <c r="G794">
        <v>24.7</v>
      </c>
      <c r="H794" s="9">
        <v>15.42</v>
      </c>
      <c r="I794"/>
    </row>
    <row r="795" spans="1:9" x14ac:dyDescent="0.3">
      <c r="A795" t="s">
        <v>8</v>
      </c>
      <c r="B795" t="s">
        <v>14</v>
      </c>
      <c r="C795" t="s">
        <v>86</v>
      </c>
      <c r="D795" s="9" t="s">
        <v>85</v>
      </c>
      <c r="E795" t="s">
        <v>33</v>
      </c>
      <c r="F795" t="s">
        <v>63</v>
      </c>
      <c r="G795">
        <v>27</v>
      </c>
      <c r="H795" s="9">
        <v>26.17</v>
      </c>
      <c r="I795"/>
    </row>
    <row r="796" spans="1:9" x14ac:dyDescent="0.3">
      <c r="A796" t="s">
        <v>8</v>
      </c>
      <c r="B796" t="s">
        <v>14</v>
      </c>
      <c r="C796" t="s">
        <v>87</v>
      </c>
      <c r="D796" s="9" t="s">
        <v>85</v>
      </c>
      <c r="E796" t="s">
        <v>34</v>
      </c>
      <c r="F796" t="s">
        <v>65</v>
      </c>
      <c r="G796">
        <v>30.4</v>
      </c>
      <c r="H796" s="9">
        <v>35.11</v>
      </c>
      <c r="I796"/>
    </row>
    <row r="797" spans="1:9" x14ac:dyDescent="0.3">
      <c r="A797" t="s">
        <v>8</v>
      </c>
      <c r="B797" t="s">
        <v>14</v>
      </c>
      <c r="C797" t="s">
        <v>88</v>
      </c>
      <c r="D797" s="9" t="s">
        <v>85</v>
      </c>
      <c r="E797" t="s">
        <v>35</v>
      </c>
      <c r="F797" t="s">
        <v>67</v>
      </c>
      <c r="G797">
        <v>29.8</v>
      </c>
      <c r="H797" s="9">
        <v>43.27</v>
      </c>
      <c r="I797"/>
    </row>
    <row r="798" spans="1:9" x14ac:dyDescent="0.3">
      <c r="A798" t="s">
        <v>8</v>
      </c>
      <c r="B798" t="s">
        <v>14</v>
      </c>
      <c r="C798" t="s">
        <v>89</v>
      </c>
      <c r="D798" s="9" t="s">
        <v>85</v>
      </c>
      <c r="E798" t="s">
        <v>36</v>
      </c>
      <c r="F798" t="s">
        <v>69</v>
      </c>
      <c r="G798">
        <v>30.6</v>
      </c>
      <c r="H798" s="9">
        <v>40.369999999999997</v>
      </c>
      <c r="I798"/>
    </row>
    <row r="799" spans="1:9" x14ac:dyDescent="0.3">
      <c r="A799" t="s">
        <v>8</v>
      </c>
      <c r="B799" t="s">
        <v>14</v>
      </c>
      <c r="C799" t="s">
        <v>90</v>
      </c>
      <c r="D799" s="9" t="s">
        <v>85</v>
      </c>
      <c r="E799" t="s">
        <v>37</v>
      </c>
      <c r="F799" t="s">
        <v>71</v>
      </c>
      <c r="G799">
        <v>30.7</v>
      </c>
      <c r="H799" s="9">
        <v>36.44</v>
      </c>
      <c r="I799"/>
    </row>
    <row r="800" spans="1:9" x14ac:dyDescent="0.3">
      <c r="A800" t="s">
        <v>8</v>
      </c>
      <c r="B800" t="s">
        <v>14</v>
      </c>
      <c r="C800" t="s">
        <v>91</v>
      </c>
      <c r="D800" s="9" t="s">
        <v>85</v>
      </c>
      <c r="E800" t="s">
        <v>38</v>
      </c>
      <c r="F800" t="s">
        <v>73</v>
      </c>
      <c r="G800">
        <v>32</v>
      </c>
      <c r="H800" s="9">
        <v>36.75</v>
      </c>
      <c r="I800"/>
    </row>
    <row r="801" spans="1:9" x14ac:dyDescent="0.3">
      <c r="A801" t="s">
        <v>8</v>
      </c>
      <c r="B801" t="s">
        <v>14</v>
      </c>
      <c r="C801" t="s">
        <v>92</v>
      </c>
      <c r="D801" s="9" t="s">
        <v>85</v>
      </c>
      <c r="E801" t="s">
        <v>39</v>
      </c>
      <c r="F801" t="s">
        <v>75</v>
      </c>
      <c r="G801">
        <v>34.1</v>
      </c>
      <c r="H801" s="9">
        <v>45.73</v>
      </c>
      <c r="I801"/>
    </row>
    <row r="802" spans="1:9" x14ac:dyDescent="0.3">
      <c r="A802" t="s">
        <v>8</v>
      </c>
      <c r="B802" t="s">
        <v>14</v>
      </c>
      <c r="C802" t="s">
        <v>93</v>
      </c>
      <c r="D802" s="9" t="s">
        <v>85</v>
      </c>
      <c r="E802" t="s">
        <v>40</v>
      </c>
      <c r="F802" t="s">
        <v>77</v>
      </c>
      <c r="G802">
        <v>31.7</v>
      </c>
      <c r="H802" s="9">
        <v>40.89</v>
      </c>
      <c r="I802"/>
    </row>
    <row r="803" spans="1:9" x14ac:dyDescent="0.3">
      <c r="A803" t="s">
        <v>8</v>
      </c>
      <c r="B803" t="s">
        <v>14</v>
      </c>
      <c r="C803" t="s">
        <v>94</v>
      </c>
      <c r="D803" s="9" t="s">
        <v>85</v>
      </c>
      <c r="E803" t="s">
        <v>41</v>
      </c>
      <c r="F803" t="s">
        <v>79</v>
      </c>
      <c r="G803">
        <v>31.9</v>
      </c>
      <c r="H803" s="9">
        <v>28.63</v>
      </c>
      <c r="I803"/>
    </row>
    <row r="804" spans="1:9" x14ac:dyDescent="0.3">
      <c r="A804" t="s">
        <v>8</v>
      </c>
      <c r="B804" t="s">
        <v>14</v>
      </c>
      <c r="C804" t="s">
        <v>95</v>
      </c>
      <c r="D804" s="9" t="s">
        <v>85</v>
      </c>
      <c r="E804" t="s">
        <v>42</v>
      </c>
      <c r="F804" t="s">
        <v>81</v>
      </c>
      <c r="G804">
        <v>35.4</v>
      </c>
      <c r="H804" s="9">
        <v>25.98</v>
      </c>
      <c r="I804"/>
    </row>
    <row r="805" spans="1:9" x14ac:dyDescent="0.3">
      <c r="A805" t="s">
        <v>8</v>
      </c>
      <c r="B805" t="s">
        <v>14</v>
      </c>
      <c r="C805" t="s">
        <v>96</v>
      </c>
      <c r="D805" s="9" t="s">
        <v>85</v>
      </c>
      <c r="E805" t="s">
        <v>43</v>
      </c>
      <c r="F805" t="s">
        <v>83</v>
      </c>
      <c r="G805">
        <v>42.1</v>
      </c>
      <c r="H805" s="9">
        <v>34.08</v>
      </c>
      <c r="I805"/>
    </row>
    <row r="806" spans="1:9" x14ac:dyDescent="0.3">
      <c r="A806" t="s">
        <v>8</v>
      </c>
      <c r="B806" t="s">
        <v>14</v>
      </c>
      <c r="C806" t="s">
        <v>97</v>
      </c>
      <c r="D806" s="9" t="s">
        <v>98</v>
      </c>
      <c r="E806" t="s">
        <v>32</v>
      </c>
      <c r="F806" t="s">
        <v>61</v>
      </c>
      <c r="G806">
        <v>32.1</v>
      </c>
      <c r="H806" s="9">
        <v>29.96</v>
      </c>
      <c r="I806"/>
    </row>
    <row r="807" spans="1:9" x14ac:dyDescent="0.3">
      <c r="A807" t="s">
        <v>8</v>
      </c>
      <c r="B807" t="s">
        <v>14</v>
      </c>
      <c r="C807" t="s">
        <v>99</v>
      </c>
      <c r="D807" s="9" t="s">
        <v>98</v>
      </c>
      <c r="E807" t="s">
        <v>33</v>
      </c>
      <c r="F807" t="s">
        <v>63</v>
      </c>
      <c r="G807">
        <v>31.6</v>
      </c>
      <c r="H807" s="9">
        <v>17.04</v>
      </c>
      <c r="I807"/>
    </row>
    <row r="808" spans="1:9" x14ac:dyDescent="0.3">
      <c r="A808" t="s">
        <v>8</v>
      </c>
      <c r="B808" t="s">
        <v>14</v>
      </c>
      <c r="C808" t="s">
        <v>100</v>
      </c>
      <c r="D808" s="9" t="s">
        <v>98</v>
      </c>
      <c r="E808" t="s">
        <v>34</v>
      </c>
      <c r="F808" t="s">
        <v>65</v>
      </c>
      <c r="G808">
        <v>32.4</v>
      </c>
      <c r="H808" s="9">
        <v>6.58</v>
      </c>
      <c r="I808"/>
    </row>
    <row r="809" spans="1:9" x14ac:dyDescent="0.3">
      <c r="A809" t="s">
        <v>8</v>
      </c>
      <c r="B809" t="s">
        <v>14</v>
      </c>
      <c r="C809" t="s">
        <v>101</v>
      </c>
      <c r="D809" s="9" t="s">
        <v>98</v>
      </c>
      <c r="E809" t="s">
        <v>35</v>
      </c>
      <c r="F809" t="s">
        <v>67</v>
      </c>
      <c r="G809">
        <v>30.2</v>
      </c>
      <c r="H809" s="9">
        <v>1.34</v>
      </c>
      <c r="I809"/>
    </row>
    <row r="810" spans="1:9" x14ac:dyDescent="0.3">
      <c r="A810" t="s">
        <v>8</v>
      </c>
      <c r="B810" t="s">
        <v>14</v>
      </c>
      <c r="C810" t="s">
        <v>102</v>
      </c>
      <c r="D810" s="9" t="s">
        <v>98</v>
      </c>
      <c r="E810" t="s">
        <v>36</v>
      </c>
      <c r="F810" t="s">
        <v>69</v>
      </c>
      <c r="G810">
        <v>32.1</v>
      </c>
      <c r="H810" s="9">
        <v>4.9000000000000004</v>
      </c>
      <c r="I810"/>
    </row>
    <row r="811" spans="1:9" x14ac:dyDescent="0.3">
      <c r="A811" t="s">
        <v>8</v>
      </c>
      <c r="B811" t="s">
        <v>14</v>
      </c>
      <c r="C811" t="s">
        <v>103</v>
      </c>
      <c r="D811" s="9" t="s">
        <v>98</v>
      </c>
      <c r="E811" t="s">
        <v>37</v>
      </c>
      <c r="F811" t="s">
        <v>71</v>
      </c>
      <c r="G811">
        <v>32.4</v>
      </c>
      <c r="H811" s="9">
        <v>5.54</v>
      </c>
      <c r="I811"/>
    </row>
    <row r="812" spans="1:9" x14ac:dyDescent="0.3">
      <c r="A812" t="s">
        <v>8</v>
      </c>
      <c r="B812" t="s">
        <v>14</v>
      </c>
      <c r="C812" t="s">
        <v>104</v>
      </c>
      <c r="D812" s="9" t="s">
        <v>98</v>
      </c>
      <c r="E812" t="s">
        <v>38</v>
      </c>
      <c r="F812" t="s">
        <v>73</v>
      </c>
      <c r="G812">
        <v>35.200000000000003</v>
      </c>
      <c r="H812" s="9">
        <v>10</v>
      </c>
      <c r="I812"/>
    </row>
    <row r="813" spans="1:9" x14ac:dyDescent="0.3">
      <c r="A813" t="s">
        <v>8</v>
      </c>
      <c r="B813" t="s">
        <v>14</v>
      </c>
      <c r="C813" t="s">
        <v>105</v>
      </c>
      <c r="D813" s="9" t="s">
        <v>98</v>
      </c>
      <c r="E813" t="s">
        <v>39</v>
      </c>
      <c r="F813" t="s">
        <v>75</v>
      </c>
      <c r="G813">
        <v>33.299999999999997</v>
      </c>
      <c r="H813" s="9">
        <v>-2.35</v>
      </c>
      <c r="I813"/>
    </row>
    <row r="814" spans="1:9" x14ac:dyDescent="0.3">
      <c r="A814" t="s">
        <v>8</v>
      </c>
      <c r="B814" t="s">
        <v>14</v>
      </c>
      <c r="C814" t="s">
        <v>106</v>
      </c>
      <c r="D814" s="9" t="s">
        <v>98</v>
      </c>
      <c r="E814" t="s">
        <v>40</v>
      </c>
      <c r="F814" t="s">
        <v>77</v>
      </c>
      <c r="G814">
        <v>29</v>
      </c>
      <c r="H814" s="9">
        <v>-8.52</v>
      </c>
      <c r="I814"/>
    </row>
    <row r="815" spans="1:9" x14ac:dyDescent="0.3">
      <c r="A815" t="s">
        <v>8</v>
      </c>
      <c r="B815" t="s">
        <v>14</v>
      </c>
      <c r="C815" t="s">
        <v>107</v>
      </c>
      <c r="D815" s="9" t="s">
        <v>98</v>
      </c>
      <c r="E815" t="s">
        <v>41</v>
      </c>
      <c r="F815" t="s">
        <v>79</v>
      </c>
      <c r="G815">
        <v>33.6</v>
      </c>
      <c r="H815" s="9">
        <v>5.33</v>
      </c>
      <c r="I815"/>
    </row>
    <row r="816" spans="1:9" x14ac:dyDescent="0.3">
      <c r="A816" t="s">
        <v>8</v>
      </c>
      <c r="B816" t="s">
        <v>14</v>
      </c>
      <c r="C816" t="s">
        <v>108</v>
      </c>
      <c r="D816" s="9" t="s">
        <v>98</v>
      </c>
      <c r="E816" t="s">
        <v>42</v>
      </c>
      <c r="F816" t="s">
        <v>81</v>
      </c>
      <c r="G816">
        <v>42.1</v>
      </c>
      <c r="H816" s="9">
        <v>18.93</v>
      </c>
      <c r="I816"/>
    </row>
    <row r="817" spans="1:9" x14ac:dyDescent="0.3">
      <c r="A817" t="s">
        <v>8</v>
      </c>
      <c r="B817" t="s">
        <v>14</v>
      </c>
      <c r="C817" t="s">
        <v>109</v>
      </c>
      <c r="D817" s="9" t="s">
        <v>98</v>
      </c>
      <c r="E817" t="s">
        <v>43</v>
      </c>
      <c r="F817" t="s">
        <v>83</v>
      </c>
      <c r="G817">
        <v>47.3</v>
      </c>
      <c r="H817" s="9">
        <v>12.35</v>
      </c>
      <c r="I817"/>
    </row>
    <row r="818" spans="1:9" x14ac:dyDescent="0.3">
      <c r="A818" t="s">
        <v>8</v>
      </c>
      <c r="B818" t="s">
        <v>14</v>
      </c>
      <c r="C818" t="s">
        <v>110</v>
      </c>
      <c r="D818" s="9" t="s">
        <v>111</v>
      </c>
      <c r="E818" t="s">
        <v>32</v>
      </c>
      <c r="F818" t="s">
        <v>61</v>
      </c>
      <c r="G818">
        <v>35.5</v>
      </c>
      <c r="H818" s="9">
        <v>10.59</v>
      </c>
      <c r="I818"/>
    </row>
    <row r="819" spans="1:9" x14ac:dyDescent="0.3">
      <c r="A819" t="s">
        <v>8</v>
      </c>
      <c r="B819" t="s">
        <v>14</v>
      </c>
      <c r="C819" t="s">
        <v>112</v>
      </c>
      <c r="D819" s="9" t="s">
        <v>111</v>
      </c>
      <c r="E819" t="s">
        <v>33</v>
      </c>
      <c r="F819" t="s">
        <v>63</v>
      </c>
      <c r="G819">
        <v>35.299999999999997</v>
      </c>
      <c r="H819" s="9">
        <v>11.71</v>
      </c>
      <c r="I819"/>
    </row>
    <row r="820" spans="1:9" x14ac:dyDescent="0.3">
      <c r="A820" t="s">
        <v>8</v>
      </c>
      <c r="B820" t="s">
        <v>14</v>
      </c>
      <c r="C820" t="s">
        <v>113</v>
      </c>
      <c r="D820" s="9" t="s">
        <v>111</v>
      </c>
      <c r="E820" t="s">
        <v>34</v>
      </c>
      <c r="F820" t="s">
        <v>65</v>
      </c>
      <c r="G820">
        <v>39.4</v>
      </c>
      <c r="H820" s="9">
        <v>21.6</v>
      </c>
      <c r="I820"/>
    </row>
    <row r="821" spans="1:9" x14ac:dyDescent="0.3">
      <c r="A821" t="s">
        <v>8</v>
      </c>
      <c r="B821" t="s">
        <v>14</v>
      </c>
      <c r="C821" t="s">
        <v>114</v>
      </c>
      <c r="D821" s="9" t="s">
        <v>111</v>
      </c>
      <c r="E821" t="s">
        <v>35</v>
      </c>
      <c r="F821" t="s">
        <v>67</v>
      </c>
      <c r="G821">
        <v>36.799999999999997</v>
      </c>
      <c r="H821" s="9">
        <v>21.85</v>
      </c>
      <c r="I821"/>
    </row>
    <row r="822" spans="1:9" x14ac:dyDescent="0.3">
      <c r="A822" t="s">
        <v>8</v>
      </c>
      <c r="B822" t="s">
        <v>14</v>
      </c>
      <c r="C822" t="s">
        <v>115</v>
      </c>
      <c r="D822" s="9" t="s">
        <v>111</v>
      </c>
      <c r="E822" t="s">
        <v>36</v>
      </c>
      <c r="F822" t="s">
        <v>69</v>
      </c>
      <c r="G822">
        <v>36.9</v>
      </c>
      <c r="H822" s="9">
        <v>14.95</v>
      </c>
      <c r="I822"/>
    </row>
    <row r="823" spans="1:9" x14ac:dyDescent="0.3">
      <c r="A823" t="s">
        <v>8</v>
      </c>
      <c r="B823" t="s">
        <v>14</v>
      </c>
      <c r="C823" t="s">
        <v>116</v>
      </c>
      <c r="D823" s="9" t="s">
        <v>111</v>
      </c>
      <c r="E823" t="s">
        <v>37</v>
      </c>
      <c r="F823" t="s">
        <v>71</v>
      </c>
      <c r="G823">
        <v>37.6</v>
      </c>
      <c r="H823" s="9">
        <v>16.05</v>
      </c>
      <c r="I823"/>
    </row>
    <row r="824" spans="1:9" x14ac:dyDescent="0.3">
      <c r="A824" t="s">
        <v>8</v>
      </c>
      <c r="B824" t="s">
        <v>14</v>
      </c>
      <c r="C824" t="s">
        <v>117</v>
      </c>
      <c r="D824" s="9" t="s">
        <v>111</v>
      </c>
      <c r="E824" t="s">
        <v>38</v>
      </c>
      <c r="F824" t="s">
        <v>73</v>
      </c>
      <c r="G824">
        <v>40.700000000000003</v>
      </c>
      <c r="H824" s="9">
        <v>15.63</v>
      </c>
      <c r="I824"/>
    </row>
    <row r="825" spans="1:9" x14ac:dyDescent="0.3">
      <c r="A825" t="s">
        <v>8</v>
      </c>
      <c r="B825" t="s">
        <v>14</v>
      </c>
      <c r="C825" t="s">
        <v>118</v>
      </c>
      <c r="D825" s="9" t="s">
        <v>111</v>
      </c>
      <c r="E825" t="s">
        <v>39</v>
      </c>
      <c r="F825" t="s">
        <v>75</v>
      </c>
      <c r="G825">
        <v>43.6</v>
      </c>
      <c r="H825" s="9">
        <v>30.93</v>
      </c>
      <c r="I825"/>
    </row>
    <row r="826" spans="1:9" x14ac:dyDescent="0.3">
      <c r="A826" t="s">
        <v>8</v>
      </c>
      <c r="B826" t="s">
        <v>14</v>
      </c>
      <c r="C826" t="s">
        <v>119</v>
      </c>
      <c r="D826" s="9" t="s">
        <v>111</v>
      </c>
      <c r="E826" t="s">
        <v>40</v>
      </c>
      <c r="F826" t="s">
        <v>77</v>
      </c>
      <c r="G826">
        <v>42.1</v>
      </c>
      <c r="H826" s="9">
        <v>45.17</v>
      </c>
      <c r="I826"/>
    </row>
    <row r="827" spans="1:9" x14ac:dyDescent="0.3">
      <c r="A827" t="s">
        <v>8</v>
      </c>
      <c r="B827" t="s">
        <v>14</v>
      </c>
      <c r="C827" t="s">
        <v>120</v>
      </c>
      <c r="D827" s="9" t="s">
        <v>111</v>
      </c>
      <c r="E827" t="s">
        <v>41</v>
      </c>
      <c r="F827" t="s">
        <v>79</v>
      </c>
      <c r="G827">
        <v>46.2</v>
      </c>
      <c r="H827" s="9">
        <v>37.5</v>
      </c>
      <c r="I827"/>
    </row>
    <row r="828" spans="1:9" x14ac:dyDescent="0.3">
      <c r="A828" t="s">
        <v>8</v>
      </c>
      <c r="B828" t="s">
        <v>14</v>
      </c>
      <c r="C828" t="s">
        <v>121</v>
      </c>
      <c r="D828" s="9" t="s">
        <v>111</v>
      </c>
      <c r="E828" t="s">
        <v>42</v>
      </c>
      <c r="F828" t="s">
        <v>81</v>
      </c>
      <c r="G828">
        <v>52.9</v>
      </c>
      <c r="H828" s="9">
        <v>25.65</v>
      </c>
      <c r="I828"/>
    </row>
    <row r="829" spans="1:9" x14ac:dyDescent="0.3">
      <c r="A829" t="s">
        <v>8</v>
      </c>
      <c r="B829" t="s">
        <v>14</v>
      </c>
      <c r="C829" t="s">
        <v>122</v>
      </c>
      <c r="D829" s="9" t="s">
        <v>111</v>
      </c>
      <c r="E829" t="s">
        <v>43</v>
      </c>
      <c r="F829" t="s">
        <v>83</v>
      </c>
      <c r="G829">
        <v>56</v>
      </c>
      <c r="H829" s="9">
        <v>18.39</v>
      </c>
      <c r="I829"/>
    </row>
    <row r="830" spans="1:9" x14ac:dyDescent="0.3">
      <c r="A830" t="s">
        <v>8</v>
      </c>
      <c r="B830" t="s">
        <v>14</v>
      </c>
      <c r="C830" t="s">
        <v>123</v>
      </c>
      <c r="D830" s="9" t="s">
        <v>124</v>
      </c>
      <c r="E830" t="s">
        <v>32</v>
      </c>
      <c r="F830" t="s">
        <v>61</v>
      </c>
      <c r="G830">
        <v>42.5</v>
      </c>
      <c r="H830" s="9">
        <v>19.72</v>
      </c>
      <c r="I830"/>
    </row>
    <row r="831" spans="1:9" x14ac:dyDescent="0.3">
      <c r="A831" t="s">
        <v>8</v>
      </c>
      <c r="B831" t="s">
        <v>14</v>
      </c>
      <c r="C831" t="s">
        <v>125</v>
      </c>
      <c r="D831" s="9" t="s">
        <v>124</v>
      </c>
      <c r="E831" t="s">
        <v>33</v>
      </c>
      <c r="F831" t="s">
        <v>63</v>
      </c>
      <c r="G831">
        <v>41.7</v>
      </c>
      <c r="H831" s="9">
        <v>18.13</v>
      </c>
      <c r="I831"/>
    </row>
    <row r="832" spans="1:9" x14ac:dyDescent="0.3">
      <c r="A832" t="s">
        <v>8</v>
      </c>
      <c r="B832" t="s">
        <v>14</v>
      </c>
      <c r="C832" t="s">
        <v>126</v>
      </c>
      <c r="D832" s="9" t="s">
        <v>124</v>
      </c>
      <c r="E832" t="s">
        <v>34</v>
      </c>
      <c r="F832" t="s">
        <v>65</v>
      </c>
      <c r="G832">
        <v>43.7</v>
      </c>
      <c r="H832" s="9">
        <v>10.91</v>
      </c>
      <c r="I832"/>
    </row>
    <row r="833" spans="1:9" x14ac:dyDescent="0.3">
      <c r="A833" t="s">
        <v>8</v>
      </c>
      <c r="B833" t="s">
        <v>14</v>
      </c>
      <c r="C833" t="s">
        <v>127</v>
      </c>
      <c r="D833" s="9" t="s">
        <v>124</v>
      </c>
      <c r="E833" t="s">
        <v>35</v>
      </c>
      <c r="F833" t="s">
        <v>67</v>
      </c>
      <c r="G833">
        <v>37.6</v>
      </c>
      <c r="H833" s="9">
        <v>2.17</v>
      </c>
      <c r="I833"/>
    </row>
    <row r="834" spans="1:9" x14ac:dyDescent="0.3">
      <c r="A834" t="s">
        <v>8</v>
      </c>
      <c r="B834" t="s">
        <v>14</v>
      </c>
      <c r="C834" t="s">
        <v>128</v>
      </c>
      <c r="D834" s="9" t="s">
        <v>124</v>
      </c>
      <c r="E834" t="s">
        <v>36</v>
      </c>
      <c r="F834" t="s">
        <v>69</v>
      </c>
      <c r="G834">
        <v>43.5</v>
      </c>
      <c r="H834" s="9">
        <v>17.89</v>
      </c>
      <c r="I834"/>
    </row>
    <row r="835" spans="1:9" x14ac:dyDescent="0.3">
      <c r="A835" t="s">
        <v>8</v>
      </c>
      <c r="B835" t="s">
        <v>14</v>
      </c>
      <c r="C835" t="s">
        <v>129</v>
      </c>
      <c r="D835" s="9" t="s">
        <v>124</v>
      </c>
      <c r="E835" t="s">
        <v>37</v>
      </c>
      <c r="F835" t="s">
        <v>71</v>
      </c>
      <c r="G835">
        <v>40</v>
      </c>
      <c r="H835" s="9">
        <v>6.38</v>
      </c>
      <c r="I835"/>
    </row>
    <row r="836" spans="1:9" x14ac:dyDescent="0.3">
      <c r="A836" t="s">
        <v>8</v>
      </c>
      <c r="B836" t="s">
        <v>14</v>
      </c>
      <c r="C836" t="s">
        <v>130</v>
      </c>
      <c r="D836" s="9" t="s">
        <v>124</v>
      </c>
      <c r="E836" t="s">
        <v>38</v>
      </c>
      <c r="F836" t="s">
        <v>73</v>
      </c>
      <c r="G836">
        <v>40.9</v>
      </c>
      <c r="H836" s="9">
        <v>0.49</v>
      </c>
      <c r="I836"/>
    </row>
    <row r="837" spans="1:9" x14ac:dyDescent="0.3">
      <c r="A837" t="s">
        <v>8</v>
      </c>
      <c r="B837" t="s">
        <v>14</v>
      </c>
      <c r="C837" t="s">
        <v>131</v>
      </c>
      <c r="D837" s="9" t="s">
        <v>124</v>
      </c>
      <c r="E837" t="s">
        <v>39</v>
      </c>
      <c r="F837" t="s">
        <v>75</v>
      </c>
      <c r="G837">
        <v>41.6</v>
      </c>
      <c r="H837" s="9">
        <v>-4.59</v>
      </c>
      <c r="I837"/>
    </row>
    <row r="838" spans="1:9" x14ac:dyDescent="0.3">
      <c r="A838" t="s">
        <v>8</v>
      </c>
      <c r="B838" t="s">
        <v>14</v>
      </c>
      <c r="C838" t="s">
        <v>132</v>
      </c>
      <c r="D838" s="9" t="s">
        <v>124</v>
      </c>
      <c r="E838" t="s">
        <v>40</v>
      </c>
      <c r="F838" t="s">
        <v>77</v>
      </c>
      <c r="G838">
        <v>41</v>
      </c>
      <c r="H838" s="9">
        <v>-2.61</v>
      </c>
      <c r="I838"/>
    </row>
    <row r="839" spans="1:9" x14ac:dyDescent="0.3">
      <c r="A839" t="s">
        <v>8</v>
      </c>
      <c r="B839" t="s">
        <v>14</v>
      </c>
      <c r="C839" t="s">
        <v>133</v>
      </c>
      <c r="D839" s="9" t="s">
        <v>124</v>
      </c>
      <c r="E839" t="s">
        <v>41</v>
      </c>
      <c r="F839" t="s">
        <v>79</v>
      </c>
      <c r="G839">
        <v>45</v>
      </c>
      <c r="H839" s="9">
        <v>-2.6</v>
      </c>
      <c r="I839"/>
    </row>
    <row r="840" spans="1:9" x14ac:dyDescent="0.3">
      <c r="A840" t="s">
        <v>8</v>
      </c>
      <c r="B840" t="s">
        <v>14</v>
      </c>
      <c r="C840" t="s">
        <v>134</v>
      </c>
      <c r="D840" s="9" t="s">
        <v>124</v>
      </c>
      <c r="E840" t="s">
        <v>42</v>
      </c>
      <c r="F840" t="s">
        <v>81</v>
      </c>
      <c r="G840">
        <v>51.6</v>
      </c>
      <c r="H840" s="9">
        <v>-2.46</v>
      </c>
      <c r="I840"/>
    </row>
    <row r="841" spans="1:9" x14ac:dyDescent="0.3">
      <c r="A841" t="s">
        <v>8</v>
      </c>
      <c r="B841" t="s">
        <v>14</v>
      </c>
      <c r="C841" t="s">
        <v>135</v>
      </c>
      <c r="D841" s="9" t="s">
        <v>124</v>
      </c>
      <c r="E841" t="s">
        <v>43</v>
      </c>
      <c r="F841" t="s">
        <v>83</v>
      </c>
      <c r="G841">
        <v>50.8</v>
      </c>
      <c r="H841" s="9">
        <v>-9.2899999999999991</v>
      </c>
      <c r="I841"/>
    </row>
    <row r="842" spans="1:9" x14ac:dyDescent="0.3">
      <c r="A842" t="s">
        <v>8</v>
      </c>
      <c r="B842" t="s">
        <v>14</v>
      </c>
      <c r="C842" t="s">
        <v>136</v>
      </c>
      <c r="D842" s="9" t="s">
        <v>137</v>
      </c>
      <c r="E842" t="s">
        <v>32</v>
      </c>
      <c r="F842" t="s">
        <v>61</v>
      </c>
      <c r="G842">
        <v>42.4</v>
      </c>
      <c r="H842" s="9">
        <v>-0.24</v>
      </c>
      <c r="I842"/>
    </row>
    <row r="843" spans="1:9" x14ac:dyDescent="0.3">
      <c r="A843" t="s">
        <v>8</v>
      </c>
      <c r="B843" t="s">
        <v>14</v>
      </c>
      <c r="C843" t="s">
        <v>138</v>
      </c>
      <c r="D843" s="9" t="s">
        <v>137</v>
      </c>
      <c r="E843" t="s">
        <v>33</v>
      </c>
      <c r="F843" t="s">
        <v>63</v>
      </c>
      <c r="G843">
        <v>42.4</v>
      </c>
      <c r="H843" s="9">
        <v>1.68</v>
      </c>
      <c r="I843"/>
    </row>
    <row r="844" spans="1:9" x14ac:dyDescent="0.3">
      <c r="A844" t="s">
        <v>8</v>
      </c>
      <c r="B844" t="s">
        <v>14</v>
      </c>
      <c r="C844" t="s">
        <v>139</v>
      </c>
      <c r="D844" s="9" t="s">
        <v>137</v>
      </c>
      <c r="E844" t="s">
        <v>34</v>
      </c>
      <c r="F844" t="s">
        <v>65</v>
      </c>
      <c r="G844">
        <v>40.9</v>
      </c>
      <c r="H844" s="9">
        <v>-6.41</v>
      </c>
      <c r="I844"/>
    </row>
    <row r="845" spans="1:9" x14ac:dyDescent="0.3">
      <c r="A845" t="s">
        <v>8</v>
      </c>
      <c r="B845" t="s">
        <v>14</v>
      </c>
      <c r="C845" t="s">
        <v>140</v>
      </c>
      <c r="D845" s="9" t="s">
        <v>137</v>
      </c>
      <c r="E845" t="s">
        <v>35</v>
      </c>
      <c r="F845" t="s">
        <v>67</v>
      </c>
      <c r="G845">
        <v>40.1</v>
      </c>
      <c r="H845" s="9">
        <v>6.65</v>
      </c>
      <c r="I845"/>
    </row>
    <row r="846" spans="1:9" x14ac:dyDescent="0.3">
      <c r="A846" t="s">
        <v>8</v>
      </c>
      <c r="B846" t="s">
        <v>14</v>
      </c>
      <c r="C846" t="s">
        <v>141</v>
      </c>
      <c r="D846" s="9" t="s">
        <v>137</v>
      </c>
      <c r="E846" t="s">
        <v>36</v>
      </c>
      <c r="F846" t="s">
        <v>69</v>
      </c>
      <c r="G846">
        <v>42.6</v>
      </c>
      <c r="H846" s="9">
        <v>-2.0699999999999998</v>
      </c>
      <c r="I846"/>
    </row>
    <row r="847" spans="1:9" x14ac:dyDescent="0.3">
      <c r="A847" t="s">
        <v>8</v>
      </c>
      <c r="B847" t="s">
        <v>14</v>
      </c>
      <c r="C847" t="s">
        <v>142</v>
      </c>
      <c r="D847" s="9" t="s">
        <v>137</v>
      </c>
      <c r="E847" t="s">
        <v>37</v>
      </c>
      <c r="F847" t="s">
        <v>71</v>
      </c>
      <c r="G847">
        <v>41.6</v>
      </c>
      <c r="H847" s="9">
        <v>4</v>
      </c>
      <c r="I847"/>
    </row>
    <row r="848" spans="1:9" x14ac:dyDescent="0.3">
      <c r="A848" t="s">
        <v>8</v>
      </c>
      <c r="B848" t="s">
        <v>14</v>
      </c>
      <c r="C848" t="s">
        <v>143</v>
      </c>
      <c r="D848" s="9" t="s">
        <v>137</v>
      </c>
      <c r="E848" t="s">
        <v>38</v>
      </c>
      <c r="F848" t="s">
        <v>73</v>
      </c>
      <c r="G848">
        <v>39.5</v>
      </c>
      <c r="H848" s="9">
        <v>-3.42</v>
      </c>
      <c r="I848"/>
    </row>
    <row r="849" spans="1:9" x14ac:dyDescent="0.3">
      <c r="A849" t="s">
        <v>8</v>
      </c>
      <c r="B849" t="s">
        <v>14</v>
      </c>
      <c r="C849" t="s">
        <v>144</v>
      </c>
      <c r="D849" s="9" t="s">
        <v>137</v>
      </c>
      <c r="E849" t="s">
        <v>39</v>
      </c>
      <c r="F849" t="s">
        <v>75</v>
      </c>
      <c r="G849">
        <v>40.200000000000003</v>
      </c>
      <c r="H849" s="9">
        <v>-3.37</v>
      </c>
      <c r="I849"/>
    </row>
    <row r="850" spans="1:9" x14ac:dyDescent="0.3">
      <c r="A850" t="s">
        <v>8</v>
      </c>
      <c r="B850" t="s">
        <v>14</v>
      </c>
      <c r="C850" t="s">
        <v>145</v>
      </c>
      <c r="D850" s="9" t="s">
        <v>137</v>
      </c>
      <c r="E850" t="s">
        <v>40</v>
      </c>
      <c r="F850" t="s">
        <v>77</v>
      </c>
      <c r="G850">
        <v>39.700000000000003</v>
      </c>
      <c r="H850" s="9">
        <v>-3.17</v>
      </c>
      <c r="I850"/>
    </row>
    <row r="851" spans="1:9" x14ac:dyDescent="0.3">
      <c r="A851" t="s">
        <v>8</v>
      </c>
      <c r="B851" t="s">
        <v>14</v>
      </c>
      <c r="C851" t="s">
        <v>146</v>
      </c>
      <c r="D851" s="9" t="s">
        <v>137</v>
      </c>
      <c r="E851" t="s">
        <v>41</v>
      </c>
      <c r="F851" t="s">
        <v>79</v>
      </c>
      <c r="G851">
        <v>43.8</v>
      </c>
      <c r="H851" s="9">
        <v>-2.67</v>
      </c>
      <c r="I851"/>
    </row>
    <row r="852" spans="1:9" x14ac:dyDescent="0.3">
      <c r="A852" t="s">
        <v>8</v>
      </c>
      <c r="B852" t="s">
        <v>14</v>
      </c>
      <c r="C852" t="s">
        <v>147</v>
      </c>
      <c r="D852" s="9" t="s">
        <v>137</v>
      </c>
      <c r="E852" t="s">
        <v>42</v>
      </c>
      <c r="F852" t="s">
        <v>81</v>
      </c>
      <c r="G852">
        <v>48.9</v>
      </c>
      <c r="H852" s="9">
        <v>-5.23</v>
      </c>
      <c r="I852"/>
    </row>
    <row r="853" spans="1:9" x14ac:dyDescent="0.3">
      <c r="A853" t="s">
        <v>8</v>
      </c>
      <c r="B853" t="s">
        <v>14</v>
      </c>
      <c r="C853" t="s">
        <v>148</v>
      </c>
      <c r="D853" s="9" t="s">
        <v>137</v>
      </c>
      <c r="E853" t="s">
        <v>43</v>
      </c>
      <c r="F853" t="s">
        <v>83</v>
      </c>
      <c r="G853">
        <v>49.1</v>
      </c>
      <c r="H853" s="9">
        <v>-3.35</v>
      </c>
      <c r="I853"/>
    </row>
    <row r="854" spans="1:9" x14ac:dyDescent="0.3">
      <c r="A854" t="s">
        <v>8</v>
      </c>
      <c r="B854" t="s">
        <v>14</v>
      </c>
      <c r="C854" t="s">
        <v>149</v>
      </c>
      <c r="D854" s="9" t="s">
        <v>150</v>
      </c>
      <c r="E854" t="s">
        <v>32</v>
      </c>
      <c r="F854" t="s">
        <v>61</v>
      </c>
      <c r="G854">
        <v>41.3</v>
      </c>
      <c r="H854" s="9">
        <v>-2.59</v>
      </c>
      <c r="I854"/>
    </row>
    <row r="855" spans="1:9" x14ac:dyDescent="0.3">
      <c r="A855" t="s">
        <v>8</v>
      </c>
      <c r="B855" t="s">
        <v>14</v>
      </c>
      <c r="C855" t="s">
        <v>151</v>
      </c>
      <c r="D855" s="9" t="s">
        <v>150</v>
      </c>
      <c r="E855" t="s">
        <v>33</v>
      </c>
      <c r="F855" t="s">
        <v>63</v>
      </c>
      <c r="G855">
        <v>38.9</v>
      </c>
      <c r="H855" s="9">
        <v>-8.25</v>
      </c>
      <c r="I855"/>
    </row>
    <row r="856" spans="1:9" x14ac:dyDescent="0.3">
      <c r="A856" t="s">
        <v>8</v>
      </c>
      <c r="B856" t="s">
        <v>14</v>
      </c>
      <c r="C856" t="s">
        <v>152</v>
      </c>
      <c r="D856" s="9" t="s">
        <v>150</v>
      </c>
      <c r="E856" t="s">
        <v>34</v>
      </c>
      <c r="F856" t="s">
        <v>65</v>
      </c>
      <c r="G856">
        <v>40.4</v>
      </c>
      <c r="H856" s="9">
        <v>-1.22</v>
      </c>
      <c r="I856"/>
    </row>
    <row r="857" spans="1:9" x14ac:dyDescent="0.3">
      <c r="A857" t="s">
        <v>8</v>
      </c>
      <c r="B857" t="s">
        <v>14</v>
      </c>
      <c r="C857" t="s">
        <v>153</v>
      </c>
      <c r="D857" s="9" t="s">
        <v>150</v>
      </c>
      <c r="E857" t="s">
        <v>35</v>
      </c>
      <c r="F857" t="s">
        <v>67</v>
      </c>
      <c r="G857">
        <v>36.9</v>
      </c>
      <c r="H857" s="9">
        <v>-7.98</v>
      </c>
      <c r="I857"/>
    </row>
    <row r="858" spans="1:9" x14ac:dyDescent="0.3">
      <c r="A858" t="s">
        <v>8</v>
      </c>
      <c r="B858" t="s">
        <v>14</v>
      </c>
      <c r="C858" t="s">
        <v>154</v>
      </c>
      <c r="D858" s="9" t="s">
        <v>150</v>
      </c>
      <c r="E858" t="s">
        <v>36</v>
      </c>
      <c r="F858" t="s">
        <v>69</v>
      </c>
      <c r="G858">
        <v>38</v>
      </c>
      <c r="H858" s="9">
        <v>-10.8</v>
      </c>
      <c r="I858"/>
    </row>
    <row r="859" spans="1:9" x14ac:dyDescent="0.3">
      <c r="A859" t="s">
        <v>8</v>
      </c>
      <c r="B859" t="s">
        <v>14</v>
      </c>
      <c r="C859" t="s">
        <v>155</v>
      </c>
      <c r="D859" s="9" t="s">
        <v>150</v>
      </c>
      <c r="E859" t="s">
        <v>37</v>
      </c>
      <c r="F859" t="s">
        <v>71</v>
      </c>
      <c r="G859">
        <v>40.700000000000003</v>
      </c>
      <c r="H859" s="9">
        <v>-2.16</v>
      </c>
      <c r="I859"/>
    </row>
    <row r="860" spans="1:9" x14ac:dyDescent="0.3">
      <c r="A860" t="s">
        <v>8</v>
      </c>
      <c r="B860" t="s">
        <v>23</v>
      </c>
      <c r="C860" t="s">
        <v>59</v>
      </c>
      <c r="D860" s="9" t="s">
        <v>60</v>
      </c>
      <c r="E860" t="s">
        <v>32</v>
      </c>
      <c r="F860" t="s">
        <v>61</v>
      </c>
      <c r="G860">
        <v>10.1</v>
      </c>
      <c r="I860"/>
    </row>
    <row r="861" spans="1:9" x14ac:dyDescent="0.3">
      <c r="A861" t="s">
        <v>8</v>
      </c>
      <c r="B861" t="s">
        <v>23</v>
      </c>
      <c r="C861" t="s">
        <v>62</v>
      </c>
      <c r="D861" s="9" t="s">
        <v>60</v>
      </c>
      <c r="E861" t="s">
        <v>33</v>
      </c>
      <c r="F861" t="s">
        <v>63</v>
      </c>
      <c r="G861">
        <v>10.6</v>
      </c>
      <c r="I861"/>
    </row>
    <row r="862" spans="1:9" x14ac:dyDescent="0.3">
      <c r="A862" t="s">
        <v>8</v>
      </c>
      <c r="B862" t="s">
        <v>23</v>
      </c>
      <c r="C862" t="s">
        <v>64</v>
      </c>
      <c r="D862" s="9" t="s">
        <v>60</v>
      </c>
      <c r="E862" t="s">
        <v>34</v>
      </c>
      <c r="F862" t="s">
        <v>65</v>
      </c>
      <c r="G862">
        <v>11.5</v>
      </c>
      <c r="I862"/>
    </row>
    <row r="863" spans="1:9" x14ac:dyDescent="0.3">
      <c r="A863" t="s">
        <v>8</v>
      </c>
      <c r="B863" t="s">
        <v>23</v>
      </c>
      <c r="C863" t="s">
        <v>66</v>
      </c>
      <c r="D863" s="9" t="s">
        <v>60</v>
      </c>
      <c r="E863" t="s">
        <v>35</v>
      </c>
      <c r="F863" t="s">
        <v>67</v>
      </c>
      <c r="G863">
        <v>11.3</v>
      </c>
      <c r="I863"/>
    </row>
    <row r="864" spans="1:9" x14ac:dyDescent="0.3">
      <c r="A864" t="s">
        <v>8</v>
      </c>
      <c r="B864" t="s">
        <v>23</v>
      </c>
      <c r="C864" t="s">
        <v>68</v>
      </c>
      <c r="D864" s="9" t="s">
        <v>60</v>
      </c>
      <c r="E864" t="s">
        <v>36</v>
      </c>
      <c r="F864" t="s">
        <v>69</v>
      </c>
      <c r="G864">
        <v>11.1</v>
      </c>
      <c r="I864"/>
    </row>
    <row r="865" spans="1:9" x14ac:dyDescent="0.3">
      <c r="A865" t="s">
        <v>8</v>
      </c>
      <c r="B865" t="s">
        <v>23</v>
      </c>
      <c r="C865" t="s">
        <v>70</v>
      </c>
      <c r="D865" s="9" t="s">
        <v>60</v>
      </c>
      <c r="E865" t="s">
        <v>37</v>
      </c>
      <c r="F865" t="s">
        <v>71</v>
      </c>
      <c r="G865">
        <v>10.1</v>
      </c>
      <c r="I865"/>
    </row>
    <row r="866" spans="1:9" x14ac:dyDescent="0.3">
      <c r="A866" t="s">
        <v>8</v>
      </c>
      <c r="B866" t="s">
        <v>23</v>
      </c>
      <c r="C866" t="s">
        <v>72</v>
      </c>
      <c r="D866" s="9" t="s">
        <v>60</v>
      </c>
      <c r="E866" t="s">
        <v>38</v>
      </c>
      <c r="F866" t="s">
        <v>73</v>
      </c>
      <c r="G866">
        <v>8.5</v>
      </c>
      <c r="I866"/>
    </row>
    <row r="867" spans="1:9" x14ac:dyDescent="0.3">
      <c r="A867" t="s">
        <v>8</v>
      </c>
      <c r="B867" t="s">
        <v>23</v>
      </c>
      <c r="C867" t="s">
        <v>74</v>
      </c>
      <c r="D867" s="9" t="s">
        <v>60</v>
      </c>
      <c r="E867" t="s">
        <v>39</v>
      </c>
      <c r="F867" t="s">
        <v>75</v>
      </c>
      <c r="G867">
        <v>9.6999999999999993</v>
      </c>
      <c r="I867"/>
    </row>
    <row r="868" spans="1:9" x14ac:dyDescent="0.3">
      <c r="A868" t="s">
        <v>8</v>
      </c>
      <c r="B868" t="s">
        <v>23</v>
      </c>
      <c r="C868" t="s">
        <v>76</v>
      </c>
      <c r="D868" s="9" t="s">
        <v>60</v>
      </c>
      <c r="E868" t="s">
        <v>40</v>
      </c>
      <c r="F868" t="s">
        <v>77</v>
      </c>
      <c r="G868">
        <v>9.4</v>
      </c>
      <c r="I868"/>
    </row>
    <row r="869" spans="1:9" x14ac:dyDescent="0.3">
      <c r="A869" t="s">
        <v>8</v>
      </c>
      <c r="B869" t="s">
        <v>23</v>
      </c>
      <c r="C869" t="s">
        <v>78</v>
      </c>
      <c r="D869" s="9" t="s">
        <v>60</v>
      </c>
      <c r="E869" t="s">
        <v>41</v>
      </c>
      <c r="F869" t="s">
        <v>79</v>
      </c>
      <c r="G869">
        <v>9.6999999999999993</v>
      </c>
      <c r="I869"/>
    </row>
    <row r="870" spans="1:9" x14ac:dyDescent="0.3">
      <c r="A870" t="s">
        <v>8</v>
      </c>
      <c r="B870" t="s">
        <v>23</v>
      </c>
      <c r="C870" t="s">
        <v>80</v>
      </c>
      <c r="D870" s="9" t="s">
        <v>60</v>
      </c>
      <c r="E870" t="s">
        <v>42</v>
      </c>
      <c r="F870" t="s">
        <v>81</v>
      </c>
      <c r="G870">
        <v>10.8</v>
      </c>
      <c r="I870"/>
    </row>
    <row r="871" spans="1:9" x14ac:dyDescent="0.3">
      <c r="A871" t="s">
        <v>8</v>
      </c>
      <c r="B871" t="s">
        <v>23</v>
      </c>
      <c r="C871" t="s">
        <v>82</v>
      </c>
      <c r="D871" s="9" t="s">
        <v>60</v>
      </c>
      <c r="E871" t="s">
        <v>43</v>
      </c>
      <c r="F871" t="s">
        <v>83</v>
      </c>
      <c r="G871">
        <v>13.1</v>
      </c>
      <c r="I871"/>
    </row>
    <row r="872" spans="1:9" x14ac:dyDescent="0.3">
      <c r="A872" t="s">
        <v>8</v>
      </c>
      <c r="B872" t="s">
        <v>23</v>
      </c>
      <c r="C872" t="s">
        <v>84</v>
      </c>
      <c r="D872" s="9" t="s">
        <v>85</v>
      </c>
      <c r="E872" t="s">
        <v>32</v>
      </c>
      <c r="F872" t="s">
        <v>61</v>
      </c>
      <c r="G872">
        <v>8.4</v>
      </c>
      <c r="H872" s="9">
        <v>-16.829999999999998</v>
      </c>
      <c r="I872"/>
    </row>
    <row r="873" spans="1:9" x14ac:dyDescent="0.3">
      <c r="A873" t="s">
        <v>8</v>
      </c>
      <c r="B873" t="s">
        <v>23</v>
      </c>
      <c r="C873" t="s">
        <v>86</v>
      </c>
      <c r="D873" s="9" t="s">
        <v>85</v>
      </c>
      <c r="E873" t="s">
        <v>33</v>
      </c>
      <c r="F873" t="s">
        <v>63</v>
      </c>
      <c r="G873">
        <v>8.9</v>
      </c>
      <c r="H873" s="9">
        <v>-16.04</v>
      </c>
      <c r="I873"/>
    </row>
    <row r="874" spans="1:9" x14ac:dyDescent="0.3">
      <c r="A874" t="s">
        <v>8</v>
      </c>
      <c r="B874" t="s">
        <v>23</v>
      </c>
      <c r="C874" t="s">
        <v>87</v>
      </c>
      <c r="D874" s="9" t="s">
        <v>85</v>
      </c>
      <c r="E874" t="s">
        <v>34</v>
      </c>
      <c r="F874" t="s">
        <v>65</v>
      </c>
      <c r="G874">
        <v>11.4</v>
      </c>
      <c r="H874" s="9">
        <v>-0.87</v>
      </c>
      <c r="I874"/>
    </row>
    <row r="875" spans="1:9" x14ac:dyDescent="0.3">
      <c r="A875" t="s">
        <v>8</v>
      </c>
      <c r="B875" t="s">
        <v>23</v>
      </c>
      <c r="C875" t="s">
        <v>88</v>
      </c>
      <c r="D875" s="9" t="s">
        <v>85</v>
      </c>
      <c r="E875" t="s">
        <v>35</v>
      </c>
      <c r="F875" t="s">
        <v>67</v>
      </c>
      <c r="G875">
        <v>10.4</v>
      </c>
      <c r="H875" s="9">
        <v>-7.96</v>
      </c>
      <c r="I875"/>
    </row>
    <row r="876" spans="1:9" x14ac:dyDescent="0.3">
      <c r="A876" t="s">
        <v>8</v>
      </c>
      <c r="B876" t="s">
        <v>23</v>
      </c>
      <c r="C876" t="s">
        <v>89</v>
      </c>
      <c r="D876" s="9" t="s">
        <v>85</v>
      </c>
      <c r="E876" t="s">
        <v>36</v>
      </c>
      <c r="F876" t="s">
        <v>69</v>
      </c>
      <c r="G876">
        <v>11.1</v>
      </c>
      <c r="H876" s="9">
        <v>0</v>
      </c>
      <c r="I876"/>
    </row>
    <row r="877" spans="1:9" x14ac:dyDescent="0.3">
      <c r="A877" t="s">
        <v>8</v>
      </c>
      <c r="B877" t="s">
        <v>23</v>
      </c>
      <c r="C877" t="s">
        <v>90</v>
      </c>
      <c r="D877" s="9" t="s">
        <v>85</v>
      </c>
      <c r="E877" t="s">
        <v>37</v>
      </c>
      <c r="F877" t="s">
        <v>71</v>
      </c>
      <c r="G877">
        <v>10.1</v>
      </c>
      <c r="H877" s="9">
        <v>0</v>
      </c>
      <c r="I877"/>
    </row>
    <row r="878" spans="1:9" x14ac:dyDescent="0.3">
      <c r="A878" t="s">
        <v>8</v>
      </c>
      <c r="B878" t="s">
        <v>23</v>
      </c>
      <c r="C878" t="s">
        <v>91</v>
      </c>
      <c r="D878" s="9" t="s">
        <v>85</v>
      </c>
      <c r="E878" t="s">
        <v>38</v>
      </c>
      <c r="F878" t="s">
        <v>73</v>
      </c>
      <c r="G878">
        <v>11.3</v>
      </c>
      <c r="H878" s="9">
        <v>32.94</v>
      </c>
      <c r="I878"/>
    </row>
    <row r="879" spans="1:9" x14ac:dyDescent="0.3">
      <c r="A879" t="s">
        <v>8</v>
      </c>
      <c r="B879" t="s">
        <v>23</v>
      </c>
      <c r="C879" t="s">
        <v>92</v>
      </c>
      <c r="D879" s="9" t="s">
        <v>85</v>
      </c>
      <c r="E879" t="s">
        <v>39</v>
      </c>
      <c r="F879" t="s">
        <v>75</v>
      </c>
      <c r="G879">
        <v>11.4</v>
      </c>
      <c r="H879" s="9">
        <v>17.53</v>
      </c>
      <c r="I879"/>
    </row>
    <row r="880" spans="1:9" x14ac:dyDescent="0.3">
      <c r="A880" t="s">
        <v>8</v>
      </c>
      <c r="B880" t="s">
        <v>23</v>
      </c>
      <c r="C880" t="s">
        <v>93</v>
      </c>
      <c r="D880" s="9" t="s">
        <v>85</v>
      </c>
      <c r="E880" t="s">
        <v>40</v>
      </c>
      <c r="F880" t="s">
        <v>77</v>
      </c>
      <c r="G880">
        <v>10.5</v>
      </c>
      <c r="H880" s="9">
        <v>11.7</v>
      </c>
      <c r="I880"/>
    </row>
    <row r="881" spans="1:9" x14ac:dyDescent="0.3">
      <c r="A881" t="s">
        <v>8</v>
      </c>
      <c r="B881" t="s">
        <v>23</v>
      </c>
      <c r="C881" t="s">
        <v>94</v>
      </c>
      <c r="D881" s="9" t="s">
        <v>85</v>
      </c>
      <c r="E881" t="s">
        <v>41</v>
      </c>
      <c r="F881" t="s">
        <v>79</v>
      </c>
      <c r="G881">
        <v>9.9</v>
      </c>
      <c r="H881" s="9">
        <v>2.06</v>
      </c>
      <c r="I881"/>
    </row>
    <row r="882" spans="1:9" x14ac:dyDescent="0.3">
      <c r="A882" t="s">
        <v>8</v>
      </c>
      <c r="B882" t="s">
        <v>23</v>
      </c>
      <c r="C882" t="s">
        <v>95</v>
      </c>
      <c r="D882" s="9" t="s">
        <v>85</v>
      </c>
      <c r="E882" t="s">
        <v>42</v>
      </c>
      <c r="F882" t="s">
        <v>81</v>
      </c>
      <c r="G882">
        <v>9.6999999999999993</v>
      </c>
      <c r="H882" s="9">
        <v>-10.19</v>
      </c>
      <c r="I882"/>
    </row>
    <row r="883" spans="1:9" x14ac:dyDescent="0.3">
      <c r="A883" t="s">
        <v>8</v>
      </c>
      <c r="B883" t="s">
        <v>23</v>
      </c>
      <c r="C883" t="s">
        <v>96</v>
      </c>
      <c r="D883" s="9" t="s">
        <v>85</v>
      </c>
      <c r="E883" t="s">
        <v>43</v>
      </c>
      <c r="F883" t="s">
        <v>83</v>
      </c>
      <c r="G883">
        <v>11</v>
      </c>
      <c r="H883" s="9">
        <v>-16.03</v>
      </c>
      <c r="I883"/>
    </row>
    <row r="884" spans="1:9" x14ac:dyDescent="0.3">
      <c r="A884" t="s">
        <v>8</v>
      </c>
      <c r="B884" t="s">
        <v>23</v>
      </c>
      <c r="C884" t="s">
        <v>97</v>
      </c>
      <c r="D884" s="9" t="s">
        <v>98</v>
      </c>
      <c r="E884" t="s">
        <v>32</v>
      </c>
      <c r="F884" t="s">
        <v>61</v>
      </c>
      <c r="G884">
        <v>8.5</v>
      </c>
      <c r="H884" s="9">
        <v>1.19</v>
      </c>
      <c r="I884"/>
    </row>
    <row r="885" spans="1:9" x14ac:dyDescent="0.3">
      <c r="A885" t="s">
        <v>8</v>
      </c>
      <c r="B885" t="s">
        <v>23</v>
      </c>
      <c r="C885" t="s">
        <v>99</v>
      </c>
      <c r="D885" s="9" t="s">
        <v>98</v>
      </c>
      <c r="E885" t="s">
        <v>33</v>
      </c>
      <c r="F885" t="s">
        <v>63</v>
      </c>
      <c r="G885">
        <v>8.5</v>
      </c>
      <c r="H885" s="9">
        <v>-4.49</v>
      </c>
      <c r="I885"/>
    </row>
    <row r="886" spans="1:9" x14ac:dyDescent="0.3">
      <c r="A886" t="s">
        <v>8</v>
      </c>
      <c r="B886" t="s">
        <v>23</v>
      </c>
      <c r="C886" t="s">
        <v>100</v>
      </c>
      <c r="D886" s="9" t="s">
        <v>98</v>
      </c>
      <c r="E886" t="s">
        <v>34</v>
      </c>
      <c r="F886" t="s">
        <v>65</v>
      </c>
      <c r="G886">
        <v>9.1999999999999993</v>
      </c>
      <c r="H886" s="9">
        <v>-19.3</v>
      </c>
      <c r="I886"/>
    </row>
    <row r="887" spans="1:9" x14ac:dyDescent="0.3">
      <c r="A887" t="s">
        <v>8</v>
      </c>
      <c r="B887" t="s">
        <v>23</v>
      </c>
      <c r="C887" t="s">
        <v>101</v>
      </c>
      <c r="D887" s="9" t="s">
        <v>98</v>
      </c>
      <c r="E887" t="s">
        <v>35</v>
      </c>
      <c r="F887" t="s">
        <v>67</v>
      </c>
      <c r="G887">
        <v>8.6999999999999993</v>
      </c>
      <c r="H887" s="9">
        <v>-16.350000000000001</v>
      </c>
      <c r="I887"/>
    </row>
    <row r="888" spans="1:9" x14ac:dyDescent="0.3">
      <c r="A888" t="s">
        <v>8</v>
      </c>
      <c r="B888" t="s">
        <v>23</v>
      </c>
      <c r="C888" t="s">
        <v>102</v>
      </c>
      <c r="D888" s="9" t="s">
        <v>98</v>
      </c>
      <c r="E888" t="s">
        <v>36</v>
      </c>
      <c r="F888" t="s">
        <v>69</v>
      </c>
      <c r="G888">
        <v>8.6999999999999993</v>
      </c>
      <c r="H888" s="9">
        <v>-21.62</v>
      </c>
      <c r="I888"/>
    </row>
    <row r="889" spans="1:9" x14ac:dyDescent="0.3">
      <c r="A889" t="s">
        <v>8</v>
      </c>
      <c r="B889" t="s">
        <v>23</v>
      </c>
      <c r="C889" t="s">
        <v>103</v>
      </c>
      <c r="D889" s="9" t="s">
        <v>98</v>
      </c>
      <c r="E889" t="s">
        <v>37</v>
      </c>
      <c r="F889" t="s">
        <v>71</v>
      </c>
      <c r="G889">
        <v>8.3000000000000007</v>
      </c>
      <c r="H889" s="9">
        <v>-17.82</v>
      </c>
      <c r="I889"/>
    </row>
    <row r="890" spans="1:9" x14ac:dyDescent="0.3">
      <c r="A890" t="s">
        <v>8</v>
      </c>
      <c r="B890" t="s">
        <v>23</v>
      </c>
      <c r="C890" t="s">
        <v>104</v>
      </c>
      <c r="D890" s="9" t="s">
        <v>98</v>
      </c>
      <c r="E890" t="s">
        <v>38</v>
      </c>
      <c r="F890" t="s">
        <v>73</v>
      </c>
      <c r="G890">
        <v>9.5</v>
      </c>
      <c r="H890" s="9">
        <v>-15.93</v>
      </c>
      <c r="I890"/>
    </row>
    <row r="891" spans="1:9" x14ac:dyDescent="0.3">
      <c r="A891" t="s">
        <v>8</v>
      </c>
      <c r="B891" t="s">
        <v>23</v>
      </c>
      <c r="C891" t="s">
        <v>105</v>
      </c>
      <c r="D891" s="9" t="s">
        <v>98</v>
      </c>
      <c r="E891" t="s">
        <v>39</v>
      </c>
      <c r="F891" t="s">
        <v>75</v>
      </c>
      <c r="G891">
        <v>7.7</v>
      </c>
      <c r="H891" s="9">
        <v>-32.46</v>
      </c>
      <c r="I891"/>
    </row>
    <row r="892" spans="1:9" x14ac:dyDescent="0.3">
      <c r="A892" t="s">
        <v>8</v>
      </c>
      <c r="B892" t="s">
        <v>23</v>
      </c>
      <c r="C892" t="s">
        <v>106</v>
      </c>
      <c r="D892" s="9" t="s">
        <v>98</v>
      </c>
      <c r="E892" t="s">
        <v>40</v>
      </c>
      <c r="F892" t="s">
        <v>77</v>
      </c>
      <c r="G892">
        <v>7.2</v>
      </c>
      <c r="H892" s="9">
        <v>-31.43</v>
      </c>
      <c r="I892"/>
    </row>
    <row r="893" spans="1:9" x14ac:dyDescent="0.3">
      <c r="A893" t="s">
        <v>8</v>
      </c>
      <c r="B893" t="s">
        <v>23</v>
      </c>
      <c r="C893" t="s">
        <v>107</v>
      </c>
      <c r="D893" s="9" t="s">
        <v>98</v>
      </c>
      <c r="E893" t="s">
        <v>41</v>
      </c>
      <c r="F893" t="s">
        <v>79</v>
      </c>
      <c r="G893">
        <v>10.8</v>
      </c>
      <c r="H893" s="9">
        <v>9.09</v>
      </c>
      <c r="I893"/>
    </row>
    <row r="894" spans="1:9" x14ac:dyDescent="0.3">
      <c r="A894" t="s">
        <v>8</v>
      </c>
      <c r="B894" t="s">
        <v>23</v>
      </c>
      <c r="C894" t="s">
        <v>108</v>
      </c>
      <c r="D894" s="9" t="s">
        <v>98</v>
      </c>
      <c r="E894" t="s">
        <v>42</v>
      </c>
      <c r="F894" t="s">
        <v>81</v>
      </c>
      <c r="G894">
        <v>10.8</v>
      </c>
      <c r="H894" s="9">
        <v>11.34</v>
      </c>
      <c r="I894"/>
    </row>
    <row r="895" spans="1:9" x14ac:dyDescent="0.3">
      <c r="A895" t="s">
        <v>8</v>
      </c>
      <c r="B895" t="s">
        <v>23</v>
      </c>
      <c r="C895" t="s">
        <v>109</v>
      </c>
      <c r="D895" s="9" t="s">
        <v>98</v>
      </c>
      <c r="E895" t="s">
        <v>43</v>
      </c>
      <c r="F895" t="s">
        <v>83</v>
      </c>
      <c r="G895">
        <v>13.1</v>
      </c>
      <c r="H895" s="9">
        <v>19.09</v>
      </c>
      <c r="I895"/>
    </row>
    <row r="896" spans="1:9" x14ac:dyDescent="0.3">
      <c r="A896" t="s">
        <v>8</v>
      </c>
      <c r="B896" t="s">
        <v>23</v>
      </c>
      <c r="C896" t="s">
        <v>110</v>
      </c>
      <c r="D896" s="9" t="s">
        <v>111</v>
      </c>
      <c r="E896" t="s">
        <v>32</v>
      </c>
      <c r="F896" t="s">
        <v>61</v>
      </c>
      <c r="G896">
        <v>9.3000000000000007</v>
      </c>
      <c r="H896" s="9">
        <v>9.41</v>
      </c>
      <c r="I896"/>
    </row>
    <row r="897" spans="1:9" x14ac:dyDescent="0.3">
      <c r="A897" t="s">
        <v>8</v>
      </c>
      <c r="B897" t="s">
        <v>23</v>
      </c>
      <c r="C897" t="s">
        <v>112</v>
      </c>
      <c r="D897" s="9" t="s">
        <v>111</v>
      </c>
      <c r="E897" t="s">
        <v>33</v>
      </c>
      <c r="F897" t="s">
        <v>63</v>
      </c>
      <c r="G897">
        <v>10.8</v>
      </c>
      <c r="H897" s="9">
        <v>27.06</v>
      </c>
      <c r="I897"/>
    </row>
    <row r="898" spans="1:9" x14ac:dyDescent="0.3">
      <c r="A898" t="s">
        <v>8</v>
      </c>
      <c r="B898" t="s">
        <v>23</v>
      </c>
      <c r="C898" t="s">
        <v>113</v>
      </c>
      <c r="D898" s="9" t="s">
        <v>111</v>
      </c>
      <c r="E898" t="s">
        <v>34</v>
      </c>
      <c r="F898" t="s">
        <v>65</v>
      </c>
      <c r="G898">
        <v>11.4</v>
      </c>
      <c r="H898" s="9">
        <v>23.91</v>
      </c>
      <c r="I898"/>
    </row>
    <row r="899" spans="1:9" x14ac:dyDescent="0.3">
      <c r="A899" t="s">
        <v>8</v>
      </c>
      <c r="B899" t="s">
        <v>23</v>
      </c>
      <c r="C899" t="s">
        <v>114</v>
      </c>
      <c r="D899" s="9" t="s">
        <v>111</v>
      </c>
      <c r="E899" t="s">
        <v>35</v>
      </c>
      <c r="F899" t="s">
        <v>67</v>
      </c>
      <c r="G899">
        <v>11.9</v>
      </c>
      <c r="H899" s="9">
        <v>36.78</v>
      </c>
      <c r="I899"/>
    </row>
    <row r="900" spans="1:9" x14ac:dyDescent="0.3">
      <c r="A900" t="s">
        <v>8</v>
      </c>
      <c r="B900" t="s">
        <v>23</v>
      </c>
      <c r="C900" t="s">
        <v>115</v>
      </c>
      <c r="D900" s="9" t="s">
        <v>111</v>
      </c>
      <c r="E900" t="s">
        <v>36</v>
      </c>
      <c r="F900" t="s">
        <v>69</v>
      </c>
      <c r="G900">
        <v>11</v>
      </c>
      <c r="H900" s="9">
        <v>26.44</v>
      </c>
      <c r="I900"/>
    </row>
    <row r="901" spans="1:9" x14ac:dyDescent="0.3">
      <c r="A901" t="s">
        <v>8</v>
      </c>
      <c r="B901" t="s">
        <v>23</v>
      </c>
      <c r="C901" t="s">
        <v>116</v>
      </c>
      <c r="D901" s="9" t="s">
        <v>111</v>
      </c>
      <c r="E901" t="s">
        <v>37</v>
      </c>
      <c r="F901" t="s">
        <v>71</v>
      </c>
      <c r="G901">
        <v>10.199999999999999</v>
      </c>
      <c r="H901" s="9">
        <v>22.89</v>
      </c>
      <c r="I901"/>
    </row>
    <row r="902" spans="1:9" x14ac:dyDescent="0.3">
      <c r="A902" t="s">
        <v>8</v>
      </c>
      <c r="B902" t="s">
        <v>23</v>
      </c>
      <c r="C902" t="s">
        <v>117</v>
      </c>
      <c r="D902" s="9" t="s">
        <v>111</v>
      </c>
      <c r="E902" t="s">
        <v>38</v>
      </c>
      <c r="F902" t="s">
        <v>73</v>
      </c>
      <c r="G902">
        <v>10.7</v>
      </c>
      <c r="H902" s="9">
        <v>12.63</v>
      </c>
      <c r="I902"/>
    </row>
    <row r="903" spans="1:9" x14ac:dyDescent="0.3">
      <c r="A903" t="s">
        <v>8</v>
      </c>
      <c r="B903" t="s">
        <v>23</v>
      </c>
      <c r="C903" t="s">
        <v>118</v>
      </c>
      <c r="D903" s="9" t="s">
        <v>111</v>
      </c>
      <c r="E903" t="s">
        <v>39</v>
      </c>
      <c r="F903" t="s">
        <v>75</v>
      </c>
      <c r="G903">
        <v>11</v>
      </c>
      <c r="H903" s="9">
        <v>42.86</v>
      </c>
      <c r="I903"/>
    </row>
    <row r="904" spans="1:9" x14ac:dyDescent="0.3">
      <c r="A904" t="s">
        <v>8</v>
      </c>
      <c r="B904" t="s">
        <v>23</v>
      </c>
      <c r="C904" t="s">
        <v>119</v>
      </c>
      <c r="D904" s="9" t="s">
        <v>111</v>
      </c>
      <c r="E904" t="s">
        <v>40</v>
      </c>
      <c r="F904" t="s">
        <v>77</v>
      </c>
      <c r="G904">
        <v>10.9</v>
      </c>
      <c r="H904" s="9">
        <v>51.39</v>
      </c>
      <c r="I904"/>
    </row>
    <row r="905" spans="1:9" x14ac:dyDescent="0.3">
      <c r="A905" t="s">
        <v>8</v>
      </c>
      <c r="B905" t="s">
        <v>23</v>
      </c>
      <c r="C905" t="s">
        <v>120</v>
      </c>
      <c r="D905" s="9" t="s">
        <v>111</v>
      </c>
      <c r="E905" t="s">
        <v>41</v>
      </c>
      <c r="F905" t="s">
        <v>79</v>
      </c>
      <c r="G905">
        <v>12.9</v>
      </c>
      <c r="H905" s="9">
        <v>19.440000000000001</v>
      </c>
      <c r="I905"/>
    </row>
    <row r="906" spans="1:9" x14ac:dyDescent="0.3">
      <c r="A906" t="s">
        <v>8</v>
      </c>
      <c r="B906" t="s">
        <v>23</v>
      </c>
      <c r="C906" t="s">
        <v>121</v>
      </c>
      <c r="D906" s="9" t="s">
        <v>111</v>
      </c>
      <c r="E906" t="s">
        <v>42</v>
      </c>
      <c r="F906" t="s">
        <v>81</v>
      </c>
      <c r="G906">
        <v>12.3</v>
      </c>
      <c r="H906" s="9">
        <v>13.89</v>
      </c>
      <c r="I906"/>
    </row>
    <row r="907" spans="1:9" x14ac:dyDescent="0.3">
      <c r="A907" t="s">
        <v>8</v>
      </c>
      <c r="B907" t="s">
        <v>23</v>
      </c>
      <c r="C907" t="s">
        <v>122</v>
      </c>
      <c r="D907" s="9" t="s">
        <v>111</v>
      </c>
      <c r="E907" t="s">
        <v>43</v>
      </c>
      <c r="F907" t="s">
        <v>83</v>
      </c>
      <c r="G907">
        <v>16.899999999999999</v>
      </c>
      <c r="H907" s="9">
        <v>29.01</v>
      </c>
      <c r="I907"/>
    </row>
    <row r="908" spans="1:9" x14ac:dyDescent="0.3">
      <c r="A908" t="s">
        <v>8</v>
      </c>
      <c r="B908" t="s">
        <v>23</v>
      </c>
      <c r="C908" t="s">
        <v>123</v>
      </c>
      <c r="D908" s="9" t="s">
        <v>124</v>
      </c>
      <c r="E908" t="s">
        <v>32</v>
      </c>
      <c r="F908" t="s">
        <v>61</v>
      </c>
      <c r="G908">
        <v>12</v>
      </c>
      <c r="H908" s="9">
        <v>29.03</v>
      </c>
      <c r="I908"/>
    </row>
    <row r="909" spans="1:9" x14ac:dyDescent="0.3">
      <c r="A909" t="s">
        <v>8</v>
      </c>
      <c r="B909" t="s">
        <v>23</v>
      </c>
      <c r="C909" t="s">
        <v>125</v>
      </c>
      <c r="D909" s="9" t="s">
        <v>124</v>
      </c>
      <c r="E909" t="s">
        <v>33</v>
      </c>
      <c r="F909" t="s">
        <v>63</v>
      </c>
      <c r="G909">
        <v>11.4</v>
      </c>
      <c r="H909" s="9">
        <v>5.56</v>
      </c>
      <c r="I909"/>
    </row>
    <row r="910" spans="1:9" x14ac:dyDescent="0.3">
      <c r="A910" t="s">
        <v>8</v>
      </c>
      <c r="B910" t="s">
        <v>23</v>
      </c>
      <c r="C910" t="s">
        <v>126</v>
      </c>
      <c r="D910" s="9" t="s">
        <v>124</v>
      </c>
      <c r="E910" t="s">
        <v>34</v>
      </c>
      <c r="F910" t="s">
        <v>65</v>
      </c>
      <c r="G910">
        <v>11.8</v>
      </c>
      <c r="H910" s="9">
        <v>3.51</v>
      </c>
      <c r="I910"/>
    </row>
    <row r="911" spans="1:9" x14ac:dyDescent="0.3">
      <c r="A911" t="s">
        <v>8</v>
      </c>
      <c r="B911" t="s">
        <v>23</v>
      </c>
      <c r="C911" t="s">
        <v>127</v>
      </c>
      <c r="D911" s="9" t="s">
        <v>124</v>
      </c>
      <c r="E911" t="s">
        <v>35</v>
      </c>
      <c r="F911" t="s">
        <v>67</v>
      </c>
      <c r="G911">
        <v>11.8</v>
      </c>
      <c r="H911" s="9">
        <v>-0.84</v>
      </c>
      <c r="I911"/>
    </row>
    <row r="912" spans="1:9" x14ac:dyDescent="0.3">
      <c r="A912" t="s">
        <v>8</v>
      </c>
      <c r="B912" t="s">
        <v>23</v>
      </c>
      <c r="C912" t="s">
        <v>128</v>
      </c>
      <c r="D912" s="9" t="s">
        <v>124</v>
      </c>
      <c r="E912" t="s">
        <v>36</v>
      </c>
      <c r="F912" t="s">
        <v>69</v>
      </c>
      <c r="G912">
        <v>11.5</v>
      </c>
      <c r="H912" s="9">
        <v>4.55</v>
      </c>
      <c r="I912"/>
    </row>
    <row r="913" spans="1:9" x14ac:dyDescent="0.3">
      <c r="A913" t="s">
        <v>8</v>
      </c>
      <c r="B913" t="s">
        <v>23</v>
      </c>
      <c r="C913" t="s">
        <v>129</v>
      </c>
      <c r="D913" s="9" t="s">
        <v>124</v>
      </c>
      <c r="E913" t="s">
        <v>37</v>
      </c>
      <c r="F913" t="s">
        <v>71</v>
      </c>
      <c r="G913">
        <v>12</v>
      </c>
      <c r="H913" s="9">
        <v>17.649999999999999</v>
      </c>
      <c r="I913"/>
    </row>
    <row r="914" spans="1:9" x14ac:dyDescent="0.3">
      <c r="A914" t="s">
        <v>8</v>
      </c>
      <c r="B914" t="s">
        <v>23</v>
      </c>
      <c r="C914" t="s">
        <v>130</v>
      </c>
      <c r="D914" s="9" t="s">
        <v>124</v>
      </c>
      <c r="E914" t="s">
        <v>38</v>
      </c>
      <c r="F914" t="s">
        <v>73</v>
      </c>
      <c r="G914">
        <v>12</v>
      </c>
      <c r="H914" s="9">
        <v>12.15</v>
      </c>
      <c r="I914"/>
    </row>
    <row r="915" spans="1:9" x14ac:dyDescent="0.3">
      <c r="A915" t="s">
        <v>8</v>
      </c>
      <c r="B915" t="s">
        <v>23</v>
      </c>
      <c r="C915" t="s">
        <v>131</v>
      </c>
      <c r="D915" s="9" t="s">
        <v>124</v>
      </c>
      <c r="E915" t="s">
        <v>39</v>
      </c>
      <c r="F915" t="s">
        <v>75</v>
      </c>
      <c r="G915">
        <v>11.7</v>
      </c>
      <c r="H915" s="9">
        <v>6.36</v>
      </c>
      <c r="I915"/>
    </row>
    <row r="916" spans="1:9" x14ac:dyDescent="0.3">
      <c r="A916" t="s">
        <v>8</v>
      </c>
      <c r="B916" t="s">
        <v>23</v>
      </c>
      <c r="C916" t="s">
        <v>132</v>
      </c>
      <c r="D916" s="9" t="s">
        <v>124</v>
      </c>
      <c r="E916" t="s">
        <v>40</v>
      </c>
      <c r="F916" t="s">
        <v>77</v>
      </c>
      <c r="G916">
        <v>11.8</v>
      </c>
      <c r="H916" s="9">
        <v>8.26</v>
      </c>
      <c r="I916"/>
    </row>
    <row r="917" spans="1:9" x14ac:dyDescent="0.3">
      <c r="A917" t="s">
        <v>8</v>
      </c>
      <c r="B917" t="s">
        <v>23</v>
      </c>
      <c r="C917" t="s">
        <v>133</v>
      </c>
      <c r="D917" s="9" t="s">
        <v>124</v>
      </c>
      <c r="E917" t="s">
        <v>41</v>
      </c>
      <c r="F917" t="s">
        <v>79</v>
      </c>
      <c r="G917">
        <v>11.9</v>
      </c>
      <c r="H917" s="9">
        <v>-7.75</v>
      </c>
      <c r="I917"/>
    </row>
    <row r="918" spans="1:9" x14ac:dyDescent="0.3">
      <c r="A918" t="s">
        <v>8</v>
      </c>
      <c r="B918" t="s">
        <v>23</v>
      </c>
      <c r="C918" t="s">
        <v>134</v>
      </c>
      <c r="D918" s="9" t="s">
        <v>124</v>
      </c>
      <c r="E918" t="s">
        <v>42</v>
      </c>
      <c r="F918" t="s">
        <v>81</v>
      </c>
      <c r="G918">
        <v>13</v>
      </c>
      <c r="H918" s="9">
        <v>5.69</v>
      </c>
      <c r="I918"/>
    </row>
    <row r="919" spans="1:9" x14ac:dyDescent="0.3">
      <c r="A919" t="s">
        <v>8</v>
      </c>
      <c r="B919" t="s">
        <v>23</v>
      </c>
      <c r="C919" t="s">
        <v>135</v>
      </c>
      <c r="D919" s="9" t="s">
        <v>124</v>
      </c>
      <c r="E919" t="s">
        <v>43</v>
      </c>
      <c r="F919" t="s">
        <v>83</v>
      </c>
      <c r="G919">
        <v>17.399999999999999</v>
      </c>
      <c r="H919" s="9">
        <v>2.96</v>
      </c>
      <c r="I919"/>
    </row>
    <row r="920" spans="1:9" x14ac:dyDescent="0.3">
      <c r="A920" t="s">
        <v>8</v>
      </c>
      <c r="B920" t="s">
        <v>23</v>
      </c>
      <c r="C920" t="s">
        <v>136</v>
      </c>
      <c r="D920" s="9" t="s">
        <v>137</v>
      </c>
      <c r="E920" t="s">
        <v>32</v>
      </c>
      <c r="F920" t="s">
        <v>61</v>
      </c>
      <c r="G920">
        <v>15.2</v>
      </c>
      <c r="H920" s="9">
        <v>26.67</v>
      </c>
      <c r="I920"/>
    </row>
    <row r="921" spans="1:9" x14ac:dyDescent="0.3">
      <c r="A921" t="s">
        <v>8</v>
      </c>
      <c r="B921" t="s">
        <v>23</v>
      </c>
      <c r="C921" t="s">
        <v>138</v>
      </c>
      <c r="D921" s="9" t="s">
        <v>137</v>
      </c>
      <c r="E921" t="s">
        <v>33</v>
      </c>
      <c r="F921" t="s">
        <v>63</v>
      </c>
      <c r="G921">
        <v>13.8</v>
      </c>
      <c r="H921" s="9">
        <v>21.05</v>
      </c>
      <c r="I921"/>
    </row>
    <row r="922" spans="1:9" x14ac:dyDescent="0.3">
      <c r="A922" t="s">
        <v>8</v>
      </c>
      <c r="B922" t="s">
        <v>23</v>
      </c>
      <c r="C922" t="s">
        <v>139</v>
      </c>
      <c r="D922" s="9" t="s">
        <v>137</v>
      </c>
      <c r="E922" t="s">
        <v>34</v>
      </c>
      <c r="F922" t="s">
        <v>65</v>
      </c>
      <c r="G922">
        <v>15.5</v>
      </c>
      <c r="H922" s="9">
        <v>31.36</v>
      </c>
      <c r="I922"/>
    </row>
    <row r="923" spans="1:9" x14ac:dyDescent="0.3">
      <c r="A923" t="s">
        <v>8</v>
      </c>
      <c r="B923" t="s">
        <v>23</v>
      </c>
      <c r="C923" t="s">
        <v>140</v>
      </c>
      <c r="D923" s="9" t="s">
        <v>137</v>
      </c>
      <c r="E923" t="s">
        <v>35</v>
      </c>
      <c r="F923" t="s">
        <v>67</v>
      </c>
      <c r="G923">
        <v>14.8</v>
      </c>
      <c r="H923" s="9">
        <v>25.42</v>
      </c>
      <c r="I923"/>
    </row>
    <row r="924" spans="1:9" x14ac:dyDescent="0.3">
      <c r="A924" t="s">
        <v>8</v>
      </c>
      <c r="B924" t="s">
        <v>23</v>
      </c>
      <c r="C924" t="s">
        <v>141</v>
      </c>
      <c r="D924" s="9" t="s">
        <v>137</v>
      </c>
      <c r="E924" t="s">
        <v>36</v>
      </c>
      <c r="F924" t="s">
        <v>69</v>
      </c>
      <c r="G924">
        <v>15.4</v>
      </c>
      <c r="H924" s="9">
        <v>33.909999999999997</v>
      </c>
      <c r="I924"/>
    </row>
    <row r="925" spans="1:9" x14ac:dyDescent="0.3">
      <c r="A925" t="s">
        <v>8</v>
      </c>
      <c r="B925" t="s">
        <v>23</v>
      </c>
      <c r="C925" t="s">
        <v>142</v>
      </c>
      <c r="D925" s="9" t="s">
        <v>137</v>
      </c>
      <c r="E925" t="s">
        <v>37</v>
      </c>
      <c r="F925" t="s">
        <v>71</v>
      </c>
      <c r="G925">
        <v>17.899999999999999</v>
      </c>
      <c r="H925" s="9">
        <v>49.17</v>
      </c>
      <c r="I925"/>
    </row>
    <row r="926" spans="1:9" x14ac:dyDescent="0.3">
      <c r="A926" t="s">
        <v>8</v>
      </c>
      <c r="B926" t="s">
        <v>23</v>
      </c>
      <c r="C926" t="s">
        <v>143</v>
      </c>
      <c r="D926" s="9" t="s">
        <v>137</v>
      </c>
      <c r="E926" t="s">
        <v>38</v>
      </c>
      <c r="F926" t="s">
        <v>73</v>
      </c>
      <c r="G926">
        <v>17.600000000000001</v>
      </c>
      <c r="H926" s="9">
        <v>46.67</v>
      </c>
      <c r="I926"/>
    </row>
    <row r="927" spans="1:9" x14ac:dyDescent="0.3">
      <c r="A927" t="s">
        <v>8</v>
      </c>
      <c r="B927" t="s">
        <v>23</v>
      </c>
      <c r="C927" t="s">
        <v>144</v>
      </c>
      <c r="D927" s="9" t="s">
        <v>137</v>
      </c>
      <c r="E927" t="s">
        <v>39</v>
      </c>
      <c r="F927" t="s">
        <v>75</v>
      </c>
      <c r="G927">
        <v>18.2</v>
      </c>
      <c r="H927" s="9">
        <v>55.56</v>
      </c>
      <c r="I927"/>
    </row>
    <row r="928" spans="1:9" x14ac:dyDescent="0.3">
      <c r="A928" t="s">
        <v>8</v>
      </c>
      <c r="B928" t="s">
        <v>23</v>
      </c>
      <c r="C928" t="s">
        <v>145</v>
      </c>
      <c r="D928" s="9" t="s">
        <v>137</v>
      </c>
      <c r="E928" t="s">
        <v>40</v>
      </c>
      <c r="F928" t="s">
        <v>77</v>
      </c>
      <c r="G928">
        <v>17.600000000000001</v>
      </c>
      <c r="H928" s="9">
        <v>49.15</v>
      </c>
      <c r="I928"/>
    </row>
    <row r="929" spans="1:9" x14ac:dyDescent="0.3">
      <c r="A929" t="s">
        <v>8</v>
      </c>
      <c r="B929" t="s">
        <v>23</v>
      </c>
      <c r="C929" t="s">
        <v>146</v>
      </c>
      <c r="D929" s="9" t="s">
        <v>137</v>
      </c>
      <c r="E929" t="s">
        <v>41</v>
      </c>
      <c r="F929" t="s">
        <v>79</v>
      </c>
      <c r="G929">
        <v>17.600000000000001</v>
      </c>
      <c r="H929" s="9">
        <v>47.9</v>
      </c>
      <c r="I929"/>
    </row>
    <row r="930" spans="1:9" x14ac:dyDescent="0.3">
      <c r="A930" t="s">
        <v>8</v>
      </c>
      <c r="B930" t="s">
        <v>23</v>
      </c>
      <c r="C930" t="s">
        <v>147</v>
      </c>
      <c r="D930" s="9" t="s">
        <v>137</v>
      </c>
      <c r="E930" t="s">
        <v>42</v>
      </c>
      <c r="F930" t="s">
        <v>81</v>
      </c>
      <c r="G930">
        <v>18.3</v>
      </c>
      <c r="H930" s="9">
        <v>40.770000000000003</v>
      </c>
      <c r="I930"/>
    </row>
    <row r="931" spans="1:9" x14ac:dyDescent="0.3">
      <c r="A931" t="s">
        <v>8</v>
      </c>
      <c r="B931" t="s">
        <v>23</v>
      </c>
      <c r="C931" t="s">
        <v>148</v>
      </c>
      <c r="D931" s="9" t="s">
        <v>137</v>
      </c>
      <c r="E931" t="s">
        <v>43</v>
      </c>
      <c r="F931" t="s">
        <v>83</v>
      </c>
      <c r="G931">
        <v>22.2</v>
      </c>
      <c r="H931" s="9">
        <v>27.59</v>
      </c>
      <c r="I931"/>
    </row>
    <row r="932" spans="1:9" x14ac:dyDescent="0.3">
      <c r="A932" t="s">
        <v>8</v>
      </c>
      <c r="B932" t="s">
        <v>23</v>
      </c>
      <c r="C932" t="s">
        <v>149</v>
      </c>
      <c r="D932" s="9" t="s">
        <v>150</v>
      </c>
      <c r="E932" t="s">
        <v>32</v>
      </c>
      <c r="F932" t="s">
        <v>61</v>
      </c>
      <c r="G932">
        <v>17.600000000000001</v>
      </c>
      <c r="H932" s="9">
        <v>15.79</v>
      </c>
      <c r="I932"/>
    </row>
    <row r="933" spans="1:9" x14ac:dyDescent="0.3">
      <c r="A933" t="s">
        <v>8</v>
      </c>
      <c r="B933" t="s">
        <v>23</v>
      </c>
      <c r="C933" t="s">
        <v>151</v>
      </c>
      <c r="D933" s="9" t="s">
        <v>150</v>
      </c>
      <c r="E933" t="s">
        <v>33</v>
      </c>
      <c r="F933" t="s">
        <v>63</v>
      </c>
      <c r="G933">
        <v>17.100000000000001</v>
      </c>
      <c r="H933" s="9">
        <v>23.91</v>
      </c>
      <c r="I933"/>
    </row>
    <row r="934" spans="1:9" x14ac:dyDescent="0.3">
      <c r="A934" t="s">
        <v>8</v>
      </c>
      <c r="B934" t="s">
        <v>23</v>
      </c>
      <c r="C934" t="s">
        <v>152</v>
      </c>
      <c r="D934" s="9" t="s">
        <v>150</v>
      </c>
      <c r="E934" t="s">
        <v>34</v>
      </c>
      <c r="F934" t="s">
        <v>65</v>
      </c>
      <c r="G934">
        <v>19.3</v>
      </c>
      <c r="H934" s="9">
        <v>24.52</v>
      </c>
      <c r="I934"/>
    </row>
    <row r="935" spans="1:9" x14ac:dyDescent="0.3">
      <c r="A935" t="s">
        <v>8</v>
      </c>
      <c r="B935" t="s">
        <v>23</v>
      </c>
      <c r="C935" t="s">
        <v>153</v>
      </c>
      <c r="D935" s="9" t="s">
        <v>150</v>
      </c>
      <c r="E935" t="s">
        <v>35</v>
      </c>
      <c r="F935" t="s">
        <v>67</v>
      </c>
      <c r="G935">
        <v>18.5</v>
      </c>
      <c r="H935" s="9">
        <v>25</v>
      </c>
      <c r="I935"/>
    </row>
    <row r="936" spans="1:9" x14ac:dyDescent="0.3">
      <c r="A936" t="s">
        <v>8</v>
      </c>
      <c r="B936" t="s">
        <v>23</v>
      </c>
      <c r="C936" t="s">
        <v>154</v>
      </c>
      <c r="D936" s="9" t="s">
        <v>150</v>
      </c>
      <c r="E936" t="s">
        <v>36</v>
      </c>
      <c r="F936" t="s">
        <v>69</v>
      </c>
      <c r="G936">
        <v>18.7</v>
      </c>
      <c r="H936" s="9">
        <v>21.43</v>
      </c>
      <c r="I936"/>
    </row>
    <row r="937" spans="1:9" x14ac:dyDescent="0.3">
      <c r="A937" t="s">
        <v>8</v>
      </c>
      <c r="B937" t="s">
        <v>23</v>
      </c>
      <c r="C937" t="s">
        <v>155</v>
      </c>
      <c r="D937" s="9" t="s">
        <v>150</v>
      </c>
      <c r="E937" t="s">
        <v>37</v>
      </c>
      <c r="F937" t="s">
        <v>71</v>
      </c>
      <c r="G937">
        <v>17.899999999999999</v>
      </c>
      <c r="H937" s="9">
        <v>0</v>
      </c>
      <c r="I937"/>
    </row>
    <row r="938" spans="1:9" x14ac:dyDescent="0.3">
      <c r="A938" t="s">
        <v>8</v>
      </c>
      <c r="B938" t="s">
        <v>17</v>
      </c>
      <c r="C938" t="s">
        <v>59</v>
      </c>
      <c r="D938" s="9" t="s">
        <v>60</v>
      </c>
      <c r="E938" t="s">
        <v>32</v>
      </c>
      <c r="F938" t="s">
        <v>61</v>
      </c>
      <c r="G938">
        <v>17.100000000000001</v>
      </c>
      <c r="I938"/>
    </row>
    <row r="939" spans="1:9" x14ac:dyDescent="0.3">
      <c r="A939" t="s">
        <v>8</v>
      </c>
      <c r="B939" t="s">
        <v>17</v>
      </c>
      <c r="C939" t="s">
        <v>62</v>
      </c>
      <c r="D939" s="9" t="s">
        <v>60</v>
      </c>
      <c r="E939" t="s">
        <v>33</v>
      </c>
      <c r="F939" t="s">
        <v>63</v>
      </c>
      <c r="G939">
        <v>17.3</v>
      </c>
      <c r="I939"/>
    </row>
    <row r="940" spans="1:9" x14ac:dyDescent="0.3">
      <c r="A940" t="s">
        <v>8</v>
      </c>
      <c r="B940" t="s">
        <v>17</v>
      </c>
      <c r="C940" t="s">
        <v>64</v>
      </c>
      <c r="D940" s="9" t="s">
        <v>60</v>
      </c>
      <c r="E940" t="s">
        <v>34</v>
      </c>
      <c r="F940" t="s">
        <v>65</v>
      </c>
      <c r="G940">
        <v>19</v>
      </c>
      <c r="I940"/>
    </row>
    <row r="941" spans="1:9" x14ac:dyDescent="0.3">
      <c r="A941" t="s">
        <v>8</v>
      </c>
      <c r="B941" t="s">
        <v>17</v>
      </c>
      <c r="C941" t="s">
        <v>66</v>
      </c>
      <c r="D941" s="9" t="s">
        <v>60</v>
      </c>
      <c r="E941" t="s">
        <v>35</v>
      </c>
      <c r="F941" t="s">
        <v>67</v>
      </c>
      <c r="G941">
        <v>19.2</v>
      </c>
      <c r="I941"/>
    </row>
    <row r="942" spans="1:9" x14ac:dyDescent="0.3">
      <c r="A942" t="s">
        <v>8</v>
      </c>
      <c r="B942" t="s">
        <v>17</v>
      </c>
      <c r="C942" t="s">
        <v>68</v>
      </c>
      <c r="D942" s="9" t="s">
        <v>60</v>
      </c>
      <c r="E942" t="s">
        <v>36</v>
      </c>
      <c r="F942" t="s">
        <v>69</v>
      </c>
      <c r="G942">
        <v>20.2</v>
      </c>
      <c r="I942"/>
    </row>
    <row r="943" spans="1:9" x14ac:dyDescent="0.3">
      <c r="A943" t="s">
        <v>8</v>
      </c>
      <c r="B943" t="s">
        <v>17</v>
      </c>
      <c r="C943" t="s">
        <v>70</v>
      </c>
      <c r="D943" s="9" t="s">
        <v>60</v>
      </c>
      <c r="E943" t="s">
        <v>37</v>
      </c>
      <c r="F943" t="s">
        <v>71</v>
      </c>
      <c r="G943">
        <v>20.3</v>
      </c>
      <c r="I943"/>
    </row>
    <row r="944" spans="1:9" x14ac:dyDescent="0.3">
      <c r="A944" t="s">
        <v>8</v>
      </c>
      <c r="B944" t="s">
        <v>17</v>
      </c>
      <c r="C944" t="s">
        <v>72</v>
      </c>
      <c r="D944" s="9" t="s">
        <v>60</v>
      </c>
      <c r="E944" t="s">
        <v>38</v>
      </c>
      <c r="F944" t="s">
        <v>73</v>
      </c>
      <c r="G944">
        <v>20.399999999999999</v>
      </c>
      <c r="I944"/>
    </row>
    <row r="945" spans="1:9" x14ac:dyDescent="0.3">
      <c r="A945" t="s">
        <v>8</v>
      </c>
      <c r="B945" t="s">
        <v>17</v>
      </c>
      <c r="C945" t="s">
        <v>74</v>
      </c>
      <c r="D945" s="9" t="s">
        <v>60</v>
      </c>
      <c r="E945" t="s">
        <v>39</v>
      </c>
      <c r="F945" t="s">
        <v>75</v>
      </c>
      <c r="G945">
        <v>21.3</v>
      </c>
      <c r="I945"/>
    </row>
    <row r="946" spans="1:9" x14ac:dyDescent="0.3">
      <c r="A946" t="s">
        <v>8</v>
      </c>
      <c r="B946" t="s">
        <v>17</v>
      </c>
      <c r="C946" t="s">
        <v>76</v>
      </c>
      <c r="D946" s="9" t="s">
        <v>60</v>
      </c>
      <c r="E946" t="s">
        <v>40</v>
      </c>
      <c r="F946" t="s">
        <v>77</v>
      </c>
      <c r="G946">
        <v>20.2</v>
      </c>
      <c r="I946"/>
    </row>
    <row r="947" spans="1:9" x14ac:dyDescent="0.3">
      <c r="A947" t="s">
        <v>8</v>
      </c>
      <c r="B947" t="s">
        <v>17</v>
      </c>
      <c r="C947" t="s">
        <v>78</v>
      </c>
      <c r="D947" s="9" t="s">
        <v>60</v>
      </c>
      <c r="E947" t="s">
        <v>41</v>
      </c>
      <c r="F947" t="s">
        <v>79</v>
      </c>
      <c r="G947">
        <v>22.4</v>
      </c>
      <c r="I947"/>
    </row>
    <row r="948" spans="1:9" x14ac:dyDescent="0.3">
      <c r="A948" t="s">
        <v>8</v>
      </c>
      <c r="B948" t="s">
        <v>17</v>
      </c>
      <c r="C948" t="s">
        <v>80</v>
      </c>
      <c r="D948" s="9" t="s">
        <v>60</v>
      </c>
      <c r="E948" t="s">
        <v>42</v>
      </c>
      <c r="F948" t="s">
        <v>81</v>
      </c>
      <c r="G948">
        <v>23.9</v>
      </c>
      <c r="I948"/>
    </row>
    <row r="949" spans="1:9" x14ac:dyDescent="0.3">
      <c r="A949" t="s">
        <v>8</v>
      </c>
      <c r="B949" t="s">
        <v>17</v>
      </c>
      <c r="C949" t="s">
        <v>82</v>
      </c>
      <c r="D949" s="9" t="s">
        <v>60</v>
      </c>
      <c r="E949" t="s">
        <v>43</v>
      </c>
      <c r="F949" t="s">
        <v>83</v>
      </c>
      <c r="G949">
        <v>26.7</v>
      </c>
      <c r="I949"/>
    </row>
    <row r="950" spans="1:9" x14ac:dyDescent="0.3">
      <c r="A950" t="s">
        <v>8</v>
      </c>
      <c r="B950" t="s">
        <v>17</v>
      </c>
      <c r="C950" t="s">
        <v>84</v>
      </c>
      <c r="D950" s="9" t="s">
        <v>85</v>
      </c>
      <c r="E950" t="s">
        <v>32</v>
      </c>
      <c r="F950" t="s">
        <v>61</v>
      </c>
      <c r="G950">
        <v>19</v>
      </c>
      <c r="H950" s="9">
        <v>11.11</v>
      </c>
      <c r="I950"/>
    </row>
    <row r="951" spans="1:9" x14ac:dyDescent="0.3">
      <c r="A951" t="s">
        <v>8</v>
      </c>
      <c r="B951" t="s">
        <v>17</v>
      </c>
      <c r="C951" t="s">
        <v>86</v>
      </c>
      <c r="D951" s="9" t="s">
        <v>85</v>
      </c>
      <c r="E951" t="s">
        <v>33</v>
      </c>
      <c r="F951" t="s">
        <v>63</v>
      </c>
      <c r="G951">
        <v>19.2</v>
      </c>
      <c r="H951" s="9">
        <v>10.98</v>
      </c>
      <c r="I951"/>
    </row>
    <row r="952" spans="1:9" x14ac:dyDescent="0.3">
      <c r="A952" t="s">
        <v>8</v>
      </c>
      <c r="B952" t="s">
        <v>17</v>
      </c>
      <c r="C952" t="s">
        <v>87</v>
      </c>
      <c r="D952" s="9" t="s">
        <v>85</v>
      </c>
      <c r="E952" t="s">
        <v>34</v>
      </c>
      <c r="F952" t="s">
        <v>65</v>
      </c>
      <c r="G952">
        <v>24.8</v>
      </c>
      <c r="H952" s="9">
        <v>30.53</v>
      </c>
      <c r="I952"/>
    </row>
    <row r="953" spans="1:9" x14ac:dyDescent="0.3">
      <c r="A953" t="s">
        <v>8</v>
      </c>
      <c r="B953" t="s">
        <v>17</v>
      </c>
      <c r="C953" t="s">
        <v>88</v>
      </c>
      <c r="D953" s="9" t="s">
        <v>85</v>
      </c>
      <c r="E953" t="s">
        <v>35</v>
      </c>
      <c r="F953" t="s">
        <v>67</v>
      </c>
      <c r="G953">
        <v>14.8</v>
      </c>
      <c r="H953" s="9">
        <v>-22.92</v>
      </c>
      <c r="I953"/>
    </row>
    <row r="954" spans="1:9" x14ac:dyDescent="0.3">
      <c r="A954" t="s">
        <v>8</v>
      </c>
      <c r="B954" t="s">
        <v>17</v>
      </c>
      <c r="C954" t="s">
        <v>89</v>
      </c>
      <c r="D954" s="9" t="s">
        <v>85</v>
      </c>
      <c r="E954" t="s">
        <v>36</v>
      </c>
      <c r="F954" t="s">
        <v>69</v>
      </c>
      <c r="G954">
        <v>16.8</v>
      </c>
      <c r="H954" s="9">
        <v>-16.829999999999998</v>
      </c>
      <c r="I954"/>
    </row>
    <row r="955" spans="1:9" x14ac:dyDescent="0.3">
      <c r="A955" t="s">
        <v>8</v>
      </c>
      <c r="B955" t="s">
        <v>17</v>
      </c>
      <c r="C955" t="s">
        <v>90</v>
      </c>
      <c r="D955" s="9" t="s">
        <v>85</v>
      </c>
      <c r="E955" t="s">
        <v>37</v>
      </c>
      <c r="F955" t="s">
        <v>71</v>
      </c>
      <c r="G955">
        <v>17.100000000000001</v>
      </c>
      <c r="H955" s="9">
        <v>-15.76</v>
      </c>
      <c r="I955"/>
    </row>
    <row r="956" spans="1:9" x14ac:dyDescent="0.3">
      <c r="A956" t="s">
        <v>8</v>
      </c>
      <c r="B956" t="s">
        <v>17</v>
      </c>
      <c r="C956" t="s">
        <v>91</v>
      </c>
      <c r="D956" s="9" t="s">
        <v>85</v>
      </c>
      <c r="E956" t="s">
        <v>38</v>
      </c>
      <c r="F956" t="s">
        <v>73</v>
      </c>
      <c r="G956">
        <v>19.5</v>
      </c>
      <c r="H956" s="9">
        <v>-4.41</v>
      </c>
      <c r="I956"/>
    </row>
    <row r="957" spans="1:9" x14ac:dyDescent="0.3">
      <c r="A957" t="s">
        <v>8</v>
      </c>
      <c r="B957" t="s">
        <v>17</v>
      </c>
      <c r="C957" t="s">
        <v>92</v>
      </c>
      <c r="D957" s="9" t="s">
        <v>85</v>
      </c>
      <c r="E957" t="s">
        <v>39</v>
      </c>
      <c r="F957" t="s">
        <v>75</v>
      </c>
      <c r="G957">
        <v>20.2</v>
      </c>
      <c r="H957" s="9">
        <v>-5.16</v>
      </c>
      <c r="I957"/>
    </row>
    <row r="958" spans="1:9" x14ac:dyDescent="0.3">
      <c r="A958" t="s">
        <v>8</v>
      </c>
      <c r="B958" t="s">
        <v>17</v>
      </c>
      <c r="C958" t="s">
        <v>93</v>
      </c>
      <c r="D958" s="9" t="s">
        <v>85</v>
      </c>
      <c r="E958" t="s">
        <v>40</v>
      </c>
      <c r="F958" t="s">
        <v>77</v>
      </c>
      <c r="G958">
        <v>19.899999999999999</v>
      </c>
      <c r="H958" s="9">
        <v>-1.49</v>
      </c>
      <c r="I958"/>
    </row>
    <row r="959" spans="1:9" x14ac:dyDescent="0.3">
      <c r="A959" t="s">
        <v>8</v>
      </c>
      <c r="B959" t="s">
        <v>17</v>
      </c>
      <c r="C959" t="s">
        <v>94</v>
      </c>
      <c r="D959" s="9" t="s">
        <v>85</v>
      </c>
      <c r="E959" t="s">
        <v>41</v>
      </c>
      <c r="F959" t="s">
        <v>79</v>
      </c>
      <c r="G959">
        <v>21.2</v>
      </c>
      <c r="H959" s="9">
        <v>-5.36</v>
      </c>
      <c r="I959"/>
    </row>
    <row r="960" spans="1:9" x14ac:dyDescent="0.3">
      <c r="A960" t="s">
        <v>8</v>
      </c>
      <c r="B960" t="s">
        <v>17</v>
      </c>
      <c r="C960" t="s">
        <v>95</v>
      </c>
      <c r="D960" s="9" t="s">
        <v>85</v>
      </c>
      <c r="E960" t="s">
        <v>42</v>
      </c>
      <c r="F960" t="s">
        <v>81</v>
      </c>
      <c r="G960">
        <v>21.9</v>
      </c>
      <c r="H960" s="9">
        <v>-8.3699999999999992</v>
      </c>
      <c r="I960"/>
    </row>
    <row r="961" spans="1:9" x14ac:dyDescent="0.3">
      <c r="A961" t="s">
        <v>8</v>
      </c>
      <c r="B961" t="s">
        <v>17</v>
      </c>
      <c r="C961" t="s">
        <v>96</v>
      </c>
      <c r="D961" s="9" t="s">
        <v>85</v>
      </c>
      <c r="E961" t="s">
        <v>43</v>
      </c>
      <c r="F961" t="s">
        <v>83</v>
      </c>
      <c r="G961">
        <v>27</v>
      </c>
      <c r="H961" s="9">
        <v>1.1200000000000001</v>
      </c>
      <c r="I961"/>
    </row>
    <row r="962" spans="1:9" x14ac:dyDescent="0.3">
      <c r="A962" t="s">
        <v>8</v>
      </c>
      <c r="B962" t="s">
        <v>17</v>
      </c>
      <c r="C962" t="s">
        <v>97</v>
      </c>
      <c r="D962" s="9" t="s">
        <v>98</v>
      </c>
      <c r="E962" t="s">
        <v>32</v>
      </c>
      <c r="F962" t="s">
        <v>61</v>
      </c>
      <c r="G962">
        <v>19.100000000000001</v>
      </c>
      <c r="H962" s="9">
        <v>0.53</v>
      </c>
      <c r="I962"/>
    </row>
    <row r="963" spans="1:9" x14ac:dyDescent="0.3">
      <c r="A963" t="s">
        <v>8</v>
      </c>
      <c r="B963" t="s">
        <v>17</v>
      </c>
      <c r="C963" t="s">
        <v>99</v>
      </c>
      <c r="D963" s="9" t="s">
        <v>98</v>
      </c>
      <c r="E963" t="s">
        <v>33</v>
      </c>
      <c r="F963" t="s">
        <v>63</v>
      </c>
      <c r="G963">
        <v>19.600000000000001</v>
      </c>
      <c r="H963" s="9">
        <v>2.08</v>
      </c>
      <c r="I963"/>
    </row>
    <row r="964" spans="1:9" x14ac:dyDescent="0.3">
      <c r="A964" t="s">
        <v>8</v>
      </c>
      <c r="B964" t="s">
        <v>17</v>
      </c>
      <c r="C964" t="s">
        <v>100</v>
      </c>
      <c r="D964" s="9" t="s">
        <v>98</v>
      </c>
      <c r="E964" t="s">
        <v>34</v>
      </c>
      <c r="F964" t="s">
        <v>65</v>
      </c>
      <c r="G964">
        <v>22</v>
      </c>
      <c r="H964" s="9">
        <v>-11.29</v>
      </c>
      <c r="I964"/>
    </row>
    <row r="965" spans="1:9" x14ac:dyDescent="0.3">
      <c r="A965" t="s">
        <v>8</v>
      </c>
      <c r="B965" t="s">
        <v>17</v>
      </c>
      <c r="C965" t="s">
        <v>101</v>
      </c>
      <c r="D965" s="9" t="s">
        <v>98</v>
      </c>
      <c r="E965" t="s">
        <v>35</v>
      </c>
      <c r="F965" t="s">
        <v>67</v>
      </c>
      <c r="G965">
        <v>20.5</v>
      </c>
      <c r="H965" s="9">
        <v>38.51</v>
      </c>
      <c r="I965"/>
    </row>
    <row r="966" spans="1:9" x14ac:dyDescent="0.3">
      <c r="A966" t="s">
        <v>8</v>
      </c>
      <c r="B966" t="s">
        <v>17</v>
      </c>
      <c r="C966" t="s">
        <v>102</v>
      </c>
      <c r="D966" s="9" t="s">
        <v>98</v>
      </c>
      <c r="E966" t="s">
        <v>36</v>
      </c>
      <c r="F966" t="s">
        <v>69</v>
      </c>
      <c r="G966">
        <v>21.1</v>
      </c>
      <c r="H966" s="9">
        <v>25.6</v>
      </c>
      <c r="I966"/>
    </row>
    <row r="967" spans="1:9" x14ac:dyDescent="0.3">
      <c r="A967" t="s">
        <v>8</v>
      </c>
      <c r="B967" t="s">
        <v>17</v>
      </c>
      <c r="C967" t="s">
        <v>103</v>
      </c>
      <c r="D967" s="9" t="s">
        <v>98</v>
      </c>
      <c r="E967" t="s">
        <v>37</v>
      </c>
      <c r="F967" t="s">
        <v>71</v>
      </c>
      <c r="G967">
        <v>21.4</v>
      </c>
      <c r="H967" s="9">
        <v>25.15</v>
      </c>
      <c r="I967"/>
    </row>
    <row r="968" spans="1:9" x14ac:dyDescent="0.3">
      <c r="A968" t="s">
        <v>8</v>
      </c>
      <c r="B968" t="s">
        <v>17</v>
      </c>
      <c r="C968" t="s">
        <v>104</v>
      </c>
      <c r="D968" s="9" t="s">
        <v>98</v>
      </c>
      <c r="E968" t="s">
        <v>38</v>
      </c>
      <c r="F968" t="s">
        <v>73</v>
      </c>
      <c r="G968">
        <v>22.7</v>
      </c>
      <c r="H968" s="9">
        <v>16.41</v>
      </c>
      <c r="I968"/>
    </row>
    <row r="969" spans="1:9" x14ac:dyDescent="0.3">
      <c r="A969" t="s">
        <v>8</v>
      </c>
      <c r="B969" t="s">
        <v>17</v>
      </c>
      <c r="C969" t="s">
        <v>105</v>
      </c>
      <c r="D969" s="9" t="s">
        <v>98</v>
      </c>
      <c r="E969" t="s">
        <v>39</v>
      </c>
      <c r="F969" t="s">
        <v>75</v>
      </c>
      <c r="G969">
        <v>18.7</v>
      </c>
      <c r="H969" s="9">
        <v>-7.43</v>
      </c>
      <c r="I969"/>
    </row>
    <row r="970" spans="1:9" x14ac:dyDescent="0.3">
      <c r="A970" t="s">
        <v>8</v>
      </c>
      <c r="B970" t="s">
        <v>17</v>
      </c>
      <c r="C970" t="s">
        <v>106</v>
      </c>
      <c r="D970" s="9" t="s">
        <v>98</v>
      </c>
      <c r="E970" t="s">
        <v>40</v>
      </c>
      <c r="F970" t="s">
        <v>77</v>
      </c>
      <c r="G970">
        <v>16.5</v>
      </c>
      <c r="H970" s="9">
        <v>-17.09</v>
      </c>
      <c r="I970"/>
    </row>
    <row r="971" spans="1:9" x14ac:dyDescent="0.3">
      <c r="A971" t="s">
        <v>8</v>
      </c>
      <c r="B971" t="s">
        <v>17</v>
      </c>
      <c r="C971" t="s">
        <v>107</v>
      </c>
      <c r="D971" s="9" t="s">
        <v>98</v>
      </c>
      <c r="E971" t="s">
        <v>41</v>
      </c>
      <c r="F971" t="s">
        <v>79</v>
      </c>
      <c r="G971">
        <v>18.8</v>
      </c>
      <c r="H971" s="9">
        <v>-11.32</v>
      </c>
      <c r="I971"/>
    </row>
    <row r="972" spans="1:9" x14ac:dyDescent="0.3">
      <c r="A972" t="s">
        <v>8</v>
      </c>
      <c r="B972" t="s">
        <v>17</v>
      </c>
      <c r="C972" t="s">
        <v>108</v>
      </c>
      <c r="D972" s="9" t="s">
        <v>98</v>
      </c>
      <c r="E972" t="s">
        <v>42</v>
      </c>
      <c r="F972" t="s">
        <v>81</v>
      </c>
      <c r="G972">
        <v>23.5</v>
      </c>
      <c r="H972" s="9">
        <v>7.31</v>
      </c>
      <c r="I972"/>
    </row>
    <row r="973" spans="1:9" x14ac:dyDescent="0.3">
      <c r="A973" t="s">
        <v>8</v>
      </c>
      <c r="B973" t="s">
        <v>17</v>
      </c>
      <c r="C973" t="s">
        <v>109</v>
      </c>
      <c r="D973" s="9" t="s">
        <v>98</v>
      </c>
      <c r="E973" t="s">
        <v>43</v>
      </c>
      <c r="F973" t="s">
        <v>83</v>
      </c>
      <c r="G973">
        <v>27.4</v>
      </c>
      <c r="H973" s="9">
        <v>1.48</v>
      </c>
      <c r="I973"/>
    </row>
    <row r="974" spans="1:9" x14ac:dyDescent="0.3">
      <c r="A974" t="s">
        <v>8</v>
      </c>
      <c r="B974" t="s">
        <v>17</v>
      </c>
      <c r="C974" t="s">
        <v>110</v>
      </c>
      <c r="D974" s="9" t="s">
        <v>111</v>
      </c>
      <c r="E974" t="s">
        <v>32</v>
      </c>
      <c r="F974" t="s">
        <v>61</v>
      </c>
      <c r="G974">
        <v>19.899999999999999</v>
      </c>
      <c r="H974" s="9">
        <v>4.1900000000000004</v>
      </c>
      <c r="I974"/>
    </row>
    <row r="975" spans="1:9" x14ac:dyDescent="0.3">
      <c r="A975" t="s">
        <v>8</v>
      </c>
      <c r="B975" t="s">
        <v>17</v>
      </c>
      <c r="C975" t="s">
        <v>112</v>
      </c>
      <c r="D975" s="9" t="s">
        <v>111</v>
      </c>
      <c r="E975" t="s">
        <v>33</v>
      </c>
      <c r="F975" t="s">
        <v>63</v>
      </c>
      <c r="G975">
        <v>18.8</v>
      </c>
      <c r="H975" s="9">
        <v>-4.08</v>
      </c>
      <c r="I975"/>
    </row>
    <row r="976" spans="1:9" x14ac:dyDescent="0.3">
      <c r="A976" t="s">
        <v>8</v>
      </c>
      <c r="B976" t="s">
        <v>17</v>
      </c>
      <c r="C976" t="s">
        <v>113</v>
      </c>
      <c r="D976" s="9" t="s">
        <v>111</v>
      </c>
      <c r="E976" t="s">
        <v>34</v>
      </c>
      <c r="F976" t="s">
        <v>65</v>
      </c>
      <c r="G976">
        <v>20.9</v>
      </c>
      <c r="H976" s="9">
        <v>-5</v>
      </c>
      <c r="I976"/>
    </row>
    <row r="977" spans="1:9" x14ac:dyDescent="0.3">
      <c r="A977" t="s">
        <v>8</v>
      </c>
      <c r="B977" t="s">
        <v>17</v>
      </c>
      <c r="C977" t="s">
        <v>114</v>
      </c>
      <c r="D977" s="9" t="s">
        <v>111</v>
      </c>
      <c r="E977" t="s">
        <v>35</v>
      </c>
      <c r="F977" t="s">
        <v>67</v>
      </c>
      <c r="G977">
        <v>22.2</v>
      </c>
      <c r="H977" s="9">
        <v>8.2899999999999991</v>
      </c>
      <c r="I977"/>
    </row>
    <row r="978" spans="1:9" x14ac:dyDescent="0.3">
      <c r="A978" t="s">
        <v>8</v>
      </c>
      <c r="B978" t="s">
        <v>17</v>
      </c>
      <c r="C978" t="s">
        <v>115</v>
      </c>
      <c r="D978" s="9" t="s">
        <v>111</v>
      </c>
      <c r="E978" t="s">
        <v>36</v>
      </c>
      <c r="F978" t="s">
        <v>69</v>
      </c>
      <c r="G978">
        <v>24.3</v>
      </c>
      <c r="H978" s="9">
        <v>15.17</v>
      </c>
      <c r="I978"/>
    </row>
    <row r="979" spans="1:9" x14ac:dyDescent="0.3">
      <c r="A979" t="s">
        <v>8</v>
      </c>
      <c r="B979" t="s">
        <v>17</v>
      </c>
      <c r="C979" t="s">
        <v>116</v>
      </c>
      <c r="D979" s="9" t="s">
        <v>111</v>
      </c>
      <c r="E979" t="s">
        <v>37</v>
      </c>
      <c r="F979" t="s">
        <v>71</v>
      </c>
      <c r="G979">
        <v>24.5</v>
      </c>
      <c r="H979" s="9">
        <v>14.49</v>
      </c>
      <c r="I979"/>
    </row>
    <row r="980" spans="1:9" x14ac:dyDescent="0.3">
      <c r="A980" t="s">
        <v>8</v>
      </c>
      <c r="B980" t="s">
        <v>17</v>
      </c>
      <c r="C980" t="s">
        <v>117</v>
      </c>
      <c r="D980" s="9" t="s">
        <v>111</v>
      </c>
      <c r="E980" t="s">
        <v>38</v>
      </c>
      <c r="F980" t="s">
        <v>73</v>
      </c>
      <c r="G980">
        <v>27.9</v>
      </c>
      <c r="H980" s="9">
        <v>22.91</v>
      </c>
      <c r="I980"/>
    </row>
    <row r="981" spans="1:9" x14ac:dyDescent="0.3">
      <c r="A981" t="s">
        <v>8</v>
      </c>
      <c r="B981" t="s">
        <v>17</v>
      </c>
      <c r="C981" t="s">
        <v>118</v>
      </c>
      <c r="D981" s="9" t="s">
        <v>111</v>
      </c>
      <c r="E981" t="s">
        <v>39</v>
      </c>
      <c r="F981" t="s">
        <v>75</v>
      </c>
      <c r="G981">
        <v>26.2</v>
      </c>
      <c r="H981" s="9">
        <v>40.11</v>
      </c>
      <c r="I981"/>
    </row>
    <row r="982" spans="1:9" x14ac:dyDescent="0.3">
      <c r="A982" t="s">
        <v>8</v>
      </c>
      <c r="B982" t="s">
        <v>17</v>
      </c>
      <c r="C982" t="s">
        <v>119</v>
      </c>
      <c r="D982" s="9" t="s">
        <v>111</v>
      </c>
      <c r="E982" t="s">
        <v>40</v>
      </c>
      <c r="F982" t="s">
        <v>77</v>
      </c>
      <c r="G982">
        <v>25.5</v>
      </c>
      <c r="H982" s="9">
        <v>54.55</v>
      </c>
      <c r="I982"/>
    </row>
    <row r="983" spans="1:9" x14ac:dyDescent="0.3">
      <c r="A983" t="s">
        <v>8</v>
      </c>
      <c r="B983" t="s">
        <v>17</v>
      </c>
      <c r="C983" t="s">
        <v>120</v>
      </c>
      <c r="D983" s="9" t="s">
        <v>111</v>
      </c>
      <c r="E983" t="s">
        <v>41</v>
      </c>
      <c r="F983" t="s">
        <v>79</v>
      </c>
      <c r="G983">
        <v>25.8</v>
      </c>
      <c r="H983" s="9">
        <v>37.229999999999997</v>
      </c>
      <c r="I983"/>
    </row>
    <row r="984" spans="1:9" x14ac:dyDescent="0.3">
      <c r="A984" t="s">
        <v>8</v>
      </c>
      <c r="B984" t="s">
        <v>17</v>
      </c>
      <c r="C984" t="s">
        <v>121</v>
      </c>
      <c r="D984" s="9" t="s">
        <v>111</v>
      </c>
      <c r="E984" t="s">
        <v>42</v>
      </c>
      <c r="F984" t="s">
        <v>81</v>
      </c>
      <c r="G984">
        <v>27.5</v>
      </c>
      <c r="H984" s="9">
        <v>17.02</v>
      </c>
      <c r="I984"/>
    </row>
    <row r="985" spans="1:9" x14ac:dyDescent="0.3">
      <c r="A985" t="s">
        <v>8</v>
      </c>
      <c r="B985" t="s">
        <v>17</v>
      </c>
      <c r="C985" t="s">
        <v>122</v>
      </c>
      <c r="D985" s="9" t="s">
        <v>111</v>
      </c>
      <c r="E985" t="s">
        <v>43</v>
      </c>
      <c r="F985" t="s">
        <v>83</v>
      </c>
      <c r="G985">
        <v>35</v>
      </c>
      <c r="H985" s="9">
        <v>27.74</v>
      </c>
      <c r="I985"/>
    </row>
    <row r="986" spans="1:9" x14ac:dyDescent="0.3">
      <c r="A986" t="s">
        <v>8</v>
      </c>
      <c r="B986" t="s">
        <v>17</v>
      </c>
      <c r="C986" t="s">
        <v>123</v>
      </c>
      <c r="D986" s="9" t="s">
        <v>124</v>
      </c>
      <c r="E986" t="s">
        <v>32</v>
      </c>
      <c r="F986" t="s">
        <v>61</v>
      </c>
      <c r="G986">
        <v>25.7</v>
      </c>
      <c r="H986" s="9">
        <v>29.15</v>
      </c>
      <c r="I986"/>
    </row>
    <row r="987" spans="1:9" x14ac:dyDescent="0.3">
      <c r="A987" t="s">
        <v>8</v>
      </c>
      <c r="B987" t="s">
        <v>17</v>
      </c>
      <c r="C987" t="s">
        <v>125</v>
      </c>
      <c r="D987" s="9" t="s">
        <v>124</v>
      </c>
      <c r="E987" t="s">
        <v>33</v>
      </c>
      <c r="F987" t="s">
        <v>63</v>
      </c>
      <c r="G987">
        <v>25.4</v>
      </c>
      <c r="H987" s="9">
        <v>35.11</v>
      </c>
      <c r="I987"/>
    </row>
    <row r="988" spans="1:9" x14ac:dyDescent="0.3">
      <c r="A988" t="s">
        <v>8</v>
      </c>
      <c r="B988" t="s">
        <v>17</v>
      </c>
      <c r="C988" t="s">
        <v>126</v>
      </c>
      <c r="D988" s="9" t="s">
        <v>124</v>
      </c>
      <c r="E988" t="s">
        <v>34</v>
      </c>
      <c r="F988" t="s">
        <v>65</v>
      </c>
      <c r="G988">
        <v>29.3</v>
      </c>
      <c r="H988" s="9">
        <v>40.19</v>
      </c>
      <c r="I988"/>
    </row>
    <row r="989" spans="1:9" x14ac:dyDescent="0.3">
      <c r="A989" t="s">
        <v>8</v>
      </c>
      <c r="B989" t="s">
        <v>17</v>
      </c>
      <c r="C989" t="s">
        <v>127</v>
      </c>
      <c r="D989" s="9" t="s">
        <v>124</v>
      </c>
      <c r="E989" t="s">
        <v>35</v>
      </c>
      <c r="F989" t="s">
        <v>67</v>
      </c>
      <c r="G989">
        <v>27.7</v>
      </c>
      <c r="H989" s="9">
        <v>24.77</v>
      </c>
      <c r="I989"/>
    </row>
    <row r="990" spans="1:9" x14ac:dyDescent="0.3">
      <c r="A990" t="s">
        <v>8</v>
      </c>
      <c r="B990" t="s">
        <v>17</v>
      </c>
      <c r="C990" t="s">
        <v>128</v>
      </c>
      <c r="D990" s="9" t="s">
        <v>124</v>
      </c>
      <c r="E990" t="s">
        <v>36</v>
      </c>
      <c r="F990" t="s">
        <v>69</v>
      </c>
      <c r="G990">
        <v>30.6</v>
      </c>
      <c r="H990" s="9">
        <v>25.93</v>
      </c>
      <c r="I990"/>
    </row>
    <row r="991" spans="1:9" x14ac:dyDescent="0.3">
      <c r="A991" t="s">
        <v>8</v>
      </c>
      <c r="B991" t="s">
        <v>17</v>
      </c>
      <c r="C991" t="s">
        <v>129</v>
      </c>
      <c r="D991" s="9" t="s">
        <v>124</v>
      </c>
      <c r="E991" t="s">
        <v>37</v>
      </c>
      <c r="F991" t="s">
        <v>71</v>
      </c>
      <c r="G991">
        <v>28.9</v>
      </c>
      <c r="H991" s="9">
        <v>17.96</v>
      </c>
      <c r="I991"/>
    </row>
    <row r="992" spans="1:9" x14ac:dyDescent="0.3">
      <c r="A992" t="s">
        <v>8</v>
      </c>
      <c r="B992" t="s">
        <v>17</v>
      </c>
      <c r="C992" t="s">
        <v>130</v>
      </c>
      <c r="D992" s="9" t="s">
        <v>124</v>
      </c>
      <c r="E992" t="s">
        <v>38</v>
      </c>
      <c r="F992" t="s">
        <v>73</v>
      </c>
      <c r="G992">
        <v>30.8</v>
      </c>
      <c r="H992" s="9">
        <v>10.39</v>
      </c>
      <c r="I992"/>
    </row>
    <row r="993" spans="1:9" x14ac:dyDescent="0.3">
      <c r="A993" t="s">
        <v>8</v>
      </c>
      <c r="B993" t="s">
        <v>17</v>
      </c>
      <c r="C993" t="s">
        <v>131</v>
      </c>
      <c r="D993" s="9" t="s">
        <v>124</v>
      </c>
      <c r="E993" t="s">
        <v>39</v>
      </c>
      <c r="F993" t="s">
        <v>75</v>
      </c>
      <c r="G993">
        <v>31.9</v>
      </c>
      <c r="H993" s="9">
        <v>21.76</v>
      </c>
      <c r="I993"/>
    </row>
    <row r="994" spans="1:9" x14ac:dyDescent="0.3">
      <c r="A994" t="s">
        <v>8</v>
      </c>
      <c r="B994" t="s">
        <v>17</v>
      </c>
      <c r="C994" t="s">
        <v>132</v>
      </c>
      <c r="D994" s="9" t="s">
        <v>124</v>
      </c>
      <c r="E994" t="s">
        <v>40</v>
      </c>
      <c r="F994" t="s">
        <v>77</v>
      </c>
      <c r="G994">
        <v>32.700000000000003</v>
      </c>
      <c r="H994" s="9">
        <v>28.24</v>
      </c>
      <c r="I994"/>
    </row>
    <row r="995" spans="1:9" x14ac:dyDescent="0.3">
      <c r="A995" t="s">
        <v>8</v>
      </c>
      <c r="B995" t="s">
        <v>17</v>
      </c>
      <c r="C995" t="s">
        <v>133</v>
      </c>
      <c r="D995" s="9" t="s">
        <v>124</v>
      </c>
      <c r="E995" t="s">
        <v>41</v>
      </c>
      <c r="F995" t="s">
        <v>79</v>
      </c>
      <c r="G995">
        <v>31.8</v>
      </c>
      <c r="H995" s="9">
        <v>23.26</v>
      </c>
      <c r="I995"/>
    </row>
    <row r="996" spans="1:9" x14ac:dyDescent="0.3">
      <c r="A996" t="s">
        <v>8</v>
      </c>
      <c r="B996" t="s">
        <v>17</v>
      </c>
      <c r="C996" t="s">
        <v>134</v>
      </c>
      <c r="D996" s="9" t="s">
        <v>124</v>
      </c>
      <c r="E996" t="s">
        <v>42</v>
      </c>
      <c r="F996" t="s">
        <v>81</v>
      </c>
      <c r="G996">
        <v>35.5</v>
      </c>
      <c r="H996" s="9">
        <v>29.09</v>
      </c>
      <c r="I996"/>
    </row>
    <row r="997" spans="1:9" x14ac:dyDescent="0.3">
      <c r="A997" t="s">
        <v>8</v>
      </c>
      <c r="B997" t="s">
        <v>17</v>
      </c>
      <c r="C997" t="s">
        <v>135</v>
      </c>
      <c r="D997" s="9" t="s">
        <v>124</v>
      </c>
      <c r="E997" t="s">
        <v>43</v>
      </c>
      <c r="F997" t="s">
        <v>83</v>
      </c>
      <c r="G997">
        <v>39.700000000000003</v>
      </c>
      <c r="H997" s="9">
        <v>13.43</v>
      </c>
      <c r="I997"/>
    </row>
    <row r="998" spans="1:9" x14ac:dyDescent="0.3">
      <c r="A998" t="s">
        <v>8</v>
      </c>
      <c r="B998" t="s">
        <v>17</v>
      </c>
      <c r="C998" t="s">
        <v>136</v>
      </c>
      <c r="D998" s="9" t="s">
        <v>137</v>
      </c>
      <c r="E998" t="s">
        <v>32</v>
      </c>
      <c r="F998" t="s">
        <v>61</v>
      </c>
      <c r="G998">
        <v>31.2</v>
      </c>
      <c r="H998" s="9">
        <v>21.4</v>
      </c>
      <c r="I998"/>
    </row>
    <row r="999" spans="1:9" x14ac:dyDescent="0.3">
      <c r="A999" t="s">
        <v>8</v>
      </c>
      <c r="B999" t="s">
        <v>17</v>
      </c>
      <c r="C999" t="s">
        <v>138</v>
      </c>
      <c r="D999" s="9" t="s">
        <v>137</v>
      </c>
      <c r="E999" t="s">
        <v>33</v>
      </c>
      <c r="F999" t="s">
        <v>63</v>
      </c>
      <c r="G999">
        <v>31</v>
      </c>
      <c r="H999" s="9">
        <v>22.05</v>
      </c>
      <c r="I999"/>
    </row>
    <row r="1000" spans="1:9" x14ac:dyDescent="0.3">
      <c r="A1000" t="s">
        <v>8</v>
      </c>
      <c r="B1000" t="s">
        <v>17</v>
      </c>
      <c r="C1000" t="s">
        <v>139</v>
      </c>
      <c r="D1000" s="9" t="s">
        <v>137</v>
      </c>
      <c r="E1000" t="s">
        <v>34</v>
      </c>
      <c r="F1000" t="s">
        <v>65</v>
      </c>
      <c r="G1000">
        <v>33.1</v>
      </c>
      <c r="H1000" s="9">
        <v>12.97</v>
      </c>
      <c r="I1000"/>
    </row>
    <row r="1001" spans="1:9" x14ac:dyDescent="0.3">
      <c r="A1001" t="s">
        <v>8</v>
      </c>
      <c r="B1001" t="s">
        <v>17</v>
      </c>
      <c r="C1001" t="s">
        <v>140</v>
      </c>
      <c r="D1001" s="9" t="s">
        <v>137</v>
      </c>
      <c r="E1001" t="s">
        <v>35</v>
      </c>
      <c r="F1001" t="s">
        <v>67</v>
      </c>
      <c r="G1001">
        <v>33.1</v>
      </c>
      <c r="H1001" s="9">
        <v>19.489999999999998</v>
      </c>
      <c r="I1001"/>
    </row>
    <row r="1002" spans="1:9" x14ac:dyDescent="0.3">
      <c r="A1002" t="s">
        <v>8</v>
      </c>
      <c r="B1002" t="s">
        <v>17</v>
      </c>
      <c r="C1002" t="s">
        <v>141</v>
      </c>
      <c r="D1002" s="9" t="s">
        <v>137</v>
      </c>
      <c r="E1002" t="s">
        <v>36</v>
      </c>
      <c r="F1002" t="s">
        <v>69</v>
      </c>
      <c r="G1002">
        <v>35.6</v>
      </c>
      <c r="H1002" s="9">
        <v>16.34</v>
      </c>
      <c r="I1002"/>
    </row>
    <row r="1003" spans="1:9" x14ac:dyDescent="0.3">
      <c r="A1003" t="s">
        <v>8</v>
      </c>
      <c r="B1003" t="s">
        <v>17</v>
      </c>
      <c r="C1003" t="s">
        <v>142</v>
      </c>
      <c r="D1003" s="9" t="s">
        <v>137</v>
      </c>
      <c r="E1003" t="s">
        <v>37</v>
      </c>
      <c r="F1003" t="s">
        <v>71</v>
      </c>
      <c r="G1003">
        <v>34.1</v>
      </c>
      <c r="H1003" s="9">
        <v>17.989999999999998</v>
      </c>
      <c r="I1003"/>
    </row>
    <row r="1004" spans="1:9" x14ac:dyDescent="0.3">
      <c r="A1004" t="s">
        <v>8</v>
      </c>
      <c r="B1004" t="s">
        <v>17</v>
      </c>
      <c r="C1004" t="s">
        <v>143</v>
      </c>
      <c r="D1004" s="9" t="s">
        <v>137</v>
      </c>
      <c r="E1004" t="s">
        <v>38</v>
      </c>
      <c r="F1004" t="s">
        <v>73</v>
      </c>
      <c r="G1004">
        <v>38.200000000000003</v>
      </c>
      <c r="H1004" s="9">
        <v>24.03</v>
      </c>
      <c r="I1004"/>
    </row>
    <row r="1005" spans="1:9" x14ac:dyDescent="0.3">
      <c r="A1005" t="s">
        <v>8</v>
      </c>
      <c r="B1005" t="s">
        <v>17</v>
      </c>
      <c r="C1005" t="s">
        <v>144</v>
      </c>
      <c r="D1005" s="9" t="s">
        <v>137</v>
      </c>
      <c r="E1005" t="s">
        <v>39</v>
      </c>
      <c r="F1005" t="s">
        <v>75</v>
      </c>
      <c r="G1005">
        <v>39.299999999999997</v>
      </c>
      <c r="H1005" s="9">
        <v>23.2</v>
      </c>
      <c r="I1005"/>
    </row>
    <row r="1006" spans="1:9" x14ac:dyDescent="0.3">
      <c r="A1006" t="s">
        <v>8</v>
      </c>
      <c r="B1006" t="s">
        <v>17</v>
      </c>
      <c r="C1006" t="s">
        <v>145</v>
      </c>
      <c r="D1006" s="9" t="s">
        <v>137</v>
      </c>
      <c r="E1006" t="s">
        <v>40</v>
      </c>
      <c r="F1006" t="s">
        <v>77</v>
      </c>
      <c r="G1006">
        <v>35.200000000000003</v>
      </c>
      <c r="H1006" s="9">
        <v>7.65</v>
      </c>
      <c r="I1006"/>
    </row>
    <row r="1007" spans="1:9" x14ac:dyDescent="0.3">
      <c r="A1007" t="s">
        <v>8</v>
      </c>
      <c r="B1007" t="s">
        <v>17</v>
      </c>
      <c r="C1007" t="s">
        <v>146</v>
      </c>
      <c r="D1007" s="9" t="s">
        <v>137</v>
      </c>
      <c r="E1007" t="s">
        <v>41</v>
      </c>
      <c r="F1007" t="s">
        <v>79</v>
      </c>
      <c r="G1007">
        <v>36.4</v>
      </c>
      <c r="H1007" s="9">
        <v>14.47</v>
      </c>
      <c r="I1007"/>
    </row>
    <row r="1008" spans="1:9" x14ac:dyDescent="0.3">
      <c r="A1008" t="s">
        <v>8</v>
      </c>
      <c r="B1008" t="s">
        <v>17</v>
      </c>
      <c r="C1008" t="s">
        <v>147</v>
      </c>
      <c r="D1008" s="9" t="s">
        <v>137</v>
      </c>
      <c r="E1008" t="s">
        <v>42</v>
      </c>
      <c r="F1008" t="s">
        <v>81</v>
      </c>
      <c r="G1008">
        <v>37.9</v>
      </c>
      <c r="H1008" s="9">
        <v>6.76</v>
      </c>
      <c r="I1008"/>
    </row>
    <row r="1009" spans="1:9" x14ac:dyDescent="0.3">
      <c r="A1009" t="s">
        <v>8</v>
      </c>
      <c r="B1009" t="s">
        <v>17</v>
      </c>
      <c r="C1009" t="s">
        <v>148</v>
      </c>
      <c r="D1009" s="9" t="s">
        <v>137</v>
      </c>
      <c r="E1009" t="s">
        <v>43</v>
      </c>
      <c r="F1009" t="s">
        <v>83</v>
      </c>
      <c r="G1009">
        <v>41.7</v>
      </c>
      <c r="H1009" s="9">
        <v>5.04</v>
      </c>
      <c r="I1009"/>
    </row>
    <row r="1010" spans="1:9" x14ac:dyDescent="0.3">
      <c r="A1010" t="s">
        <v>8</v>
      </c>
      <c r="B1010" t="s">
        <v>17</v>
      </c>
      <c r="C1010" t="s">
        <v>149</v>
      </c>
      <c r="D1010" s="9" t="s">
        <v>150</v>
      </c>
      <c r="E1010" t="s">
        <v>32</v>
      </c>
      <c r="F1010" t="s">
        <v>61</v>
      </c>
      <c r="G1010">
        <v>31.8</v>
      </c>
      <c r="H1010" s="9">
        <v>1.92</v>
      </c>
      <c r="I1010"/>
    </row>
    <row r="1011" spans="1:9" x14ac:dyDescent="0.3">
      <c r="A1011" t="s">
        <v>8</v>
      </c>
      <c r="B1011" t="s">
        <v>17</v>
      </c>
      <c r="C1011" t="s">
        <v>151</v>
      </c>
      <c r="D1011" s="9" t="s">
        <v>150</v>
      </c>
      <c r="E1011" t="s">
        <v>33</v>
      </c>
      <c r="F1011" t="s">
        <v>63</v>
      </c>
      <c r="G1011">
        <v>32.6</v>
      </c>
      <c r="H1011" s="9">
        <v>5.16</v>
      </c>
      <c r="I1011"/>
    </row>
    <row r="1012" spans="1:9" x14ac:dyDescent="0.3">
      <c r="A1012" t="s">
        <v>8</v>
      </c>
      <c r="B1012" t="s">
        <v>17</v>
      </c>
      <c r="C1012" t="s">
        <v>152</v>
      </c>
      <c r="D1012" s="9" t="s">
        <v>150</v>
      </c>
      <c r="E1012" t="s">
        <v>34</v>
      </c>
      <c r="F1012" t="s">
        <v>65</v>
      </c>
      <c r="G1012">
        <v>35</v>
      </c>
      <c r="H1012" s="9">
        <v>5.74</v>
      </c>
      <c r="I1012"/>
    </row>
    <row r="1013" spans="1:9" x14ac:dyDescent="0.3">
      <c r="A1013" t="s">
        <v>8</v>
      </c>
      <c r="B1013" t="s">
        <v>17</v>
      </c>
      <c r="C1013" t="s">
        <v>153</v>
      </c>
      <c r="D1013" s="9" t="s">
        <v>150</v>
      </c>
      <c r="E1013" t="s">
        <v>35</v>
      </c>
      <c r="F1013" t="s">
        <v>67</v>
      </c>
      <c r="G1013">
        <v>34.700000000000003</v>
      </c>
      <c r="H1013" s="9">
        <v>4.83</v>
      </c>
      <c r="I1013"/>
    </row>
    <row r="1014" spans="1:9" x14ac:dyDescent="0.3">
      <c r="A1014" t="s">
        <v>8</v>
      </c>
      <c r="B1014" t="s">
        <v>17</v>
      </c>
      <c r="C1014" t="s">
        <v>154</v>
      </c>
      <c r="D1014" s="9" t="s">
        <v>150</v>
      </c>
      <c r="E1014" t="s">
        <v>36</v>
      </c>
      <c r="F1014" t="s">
        <v>69</v>
      </c>
      <c r="G1014">
        <v>37.9</v>
      </c>
      <c r="H1014" s="9">
        <v>6.46</v>
      </c>
      <c r="I1014"/>
    </row>
    <row r="1015" spans="1:9" x14ac:dyDescent="0.3">
      <c r="A1015" t="s">
        <v>8</v>
      </c>
      <c r="B1015" t="s">
        <v>17</v>
      </c>
      <c r="C1015" t="s">
        <v>155</v>
      </c>
      <c r="D1015" s="9" t="s">
        <v>150</v>
      </c>
      <c r="E1015" t="s">
        <v>37</v>
      </c>
      <c r="F1015" t="s">
        <v>71</v>
      </c>
      <c r="G1015">
        <v>36.1</v>
      </c>
      <c r="H1015" s="9">
        <v>5.87</v>
      </c>
      <c r="I1015"/>
    </row>
    <row r="1016" spans="1:9" x14ac:dyDescent="0.3">
      <c r="A1016" t="s">
        <v>8</v>
      </c>
      <c r="B1016" t="s">
        <v>11</v>
      </c>
      <c r="C1016" t="s">
        <v>59</v>
      </c>
      <c r="D1016" s="9" t="s">
        <v>60</v>
      </c>
      <c r="E1016" t="s">
        <v>32</v>
      </c>
      <c r="F1016" t="s">
        <v>61</v>
      </c>
      <c r="G1016">
        <v>188.1</v>
      </c>
      <c r="I1016"/>
    </row>
    <row r="1017" spans="1:9" x14ac:dyDescent="0.3">
      <c r="A1017" t="s">
        <v>8</v>
      </c>
      <c r="B1017" t="s">
        <v>11</v>
      </c>
      <c r="C1017" t="s">
        <v>62</v>
      </c>
      <c r="D1017" s="9" t="s">
        <v>60</v>
      </c>
      <c r="E1017" t="s">
        <v>33</v>
      </c>
      <c r="F1017" t="s">
        <v>63</v>
      </c>
      <c r="G1017">
        <v>181.5</v>
      </c>
      <c r="I1017"/>
    </row>
    <row r="1018" spans="1:9" x14ac:dyDescent="0.3">
      <c r="A1018" t="s">
        <v>8</v>
      </c>
      <c r="B1018" t="s">
        <v>11</v>
      </c>
      <c r="C1018" t="s">
        <v>64</v>
      </c>
      <c r="D1018" s="9" t="s">
        <v>60</v>
      </c>
      <c r="E1018" t="s">
        <v>34</v>
      </c>
      <c r="F1018" t="s">
        <v>65</v>
      </c>
      <c r="G1018">
        <v>198.9</v>
      </c>
      <c r="I1018"/>
    </row>
    <row r="1019" spans="1:9" x14ac:dyDescent="0.3">
      <c r="A1019" t="s">
        <v>8</v>
      </c>
      <c r="B1019" t="s">
        <v>11</v>
      </c>
      <c r="C1019" t="s">
        <v>66</v>
      </c>
      <c r="D1019" s="9" t="s">
        <v>60</v>
      </c>
      <c r="E1019" t="s">
        <v>35</v>
      </c>
      <c r="F1019" t="s">
        <v>67</v>
      </c>
      <c r="G1019">
        <v>188</v>
      </c>
      <c r="I1019"/>
    </row>
    <row r="1020" spans="1:9" x14ac:dyDescent="0.3">
      <c r="A1020" t="s">
        <v>8</v>
      </c>
      <c r="B1020" t="s">
        <v>11</v>
      </c>
      <c r="C1020" t="s">
        <v>68</v>
      </c>
      <c r="D1020" s="9" t="s">
        <v>60</v>
      </c>
      <c r="E1020" t="s">
        <v>36</v>
      </c>
      <c r="F1020" t="s">
        <v>69</v>
      </c>
      <c r="G1020">
        <v>191.2</v>
      </c>
      <c r="I1020"/>
    </row>
    <row r="1021" spans="1:9" x14ac:dyDescent="0.3">
      <c r="A1021" t="s">
        <v>8</v>
      </c>
      <c r="B1021" t="s">
        <v>11</v>
      </c>
      <c r="C1021" t="s">
        <v>70</v>
      </c>
      <c r="D1021" s="9" t="s">
        <v>60</v>
      </c>
      <c r="E1021" t="s">
        <v>37</v>
      </c>
      <c r="F1021" t="s">
        <v>71</v>
      </c>
      <c r="G1021">
        <v>186.3</v>
      </c>
      <c r="I1021"/>
    </row>
    <row r="1022" spans="1:9" x14ac:dyDescent="0.3">
      <c r="A1022" t="s">
        <v>8</v>
      </c>
      <c r="B1022" t="s">
        <v>11</v>
      </c>
      <c r="C1022" t="s">
        <v>72</v>
      </c>
      <c r="D1022" s="9" t="s">
        <v>60</v>
      </c>
      <c r="E1022" t="s">
        <v>38</v>
      </c>
      <c r="F1022" t="s">
        <v>73</v>
      </c>
      <c r="G1022">
        <v>185.4</v>
      </c>
      <c r="I1022"/>
    </row>
    <row r="1023" spans="1:9" x14ac:dyDescent="0.3">
      <c r="A1023" t="s">
        <v>8</v>
      </c>
      <c r="B1023" t="s">
        <v>11</v>
      </c>
      <c r="C1023" t="s">
        <v>74</v>
      </c>
      <c r="D1023" s="9" t="s">
        <v>60</v>
      </c>
      <c r="E1023" t="s">
        <v>39</v>
      </c>
      <c r="F1023" t="s">
        <v>75</v>
      </c>
      <c r="G1023">
        <v>191.6</v>
      </c>
      <c r="I1023"/>
    </row>
    <row r="1024" spans="1:9" x14ac:dyDescent="0.3">
      <c r="A1024" t="s">
        <v>8</v>
      </c>
      <c r="B1024" t="s">
        <v>11</v>
      </c>
      <c r="C1024" t="s">
        <v>76</v>
      </c>
      <c r="D1024" s="9" t="s">
        <v>60</v>
      </c>
      <c r="E1024" t="s">
        <v>40</v>
      </c>
      <c r="F1024" t="s">
        <v>77</v>
      </c>
      <c r="G1024">
        <v>189.5</v>
      </c>
      <c r="I1024"/>
    </row>
    <row r="1025" spans="1:9" x14ac:dyDescent="0.3">
      <c r="A1025" t="s">
        <v>8</v>
      </c>
      <c r="B1025" t="s">
        <v>11</v>
      </c>
      <c r="C1025" t="s">
        <v>78</v>
      </c>
      <c r="D1025" s="9" t="s">
        <v>60</v>
      </c>
      <c r="E1025" t="s">
        <v>41</v>
      </c>
      <c r="F1025" t="s">
        <v>79</v>
      </c>
      <c r="G1025">
        <v>199.7</v>
      </c>
      <c r="I1025"/>
    </row>
    <row r="1026" spans="1:9" x14ac:dyDescent="0.3">
      <c r="A1026" t="s">
        <v>8</v>
      </c>
      <c r="B1026" t="s">
        <v>11</v>
      </c>
      <c r="C1026" t="s">
        <v>80</v>
      </c>
      <c r="D1026" s="9" t="s">
        <v>60</v>
      </c>
      <c r="E1026" t="s">
        <v>42</v>
      </c>
      <c r="F1026" t="s">
        <v>81</v>
      </c>
      <c r="G1026">
        <v>203.3</v>
      </c>
      <c r="I1026"/>
    </row>
    <row r="1027" spans="1:9" x14ac:dyDescent="0.3">
      <c r="A1027" t="s">
        <v>8</v>
      </c>
      <c r="B1027" t="s">
        <v>11</v>
      </c>
      <c r="C1027" t="s">
        <v>82</v>
      </c>
      <c r="D1027" s="9" t="s">
        <v>60</v>
      </c>
      <c r="E1027" t="s">
        <v>43</v>
      </c>
      <c r="F1027" t="s">
        <v>83</v>
      </c>
      <c r="G1027">
        <v>221.6</v>
      </c>
      <c r="I1027"/>
    </row>
    <row r="1028" spans="1:9" x14ac:dyDescent="0.3">
      <c r="A1028" t="s">
        <v>8</v>
      </c>
      <c r="B1028" t="s">
        <v>11</v>
      </c>
      <c r="C1028" t="s">
        <v>84</v>
      </c>
      <c r="D1028" s="9" t="s">
        <v>85</v>
      </c>
      <c r="E1028" t="s">
        <v>32</v>
      </c>
      <c r="F1028" t="s">
        <v>61</v>
      </c>
      <c r="G1028">
        <v>194.2</v>
      </c>
      <c r="H1028" s="9">
        <v>3.24</v>
      </c>
      <c r="I1028"/>
    </row>
    <row r="1029" spans="1:9" x14ac:dyDescent="0.3">
      <c r="A1029" t="s">
        <v>8</v>
      </c>
      <c r="B1029" t="s">
        <v>11</v>
      </c>
      <c r="C1029" t="s">
        <v>86</v>
      </c>
      <c r="D1029" s="9" t="s">
        <v>85</v>
      </c>
      <c r="E1029" t="s">
        <v>33</v>
      </c>
      <c r="F1029" t="s">
        <v>63</v>
      </c>
      <c r="G1029">
        <v>195.1</v>
      </c>
      <c r="H1029" s="9">
        <v>7.49</v>
      </c>
      <c r="I1029"/>
    </row>
    <row r="1030" spans="1:9" x14ac:dyDescent="0.3">
      <c r="A1030" t="s">
        <v>8</v>
      </c>
      <c r="B1030" t="s">
        <v>11</v>
      </c>
      <c r="C1030" t="s">
        <v>87</v>
      </c>
      <c r="D1030" s="9" t="s">
        <v>85</v>
      </c>
      <c r="E1030" t="s">
        <v>34</v>
      </c>
      <c r="F1030" t="s">
        <v>65</v>
      </c>
      <c r="G1030">
        <v>245.2</v>
      </c>
      <c r="H1030" s="9">
        <v>23.28</v>
      </c>
      <c r="I1030"/>
    </row>
    <row r="1031" spans="1:9" x14ac:dyDescent="0.3">
      <c r="A1031" t="s">
        <v>8</v>
      </c>
      <c r="B1031" t="s">
        <v>11</v>
      </c>
      <c r="C1031" t="s">
        <v>88</v>
      </c>
      <c r="D1031" s="9" t="s">
        <v>85</v>
      </c>
      <c r="E1031" t="s">
        <v>35</v>
      </c>
      <c r="F1031" t="s">
        <v>67</v>
      </c>
      <c r="G1031">
        <v>202</v>
      </c>
      <c r="H1031" s="9">
        <v>7.45</v>
      </c>
      <c r="I1031"/>
    </row>
    <row r="1032" spans="1:9" x14ac:dyDescent="0.3">
      <c r="A1032" t="s">
        <v>8</v>
      </c>
      <c r="B1032" t="s">
        <v>11</v>
      </c>
      <c r="C1032" t="s">
        <v>89</v>
      </c>
      <c r="D1032" s="9" t="s">
        <v>85</v>
      </c>
      <c r="E1032" t="s">
        <v>36</v>
      </c>
      <c r="F1032" t="s">
        <v>69</v>
      </c>
      <c r="G1032">
        <v>210.4</v>
      </c>
      <c r="H1032" s="9">
        <v>10.039999999999999</v>
      </c>
      <c r="I1032"/>
    </row>
    <row r="1033" spans="1:9" x14ac:dyDescent="0.3">
      <c r="A1033" t="s">
        <v>8</v>
      </c>
      <c r="B1033" t="s">
        <v>11</v>
      </c>
      <c r="C1033" t="s">
        <v>90</v>
      </c>
      <c r="D1033" s="9" t="s">
        <v>85</v>
      </c>
      <c r="E1033" t="s">
        <v>37</v>
      </c>
      <c r="F1033" t="s">
        <v>71</v>
      </c>
      <c r="G1033">
        <v>201.7</v>
      </c>
      <c r="H1033" s="9">
        <v>8.27</v>
      </c>
      <c r="I1033"/>
    </row>
    <row r="1034" spans="1:9" x14ac:dyDescent="0.3">
      <c r="A1034" t="s">
        <v>8</v>
      </c>
      <c r="B1034" t="s">
        <v>11</v>
      </c>
      <c r="C1034" t="s">
        <v>91</v>
      </c>
      <c r="D1034" s="9" t="s">
        <v>85</v>
      </c>
      <c r="E1034" t="s">
        <v>38</v>
      </c>
      <c r="F1034" t="s">
        <v>73</v>
      </c>
      <c r="G1034">
        <v>212.6</v>
      </c>
      <c r="H1034" s="9">
        <v>14.67</v>
      </c>
      <c r="I1034"/>
    </row>
    <row r="1035" spans="1:9" x14ac:dyDescent="0.3">
      <c r="A1035" t="s">
        <v>8</v>
      </c>
      <c r="B1035" t="s">
        <v>11</v>
      </c>
      <c r="C1035" t="s">
        <v>92</v>
      </c>
      <c r="D1035" s="9" t="s">
        <v>85</v>
      </c>
      <c r="E1035" t="s">
        <v>39</v>
      </c>
      <c r="F1035" t="s">
        <v>75</v>
      </c>
      <c r="G1035">
        <v>216.3</v>
      </c>
      <c r="H1035" s="9">
        <v>12.89</v>
      </c>
      <c r="I1035"/>
    </row>
    <row r="1036" spans="1:9" x14ac:dyDescent="0.3">
      <c r="A1036" t="s">
        <v>8</v>
      </c>
      <c r="B1036" t="s">
        <v>11</v>
      </c>
      <c r="C1036" t="s">
        <v>93</v>
      </c>
      <c r="D1036" s="9" t="s">
        <v>85</v>
      </c>
      <c r="E1036" t="s">
        <v>40</v>
      </c>
      <c r="F1036" t="s">
        <v>77</v>
      </c>
      <c r="G1036">
        <v>204.6</v>
      </c>
      <c r="H1036" s="9">
        <v>7.97</v>
      </c>
      <c r="I1036"/>
    </row>
    <row r="1037" spans="1:9" x14ac:dyDescent="0.3">
      <c r="A1037" t="s">
        <v>8</v>
      </c>
      <c r="B1037" t="s">
        <v>11</v>
      </c>
      <c r="C1037" t="s">
        <v>94</v>
      </c>
      <c r="D1037" s="9" t="s">
        <v>85</v>
      </c>
      <c r="E1037" t="s">
        <v>41</v>
      </c>
      <c r="F1037" t="s">
        <v>79</v>
      </c>
      <c r="G1037">
        <v>218.6</v>
      </c>
      <c r="H1037" s="9">
        <v>9.4600000000000009</v>
      </c>
      <c r="I1037"/>
    </row>
    <row r="1038" spans="1:9" x14ac:dyDescent="0.3">
      <c r="A1038" t="s">
        <v>8</v>
      </c>
      <c r="B1038" t="s">
        <v>11</v>
      </c>
      <c r="C1038" t="s">
        <v>95</v>
      </c>
      <c r="D1038" s="9" t="s">
        <v>85</v>
      </c>
      <c r="E1038" t="s">
        <v>42</v>
      </c>
      <c r="F1038" t="s">
        <v>81</v>
      </c>
      <c r="G1038">
        <v>215.8</v>
      </c>
      <c r="H1038" s="9">
        <v>6.15</v>
      </c>
      <c r="I1038"/>
    </row>
    <row r="1039" spans="1:9" x14ac:dyDescent="0.3">
      <c r="A1039" t="s">
        <v>8</v>
      </c>
      <c r="B1039" t="s">
        <v>11</v>
      </c>
      <c r="C1039" t="s">
        <v>96</v>
      </c>
      <c r="D1039" s="9" t="s">
        <v>85</v>
      </c>
      <c r="E1039" t="s">
        <v>43</v>
      </c>
      <c r="F1039" t="s">
        <v>83</v>
      </c>
      <c r="G1039">
        <v>235.4</v>
      </c>
      <c r="H1039" s="9">
        <v>6.23</v>
      </c>
      <c r="I1039"/>
    </row>
    <row r="1040" spans="1:9" x14ac:dyDescent="0.3">
      <c r="A1040" t="s">
        <v>8</v>
      </c>
      <c r="B1040" t="s">
        <v>11</v>
      </c>
      <c r="C1040" t="s">
        <v>97</v>
      </c>
      <c r="D1040" s="9" t="s">
        <v>98</v>
      </c>
      <c r="E1040" t="s">
        <v>32</v>
      </c>
      <c r="F1040" t="s">
        <v>61</v>
      </c>
      <c r="G1040">
        <v>214.5</v>
      </c>
      <c r="H1040" s="9">
        <v>10.45</v>
      </c>
      <c r="I1040"/>
    </row>
    <row r="1041" spans="1:9" x14ac:dyDescent="0.3">
      <c r="A1041" t="s">
        <v>8</v>
      </c>
      <c r="B1041" t="s">
        <v>11</v>
      </c>
      <c r="C1041" t="s">
        <v>99</v>
      </c>
      <c r="D1041" s="9" t="s">
        <v>98</v>
      </c>
      <c r="E1041" t="s">
        <v>33</v>
      </c>
      <c r="F1041" t="s">
        <v>63</v>
      </c>
      <c r="G1041">
        <v>196.6</v>
      </c>
      <c r="H1041" s="9">
        <v>0.77</v>
      </c>
      <c r="I1041"/>
    </row>
    <row r="1042" spans="1:9" x14ac:dyDescent="0.3">
      <c r="A1042" t="s">
        <v>8</v>
      </c>
      <c r="B1042" t="s">
        <v>11</v>
      </c>
      <c r="C1042" t="s">
        <v>100</v>
      </c>
      <c r="D1042" s="9" t="s">
        <v>98</v>
      </c>
      <c r="E1042" t="s">
        <v>34</v>
      </c>
      <c r="F1042" t="s">
        <v>65</v>
      </c>
      <c r="G1042">
        <v>210.1</v>
      </c>
      <c r="H1042" s="9">
        <v>-14.31</v>
      </c>
      <c r="I1042"/>
    </row>
    <row r="1043" spans="1:9" x14ac:dyDescent="0.3">
      <c r="A1043" t="s">
        <v>8</v>
      </c>
      <c r="B1043" t="s">
        <v>11</v>
      </c>
      <c r="C1043" t="s">
        <v>101</v>
      </c>
      <c r="D1043" s="9" t="s">
        <v>98</v>
      </c>
      <c r="E1043" t="s">
        <v>35</v>
      </c>
      <c r="F1043" t="s">
        <v>67</v>
      </c>
      <c r="G1043">
        <v>204.6</v>
      </c>
      <c r="H1043" s="9">
        <v>1.29</v>
      </c>
      <c r="I1043"/>
    </row>
    <row r="1044" spans="1:9" x14ac:dyDescent="0.3">
      <c r="A1044" t="s">
        <v>8</v>
      </c>
      <c r="B1044" t="s">
        <v>11</v>
      </c>
      <c r="C1044" t="s">
        <v>102</v>
      </c>
      <c r="D1044" s="9" t="s">
        <v>98</v>
      </c>
      <c r="E1044" t="s">
        <v>36</v>
      </c>
      <c r="F1044" t="s">
        <v>69</v>
      </c>
      <c r="G1044">
        <v>216.4</v>
      </c>
      <c r="H1044" s="9">
        <v>2.85</v>
      </c>
      <c r="I1044"/>
    </row>
    <row r="1045" spans="1:9" x14ac:dyDescent="0.3">
      <c r="A1045" t="s">
        <v>8</v>
      </c>
      <c r="B1045" t="s">
        <v>11</v>
      </c>
      <c r="C1045" t="s">
        <v>103</v>
      </c>
      <c r="D1045" s="9" t="s">
        <v>98</v>
      </c>
      <c r="E1045" t="s">
        <v>37</v>
      </c>
      <c r="F1045" t="s">
        <v>71</v>
      </c>
      <c r="G1045">
        <v>206.6</v>
      </c>
      <c r="H1045" s="9">
        <v>2.4300000000000002</v>
      </c>
      <c r="I1045"/>
    </row>
    <row r="1046" spans="1:9" x14ac:dyDescent="0.3">
      <c r="A1046" t="s">
        <v>8</v>
      </c>
      <c r="B1046" t="s">
        <v>11</v>
      </c>
      <c r="C1046" t="s">
        <v>104</v>
      </c>
      <c r="D1046" s="9" t="s">
        <v>98</v>
      </c>
      <c r="E1046" t="s">
        <v>38</v>
      </c>
      <c r="F1046" t="s">
        <v>73</v>
      </c>
      <c r="G1046">
        <v>214.9</v>
      </c>
      <c r="H1046" s="9">
        <v>1.08</v>
      </c>
      <c r="I1046"/>
    </row>
    <row r="1047" spans="1:9" x14ac:dyDescent="0.3">
      <c r="A1047" t="s">
        <v>8</v>
      </c>
      <c r="B1047" t="s">
        <v>11</v>
      </c>
      <c r="C1047" t="s">
        <v>105</v>
      </c>
      <c r="D1047" s="9" t="s">
        <v>98</v>
      </c>
      <c r="E1047" t="s">
        <v>39</v>
      </c>
      <c r="F1047" t="s">
        <v>75</v>
      </c>
      <c r="G1047">
        <v>217</v>
      </c>
      <c r="H1047" s="9">
        <v>0.32</v>
      </c>
      <c r="I1047"/>
    </row>
    <row r="1048" spans="1:9" x14ac:dyDescent="0.3">
      <c r="A1048" t="s">
        <v>8</v>
      </c>
      <c r="B1048" t="s">
        <v>11</v>
      </c>
      <c r="C1048" t="s">
        <v>106</v>
      </c>
      <c r="D1048" s="9" t="s">
        <v>98</v>
      </c>
      <c r="E1048" t="s">
        <v>40</v>
      </c>
      <c r="F1048" t="s">
        <v>77</v>
      </c>
      <c r="G1048">
        <v>211.1</v>
      </c>
      <c r="H1048" s="9">
        <v>3.18</v>
      </c>
      <c r="I1048"/>
    </row>
    <row r="1049" spans="1:9" x14ac:dyDescent="0.3">
      <c r="A1049" t="s">
        <v>8</v>
      </c>
      <c r="B1049" t="s">
        <v>11</v>
      </c>
      <c r="C1049" t="s">
        <v>107</v>
      </c>
      <c r="D1049" s="9" t="s">
        <v>98</v>
      </c>
      <c r="E1049" t="s">
        <v>41</v>
      </c>
      <c r="F1049" t="s">
        <v>79</v>
      </c>
      <c r="G1049">
        <v>228</v>
      </c>
      <c r="H1049" s="9">
        <v>4.3</v>
      </c>
      <c r="I1049"/>
    </row>
    <row r="1050" spans="1:9" x14ac:dyDescent="0.3">
      <c r="A1050" t="s">
        <v>8</v>
      </c>
      <c r="B1050" t="s">
        <v>11</v>
      </c>
      <c r="C1050" t="s">
        <v>108</v>
      </c>
      <c r="D1050" s="9" t="s">
        <v>98</v>
      </c>
      <c r="E1050" t="s">
        <v>42</v>
      </c>
      <c r="F1050" t="s">
        <v>81</v>
      </c>
      <c r="G1050">
        <v>213.6</v>
      </c>
      <c r="H1050" s="9">
        <v>-1.02</v>
      </c>
      <c r="I1050"/>
    </row>
    <row r="1051" spans="1:9" x14ac:dyDescent="0.3">
      <c r="A1051" t="s">
        <v>8</v>
      </c>
      <c r="B1051" t="s">
        <v>11</v>
      </c>
      <c r="C1051" t="s">
        <v>109</v>
      </c>
      <c r="D1051" s="9" t="s">
        <v>98</v>
      </c>
      <c r="E1051" t="s">
        <v>43</v>
      </c>
      <c r="F1051" t="s">
        <v>83</v>
      </c>
      <c r="G1051">
        <v>237.3</v>
      </c>
      <c r="H1051" s="9">
        <v>0.81</v>
      </c>
      <c r="I1051"/>
    </row>
    <row r="1052" spans="1:9" x14ac:dyDescent="0.3">
      <c r="A1052" t="s">
        <v>8</v>
      </c>
      <c r="B1052" t="s">
        <v>11</v>
      </c>
      <c r="C1052" t="s">
        <v>110</v>
      </c>
      <c r="D1052" s="9" t="s">
        <v>111</v>
      </c>
      <c r="E1052" t="s">
        <v>32</v>
      </c>
      <c r="F1052" t="s">
        <v>61</v>
      </c>
      <c r="G1052">
        <v>219.2</v>
      </c>
      <c r="H1052" s="9">
        <v>2.19</v>
      </c>
      <c r="I1052"/>
    </row>
    <row r="1053" spans="1:9" x14ac:dyDescent="0.3">
      <c r="A1053" t="s">
        <v>8</v>
      </c>
      <c r="B1053" t="s">
        <v>11</v>
      </c>
      <c r="C1053" t="s">
        <v>112</v>
      </c>
      <c r="D1053" s="9" t="s">
        <v>111</v>
      </c>
      <c r="E1053" t="s">
        <v>33</v>
      </c>
      <c r="F1053" t="s">
        <v>63</v>
      </c>
      <c r="G1053">
        <v>200.3</v>
      </c>
      <c r="H1053" s="9">
        <v>1.88</v>
      </c>
      <c r="I1053"/>
    </row>
    <row r="1054" spans="1:9" x14ac:dyDescent="0.3">
      <c r="A1054" t="s">
        <v>8</v>
      </c>
      <c r="B1054" t="s">
        <v>11</v>
      </c>
      <c r="C1054" t="s">
        <v>113</v>
      </c>
      <c r="D1054" s="9" t="s">
        <v>111</v>
      </c>
      <c r="E1054" t="s">
        <v>34</v>
      </c>
      <c r="F1054" t="s">
        <v>65</v>
      </c>
      <c r="G1054">
        <v>217</v>
      </c>
      <c r="H1054" s="9">
        <v>3.28</v>
      </c>
      <c r="I1054"/>
    </row>
    <row r="1055" spans="1:9" x14ac:dyDescent="0.3">
      <c r="A1055" t="s">
        <v>8</v>
      </c>
      <c r="B1055" t="s">
        <v>11</v>
      </c>
      <c r="C1055" t="s">
        <v>114</v>
      </c>
      <c r="D1055" s="9" t="s">
        <v>111</v>
      </c>
      <c r="E1055" t="s">
        <v>35</v>
      </c>
      <c r="F1055" t="s">
        <v>67</v>
      </c>
      <c r="G1055">
        <v>213.1</v>
      </c>
      <c r="H1055" s="9">
        <v>4.1500000000000004</v>
      </c>
      <c r="I1055"/>
    </row>
    <row r="1056" spans="1:9" x14ac:dyDescent="0.3">
      <c r="A1056" t="s">
        <v>8</v>
      </c>
      <c r="B1056" t="s">
        <v>11</v>
      </c>
      <c r="C1056" t="s">
        <v>115</v>
      </c>
      <c r="D1056" s="9" t="s">
        <v>111</v>
      </c>
      <c r="E1056" t="s">
        <v>36</v>
      </c>
      <c r="F1056" t="s">
        <v>69</v>
      </c>
      <c r="G1056">
        <v>217</v>
      </c>
      <c r="H1056" s="9">
        <v>0.28000000000000003</v>
      </c>
      <c r="I1056"/>
    </row>
    <row r="1057" spans="1:9" x14ac:dyDescent="0.3">
      <c r="A1057" t="s">
        <v>8</v>
      </c>
      <c r="B1057" t="s">
        <v>11</v>
      </c>
      <c r="C1057" t="s">
        <v>116</v>
      </c>
      <c r="D1057" s="9" t="s">
        <v>111</v>
      </c>
      <c r="E1057" t="s">
        <v>37</v>
      </c>
      <c r="F1057" t="s">
        <v>71</v>
      </c>
      <c r="G1057">
        <v>207.1</v>
      </c>
      <c r="H1057" s="9">
        <v>0.24</v>
      </c>
      <c r="I1057"/>
    </row>
    <row r="1058" spans="1:9" x14ac:dyDescent="0.3">
      <c r="A1058" t="s">
        <v>8</v>
      </c>
      <c r="B1058" t="s">
        <v>11</v>
      </c>
      <c r="C1058" t="s">
        <v>117</v>
      </c>
      <c r="D1058" s="9" t="s">
        <v>111</v>
      </c>
      <c r="E1058" t="s">
        <v>38</v>
      </c>
      <c r="F1058" t="s">
        <v>73</v>
      </c>
      <c r="G1058">
        <v>215</v>
      </c>
      <c r="H1058" s="9">
        <v>0.05</v>
      </c>
      <c r="I1058"/>
    </row>
    <row r="1059" spans="1:9" x14ac:dyDescent="0.3">
      <c r="A1059" t="s">
        <v>8</v>
      </c>
      <c r="B1059" t="s">
        <v>11</v>
      </c>
      <c r="C1059" t="s">
        <v>118</v>
      </c>
      <c r="D1059" s="9" t="s">
        <v>111</v>
      </c>
      <c r="E1059" t="s">
        <v>39</v>
      </c>
      <c r="F1059" t="s">
        <v>75</v>
      </c>
      <c r="G1059">
        <v>218.1</v>
      </c>
      <c r="H1059" s="9">
        <v>0.51</v>
      </c>
      <c r="I1059"/>
    </row>
    <row r="1060" spans="1:9" x14ac:dyDescent="0.3">
      <c r="A1060" t="s">
        <v>8</v>
      </c>
      <c r="B1060" t="s">
        <v>11</v>
      </c>
      <c r="C1060" t="s">
        <v>119</v>
      </c>
      <c r="D1060" s="9" t="s">
        <v>111</v>
      </c>
      <c r="E1060" t="s">
        <v>40</v>
      </c>
      <c r="F1060" t="s">
        <v>77</v>
      </c>
      <c r="G1060">
        <v>215.4</v>
      </c>
      <c r="H1060" s="9">
        <v>2.04</v>
      </c>
      <c r="I1060"/>
    </row>
    <row r="1061" spans="1:9" x14ac:dyDescent="0.3">
      <c r="A1061" t="s">
        <v>8</v>
      </c>
      <c r="B1061" t="s">
        <v>11</v>
      </c>
      <c r="C1061" t="s">
        <v>120</v>
      </c>
      <c r="D1061" s="9" t="s">
        <v>111</v>
      </c>
      <c r="E1061" t="s">
        <v>41</v>
      </c>
      <c r="F1061" t="s">
        <v>79</v>
      </c>
      <c r="G1061">
        <v>230</v>
      </c>
      <c r="H1061" s="9">
        <v>0.88</v>
      </c>
      <c r="I1061"/>
    </row>
    <row r="1062" spans="1:9" x14ac:dyDescent="0.3">
      <c r="A1062" t="s">
        <v>8</v>
      </c>
      <c r="B1062" t="s">
        <v>11</v>
      </c>
      <c r="C1062" t="s">
        <v>121</v>
      </c>
      <c r="D1062" s="9" t="s">
        <v>111</v>
      </c>
      <c r="E1062" t="s">
        <v>42</v>
      </c>
      <c r="F1062" t="s">
        <v>81</v>
      </c>
      <c r="G1062">
        <v>226.8</v>
      </c>
      <c r="H1062" s="9">
        <v>6.18</v>
      </c>
      <c r="I1062"/>
    </row>
    <row r="1063" spans="1:9" x14ac:dyDescent="0.3">
      <c r="A1063" t="s">
        <v>8</v>
      </c>
      <c r="B1063" t="s">
        <v>11</v>
      </c>
      <c r="C1063" t="s">
        <v>122</v>
      </c>
      <c r="D1063" s="9" t="s">
        <v>111</v>
      </c>
      <c r="E1063" t="s">
        <v>43</v>
      </c>
      <c r="F1063" t="s">
        <v>83</v>
      </c>
      <c r="G1063">
        <v>245.1</v>
      </c>
      <c r="H1063" s="9">
        <v>3.29</v>
      </c>
      <c r="I1063"/>
    </row>
    <row r="1064" spans="1:9" x14ac:dyDescent="0.3">
      <c r="A1064" t="s">
        <v>8</v>
      </c>
      <c r="B1064" t="s">
        <v>11</v>
      </c>
      <c r="C1064" t="s">
        <v>123</v>
      </c>
      <c r="D1064" s="9" t="s">
        <v>124</v>
      </c>
      <c r="E1064" t="s">
        <v>32</v>
      </c>
      <c r="F1064" t="s">
        <v>61</v>
      </c>
      <c r="G1064">
        <v>221.9</v>
      </c>
      <c r="H1064" s="9">
        <v>1.23</v>
      </c>
      <c r="I1064"/>
    </row>
    <row r="1065" spans="1:9" x14ac:dyDescent="0.3">
      <c r="A1065" t="s">
        <v>8</v>
      </c>
      <c r="B1065" t="s">
        <v>11</v>
      </c>
      <c r="C1065" t="s">
        <v>125</v>
      </c>
      <c r="D1065" s="9" t="s">
        <v>124</v>
      </c>
      <c r="E1065" t="s">
        <v>33</v>
      </c>
      <c r="F1065" t="s">
        <v>63</v>
      </c>
      <c r="G1065">
        <v>212.3</v>
      </c>
      <c r="H1065" s="9">
        <v>5.99</v>
      </c>
      <c r="I1065"/>
    </row>
    <row r="1066" spans="1:9" x14ac:dyDescent="0.3">
      <c r="A1066" t="s">
        <v>8</v>
      </c>
      <c r="B1066" t="s">
        <v>11</v>
      </c>
      <c r="C1066" t="s">
        <v>126</v>
      </c>
      <c r="D1066" s="9" t="s">
        <v>124</v>
      </c>
      <c r="E1066" t="s">
        <v>34</v>
      </c>
      <c r="F1066" t="s">
        <v>65</v>
      </c>
      <c r="G1066">
        <v>232.8</v>
      </c>
      <c r="H1066" s="9">
        <v>7.28</v>
      </c>
      <c r="I1066"/>
    </row>
    <row r="1067" spans="1:9" x14ac:dyDescent="0.3">
      <c r="A1067" t="s">
        <v>8</v>
      </c>
      <c r="B1067" t="s">
        <v>11</v>
      </c>
      <c r="C1067" t="s">
        <v>127</v>
      </c>
      <c r="D1067" s="9" t="s">
        <v>124</v>
      </c>
      <c r="E1067" t="s">
        <v>35</v>
      </c>
      <c r="F1067" t="s">
        <v>67</v>
      </c>
      <c r="G1067">
        <v>230.8</v>
      </c>
      <c r="H1067" s="9">
        <v>8.31</v>
      </c>
      <c r="I1067"/>
    </row>
    <row r="1068" spans="1:9" x14ac:dyDescent="0.3">
      <c r="A1068" t="s">
        <v>8</v>
      </c>
      <c r="B1068" t="s">
        <v>11</v>
      </c>
      <c r="C1068" t="s">
        <v>128</v>
      </c>
      <c r="D1068" s="9" t="s">
        <v>124</v>
      </c>
      <c r="E1068" t="s">
        <v>36</v>
      </c>
      <c r="F1068" t="s">
        <v>69</v>
      </c>
      <c r="G1068">
        <v>232.2</v>
      </c>
      <c r="H1068" s="9">
        <v>7</v>
      </c>
      <c r="I1068"/>
    </row>
    <row r="1069" spans="1:9" x14ac:dyDescent="0.3">
      <c r="A1069" t="s">
        <v>8</v>
      </c>
      <c r="B1069" t="s">
        <v>11</v>
      </c>
      <c r="C1069" t="s">
        <v>129</v>
      </c>
      <c r="D1069" s="9" t="s">
        <v>124</v>
      </c>
      <c r="E1069" t="s">
        <v>37</v>
      </c>
      <c r="F1069" t="s">
        <v>71</v>
      </c>
      <c r="G1069">
        <v>221.1</v>
      </c>
      <c r="H1069" s="9">
        <v>6.76</v>
      </c>
      <c r="I1069"/>
    </row>
    <row r="1070" spans="1:9" x14ac:dyDescent="0.3">
      <c r="A1070" t="s">
        <v>8</v>
      </c>
      <c r="B1070" t="s">
        <v>11</v>
      </c>
      <c r="C1070" t="s">
        <v>130</v>
      </c>
      <c r="D1070" s="9" t="s">
        <v>124</v>
      </c>
      <c r="E1070" t="s">
        <v>38</v>
      </c>
      <c r="F1070" t="s">
        <v>73</v>
      </c>
      <c r="G1070">
        <v>230.8</v>
      </c>
      <c r="H1070" s="9">
        <v>7.35</v>
      </c>
      <c r="I1070"/>
    </row>
    <row r="1071" spans="1:9" x14ac:dyDescent="0.3">
      <c r="A1071" t="s">
        <v>8</v>
      </c>
      <c r="B1071" t="s">
        <v>11</v>
      </c>
      <c r="C1071" t="s">
        <v>131</v>
      </c>
      <c r="D1071" s="9" t="s">
        <v>124</v>
      </c>
      <c r="E1071" t="s">
        <v>39</v>
      </c>
      <c r="F1071" t="s">
        <v>75</v>
      </c>
      <c r="G1071">
        <v>230.5</v>
      </c>
      <c r="H1071" s="9">
        <v>5.69</v>
      </c>
      <c r="I1071"/>
    </row>
    <row r="1072" spans="1:9" x14ac:dyDescent="0.3">
      <c r="A1072" t="s">
        <v>8</v>
      </c>
      <c r="B1072" t="s">
        <v>11</v>
      </c>
      <c r="C1072" t="s">
        <v>132</v>
      </c>
      <c r="D1072" s="9" t="s">
        <v>124</v>
      </c>
      <c r="E1072" t="s">
        <v>40</v>
      </c>
      <c r="F1072" t="s">
        <v>77</v>
      </c>
      <c r="G1072">
        <v>228.9</v>
      </c>
      <c r="H1072" s="9">
        <v>6.27</v>
      </c>
      <c r="I1072"/>
    </row>
    <row r="1073" spans="1:9" x14ac:dyDescent="0.3">
      <c r="A1073" t="s">
        <v>8</v>
      </c>
      <c r="B1073" t="s">
        <v>11</v>
      </c>
      <c r="C1073" t="s">
        <v>133</v>
      </c>
      <c r="D1073" s="9" t="s">
        <v>124</v>
      </c>
      <c r="E1073" t="s">
        <v>41</v>
      </c>
      <c r="F1073" t="s">
        <v>79</v>
      </c>
      <c r="G1073">
        <v>239</v>
      </c>
      <c r="H1073" s="9">
        <v>3.91</v>
      </c>
      <c r="I1073"/>
    </row>
    <row r="1074" spans="1:9" x14ac:dyDescent="0.3">
      <c r="A1074" t="s">
        <v>8</v>
      </c>
      <c r="B1074" t="s">
        <v>11</v>
      </c>
      <c r="C1074" t="s">
        <v>134</v>
      </c>
      <c r="D1074" s="9" t="s">
        <v>124</v>
      </c>
      <c r="E1074" t="s">
        <v>42</v>
      </c>
      <c r="F1074" t="s">
        <v>81</v>
      </c>
      <c r="G1074">
        <v>237.1</v>
      </c>
      <c r="H1074" s="9">
        <v>4.54</v>
      </c>
      <c r="I1074"/>
    </row>
    <row r="1075" spans="1:9" x14ac:dyDescent="0.3">
      <c r="A1075" t="s">
        <v>8</v>
      </c>
      <c r="B1075" t="s">
        <v>11</v>
      </c>
      <c r="C1075" t="s">
        <v>135</v>
      </c>
      <c r="D1075" s="9" t="s">
        <v>124</v>
      </c>
      <c r="E1075" t="s">
        <v>43</v>
      </c>
      <c r="F1075" t="s">
        <v>83</v>
      </c>
      <c r="G1075">
        <v>252.2</v>
      </c>
      <c r="H1075" s="9">
        <v>2.9</v>
      </c>
      <c r="I1075"/>
    </row>
    <row r="1076" spans="1:9" x14ac:dyDescent="0.3">
      <c r="A1076" t="s">
        <v>8</v>
      </c>
      <c r="B1076" t="s">
        <v>11</v>
      </c>
      <c r="C1076" t="s">
        <v>136</v>
      </c>
      <c r="D1076" s="9" t="s">
        <v>137</v>
      </c>
      <c r="E1076" t="s">
        <v>32</v>
      </c>
      <c r="F1076" t="s">
        <v>61</v>
      </c>
      <c r="G1076">
        <v>225.6</v>
      </c>
      <c r="H1076" s="9">
        <v>1.67</v>
      </c>
      <c r="I1076"/>
    </row>
    <row r="1077" spans="1:9" x14ac:dyDescent="0.3">
      <c r="A1077" t="s">
        <v>8</v>
      </c>
      <c r="B1077" t="s">
        <v>11</v>
      </c>
      <c r="C1077" t="s">
        <v>138</v>
      </c>
      <c r="D1077" s="9" t="s">
        <v>137</v>
      </c>
      <c r="E1077" t="s">
        <v>33</v>
      </c>
      <c r="F1077" t="s">
        <v>63</v>
      </c>
      <c r="G1077">
        <v>224</v>
      </c>
      <c r="H1077" s="9">
        <v>5.51</v>
      </c>
      <c r="I1077"/>
    </row>
    <row r="1078" spans="1:9" x14ac:dyDescent="0.3">
      <c r="A1078" t="s">
        <v>8</v>
      </c>
      <c r="B1078" t="s">
        <v>11</v>
      </c>
      <c r="C1078" t="s">
        <v>139</v>
      </c>
      <c r="D1078" s="9" t="s">
        <v>137</v>
      </c>
      <c r="E1078" t="s">
        <v>34</v>
      </c>
      <c r="F1078" t="s">
        <v>65</v>
      </c>
      <c r="G1078">
        <v>245.2</v>
      </c>
      <c r="H1078" s="9">
        <v>5.33</v>
      </c>
      <c r="I1078"/>
    </row>
    <row r="1079" spans="1:9" x14ac:dyDescent="0.3">
      <c r="A1079" t="s">
        <v>8</v>
      </c>
      <c r="B1079" t="s">
        <v>11</v>
      </c>
      <c r="C1079" t="s">
        <v>140</v>
      </c>
      <c r="D1079" s="9" t="s">
        <v>137</v>
      </c>
      <c r="E1079" t="s">
        <v>35</v>
      </c>
      <c r="F1079" t="s">
        <v>67</v>
      </c>
      <c r="G1079">
        <v>223.8</v>
      </c>
      <c r="H1079" s="9">
        <v>-3.03</v>
      </c>
      <c r="I1079"/>
    </row>
    <row r="1080" spans="1:9" x14ac:dyDescent="0.3">
      <c r="A1080" t="s">
        <v>8</v>
      </c>
      <c r="B1080" t="s">
        <v>11</v>
      </c>
      <c r="C1080" t="s">
        <v>141</v>
      </c>
      <c r="D1080" s="9" t="s">
        <v>137</v>
      </c>
      <c r="E1080" t="s">
        <v>36</v>
      </c>
      <c r="F1080" t="s">
        <v>69</v>
      </c>
      <c r="G1080">
        <v>236</v>
      </c>
      <c r="H1080" s="9">
        <v>1.64</v>
      </c>
      <c r="I1080"/>
    </row>
    <row r="1081" spans="1:9" x14ac:dyDescent="0.3">
      <c r="A1081" t="s">
        <v>8</v>
      </c>
      <c r="B1081" t="s">
        <v>11</v>
      </c>
      <c r="C1081" t="s">
        <v>142</v>
      </c>
      <c r="D1081" s="9" t="s">
        <v>137</v>
      </c>
      <c r="E1081" t="s">
        <v>37</v>
      </c>
      <c r="F1081" t="s">
        <v>71</v>
      </c>
      <c r="G1081">
        <v>227.6</v>
      </c>
      <c r="H1081" s="9">
        <v>2.94</v>
      </c>
      <c r="I1081"/>
    </row>
    <row r="1082" spans="1:9" x14ac:dyDescent="0.3">
      <c r="A1082" t="s">
        <v>8</v>
      </c>
      <c r="B1082" t="s">
        <v>11</v>
      </c>
      <c r="C1082" t="s">
        <v>143</v>
      </c>
      <c r="D1082" s="9" t="s">
        <v>137</v>
      </c>
      <c r="E1082" t="s">
        <v>38</v>
      </c>
      <c r="F1082" t="s">
        <v>73</v>
      </c>
      <c r="G1082">
        <v>228.4</v>
      </c>
      <c r="H1082" s="9">
        <v>-1.04</v>
      </c>
      <c r="I1082"/>
    </row>
    <row r="1083" spans="1:9" x14ac:dyDescent="0.3">
      <c r="A1083" t="s">
        <v>8</v>
      </c>
      <c r="B1083" t="s">
        <v>11</v>
      </c>
      <c r="C1083" t="s">
        <v>144</v>
      </c>
      <c r="D1083" s="9" t="s">
        <v>137</v>
      </c>
      <c r="E1083" t="s">
        <v>39</v>
      </c>
      <c r="F1083" t="s">
        <v>75</v>
      </c>
      <c r="G1083">
        <v>238.3</v>
      </c>
      <c r="H1083" s="9">
        <v>3.38</v>
      </c>
      <c r="I1083"/>
    </row>
    <row r="1084" spans="1:9" x14ac:dyDescent="0.3">
      <c r="A1084" t="s">
        <v>8</v>
      </c>
      <c r="B1084" t="s">
        <v>11</v>
      </c>
      <c r="C1084" t="s">
        <v>145</v>
      </c>
      <c r="D1084" s="9" t="s">
        <v>137</v>
      </c>
      <c r="E1084" t="s">
        <v>40</v>
      </c>
      <c r="F1084" t="s">
        <v>77</v>
      </c>
      <c r="G1084">
        <v>229.7</v>
      </c>
      <c r="H1084" s="9">
        <v>0.35</v>
      </c>
      <c r="I1084"/>
    </row>
    <row r="1085" spans="1:9" x14ac:dyDescent="0.3">
      <c r="A1085" t="s">
        <v>8</v>
      </c>
      <c r="B1085" t="s">
        <v>11</v>
      </c>
      <c r="C1085" t="s">
        <v>146</v>
      </c>
      <c r="D1085" s="9" t="s">
        <v>137</v>
      </c>
      <c r="E1085" t="s">
        <v>41</v>
      </c>
      <c r="F1085" t="s">
        <v>79</v>
      </c>
      <c r="G1085">
        <v>237.8</v>
      </c>
      <c r="H1085" s="9">
        <v>-0.5</v>
      </c>
      <c r="I1085"/>
    </row>
    <row r="1086" spans="1:9" x14ac:dyDescent="0.3">
      <c r="A1086" t="s">
        <v>8</v>
      </c>
      <c r="B1086" t="s">
        <v>11</v>
      </c>
      <c r="C1086" t="s">
        <v>147</v>
      </c>
      <c r="D1086" s="9" t="s">
        <v>137</v>
      </c>
      <c r="E1086" t="s">
        <v>42</v>
      </c>
      <c r="F1086" t="s">
        <v>81</v>
      </c>
      <c r="G1086">
        <v>240.3</v>
      </c>
      <c r="H1086" s="9">
        <v>1.35</v>
      </c>
      <c r="I1086"/>
    </row>
    <row r="1087" spans="1:9" x14ac:dyDescent="0.3">
      <c r="A1087" t="s">
        <v>8</v>
      </c>
      <c r="B1087" t="s">
        <v>11</v>
      </c>
      <c r="C1087" t="s">
        <v>148</v>
      </c>
      <c r="D1087" s="9" t="s">
        <v>137</v>
      </c>
      <c r="E1087" t="s">
        <v>43</v>
      </c>
      <c r="F1087" t="s">
        <v>83</v>
      </c>
      <c r="G1087">
        <v>251.9</v>
      </c>
      <c r="H1087" s="9">
        <v>-0.12</v>
      </c>
      <c r="I1087"/>
    </row>
    <row r="1088" spans="1:9" x14ac:dyDescent="0.3">
      <c r="A1088" t="s">
        <v>8</v>
      </c>
      <c r="B1088" t="s">
        <v>11</v>
      </c>
      <c r="C1088" t="s">
        <v>149</v>
      </c>
      <c r="D1088" s="9" t="s">
        <v>150</v>
      </c>
      <c r="E1088" t="s">
        <v>32</v>
      </c>
      <c r="F1088" t="s">
        <v>61</v>
      </c>
      <c r="G1088">
        <v>231.6</v>
      </c>
      <c r="H1088" s="9">
        <v>2.66</v>
      </c>
      <c r="I1088"/>
    </row>
    <row r="1089" spans="1:9" x14ac:dyDescent="0.3">
      <c r="A1089" t="s">
        <v>8</v>
      </c>
      <c r="B1089" t="s">
        <v>11</v>
      </c>
      <c r="C1089" t="s">
        <v>151</v>
      </c>
      <c r="D1089" s="9" t="s">
        <v>150</v>
      </c>
      <c r="E1089" t="s">
        <v>33</v>
      </c>
      <c r="F1089" t="s">
        <v>63</v>
      </c>
      <c r="G1089">
        <v>220.8</v>
      </c>
      <c r="H1089" s="9">
        <v>-1.43</v>
      </c>
      <c r="I1089"/>
    </row>
    <row r="1090" spans="1:9" x14ac:dyDescent="0.3">
      <c r="A1090" t="s">
        <v>8</v>
      </c>
      <c r="B1090" t="s">
        <v>11</v>
      </c>
      <c r="C1090" t="s">
        <v>152</v>
      </c>
      <c r="D1090" s="9" t="s">
        <v>150</v>
      </c>
      <c r="E1090" t="s">
        <v>34</v>
      </c>
      <c r="F1090" t="s">
        <v>65</v>
      </c>
      <c r="G1090">
        <v>246.6</v>
      </c>
      <c r="H1090" s="9">
        <v>0.56999999999999995</v>
      </c>
      <c r="I1090"/>
    </row>
    <row r="1091" spans="1:9" x14ac:dyDescent="0.3">
      <c r="A1091" t="s">
        <v>8</v>
      </c>
      <c r="B1091" t="s">
        <v>11</v>
      </c>
      <c r="C1091" t="s">
        <v>153</v>
      </c>
      <c r="D1091" s="9" t="s">
        <v>150</v>
      </c>
      <c r="E1091" t="s">
        <v>35</v>
      </c>
      <c r="F1091" t="s">
        <v>67</v>
      </c>
      <c r="G1091">
        <v>231.8</v>
      </c>
      <c r="H1091" s="9">
        <v>3.57</v>
      </c>
      <c r="I1091"/>
    </row>
    <row r="1092" spans="1:9" x14ac:dyDescent="0.3">
      <c r="A1092" t="s">
        <v>8</v>
      </c>
      <c r="B1092" t="s">
        <v>11</v>
      </c>
      <c r="C1092" t="s">
        <v>154</v>
      </c>
      <c r="D1092" s="9" t="s">
        <v>150</v>
      </c>
      <c r="E1092" t="s">
        <v>36</v>
      </c>
      <c r="F1092" t="s">
        <v>69</v>
      </c>
      <c r="G1092">
        <v>241.2</v>
      </c>
      <c r="H1092" s="9">
        <v>2.2000000000000002</v>
      </c>
      <c r="I1092"/>
    </row>
    <row r="1093" spans="1:9" x14ac:dyDescent="0.3">
      <c r="A1093" t="s">
        <v>8</v>
      </c>
      <c r="B1093" t="s">
        <v>11</v>
      </c>
      <c r="C1093" t="s">
        <v>155</v>
      </c>
      <c r="D1093" s="9" t="s">
        <v>150</v>
      </c>
      <c r="E1093" t="s">
        <v>37</v>
      </c>
      <c r="F1093" t="s">
        <v>71</v>
      </c>
      <c r="G1093">
        <v>229.1</v>
      </c>
      <c r="H1093" s="9">
        <v>0.66</v>
      </c>
      <c r="I1093"/>
    </row>
    <row r="1094" spans="1:9" x14ac:dyDescent="0.3">
      <c r="A1094" t="s">
        <v>8</v>
      </c>
      <c r="B1094" t="s">
        <v>18</v>
      </c>
      <c r="C1094" t="s">
        <v>59</v>
      </c>
      <c r="D1094" s="9" t="s">
        <v>60</v>
      </c>
      <c r="E1094" t="s">
        <v>32</v>
      </c>
      <c r="F1094" t="s">
        <v>61</v>
      </c>
      <c r="G1094">
        <v>25.3</v>
      </c>
      <c r="I1094"/>
    </row>
    <row r="1095" spans="1:9" x14ac:dyDescent="0.3">
      <c r="A1095" t="s">
        <v>8</v>
      </c>
      <c r="B1095" t="s">
        <v>18</v>
      </c>
      <c r="C1095" t="s">
        <v>62</v>
      </c>
      <c r="D1095" s="9" t="s">
        <v>60</v>
      </c>
      <c r="E1095" t="s">
        <v>33</v>
      </c>
      <c r="F1095" t="s">
        <v>63</v>
      </c>
      <c r="G1095">
        <v>24.7</v>
      </c>
      <c r="I1095"/>
    </row>
    <row r="1096" spans="1:9" x14ac:dyDescent="0.3">
      <c r="A1096" t="s">
        <v>8</v>
      </c>
      <c r="B1096" t="s">
        <v>18</v>
      </c>
      <c r="C1096" t="s">
        <v>64</v>
      </c>
      <c r="D1096" s="9" t="s">
        <v>60</v>
      </c>
      <c r="E1096" t="s">
        <v>34</v>
      </c>
      <c r="F1096" t="s">
        <v>65</v>
      </c>
      <c r="G1096">
        <v>29</v>
      </c>
      <c r="I1096"/>
    </row>
    <row r="1097" spans="1:9" x14ac:dyDescent="0.3">
      <c r="A1097" t="s">
        <v>8</v>
      </c>
      <c r="B1097" t="s">
        <v>18</v>
      </c>
      <c r="C1097" t="s">
        <v>66</v>
      </c>
      <c r="D1097" s="9" t="s">
        <v>60</v>
      </c>
      <c r="E1097" t="s">
        <v>35</v>
      </c>
      <c r="F1097" t="s">
        <v>67</v>
      </c>
      <c r="G1097">
        <v>28.3</v>
      </c>
      <c r="I1097"/>
    </row>
    <row r="1098" spans="1:9" x14ac:dyDescent="0.3">
      <c r="A1098" t="s">
        <v>8</v>
      </c>
      <c r="B1098" t="s">
        <v>18</v>
      </c>
      <c r="C1098" t="s">
        <v>68</v>
      </c>
      <c r="D1098" s="9" t="s">
        <v>60</v>
      </c>
      <c r="E1098" t="s">
        <v>36</v>
      </c>
      <c r="F1098" t="s">
        <v>69</v>
      </c>
      <c r="G1098">
        <v>29.4</v>
      </c>
      <c r="I1098"/>
    </row>
    <row r="1099" spans="1:9" x14ac:dyDescent="0.3">
      <c r="A1099" t="s">
        <v>8</v>
      </c>
      <c r="B1099" t="s">
        <v>18</v>
      </c>
      <c r="C1099" t="s">
        <v>70</v>
      </c>
      <c r="D1099" s="9" t="s">
        <v>60</v>
      </c>
      <c r="E1099" t="s">
        <v>37</v>
      </c>
      <c r="F1099" t="s">
        <v>71</v>
      </c>
      <c r="G1099">
        <v>31.3</v>
      </c>
      <c r="I1099"/>
    </row>
    <row r="1100" spans="1:9" x14ac:dyDescent="0.3">
      <c r="A1100" t="s">
        <v>8</v>
      </c>
      <c r="B1100" t="s">
        <v>18</v>
      </c>
      <c r="C1100" t="s">
        <v>72</v>
      </c>
      <c r="D1100" s="9" t="s">
        <v>60</v>
      </c>
      <c r="E1100" t="s">
        <v>38</v>
      </c>
      <c r="F1100" t="s">
        <v>73</v>
      </c>
      <c r="G1100">
        <v>31.1</v>
      </c>
      <c r="I1100"/>
    </row>
    <row r="1101" spans="1:9" x14ac:dyDescent="0.3">
      <c r="A1101" t="s">
        <v>8</v>
      </c>
      <c r="B1101" t="s">
        <v>18</v>
      </c>
      <c r="C1101" t="s">
        <v>74</v>
      </c>
      <c r="D1101" s="9" t="s">
        <v>60</v>
      </c>
      <c r="E1101" t="s">
        <v>39</v>
      </c>
      <c r="F1101" t="s">
        <v>75</v>
      </c>
      <c r="G1101">
        <v>32.799999999999997</v>
      </c>
      <c r="I1101"/>
    </row>
    <row r="1102" spans="1:9" x14ac:dyDescent="0.3">
      <c r="A1102" t="s">
        <v>8</v>
      </c>
      <c r="B1102" t="s">
        <v>18</v>
      </c>
      <c r="C1102" t="s">
        <v>76</v>
      </c>
      <c r="D1102" s="9" t="s">
        <v>60</v>
      </c>
      <c r="E1102" t="s">
        <v>40</v>
      </c>
      <c r="F1102" t="s">
        <v>77</v>
      </c>
      <c r="G1102">
        <v>31.5</v>
      </c>
      <c r="I1102"/>
    </row>
    <row r="1103" spans="1:9" x14ac:dyDescent="0.3">
      <c r="A1103" t="s">
        <v>8</v>
      </c>
      <c r="B1103" t="s">
        <v>18</v>
      </c>
      <c r="C1103" t="s">
        <v>78</v>
      </c>
      <c r="D1103" s="9" t="s">
        <v>60</v>
      </c>
      <c r="E1103" t="s">
        <v>41</v>
      </c>
      <c r="F1103" t="s">
        <v>79</v>
      </c>
      <c r="G1103">
        <v>30.4</v>
      </c>
      <c r="I1103"/>
    </row>
    <row r="1104" spans="1:9" x14ac:dyDescent="0.3">
      <c r="A1104" t="s">
        <v>8</v>
      </c>
      <c r="B1104" t="s">
        <v>18</v>
      </c>
      <c r="C1104" t="s">
        <v>80</v>
      </c>
      <c r="D1104" s="9" t="s">
        <v>60</v>
      </c>
      <c r="E1104" t="s">
        <v>42</v>
      </c>
      <c r="F1104" t="s">
        <v>81</v>
      </c>
      <c r="G1104">
        <v>31</v>
      </c>
      <c r="I1104"/>
    </row>
    <row r="1105" spans="1:9" x14ac:dyDescent="0.3">
      <c r="A1105" t="s">
        <v>8</v>
      </c>
      <c r="B1105" t="s">
        <v>18</v>
      </c>
      <c r="C1105" t="s">
        <v>82</v>
      </c>
      <c r="D1105" s="9" t="s">
        <v>60</v>
      </c>
      <c r="E1105" t="s">
        <v>43</v>
      </c>
      <c r="F1105" t="s">
        <v>83</v>
      </c>
      <c r="G1105">
        <v>31.8</v>
      </c>
      <c r="I1105"/>
    </row>
    <row r="1106" spans="1:9" x14ac:dyDescent="0.3">
      <c r="A1106" t="s">
        <v>8</v>
      </c>
      <c r="B1106" t="s">
        <v>18</v>
      </c>
      <c r="C1106" t="s">
        <v>84</v>
      </c>
      <c r="D1106" s="9" t="s">
        <v>85</v>
      </c>
      <c r="E1106" t="s">
        <v>32</v>
      </c>
      <c r="F1106" t="s">
        <v>61</v>
      </c>
      <c r="G1106">
        <v>28.8</v>
      </c>
      <c r="H1106" s="9">
        <v>13.83</v>
      </c>
      <c r="I1106"/>
    </row>
    <row r="1107" spans="1:9" x14ac:dyDescent="0.3">
      <c r="A1107" t="s">
        <v>8</v>
      </c>
      <c r="B1107" t="s">
        <v>18</v>
      </c>
      <c r="C1107" t="s">
        <v>86</v>
      </c>
      <c r="D1107" s="9" t="s">
        <v>85</v>
      </c>
      <c r="E1107" t="s">
        <v>33</v>
      </c>
      <c r="F1107" t="s">
        <v>63</v>
      </c>
      <c r="G1107">
        <v>28.2</v>
      </c>
      <c r="H1107" s="9">
        <v>14.17</v>
      </c>
      <c r="I1107"/>
    </row>
    <row r="1108" spans="1:9" x14ac:dyDescent="0.3">
      <c r="A1108" t="s">
        <v>8</v>
      </c>
      <c r="B1108" t="s">
        <v>18</v>
      </c>
      <c r="C1108" t="s">
        <v>87</v>
      </c>
      <c r="D1108" s="9" t="s">
        <v>85</v>
      </c>
      <c r="E1108" t="s">
        <v>34</v>
      </c>
      <c r="F1108" t="s">
        <v>65</v>
      </c>
      <c r="G1108">
        <v>25.8</v>
      </c>
      <c r="H1108" s="9">
        <v>-11.03</v>
      </c>
      <c r="I1108"/>
    </row>
    <row r="1109" spans="1:9" x14ac:dyDescent="0.3">
      <c r="A1109" t="s">
        <v>8</v>
      </c>
      <c r="B1109" t="s">
        <v>18</v>
      </c>
      <c r="C1109" t="s">
        <v>88</v>
      </c>
      <c r="D1109" s="9" t="s">
        <v>85</v>
      </c>
      <c r="E1109" t="s">
        <v>35</v>
      </c>
      <c r="F1109" t="s">
        <v>67</v>
      </c>
      <c r="G1109">
        <v>25.7</v>
      </c>
      <c r="H1109" s="9">
        <v>-9.19</v>
      </c>
      <c r="I1109"/>
    </row>
    <row r="1110" spans="1:9" x14ac:dyDescent="0.3">
      <c r="A1110" t="s">
        <v>8</v>
      </c>
      <c r="B1110" t="s">
        <v>18</v>
      </c>
      <c r="C1110" t="s">
        <v>89</v>
      </c>
      <c r="D1110" s="9" t="s">
        <v>85</v>
      </c>
      <c r="E1110" t="s">
        <v>36</v>
      </c>
      <c r="F1110" t="s">
        <v>69</v>
      </c>
      <c r="G1110">
        <v>32.299999999999997</v>
      </c>
      <c r="H1110" s="9">
        <v>9.86</v>
      </c>
      <c r="I1110"/>
    </row>
    <row r="1111" spans="1:9" x14ac:dyDescent="0.3">
      <c r="A1111" t="s">
        <v>8</v>
      </c>
      <c r="B1111" t="s">
        <v>18</v>
      </c>
      <c r="C1111" t="s">
        <v>90</v>
      </c>
      <c r="D1111" s="9" t="s">
        <v>85</v>
      </c>
      <c r="E1111" t="s">
        <v>37</v>
      </c>
      <c r="F1111" t="s">
        <v>71</v>
      </c>
      <c r="G1111">
        <v>33.1</v>
      </c>
      <c r="H1111" s="9">
        <v>5.75</v>
      </c>
      <c r="I1111"/>
    </row>
    <row r="1112" spans="1:9" x14ac:dyDescent="0.3">
      <c r="A1112" t="s">
        <v>8</v>
      </c>
      <c r="B1112" t="s">
        <v>18</v>
      </c>
      <c r="C1112" t="s">
        <v>91</v>
      </c>
      <c r="D1112" s="9" t="s">
        <v>85</v>
      </c>
      <c r="E1112" t="s">
        <v>38</v>
      </c>
      <c r="F1112" t="s">
        <v>73</v>
      </c>
      <c r="G1112">
        <v>34.9</v>
      </c>
      <c r="H1112" s="9">
        <v>12.22</v>
      </c>
      <c r="I1112"/>
    </row>
    <row r="1113" spans="1:9" x14ac:dyDescent="0.3">
      <c r="A1113" t="s">
        <v>8</v>
      </c>
      <c r="B1113" t="s">
        <v>18</v>
      </c>
      <c r="C1113" t="s">
        <v>92</v>
      </c>
      <c r="D1113" s="9" t="s">
        <v>85</v>
      </c>
      <c r="E1113" t="s">
        <v>39</v>
      </c>
      <c r="F1113" t="s">
        <v>75</v>
      </c>
      <c r="G1113">
        <v>36.799999999999997</v>
      </c>
      <c r="H1113" s="9">
        <v>12.2</v>
      </c>
      <c r="I1113"/>
    </row>
    <row r="1114" spans="1:9" x14ac:dyDescent="0.3">
      <c r="A1114" t="s">
        <v>8</v>
      </c>
      <c r="B1114" t="s">
        <v>18</v>
      </c>
      <c r="C1114" t="s">
        <v>93</v>
      </c>
      <c r="D1114" s="9" t="s">
        <v>85</v>
      </c>
      <c r="E1114" t="s">
        <v>40</v>
      </c>
      <c r="F1114" t="s">
        <v>77</v>
      </c>
      <c r="G1114">
        <v>34.799999999999997</v>
      </c>
      <c r="H1114" s="9">
        <v>10.48</v>
      </c>
      <c r="I1114"/>
    </row>
    <row r="1115" spans="1:9" x14ac:dyDescent="0.3">
      <c r="A1115" t="s">
        <v>8</v>
      </c>
      <c r="B1115" t="s">
        <v>18</v>
      </c>
      <c r="C1115" t="s">
        <v>94</v>
      </c>
      <c r="D1115" s="9" t="s">
        <v>85</v>
      </c>
      <c r="E1115" t="s">
        <v>41</v>
      </c>
      <c r="F1115" t="s">
        <v>79</v>
      </c>
      <c r="G1115">
        <v>36.299999999999997</v>
      </c>
      <c r="H1115" s="9">
        <v>19.41</v>
      </c>
      <c r="I1115"/>
    </row>
    <row r="1116" spans="1:9" x14ac:dyDescent="0.3">
      <c r="A1116" t="s">
        <v>8</v>
      </c>
      <c r="B1116" t="s">
        <v>18</v>
      </c>
      <c r="C1116" t="s">
        <v>95</v>
      </c>
      <c r="D1116" s="9" t="s">
        <v>85</v>
      </c>
      <c r="E1116" t="s">
        <v>42</v>
      </c>
      <c r="F1116" t="s">
        <v>81</v>
      </c>
      <c r="G1116">
        <v>35.9</v>
      </c>
      <c r="H1116" s="9">
        <v>15.81</v>
      </c>
      <c r="I1116"/>
    </row>
    <row r="1117" spans="1:9" x14ac:dyDescent="0.3">
      <c r="A1117" t="s">
        <v>8</v>
      </c>
      <c r="B1117" t="s">
        <v>18</v>
      </c>
      <c r="C1117" t="s">
        <v>96</v>
      </c>
      <c r="D1117" s="9" t="s">
        <v>85</v>
      </c>
      <c r="E1117" t="s">
        <v>43</v>
      </c>
      <c r="F1117" t="s">
        <v>83</v>
      </c>
      <c r="G1117">
        <v>37.5</v>
      </c>
      <c r="H1117" s="9">
        <v>17.920000000000002</v>
      </c>
      <c r="I1117"/>
    </row>
    <row r="1118" spans="1:9" x14ac:dyDescent="0.3">
      <c r="A1118" t="s">
        <v>8</v>
      </c>
      <c r="B1118" t="s">
        <v>18</v>
      </c>
      <c r="C1118" t="s">
        <v>97</v>
      </c>
      <c r="D1118" s="9" t="s">
        <v>98</v>
      </c>
      <c r="E1118" t="s">
        <v>32</v>
      </c>
      <c r="F1118" t="s">
        <v>61</v>
      </c>
      <c r="G1118">
        <v>34.4</v>
      </c>
      <c r="H1118" s="9">
        <v>19.440000000000001</v>
      </c>
      <c r="I1118"/>
    </row>
    <row r="1119" spans="1:9" x14ac:dyDescent="0.3">
      <c r="A1119" t="s">
        <v>8</v>
      </c>
      <c r="B1119" t="s">
        <v>18</v>
      </c>
      <c r="C1119" t="s">
        <v>99</v>
      </c>
      <c r="D1119" s="9" t="s">
        <v>98</v>
      </c>
      <c r="E1119" t="s">
        <v>33</v>
      </c>
      <c r="F1119" t="s">
        <v>63</v>
      </c>
      <c r="G1119">
        <v>32.700000000000003</v>
      </c>
      <c r="H1119" s="9">
        <v>15.96</v>
      </c>
      <c r="I1119"/>
    </row>
    <row r="1120" spans="1:9" x14ac:dyDescent="0.3">
      <c r="A1120" t="s">
        <v>8</v>
      </c>
      <c r="B1120" t="s">
        <v>18</v>
      </c>
      <c r="C1120" t="s">
        <v>100</v>
      </c>
      <c r="D1120" s="9" t="s">
        <v>98</v>
      </c>
      <c r="E1120" t="s">
        <v>34</v>
      </c>
      <c r="F1120" t="s">
        <v>65</v>
      </c>
      <c r="G1120">
        <v>34.9</v>
      </c>
      <c r="H1120" s="9">
        <v>35.270000000000003</v>
      </c>
      <c r="I1120"/>
    </row>
    <row r="1121" spans="1:9" x14ac:dyDescent="0.3">
      <c r="A1121" t="s">
        <v>8</v>
      </c>
      <c r="B1121" t="s">
        <v>18</v>
      </c>
      <c r="C1121" t="s">
        <v>101</v>
      </c>
      <c r="D1121" s="9" t="s">
        <v>98</v>
      </c>
      <c r="E1121" t="s">
        <v>35</v>
      </c>
      <c r="F1121" t="s">
        <v>67</v>
      </c>
      <c r="G1121">
        <v>34.299999999999997</v>
      </c>
      <c r="H1121" s="9">
        <v>33.46</v>
      </c>
      <c r="I1121"/>
    </row>
    <row r="1122" spans="1:9" x14ac:dyDescent="0.3">
      <c r="A1122" t="s">
        <v>8</v>
      </c>
      <c r="B1122" t="s">
        <v>18</v>
      </c>
      <c r="C1122" t="s">
        <v>102</v>
      </c>
      <c r="D1122" s="9" t="s">
        <v>98</v>
      </c>
      <c r="E1122" t="s">
        <v>36</v>
      </c>
      <c r="F1122" t="s">
        <v>69</v>
      </c>
      <c r="G1122">
        <v>36</v>
      </c>
      <c r="H1122" s="9">
        <v>11.46</v>
      </c>
      <c r="I1122"/>
    </row>
    <row r="1123" spans="1:9" x14ac:dyDescent="0.3">
      <c r="A1123" t="s">
        <v>8</v>
      </c>
      <c r="B1123" t="s">
        <v>18</v>
      </c>
      <c r="C1123" t="s">
        <v>103</v>
      </c>
      <c r="D1123" s="9" t="s">
        <v>98</v>
      </c>
      <c r="E1123" t="s">
        <v>37</v>
      </c>
      <c r="F1123" t="s">
        <v>71</v>
      </c>
      <c r="G1123">
        <v>35.4</v>
      </c>
      <c r="H1123" s="9">
        <v>6.95</v>
      </c>
      <c r="I1123"/>
    </row>
    <row r="1124" spans="1:9" x14ac:dyDescent="0.3">
      <c r="A1124" t="s">
        <v>8</v>
      </c>
      <c r="B1124" t="s">
        <v>18</v>
      </c>
      <c r="C1124" t="s">
        <v>104</v>
      </c>
      <c r="D1124" s="9" t="s">
        <v>98</v>
      </c>
      <c r="E1124" t="s">
        <v>38</v>
      </c>
      <c r="F1124" t="s">
        <v>73</v>
      </c>
      <c r="G1124">
        <v>35.6</v>
      </c>
      <c r="H1124" s="9">
        <v>2.0099999999999998</v>
      </c>
      <c r="I1124"/>
    </row>
    <row r="1125" spans="1:9" x14ac:dyDescent="0.3">
      <c r="A1125" t="s">
        <v>8</v>
      </c>
      <c r="B1125" t="s">
        <v>18</v>
      </c>
      <c r="C1125" t="s">
        <v>105</v>
      </c>
      <c r="D1125" s="9" t="s">
        <v>98</v>
      </c>
      <c r="E1125" t="s">
        <v>39</v>
      </c>
      <c r="F1125" t="s">
        <v>75</v>
      </c>
      <c r="G1125">
        <v>25.2</v>
      </c>
      <c r="H1125" s="9">
        <v>-31.52</v>
      </c>
      <c r="I1125"/>
    </row>
    <row r="1126" spans="1:9" x14ac:dyDescent="0.3">
      <c r="A1126" t="s">
        <v>8</v>
      </c>
      <c r="B1126" t="s">
        <v>18</v>
      </c>
      <c r="C1126" t="s">
        <v>106</v>
      </c>
      <c r="D1126" s="9" t="s">
        <v>98</v>
      </c>
      <c r="E1126" t="s">
        <v>40</v>
      </c>
      <c r="F1126" t="s">
        <v>77</v>
      </c>
      <c r="G1126">
        <v>23.8</v>
      </c>
      <c r="H1126" s="9">
        <v>-31.61</v>
      </c>
      <c r="I1126"/>
    </row>
    <row r="1127" spans="1:9" x14ac:dyDescent="0.3">
      <c r="A1127" t="s">
        <v>8</v>
      </c>
      <c r="B1127" t="s">
        <v>18</v>
      </c>
      <c r="C1127" t="s">
        <v>107</v>
      </c>
      <c r="D1127" s="9" t="s">
        <v>98</v>
      </c>
      <c r="E1127" t="s">
        <v>41</v>
      </c>
      <c r="F1127" t="s">
        <v>79</v>
      </c>
      <c r="G1127">
        <v>30.5</v>
      </c>
      <c r="H1127" s="9">
        <v>-15.98</v>
      </c>
      <c r="I1127"/>
    </row>
    <row r="1128" spans="1:9" x14ac:dyDescent="0.3">
      <c r="A1128" t="s">
        <v>8</v>
      </c>
      <c r="B1128" t="s">
        <v>18</v>
      </c>
      <c r="C1128" t="s">
        <v>108</v>
      </c>
      <c r="D1128" s="9" t="s">
        <v>98</v>
      </c>
      <c r="E1128" t="s">
        <v>42</v>
      </c>
      <c r="F1128" t="s">
        <v>81</v>
      </c>
      <c r="G1128">
        <v>34.1</v>
      </c>
      <c r="H1128" s="9">
        <v>-5.01</v>
      </c>
      <c r="I1128"/>
    </row>
    <row r="1129" spans="1:9" x14ac:dyDescent="0.3">
      <c r="A1129" t="s">
        <v>8</v>
      </c>
      <c r="B1129" t="s">
        <v>18</v>
      </c>
      <c r="C1129" t="s">
        <v>109</v>
      </c>
      <c r="D1129" s="9" t="s">
        <v>98</v>
      </c>
      <c r="E1129" t="s">
        <v>43</v>
      </c>
      <c r="F1129" t="s">
        <v>83</v>
      </c>
      <c r="G1129">
        <v>37.799999999999997</v>
      </c>
      <c r="H1129" s="9">
        <v>0.8</v>
      </c>
      <c r="I1129"/>
    </row>
    <row r="1130" spans="1:9" x14ac:dyDescent="0.3">
      <c r="A1130" t="s">
        <v>8</v>
      </c>
      <c r="B1130" t="s">
        <v>18</v>
      </c>
      <c r="C1130" t="s">
        <v>110</v>
      </c>
      <c r="D1130" s="9" t="s">
        <v>111</v>
      </c>
      <c r="E1130" t="s">
        <v>32</v>
      </c>
      <c r="F1130" t="s">
        <v>61</v>
      </c>
      <c r="G1130">
        <v>34.4</v>
      </c>
      <c r="H1130" s="9">
        <v>0</v>
      </c>
      <c r="I1130"/>
    </row>
    <row r="1131" spans="1:9" x14ac:dyDescent="0.3">
      <c r="A1131" t="s">
        <v>8</v>
      </c>
      <c r="B1131" t="s">
        <v>18</v>
      </c>
      <c r="C1131" t="s">
        <v>112</v>
      </c>
      <c r="D1131" s="9" t="s">
        <v>111</v>
      </c>
      <c r="E1131" t="s">
        <v>33</v>
      </c>
      <c r="F1131" t="s">
        <v>63</v>
      </c>
      <c r="G1131">
        <v>33.9</v>
      </c>
      <c r="H1131" s="9">
        <v>3.67</v>
      </c>
      <c r="I1131"/>
    </row>
    <row r="1132" spans="1:9" x14ac:dyDescent="0.3">
      <c r="A1132" t="s">
        <v>8</v>
      </c>
      <c r="B1132" t="s">
        <v>18</v>
      </c>
      <c r="C1132" t="s">
        <v>113</v>
      </c>
      <c r="D1132" s="9" t="s">
        <v>111</v>
      </c>
      <c r="E1132" t="s">
        <v>34</v>
      </c>
      <c r="F1132" t="s">
        <v>65</v>
      </c>
      <c r="G1132">
        <v>39</v>
      </c>
      <c r="H1132" s="9">
        <v>11.75</v>
      </c>
      <c r="I1132"/>
    </row>
    <row r="1133" spans="1:9" x14ac:dyDescent="0.3">
      <c r="A1133" t="s">
        <v>8</v>
      </c>
      <c r="B1133" t="s">
        <v>18</v>
      </c>
      <c r="C1133" t="s">
        <v>114</v>
      </c>
      <c r="D1133" s="9" t="s">
        <v>111</v>
      </c>
      <c r="E1133" t="s">
        <v>35</v>
      </c>
      <c r="F1133" t="s">
        <v>67</v>
      </c>
      <c r="G1133">
        <v>39.799999999999997</v>
      </c>
      <c r="H1133" s="9">
        <v>16.03</v>
      </c>
      <c r="I1133"/>
    </row>
    <row r="1134" spans="1:9" x14ac:dyDescent="0.3">
      <c r="A1134" t="s">
        <v>8</v>
      </c>
      <c r="B1134" t="s">
        <v>18</v>
      </c>
      <c r="C1134" t="s">
        <v>115</v>
      </c>
      <c r="D1134" s="9" t="s">
        <v>111</v>
      </c>
      <c r="E1134" t="s">
        <v>36</v>
      </c>
      <c r="F1134" t="s">
        <v>69</v>
      </c>
      <c r="G1134">
        <v>38.799999999999997</v>
      </c>
      <c r="H1134" s="9">
        <v>7.78</v>
      </c>
      <c r="I1134"/>
    </row>
    <row r="1135" spans="1:9" x14ac:dyDescent="0.3">
      <c r="A1135" t="s">
        <v>8</v>
      </c>
      <c r="B1135" t="s">
        <v>18</v>
      </c>
      <c r="C1135" t="s">
        <v>116</v>
      </c>
      <c r="D1135" s="9" t="s">
        <v>111</v>
      </c>
      <c r="E1135" t="s">
        <v>37</v>
      </c>
      <c r="F1135" t="s">
        <v>71</v>
      </c>
      <c r="G1135">
        <v>38.9</v>
      </c>
      <c r="H1135" s="9">
        <v>9.89</v>
      </c>
      <c r="I1135"/>
    </row>
    <row r="1136" spans="1:9" x14ac:dyDescent="0.3">
      <c r="A1136" t="s">
        <v>8</v>
      </c>
      <c r="B1136" t="s">
        <v>18</v>
      </c>
      <c r="C1136" t="s">
        <v>117</v>
      </c>
      <c r="D1136" s="9" t="s">
        <v>111</v>
      </c>
      <c r="E1136" t="s">
        <v>38</v>
      </c>
      <c r="F1136" t="s">
        <v>73</v>
      </c>
      <c r="G1136">
        <v>39.799999999999997</v>
      </c>
      <c r="H1136" s="9">
        <v>11.8</v>
      </c>
      <c r="I1136"/>
    </row>
    <row r="1137" spans="1:9" x14ac:dyDescent="0.3">
      <c r="A1137" t="s">
        <v>8</v>
      </c>
      <c r="B1137" t="s">
        <v>18</v>
      </c>
      <c r="C1137" t="s">
        <v>118</v>
      </c>
      <c r="D1137" s="9" t="s">
        <v>111</v>
      </c>
      <c r="E1137" t="s">
        <v>39</v>
      </c>
      <c r="F1137" t="s">
        <v>75</v>
      </c>
      <c r="G1137">
        <v>38.799999999999997</v>
      </c>
      <c r="H1137" s="9">
        <v>53.97</v>
      </c>
      <c r="I1137"/>
    </row>
    <row r="1138" spans="1:9" x14ac:dyDescent="0.3">
      <c r="A1138" t="s">
        <v>8</v>
      </c>
      <c r="B1138" t="s">
        <v>18</v>
      </c>
      <c r="C1138" t="s">
        <v>119</v>
      </c>
      <c r="D1138" s="9" t="s">
        <v>111</v>
      </c>
      <c r="E1138" t="s">
        <v>40</v>
      </c>
      <c r="F1138" t="s">
        <v>77</v>
      </c>
      <c r="G1138">
        <v>40.799999999999997</v>
      </c>
      <c r="H1138" s="9">
        <v>71.430000000000007</v>
      </c>
      <c r="I1138"/>
    </row>
    <row r="1139" spans="1:9" x14ac:dyDescent="0.3">
      <c r="A1139" t="s">
        <v>8</v>
      </c>
      <c r="B1139" t="s">
        <v>18</v>
      </c>
      <c r="C1139" t="s">
        <v>120</v>
      </c>
      <c r="D1139" s="9" t="s">
        <v>111</v>
      </c>
      <c r="E1139" t="s">
        <v>41</v>
      </c>
      <c r="F1139" t="s">
        <v>79</v>
      </c>
      <c r="G1139">
        <v>41.1</v>
      </c>
      <c r="H1139" s="9">
        <v>34.75</v>
      </c>
      <c r="I1139"/>
    </row>
    <row r="1140" spans="1:9" x14ac:dyDescent="0.3">
      <c r="A1140" t="s">
        <v>8</v>
      </c>
      <c r="B1140" t="s">
        <v>18</v>
      </c>
      <c r="C1140" t="s">
        <v>121</v>
      </c>
      <c r="D1140" s="9" t="s">
        <v>111</v>
      </c>
      <c r="E1140" t="s">
        <v>42</v>
      </c>
      <c r="F1140" t="s">
        <v>81</v>
      </c>
      <c r="G1140">
        <v>40.1</v>
      </c>
      <c r="H1140" s="9">
        <v>17.600000000000001</v>
      </c>
      <c r="I1140"/>
    </row>
    <row r="1141" spans="1:9" x14ac:dyDescent="0.3">
      <c r="A1141" t="s">
        <v>8</v>
      </c>
      <c r="B1141" t="s">
        <v>18</v>
      </c>
      <c r="C1141" t="s">
        <v>122</v>
      </c>
      <c r="D1141" s="9" t="s">
        <v>111</v>
      </c>
      <c r="E1141" t="s">
        <v>43</v>
      </c>
      <c r="F1141" t="s">
        <v>83</v>
      </c>
      <c r="G1141">
        <v>40.6</v>
      </c>
      <c r="H1141" s="9">
        <v>7.41</v>
      </c>
      <c r="I1141"/>
    </row>
    <row r="1142" spans="1:9" x14ac:dyDescent="0.3">
      <c r="A1142" t="s">
        <v>8</v>
      </c>
      <c r="B1142" t="s">
        <v>18</v>
      </c>
      <c r="C1142" t="s">
        <v>123</v>
      </c>
      <c r="D1142" s="9" t="s">
        <v>124</v>
      </c>
      <c r="E1142" t="s">
        <v>32</v>
      </c>
      <c r="F1142" t="s">
        <v>61</v>
      </c>
      <c r="G1142">
        <v>39.1</v>
      </c>
      <c r="H1142" s="9">
        <v>13.66</v>
      </c>
      <c r="I1142"/>
    </row>
    <row r="1143" spans="1:9" x14ac:dyDescent="0.3">
      <c r="A1143" t="s">
        <v>8</v>
      </c>
      <c r="B1143" t="s">
        <v>18</v>
      </c>
      <c r="C1143" t="s">
        <v>125</v>
      </c>
      <c r="D1143" s="9" t="s">
        <v>124</v>
      </c>
      <c r="E1143" t="s">
        <v>33</v>
      </c>
      <c r="F1143" t="s">
        <v>63</v>
      </c>
      <c r="G1143">
        <v>39</v>
      </c>
      <c r="H1143" s="9">
        <v>15.04</v>
      </c>
      <c r="I1143"/>
    </row>
    <row r="1144" spans="1:9" x14ac:dyDescent="0.3">
      <c r="A1144" t="s">
        <v>8</v>
      </c>
      <c r="B1144" t="s">
        <v>18</v>
      </c>
      <c r="C1144" t="s">
        <v>126</v>
      </c>
      <c r="D1144" s="9" t="s">
        <v>124</v>
      </c>
      <c r="E1144" t="s">
        <v>34</v>
      </c>
      <c r="F1144" t="s">
        <v>65</v>
      </c>
      <c r="G1144">
        <v>42.2</v>
      </c>
      <c r="H1144" s="9">
        <v>8.2100000000000009</v>
      </c>
      <c r="I1144"/>
    </row>
    <row r="1145" spans="1:9" x14ac:dyDescent="0.3">
      <c r="A1145" t="s">
        <v>8</v>
      </c>
      <c r="B1145" t="s">
        <v>18</v>
      </c>
      <c r="C1145" t="s">
        <v>127</v>
      </c>
      <c r="D1145" s="9" t="s">
        <v>124</v>
      </c>
      <c r="E1145" t="s">
        <v>35</v>
      </c>
      <c r="F1145" t="s">
        <v>67</v>
      </c>
      <c r="G1145">
        <v>39.4</v>
      </c>
      <c r="H1145" s="9">
        <v>-1.01</v>
      </c>
      <c r="I1145"/>
    </row>
    <row r="1146" spans="1:9" x14ac:dyDescent="0.3">
      <c r="A1146" t="s">
        <v>8</v>
      </c>
      <c r="B1146" t="s">
        <v>18</v>
      </c>
      <c r="C1146" t="s">
        <v>128</v>
      </c>
      <c r="D1146" s="9" t="s">
        <v>124</v>
      </c>
      <c r="E1146" t="s">
        <v>36</v>
      </c>
      <c r="F1146" t="s">
        <v>69</v>
      </c>
      <c r="G1146">
        <v>42.2</v>
      </c>
      <c r="H1146" s="9">
        <v>8.76</v>
      </c>
      <c r="I1146"/>
    </row>
    <row r="1147" spans="1:9" x14ac:dyDescent="0.3">
      <c r="A1147" t="s">
        <v>8</v>
      </c>
      <c r="B1147" t="s">
        <v>18</v>
      </c>
      <c r="C1147" t="s">
        <v>129</v>
      </c>
      <c r="D1147" s="9" t="s">
        <v>124</v>
      </c>
      <c r="E1147" t="s">
        <v>37</v>
      </c>
      <c r="F1147" t="s">
        <v>71</v>
      </c>
      <c r="G1147">
        <v>41.6</v>
      </c>
      <c r="H1147" s="9">
        <v>6.94</v>
      </c>
      <c r="I1147"/>
    </row>
    <row r="1148" spans="1:9" x14ac:dyDescent="0.3">
      <c r="A1148" t="s">
        <v>8</v>
      </c>
      <c r="B1148" t="s">
        <v>18</v>
      </c>
      <c r="C1148" t="s">
        <v>130</v>
      </c>
      <c r="D1148" s="9" t="s">
        <v>124</v>
      </c>
      <c r="E1148" t="s">
        <v>38</v>
      </c>
      <c r="F1148" t="s">
        <v>73</v>
      </c>
      <c r="G1148">
        <v>45.1</v>
      </c>
      <c r="H1148" s="9">
        <v>13.32</v>
      </c>
      <c r="I1148"/>
    </row>
    <row r="1149" spans="1:9" x14ac:dyDescent="0.3">
      <c r="A1149" t="s">
        <v>8</v>
      </c>
      <c r="B1149" t="s">
        <v>18</v>
      </c>
      <c r="C1149" t="s">
        <v>131</v>
      </c>
      <c r="D1149" s="9" t="s">
        <v>124</v>
      </c>
      <c r="E1149" t="s">
        <v>39</v>
      </c>
      <c r="F1149" t="s">
        <v>75</v>
      </c>
      <c r="G1149">
        <v>47.5</v>
      </c>
      <c r="H1149" s="9">
        <v>22.42</v>
      </c>
      <c r="I1149"/>
    </row>
    <row r="1150" spans="1:9" x14ac:dyDescent="0.3">
      <c r="A1150" t="s">
        <v>8</v>
      </c>
      <c r="B1150" t="s">
        <v>18</v>
      </c>
      <c r="C1150" t="s">
        <v>132</v>
      </c>
      <c r="D1150" s="9" t="s">
        <v>124</v>
      </c>
      <c r="E1150" t="s">
        <v>40</v>
      </c>
      <c r="F1150" t="s">
        <v>77</v>
      </c>
      <c r="G1150">
        <v>45.8</v>
      </c>
      <c r="H1150" s="9">
        <v>12.25</v>
      </c>
      <c r="I1150"/>
    </row>
    <row r="1151" spans="1:9" x14ac:dyDescent="0.3">
      <c r="A1151" t="s">
        <v>8</v>
      </c>
      <c r="B1151" t="s">
        <v>18</v>
      </c>
      <c r="C1151" t="s">
        <v>133</v>
      </c>
      <c r="D1151" s="9" t="s">
        <v>124</v>
      </c>
      <c r="E1151" t="s">
        <v>41</v>
      </c>
      <c r="F1151" t="s">
        <v>79</v>
      </c>
      <c r="G1151">
        <v>45.5</v>
      </c>
      <c r="H1151" s="9">
        <v>10.71</v>
      </c>
      <c r="I1151"/>
    </row>
    <row r="1152" spans="1:9" x14ac:dyDescent="0.3">
      <c r="A1152" t="s">
        <v>8</v>
      </c>
      <c r="B1152" t="s">
        <v>18</v>
      </c>
      <c r="C1152" t="s">
        <v>134</v>
      </c>
      <c r="D1152" s="9" t="s">
        <v>124</v>
      </c>
      <c r="E1152" t="s">
        <v>42</v>
      </c>
      <c r="F1152" t="s">
        <v>81</v>
      </c>
      <c r="G1152">
        <v>45.1</v>
      </c>
      <c r="H1152" s="9">
        <v>12.47</v>
      </c>
      <c r="I1152"/>
    </row>
    <row r="1153" spans="1:9" x14ac:dyDescent="0.3">
      <c r="A1153" t="s">
        <v>8</v>
      </c>
      <c r="B1153" t="s">
        <v>18</v>
      </c>
      <c r="C1153" t="s">
        <v>135</v>
      </c>
      <c r="D1153" s="9" t="s">
        <v>124</v>
      </c>
      <c r="E1153" t="s">
        <v>43</v>
      </c>
      <c r="F1153" t="s">
        <v>83</v>
      </c>
      <c r="G1153">
        <v>45.6</v>
      </c>
      <c r="H1153" s="9">
        <v>12.32</v>
      </c>
      <c r="I1153"/>
    </row>
    <row r="1154" spans="1:9" x14ac:dyDescent="0.3">
      <c r="A1154" t="s">
        <v>8</v>
      </c>
      <c r="B1154" t="s">
        <v>18</v>
      </c>
      <c r="C1154" t="s">
        <v>136</v>
      </c>
      <c r="D1154" s="9" t="s">
        <v>137</v>
      </c>
      <c r="E1154" t="s">
        <v>32</v>
      </c>
      <c r="F1154" t="s">
        <v>61</v>
      </c>
      <c r="G1154">
        <v>39.700000000000003</v>
      </c>
      <c r="H1154" s="9">
        <v>1.53</v>
      </c>
      <c r="I1154"/>
    </row>
    <row r="1155" spans="1:9" x14ac:dyDescent="0.3">
      <c r="A1155" t="s">
        <v>8</v>
      </c>
      <c r="B1155" t="s">
        <v>18</v>
      </c>
      <c r="C1155" t="s">
        <v>138</v>
      </c>
      <c r="D1155" s="9" t="s">
        <v>137</v>
      </c>
      <c r="E1155" t="s">
        <v>33</v>
      </c>
      <c r="F1155" t="s">
        <v>63</v>
      </c>
      <c r="G1155">
        <v>39.6</v>
      </c>
      <c r="H1155" s="9">
        <v>1.54</v>
      </c>
      <c r="I1155"/>
    </row>
    <row r="1156" spans="1:9" x14ac:dyDescent="0.3">
      <c r="A1156" t="s">
        <v>8</v>
      </c>
      <c r="B1156" t="s">
        <v>18</v>
      </c>
      <c r="C1156" t="s">
        <v>139</v>
      </c>
      <c r="D1156" s="9" t="s">
        <v>137</v>
      </c>
      <c r="E1156" t="s">
        <v>34</v>
      </c>
      <c r="F1156" t="s">
        <v>65</v>
      </c>
      <c r="G1156">
        <v>42.1</v>
      </c>
      <c r="H1156" s="9">
        <v>-0.24</v>
      </c>
      <c r="I1156"/>
    </row>
    <row r="1157" spans="1:9" x14ac:dyDescent="0.3">
      <c r="A1157" t="s">
        <v>8</v>
      </c>
      <c r="B1157" t="s">
        <v>18</v>
      </c>
      <c r="C1157" t="s">
        <v>140</v>
      </c>
      <c r="D1157" s="9" t="s">
        <v>137</v>
      </c>
      <c r="E1157" t="s">
        <v>35</v>
      </c>
      <c r="F1157" t="s">
        <v>67</v>
      </c>
      <c r="G1157">
        <v>41.6</v>
      </c>
      <c r="H1157" s="9">
        <v>5.58</v>
      </c>
      <c r="I1157"/>
    </row>
    <row r="1158" spans="1:9" x14ac:dyDescent="0.3">
      <c r="A1158" t="s">
        <v>8</v>
      </c>
      <c r="B1158" t="s">
        <v>18</v>
      </c>
      <c r="C1158" t="s">
        <v>141</v>
      </c>
      <c r="D1158" s="9" t="s">
        <v>137</v>
      </c>
      <c r="E1158" t="s">
        <v>36</v>
      </c>
      <c r="F1158" t="s">
        <v>69</v>
      </c>
      <c r="G1158">
        <v>43</v>
      </c>
      <c r="H1158" s="9">
        <v>1.9</v>
      </c>
      <c r="I1158"/>
    </row>
    <row r="1159" spans="1:9" x14ac:dyDescent="0.3">
      <c r="A1159" t="s">
        <v>8</v>
      </c>
      <c r="B1159" t="s">
        <v>18</v>
      </c>
      <c r="C1159" t="s">
        <v>142</v>
      </c>
      <c r="D1159" s="9" t="s">
        <v>137</v>
      </c>
      <c r="E1159" t="s">
        <v>37</v>
      </c>
      <c r="F1159" t="s">
        <v>71</v>
      </c>
      <c r="G1159">
        <v>41.3</v>
      </c>
      <c r="H1159" s="9">
        <v>-0.72</v>
      </c>
      <c r="I1159"/>
    </row>
    <row r="1160" spans="1:9" x14ac:dyDescent="0.3">
      <c r="A1160" t="s">
        <v>8</v>
      </c>
      <c r="B1160" t="s">
        <v>18</v>
      </c>
      <c r="C1160" t="s">
        <v>143</v>
      </c>
      <c r="D1160" s="9" t="s">
        <v>137</v>
      </c>
      <c r="E1160" t="s">
        <v>38</v>
      </c>
      <c r="F1160" t="s">
        <v>73</v>
      </c>
      <c r="G1160">
        <v>41.8</v>
      </c>
      <c r="H1160" s="9">
        <v>-7.32</v>
      </c>
      <c r="I1160"/>
    </row>
    <row r="1161" spans="1:9" x14ac:dyDescent="0.3">
      <c r="A1161" t="s">
        <v>8</v>
      </c>
      <c r="B1161" t="s">
        <v>18</v>
      </c>
      <c r="C1161" t="s">
        <v>144</v>
      </c>
      <c r="D1161" s="9" t="s">
        <v>137</v>
      </c>
      <c r="E1161" t="s">
        <v>39</v>
      </c>
      <c r="F1161" t="s">
        <v>75</v>
      </c>
      <c r="G1161">
        <v>42.7</v>
      </c>
      <c r="H1161" s="9">
        <v>-10.11</v>
      </c>
      <c r="I1161"/>
    </row>
    <row r="1162" spans="1:9" x14ac:dyDescent="0.3">
      <c r="A1162" t="s">
        <v>8</v>
      </c>
      <c r="B1162" t="s">
        <v>18</v>
      </c>
      <c r="C1162" t="s">
        <v>145</v>
      </c>
      <c r="D1162" s="9" t="s">
        <v>137</v>
      </c>
      <c r="E1162" t="s">
        <v>40</v>
      </c>
      <c r="F1162" t="s">
        <v>77</v>
      </c>
      <c r="G1162">
        <v>41.7</v>
      </c>
      <c r="H1162" s="9">
        <v>-8.9499999999999993</v>
      </c>
      <c r="I1162"/>
    </row>
    <row r="1163" spans="1:9" x14ac:dyDescent="0.3">
      <c r="A1163" t="s">
        <v>8</v>
      </c>
      <c r="B1163" t="s">
        <v>18</v>
      </c>
      <c r="C1163" t="s">
        <v>146</v>
      </c>
      <c r="D1163" s="9" t="s">
        <v>137</v>
      </c>
      <c r="E1163" t="s">
        <v>41</v>
      </c>
      <c r="F1163" t="s">
        <v>79</v>
      </c>
      <c r="G1163">
        <v>40.700000000000003</v>
      </c>
      <c r="H1163" s="9">
        <v>-10.55</v>
      </c>
      <c r="I1163"/>
    </row>
    <row r="1164" spans="1:9" x14ac:dyDescent="0.3">
      <c r="A1164" t="s">
        <v>8</v>
      </c>
      <c r="B1164" t="s">
        <v>18</v>
      </c>
      <c r="C1164" t="s">
        <v>147</v>
      </c>
      <c r="D1164" s="9" t="s">
        <v>137</v>
      </c>
      <c r="E1164" t="s">
        <v>42</v>
      </c>
      <c r="F1164" t="s">
        <v>81</v>
      </c>
      <c r="G1164">
        <v>41.1</v>
      </c>
      <c r="H1164" s="9">
        <v>-8.8699999999999992</v>
      </c>
      <c r="I1164"/>
    </row>
    <row r="1165" spans="1:9" x14ac:dyDescent="0.3">
      <c r="A1165" t="s">
        <v>8</v>
      </c>
      <c r="B1165" t="s">
        <v>18</v>
      </c>
      <c r="C1165" t="s">
        <v>148</v>
      </c>
      <c r="D1165" s="9" t="s">
        <v>137</v>
      </c>
      <c r="E1165" t="s">
        <v>43</v>
      </c>
      <c r="F1165" t="s">
        <v>83</v>
      </c>
      <c r="G1165">
        <v>40.799999999999997</v>
      </c>
      <c r="H1165" s="9">
        <v>-10.53</v>
      </c>
      <c r="I1165"/>
    </row>
    <row r="1166" spans="1:9" x14ac:dyDescent="0.3">
      <c r="A1166" t="s">
        <v>8</v>
      </c>
      <c r="B1166" t="s">
        <v>18</v>
      </c>
      <c r="C1166" t="s">
        <v>149</v>
      </c>
      <c r="D1166" s="9" t="s">
        <v>150</v>
      </c>
      <c r="E1166" t="s">
        <v>32</v>
      </c>
      <c r="F1166" t="s">
        <v>61</v>
      </c>
      <c r="G1166">
        <v>34.700000000000003</v>
      </c>
      <c r="H1166" s="9">
        <v>-12.59</v>
      </c>
      <c r="I1166"/>
    </row>
    <row r="1167" spans="1:9" x14ac:dyDescent="0.3">
      <c r="A1167" t="s">
        <v>8</v>
      </c>
      <c r="B1167" t="s">
        <v>18</v>
      </c>
      <c r="C1167" t="s">
        <v>151</v>
      </c>
      <c r="D1167" s="9" t="s">
        <v>150</v>
      </c>
      <c r="E1167" t="s">
        <v>33</v>
      </c>
      <c r="F1167" t="s">
        <v>63</v>
      </c>
      <c r="G1167">
        <v>35.299999999999997</v>
      </c>
      <c r="H1167" s="9">
        <v>-10.86</v>
      </c>
      <c r="I1167"/>
    </row>
    <row r="1168" spans="1:9" x14ac:dyDescent="0.3">
      <c r="A1168" t="s">
        <v>8</v>
      </c>
      <c r="B1168" t="s">
        <v>18</v>
      </c>
      <c r="C1168" t="s">
        <v>152</v>
      </c>
      <c r="D1168" s="9" t="s">
        <v>150</v>
      </c>
      <c r="E1168" t="s">
        <v>34</v>
      </c>
      <c r="F1168" t="s">
        <v>65</v>
      </c>
      <c r="G1168">
        <v>39.200000000000003</v>
      </c>
      <c r="H1168" s="9">
        <v>-6.89</v>
      </c>
      <c r="I1168"/>
    </row>
    <row r="1169" spans="1:9" x14ac:dyDescent="0.3">
      <c r="A1169" t="s">
        <v>8</v>
      </c>
      <c r="B1169" t="s">
        <v>18</v>
      </c>
      <c r="C1169" t="s">
        <v>153</v>
      </c>
      <c r="D1169" s="9" t="s">
        <v>150</v>
      </c>
      <c r="E1169" t="s">
        <v>35</v>
      </c>
      <c r="F1169" t="s">
        <v>67</v>
      </c>
      <c r="G1169">
        <v>40</v>
      </c>
      <c r="H1169" s="9">
        <v>-3.85</v>
      </c>
      <c r="I1169"/>
    </row>
    <row r="1170" spans="1:9" x14ac:dyDescent="0.3">
      <c r="A1170" t="s">
        <v>8</v>
      </c>
      <c r="B1170" t="s">
        <v>18</v>
      </c>
      <c r="C1170" t="s">
        <v>154</v>
      </c>
      <c r="D1170" s="9" t="s">
        <v>150</v>
      </c>
      <c r="E1170" t="s">
        <v>36</v>
      </c>
      <c r="F1170" t="s">
        <v>69</v>
      </c>
      <c r="G1170">
        <v>43.6</v>
      </c>
      <c r="H1170" s="9">
        <v>1.4</v>
      </c>
      <c r="I1170"/>
    </row>
    <row r="1171" spans="1:9" x14ac:dyDescent="0.3">
      <c r="A1171" t="s">
        <v>8</v>
      </c>
      <c r="B1171" t="s">
        <v>18</v>
      </c>
      <c r="C1171" t="s">
        <v>155</v>
      </c>
      <c r="D1171" s="9" t="s">
        <v>150</v>
      </c>
      <c r="E1171" t="s">
        <v>37</v>
      </c>
      <c r="F1171" t="s">
        <v>71</v>
      </c>
      <c r="G1171">
        <v>41.4</v>
      </c>
      <c r="H1171" s="9">
        <v>0.24</v>
      </c>
      <c r="I1171"/>
    </row>
    <row r="1172" spans="1:9" x14ac:dyDescent="0.3">
      <c r="A1172" t="s">
        <v>2</v>
      </c>
      <c r="B1172" t="s">
        <v>12</v>
      </c>
      <c r="C1172" t="s">
        <v>59</v>
      </c>
      <c r="D1172" s="9" t="s">
        <v>60</v>
      </c>
      <c r="E1172" t="s">
        <v>32</v>
      </c>
      <c r="F1172" t="s">
        <v>61</v>
      </c>
      <c r="G1172">
        <v>793</v>
      </c>
      <c r="I1172"/>
    </row>
    <row r="1173" spans="1:9" x14ac:dyDescent="0.3">
      <c r="A1173" t="s">
        <v>2</v>
      </c>
      <c r="B1173" t="s">
        <v>12</v>
      </c>
      <c r="C1173" t="s">
        <v>62</v>
      </c>
      <c r="D1173" s="9" t="s">
        <v>60</v>
      </c>
      <c r="E1173" t="s">
        <v>33</v>
      </c>
      <c r="F1173" t="s">
        <v>63</v>
      </c>
      <c r="G1173">
        <v>717</v>
      </c>
      <c r="I1173"/>
    </row>
    <row r="1174" spans="1:9" x14ac:dyDescent="0.3">
      <c r="A1174" t="s">
        <v>2</v>
      </c>
      <c r="B1174" t="s">
        <v>12</v>
      </c>
      <c r="C1174" t="s">
        <v>64</v>
      </c>
      <c r="D1174" s="9" t="s">
        <v>60</v>
      </c>
      <c r="E1174" t="s">
        <v>34</v>
      </c>
      <c r="F1174" t="s">
        <v>65</v>
      </c>
      <c r="G1174">
        <v>770.9</v>
      </c>
      <c r="I1174"/>
    </row>
    <row r="1175" spans="1:9" x14ac:dyDescent="0.3">
      <c r="A1175" t="s">
        <v>2</v>
      </c>
      <c r="B1175" t="s">
        <v>12</v>
      </c>
      <c r="C1175" t="s">
        <v>66</v>
      </c>
      <c r="D1175" s="9" t="s">
        <v>60</v>
      </c>
      <c r="E1175" t="s">
        <v>35</v>
      </c>
      <c r="F1175" t="s">
        <v>67</v>
      </c>
      <c r="G1175">
        <v>754.2</v>
      </c>
      <c r="I1175"/>
    </row>
    <row r="1176" spans="1:9" x14ac:dyDescent="0.3">
      <c r="A1176" t="s">
        <v>2</v>
      </c>
      <c r="B1176" t="s">
        <v>12</v>
      </c>
      <c r="C1176" t="s">
        <v>68</v>
      </c>
      <c r="D1176" s="9" t="s">
        <v>60</v>
      </c>
      <c r="E1176" t="s">
        <v>36</v>
      </c>
      <c r="F1176" t="s">
        <v>69</v>
      </c>
      <c r="G1176">
        <v>765.5</v>
      </c>
      <c r="I1176"/>
    </row>
    <row r="1177" spans="1:9" x14ac:dyDescent="0.3">
      <c r="A1177" t="s">
        <v>2</v>
      </c>
      <c r="B1177" t="s">
        <v>12</v>
      </c>
      <c r="C1177" t="s">
        <v>70</v>
      </c>
      <c r="D1177" s="9" t="s">
        <v>60</v>
      </c>
      <c r="E1177" t="s">
        <v>37</v>
      </c>
      <c r="F1177" t="s">
        <v>71</v>
      </c>
      <c r="G1177">
        <v>706.6</v>
      </c>
      <c r="I1177"/>
    </row>
    <row r="1178" spans="1:9" x14ac:dyDescent="0.3">
      <c r="A1178" t="s">
        <v>2</v>
      </c>
      <c r="B1178" t="s">
        <v>12</v>
      </c>
      <c r="C1178" t="s">
        <v>72</v>
      </c>
      <c r="D1178" s="9" t="s">
        <v>60</v>
      </c>
      <c r="E1178" t="s">
        <v>38</v>
      </c>
      <c r="F1178" t="s">
        <v>73</v>
      </c>
      <c r="G1178">
        <v>758.3</v>
      </c>
      <c r="I1178"/>
    </row>
    <row r="1179" spans="1:9" x14ac:dyDescent="0.3">
      <c r="A1179" t="s">
        <v>2</v>
      </c>
      <c r="B1179" t="s">
        <v>12</v>
      </c>
      <c r="C1179" t="s">
        <v>74</v>
      </c>
      <c r="D1179" s="9" t="s">
        <v>60</v>
      </c>
      <c r="E1179" t="s">
        <v>39</v>
      </c>
      <c r="F1179" t="s">
        <v>75</v>
      </c>
      <c r="G1179">
        <v>772.8</v>
      </c>
      <c r="I1179"/>
    </row>
    <row r="1180" spans="1:9" x14ac:dyDescent="0.3">
      <c r="A1180" t="s">
        <v>2</v>
      </c>
      <c r="B1180" t="s">
        <v>12</v>
      </c>
      <c r="C1180" t="s">
        <v>76</v>
      </c>
      <c r="D1180" s="9" t="s">
        <v>60</v>
      </c>
      <c r="E1180" t="s">
        <v>40</v>
      </c>
      <c r="F1180" t="s">
        <v>77</v>
      </c>
      <c r="G1180">
        <v>800.6</v>
      </c>
      <c r="I1180"/>
    </row>
    <row r="1181" spans="1:9" x14ac:dyDescent="0.3">
      <c r="A1181" t="s">
        <v>2</v>
      </c>
      <c r="B1181" t="s">
        <v>12</v>
      </c>
      <c r="C1181" t="s">
        <v>78</v>
      </c>
      <c r="D1181" s="9" t="s">
        <v>60</v>
      </c>
      <c r="E1181" t="s">
        <v>41</v>
      </c>
      <c r="F1181" t="s">
        <v>79</v>
      </c>
      <c r="G1181">
        <v>829.2</v>
      </c>
      <c r="I1181"/>
    </row>
    <row r="1182" spans="1:9" x14ac:dyDescent="0.3">
      <c r="A1182" t="s">
        <v>2</v>
      </c>
      <c r="B1182" t="s">
        <v>12</v>
      </c>
      <c r="C1182" t="s">
        <v>80</v>
      </c>
      <c r="D1182" s="9" t="s">
        <v>60</v>
      </c>
      <c r="E1182" t="s">
        <v>42</v>
      </c>
      <c r="F1182" t="s">
        <v>81</v>
      </c>
      <c r="G1182">
        <v>818.5</v>
      </c>
      <c r="I1182"/>
    </row>
    <row r="1183" spans="1:9" x14ac:dyDescent="0.3">
      <c r="A1183" t="s">
        <v>2</v>
      </c>
      <c r="B1183" t="s">
        <v>12</v>
      </c>
      <c r="C1183" t="s">
        <v>82</v>
      </c>
      <c r="D1183" s="9" t="s">
        <v>60</v>
      </c>
      <c r="E1183" t="s">
        <v>43</v>
      </c>
      <c r="F1183" t="s">
        <v>83</v>
      </c>
      <c r="G1183">
        <v>870.5</v>
      </c>
      <c r="I1183"/>
    </row>
    <row r="1184" spans="1:9" x14ac:dyDescent="0.3">
      <c r="A1184" t="s">
        <v>2</v>
      </c>
      <c r="B1184" t="s">
        <v>12</v>
      </c>
      <c r="C1184" t="s">
        <v>84</v>
      </c>
      <c r="D1184" s="9" t="s">
        <v>85</v>
      </c>
      <c r="E1184" t="s">
        <v>32</v>
      </c>
      <c r="F1184" t="s">
        <v>61</v>
      </c>
      <c r="G1184">
        <v>748.6</v>
      </c>
      <c r="H1184" s="9">
        <v>-5.6</v>
      </c>
      <c r="I1184"/>
    </row>
    <row r="1185" spans="1:9" x14ac:dyDescent="0.3">
      <c r="A1185" t="s">
        <v>2</v>
      </c>
      <c r="B1185" t="s">
        <v>12</v>
      </c>
      <c r="C1185" t="s">
        <v>86</v>
      </c>
      <c r="D1185" s="9" t="s">
        <v>85</v>
      </c>
      <c r="E1185" t="s">
        <v>33</v>
      </c>
      <c r="F1185" t="s">
        <v>63</v>
      </c>
      <c r="G1185">
        <v>697.3</v>
      </c>
      <c r="H1185" s="9">
        <v>-2.75</v>
      </c>
      <c r="I1185"/>
    </row>
    <row r="1186" spans="1:9" x14ac:dyDescent="0.3">
      <c r="A1186" t="s">
        <v>2</v>
      </c>
      <c r="B1186" t="s">
        <v>12</v>
      </c>
      <c r="C1186" t="s">
        <v>87</v>
      </c>
      <c r="D1186" s="9" t="s">
        <v>85</v>
      </c>
      <c r="E1186" t="s">
        <v>34</v>
      </c>
      <c r="F1186" t="s">
        <v>65</v>
      </c>
      <c r="G1186">
        <v>559.5</v>
      </c>
      <c r="H1186" s="9">
        <v>-27.42</v>
      </c>
      <c r="I1186"/>
    </row>
    <row r="1187" spans="1:9" x14ac:dyDescent="0.3">
      <c r="A1187" t="s">
        <v>2</v>
      </c>
      <c r="B1187" t="s">
        <v>12</v>
      </c>
      <c r="C1187" t="s">
        <v>88</v>
      </c>
      <c r="D1187" s="9" t="s">
        <v>85</v>
      </c>
      <c r="E1187" t="s">
        <v>35</v>
      </c>
      <c r="F1187" t="s">
        <v>67</v>
      </c>
      <c r="G1187">
        <v>243.3</v>
      </c>
      <c r="H1187" s="9">
        <v>-67.739999999999995</v>
      </c>
      <c r="I1187"/>
    </row>
    <row r="1188" spans="1:9" x14ac:dyDescent="0.3">
      <c r="A1188" t="s">
        <v>2</v>
      </c>
      <c r="B1188" t="s">
        <v>12</v>
      </c>
      <c r="C1188" t="s">
        <v>89</v>
      </c>
      <c r="D1188" s="9" t="s">
        <v>85</v>
      </c>
      <c r="E1188" t="s">
        <v>36</v>
      </c>
      <c r="F1188" t="s">
        <v>69</v>
      </c>
      <c r="G1188">
        <v>346.7</v>
      </c>
      <c r="H1188" s="9">
        <v>-54.71</v>
      </c>
      <c r="I1188"/>
    </row>
    <row r="1189" spans="1:9" x14ac:dyDescent="0.3">
      <c r="A1189" t="s">
        <v>2</v>
      </c>
      <c r="B1189" t="s">
        <v>12</v>
      </c>
      <c r="C1189" t="s">
        <v>90</v>
      </c>
      <c r="D1189" s="9" t="s">
        <v>85</v>
      </c>
      <c r="E1189" t="s">
        <v>37</v>
      </c>
      <c r="F1189" t="s">
        <v>71</v>
      </c>
      <c r="G1189">
        <v>544.9</v>
      </c>
      <c r="H1189" s="9">
        <v>-22.88</v>
      </c>
      <c r="I1189"/>
    </row>
    <row r="1190" spans="1:9" x14ac:dyDescent="0.3">
      <c r="A1190" t="s">
        <v>2</v>
      </c>
      <c r="B1190" t="s">
        <v>12</v>
      </c>
      <c r="C1190" t="s">
        <v>91</v>
      </c>
      <c r="D1190" s="9" t="s">
        <v>85</v>
      </c>
      <c r="E1190" t="s">
        <v>38</v>
      </c>
      <c r="F1190" t="s">
        <v>73</v>
      </c>
      <c r="G1190">
        <v>656.2</v>
      </c>
      <c r="H1190" s="9">
        <v>-13.46</v>
      </c>
      <c r="I1190"/>
    </row>
    <row r="1191" spans="1:9" x14ac:dyDescent="0.3">
      <c r="A1191" t="s">
        <v>2</v>
      </c>
      <c r="B1191" t="s">
        <v>12</v>
      </c>
      <c r="C1191" t="s">
        <v>92</v>
      </c>
      <c r="D1191" s="9" t="s">
        <v>85</v>
      </c>
      <c r="E1191" t="s">
        <v>39</v>
      </c>
      <c r="F1191" t="s">
        <v>75</v>
      </c>
      <c r="G1191">
        <v>592.1</v>
      </c>
      <c r="H1191" s="9">
        <v>-23.38</v>
      </c>
      <c r="I1191"/>
    </row>
    <row r="1192" spans="1:9" x14ac:dyDescent="0.3">
      <c r="A1192" t="s">
        <v>2</v>
      </c>
      <c r="B1192" t="s">
        <v>12</v>
      </c>
      <c r="C1192" t="s">
        <v>93</v>
      </c>
      <c r="D1192" s="9" t="s">
        <v>85</v>
      </c>
      <c r="E1192" t="s">
        <v>40</v>
      </c>
      <c r="F1192" t="s">
        <v>77</v>
      </c>
      <c r="G1192">
        <v>642.79999999999995</v>
      </c>
      <c r="H1192" s="9">
        <v>-19.71</v>
      </c>
      <c r="I1192"/>
    </row>
    <row r="1193" spans="1:9" x14ac:dyDescent="0.3">
      <c r="A1193" t="s">
        <v>2</v>
      </c>
      <c r="B1193" t="s">
        <v>12</v>
      </c>
      <c r="C1193" t="s">
        <v>94</v>
      </c>
      <c r="D1193" s="9" t="s">
        <v>85</v>
      </c>
      <c r="E1193" t="s">
        <v>41</v>
      </c>
      <c r="F1193" t="s">
        <v>79</v>
      </c>
      <c r="G1193">
        <v>698.4</v>
      </c>
      <c r="H1193" s="9">
        <v>-15.77</v>
      </c>
      <c r="I1193"/>
    </row>
    <row r="1194" spans="1:9" x14ac:dyDescent="0.3">
      <c r="A1194" t="s">
        <v>2</v>
      </c>
      <c r="B1194" t="s">
        <v>12</v>
      </c>
      <c r="C1194" t="s">
        <v>95</v>
      </c>
      <c r="D1194" s="9" t="s">
        <v>85</v>
      </c>
      <c r="E1194" t="s">
        <v>42</v>
      </c>
      <c r="F1194" t="s">
        <v>81</v>
      </c>
      <c r="G1194">
        <v>704.5</v>
      </c>
      <c r="H1194" s="9">
        <v>-13.93</v>
      </c>
      <c r="I1194"/>
    </row>
    <row r="1195" spans="1:9" x14ac:dyDescent="0.3">
      <c r="A1195" t="s">
        <v>2</v>
      </c>
      <c r="B1195" t="s">
        <v>12</v>
      </c>
      <c r="C1195" t="s">
        <v>96</v>
      </c>
      <c r="D1195" s="9" t="s">
        <v>85</v>
      </c>
      <c r="E1195" t="s">
        <v>43</v>
      </c>
      <c r="F1195" t="s">
        <v>83</v>
      </c>
      <c r="G1195">
        <v>736.8</v>
      </c>
      <c r="H1195" s="9">
        <v>-15.36</v>
      </c>
      <c r="I1195"/>
    </row>
    <row r="1196" spans="1:9" x14ac:dyDescent="0.3">
      <c r="A1196" t="s">
        <v>2</v>
      </c>
      <c r="B1196" t="s">
        <v>12</v>
      </c>
      <c r="C1196" t="s">
        <v>97</v>
      </c>
      <c r="D1196" s="9" t="s">
        <v>98</v>
      </c>
      <c r="E1196" t="s">
        <v>32</v>
      </c>
      <c r="F1196" t="s">
        <v>61</v>
      </c>
      <c r="G1196">
        <v>671.6</v>
      </c>
      <c r="H1196" s="9">
        <v>-10.29</v>
      </c>
      <c r="I1196"/>
    </row>
    <row r="1197" spans="1:9" x14ac:dyDescent="0.3">
      <c r="A1197" t="s">
        <v>2</v>
      </c>
      <c r="B1197" t="s">
        <v>12</v>
      </c>
      <c r="C1197" t="s">
        <v>99</v>
      </c>
      <c r="D1197" s="9" t="s">
        <v>98</v>
      </c>
      <c r="E1197" t="s">
        <v>33</v>
      </c>
      <c r="F1197" t="s">
        <v>63</v>
      </c>
      <c r="G1197">
        <v>662.9</v>
      </c>
      <c r="H1197" s="9">
        <v>-4.93</v>
      </c>
      <c r="I1197"/>
    </row>
    <row r="1198" spans="1:9" x14ac:dyDescent="0.3">
      <c r="A1198" t="s">
        <v>2</v>
      </c>
      <c r="B1198" t="s">
        <v>12</v>
      </c>
      <c r="C1198" t="s">
        <v>100</v>
      </c>
      <c r="D1198" s="9" t="s">
        <v>98</v>
      </c>
      <c r="E1198" t="s">
        <v>34</v>
      </c>
      <c r="F1198" t="s">
        <v>65</v>
      </c>
      <c r="G1198">
        <v>729.4</v>
      </c>
      <c r="H1198" s="9">
        <v>30.37</v>
      </c>
      <c r="I1198"/>
    </row>
    <row r="1199" spans="1:9" x14ac:dyDescent="0.3">
      <c r="A1199" t="s">
        <v>2</v>
      </c>
      <c r="B1199" t="s">
        <v>12</v>
      </c>
      <c r="C1199" t="s">
        <v>101</v>
      </c>
      <c r="D1199" s="9" t="s">
        <v>98</v>
      </c>
      <c r="E1199" t="s">
        <v>35</v>
      </c>
      <c r="F1199" t="s">
        <v>67</v>
      </c>
      <c r="G1199">
        <v>719.2</v>
      </c>
      <c r="H1199" s="9">
        <v>195.6</v>
      </c>
      <c r="I1199"/>
    </row>
    <row r="1200" spans="1:9" x14ac:dyDescent="0.3">
      <c r="A1200" t="s">
        <v>2</v>
      </c>
      <c r="B1200" t="s">
        <v>12</v>
      </c>
      <c r="C1200" t="s">
        <v>102</v>
      </c>
      <c r="D1200" s="9" t="s">
        <v>98</v>
      </c>
      <c r="E1200" t="s">
        <v>36</v>
      </c>
      <c r="F1200" t="s">
        <v>69</v>
      </c>
      <c r="G1200">
        <v>748.6</v>
      </c>
      <c r="H1200" s="9">
        <v>115.92</v>
      </c>
      <c r="I1200"/>
    </row>
    <row r="1201" spans="1:9" x14ac:dyDescent="0.3">
      <c r="A1201" t="s">
        <v>2</v>
      </c>
      <c r="B1201" t="s">
        <v>12</v>
      </c>
      <c r="C1201" t="s">
        <v>103</v>
      </c>
      <c r="D1201" s="9" t="s">
        <v>98</v>
      </c>
      <c r="E1201" t="s">
        <v>37</v>
      </c>
      <c r="F1201" t="s">
        <v>71</v>
      </c>
      <c r="G1201">
        <v>653.20000000000005</v>
      </c>
      <c r="H1201" s="9">
        <v>19.88</v>
      </c>
      <c r="I1201"/>
    </row>
    <row r="1202" spans="1:9" x14ac:dyDescent="0.3">
      <c r="A1202" t="s">
        <v>2</v>
      </c>
      <c r="B1202" t="s">
        <v>12</v>
      </c>
      <c r="C1202" t="s">
        <v>104</v>
      </c>
      <c r="D1202" s="9" t="s">
        <v>98</v>
      </c>
      <c r="E1202" t="s">
        <v>38</v>
      </c>
      <c r="F1202" t="s">
        <v>73</v>
      </c>
      <c r="G1202">
        <v>439.8</v>
      </c>
      <c r="H1202" s="9">
        <v>-32.979999999999997</v>
      </c>
      <c r="I1202"/>
    </row>
    <row r="1203" spans="1:9" x14ac:dyDescent="0.3">
      <c r="A1203" t="s">
        <v>2</v>
      </c>
      <c r="B1203" t="s">
        <v>12</v>
      </c>
      <c r="C1203" t="s">
        <v>105</v>
      </c>
      <c r="D1203" s="9" t="s">
        <v>98</v>
      </c>
      <c r="E1203" t="s">
        <v>39</v>
      </c>
      <c r="F1203" t="s">
        <v>75</v>
      </c>
      <c r="G1203">
        <v>376.1</v>
      </c>
      <c r="H1203" s="9">
        <v>-36.479999999999997</v>
      </c>
      <c r="I1203"/>
    </row>
    <row r="1204" spans="1:9" x14ac:dyDescent="0.3">
      <c r="A1204" t="s">
        <v>2</v>
      </c>
      <c r="B1204" t="s">
        <v>12</v>
      </c>
      <c r="C1204" t="s">
        <v>106</v>
      </c>
      <c r="D1204" s="9" t="s">
        <v>98</v>
      </c>
      <c r="E1204" t="s">
        <v>40</v>
      </c>
      <c r="F1204" t="s">
        <v>77</v>
      </c>
      <c r="G1204">
        <v>458.8</v>
      </c>
      <c r="H1204" s="9">
        <v>-28.62</v>
      </c>
      <c r="I1204"/>
    </row>
    <row r="1205" spans="1:9" x14ac:dyDescent="0.3">
      <c r="A1205" t="s">
        <v>2</v>
      </c>
      <c r="B1205" t="s">
        <v>12</v>
      </c>
      <c r="C1205" t="s">
        <v>107</v>
      </c>
      <c r="D1205" s="9" t="s">
        <v>98</v>
      </c>
      <c r="E1205" t="s">
        <v>41</v>
      </c>
      <c r="F1205" t="s">
        <v>79</v>
      </c>
      <c r="G1205">
        <v>691.8</v>
      </c>
      <c r="H1205" s="9">
        <v>-0.95</v>
      </c>
      <c r="I1205"/>
    </row>
    <row r="1206" spans="1:9" x14ac:dyDescent="0.3">
      <c r="A1206" t="s">
        <v>2</v>
      </c>
      <c r="B1206" t="s">
        <v>12</v>
      </c>
      <c r="C1206" t="s">
        <v>108</v>
      </c>
      <c r="D1206" s="9" t="s">
        <v>98</v>
      </c>
      <c r="E1206" t="s">
        <v>42</v>
      </c>
      <c r="F1206" t="s">
        <v>81</v>
      </c>
      <c r="G1206">
        <v>847.4</v>
      </c>
      <c r="H1206" s="9">
        <v>20.28</v>
      </c>
      <c r="I1206"/>
    </row>
    <row r="1207" spans="1:9" x14ac:dyDescent="0.3">
      <c r="A1207" t="s">
        <v>2</v>
      </c>
      <c r="B1207" t="s">
        <v>12</v>
      </c>
      <c r="C1207" t="s">
        <v>109</v>
      </c>
      <c r="D1207" s="9" t="s">
        <v>98</v>
      </c>
      <c r="E1207" t="s">
        <v>43</v>
      </c>
      <c r="F1207" t="s">
        <v>83</v>
      </c>
      <c r="G1207">
        <v>872.2</v>
      </c>
      <c r="H1207" s="9">
        <v>18.38</v>
      </c>
      <c r="I1207"/>
    </row>
    <row r="1208" spans="1:9" x14ac:dyDescent="0.3">
      <c r="A1208" t="s">
        <v>2</v>
      </c>
      <c r="B1208" t="s">
        <v>12</v>
      </c>
      <c r="C1208" t="s">
        <v>110</v>
      </c>
      <c r="D1208" s="9" t="s">
        <v>111</v>
      </c>
      <c r="E1208" t="s">
        <v>32</v>
      </c>
      <c r="F1208" t="s">
        <v>61</v>
      </c>
      <c r="G1208">
        <v>732.8</v>
      </c>
      <c r="H1208" s="9">
        <v>9.11</v>
      </c>
      <c r="I1208"/>
    </row>
    <row r="1209" spans="1:9" x14ac:dyDescent="0.3">
      <c r="A1209" t="s">
        <v>2</v>
      </c>
      <c r="B1209" t="s">
        <v>12</v>
      </c>
      <c r="C1209" t="s">
        <v>112</v>
      </c>
      <c r="D1209" s="9" t="s">
        <v>111</v>
      </c>
      <c r="E1209" t="s">
        <v>33</v>
      </c>
      <c r="F1209" t="s">
        <v>63</v>
      </c>
      <c r="G1209">
        <v>837.1</v>
      </c>
      <c r="H1209" s="9">
        <v>26.28</v>
      </c>
      <c r="I1209"/>
    </row>
    <row r="1210" spans="1:9" x14ac:dyDescent="0.3">
      <c r="A1210" t="s">
        <v>2</v>
      </c>
      <c r="B1210" t="s">
        <v>12</v>
      </c>
      <c r="C1210" t="s">
        <v>113</v>
      </c>
      <c r="D1210" s="9" t="s">
        <v>111</v>
      </c>
      <c r="E1210" t="s">
        <v>34</v>
      </c>
      <c r="F1210" t="s">
        <v>65</v>
      </c>
      <c r="G1210">
        <v>955.5</v>
      </c>
      <c r="H1210" s="9">
        <v>31</v>
      </c>
      <c r="I1210"/>
    </row>
    <row r="1211" spans="1:9" x14ac:dyDescent="0.3">
      <c r="A1211" t="s">
        <v>2</v>
      </c>
      <c r="B1211" t="s">
        <v>12</v>
      </c>
      <c r="C1211" t="s">
        <v>114</v>
      </c>
      <c r="D1211" s="9" t="s">
        <v>111</v>
      </c>
      <c r="E1211" t="s">
        <v>35</v>
      </c>
      <c r="F1211" t="s">
        <v>67</v>
      </c>
      <c r="G1211">
        <v>931.6</v>
      </c>
      <c r="H1211" s="9">
        <v>29.53</v>
      </c>
      <c r="I1211"/>
    </row>
    <row r="1212" spans="1:9" x14ac:dyDescent="0.3">
      <c r="A1212" t="s">
        <v>2</v>
      </c>
      <c r="B1212" t="s">
        <v>12</v>
      </c>
      <c r="C1212" t="s">
        <v>115</v>
      </c>
      <c r="D1212" s="9" t="s">
        <v>111</v>
      </c>
      <c r="E1212" t="s">
        <v>36</v>
      </c>
      <c r="F1212" t="s">
        <v>69</v>
      </c>
      <c r="G1212">
        <v>1008.1</v>
      </c>
      <c r="H1212" s="9">
        <v>34.659999999999997</v>
      </c>
      <c r="I1212"/>
    </row>
    <row r="1213" spans="1:9" x14ac:dyDescent="0.3">
      <c r="A1213" t="s">
        <v>2</v>
      </c>
      <c r="B1213" t="s">
        <v>12</v>
      </c>
      <c r="C1213" t="s">
        <v>116</v>
      </c>
      <c r="D1213" s="9" t="s">
        <v>111</v>
      </c>
      <c r="E1213" t="s">
        <v>37</v>
      </c>
      <c r="F1213" t="s">
        <v>71</v>
      </c>
      <c r="G1213">
        <v>980.4</v>
      </c>
      <c r="H1213" s="9">
        <v>50.09</v>
      </c>
      <c r="I1213"/>
    </row>
    <row r="1214" spans="1:9" x14ac:dyDescent="0.3">
      <c r="A1214" t="s">
        <v>2</v>
      </c>
      <c r="B1214" t="s">
        <v>12</v>
      </c>
      <c r="C1214" t="s">
        <v>117</v>
      </c>
      <c r="D1214" s="9" t="s">
        <v>111</v>
      </c>
      <c r="E1214" t="s">
        <v>38</v>
      </c>
      <c r="F1214" t="s">
        <v>73</v>
      </c>
      <c r="G1214">
        <v>1015.8</v>
      </c>
      <c r="H1214" s="9">
        <v>130.97</v>
      </c>
      <c r="I1214"/>
    </row>
    <row r="1215" spans="1:9" x14ac:dyDescent="0.3">
      <c r="A1215" t="s">
        <v>2</v>
      </c>
      <c r="B1215" t="s">
        <v>12</v>
      </c>
      <c r="C1215" t="s">
        <v>118</v>
      </c>
      <c r="D1215" s="9" t="s">
        <v>111</v>
      </c>
      <c r="E1215" t="s">
        <v>39</v>
      </c>
      <c r="F1215" t="s">
        <v>75</v>
      </c>
      <c r="G1215">
        <v>1082.8</v>
      </c>
      <c r="H1215" s="9">
        <v>187.9</v>
      </c>
      <c r="I1215"/>
    </row>
    <row r="1216" spans="1:9" x14ac:dyDescent="0.3">
      <c r="A1216" t="s">
        <v>2</v>
      </c>
      <c r="B1216" t="s">
        <v>12</v>
      </c>
      <c r="C1216" t="s">
        <v>119</v>
      </c>
      <c r="D1216" s="9" t="s">
        <v>111</v>
      </c>
      <c r="E1216" t="s">
        <v>40</v>
      </c>
      <c r="F1216" t="s">
        <v>77</v>
      </c>
      <c r="G1216">
        <v>1140.2</v>
      </c>
      <c r="H1216" s="9">
        <v>148.52000000000001</v>
      </c>
      <c r="I1216"/>
    </row>
    <row r="1217" spans="1:9" x14ac:dyDescent="0.3">
      <c r="A1217" t="s">
        <v>2</v>
      </c>
      <c r="B1217" t="s">
        <v>12</v>
      </c>
      <c r="C1217" t="s">
        <v>120</v>
      </c>
      <c r="D1217" s="9" t="s">
        <v>111</v>
      </c>
      <c r="E1217" t="s">
        <v>41</v>
      </c>
      <c r="F1217" t="s">
        <v>79</v>
      </c>
      <c r="G1217">
        <v>1165.2</v>
      </c>
      <c r="H1217" s="9">
        <v>68.430000000000007</v>
      </c>
      <c r="I1217"/>
    </row>
    <row r="1218" spans="1:9" x14ac:dyDescent="0.3">
      <c r="A1218" t="s">
        <v>2</v>
      </c>
      <c r="B1218" t="s">
        <v>12</v>
      </c>
      <c r="C1218" t="s">
        <v>121</v>
      </c>
      <c r="D1218" s="9" t="s">
        <v>111</v>
      </c>
      <c r="E1218" t="s">
        <v>42</v>
      </c>
      <c r="F1218" t="s">
        <v>81</v>
      </c>
      <c r="G1218">
        <v>1182.5</v>
      </c>
      <c r="H1218" s="9">
        <v>39.54</v>
      </c>
      <c r="I1218"/>
    </row>
    <row r="1219" spans="1:9" x14ac:dyDescent="0.3">
      <c r="A1219" t="s">
        <v>2</v>
      </c>
      <c r="B1219" t="s">
        <v>12</v>
      </c>
      <c r="C1219" t="s">
        <v>122</v>
      </c>
      <c r="D1219" s="9" t="s">
        <v>111</v>
      </c>
      <c r="E1219" t="s">
        <v>43</v>
      </c>
      <c r="F1219" t="s">
        <v>83</v>
      </c>
      <c r="G1219">
        <v>1278.9000000000001</v>
      </c>
      <c r="H1219" s="9">
        <v>46.63</v>
      </c>
      <c r="I1219"/>
    </row>
    <row r="1220" spans="1:9" x14ac:dyDescent="0.3">
      <c r="A1220" t="s">
        <v>2</v>
      </c>
      <c r="B1220" t="s">
        <v>12</v>
      </c>
      <c r="C1220" t="s">
        <v>123</v>
      </c>
      <c r="D1220" s="9" t="s">
        <v>124</v>
      </c>
      <c r="E1220" t="s">
        <v>32</v>
      </c>
      <c r="F1220" t="s">
        <v>61</v>
      </c>
      <c r="G1220">
        <v>1127.5</v>
      </c>
      <c r="H1220" s="9">
        <v>53.86</v>
      </c>
      <c r="I1220"/>
    </row>
    <row r="1221" spans="1:9" x14ac:dyDescent="0.3">
      <c r="A1221" t="s">
        <v>2</v>
      </c>
      <c r="B1221" t="s">
        <v>12</v>
      </c>
      <c r="C1221" t="s">
        <v>125</v>
      </c>
      <c r="D1221" s="9" t="s">
        <v>124</v>
      </c>
      <c r="E1221" t="s">
        <v>33</v>
      </c>
      <c r="F1221" t="s">
        <v>63</v>
      </c>
      <c r="G1221">
        <v>1043.9000000000001</v>
      </c>
      <c r="H1221" s="9">
        <v>24.7</v>
      </c>
      <c r="I1221"/>
    </row>
    <row r="1222" spans="1:9" x14ac:dyDescent="0.3">
      <c r="A1222" t="s">
        <v>2</v>
      </c>
      <c r="B1222" t="s">
        <v>12</v>
      </c>
      <c r="C1222" t="s">
        <v>126</v>
      </c>
      <c r="D1222" s="9" t="s">
        <v>124</v>
      </c>
      <c r="E1222" t="s">
        <v>34</v>
      </c>
      <c r="F1222" t="s">
        <v>65</v>
      </c>
      <c r="G1222">
        <v>1145.3</v>
      </c>
      <c r="H1222" s="9">
        <v>19.86</v>
      </c>
      <c r="I1222"/>
    </row>
    <row r="1223" spans="1:9" x14ac:dyDescent="0.3">
      <c r="A1223" t="s">
        <v>2</v>
      </c>
      <c r="B1223" t="s">
        <v>12</v>
      </c>
      <c r="C1223" t="s">
        <v>127</v>
      </c>
      <c r="D1223" s="9" t="s">
        <v>124</v>
      </c>
      <c r="E1223" t="s">
        <v>35</v>
      </c>
      <c r="F1223" t="s">
        <v>67</v>
      </c>
      <c r="G1223">
        <v>1025.4000000000001</v>
      </c>
      <c r="H1223" s="9">
        <v>10.07</v>
      </c>
      <c r="I1223"/>
    </row>
    <row r="1224" spans="1:9" x14ac:dyDescent="0.3">
      <c r="A1224" t="s">
        <v>2</v>
      </c>
      <c r="B1224" t="s">
        <v>12</v>
      </c>
      <c r="C1224" t="s">
        <v>128</v>
      </c>
      <c r="D1224" s="9" t="s">
        <v>124</v>
      </c>
      <c r="E1224" t="s">
        <v>36</v>
      </c>
      <c r="F1224" t="s">
        <v>69</v>
      </c>
      <c r="G1224">
        <v>1147.2</v>
      </c>
      <c r="H1224" s="9">
        <v>13.8</v>
      </c>
      <c r="I1224"/>
    </row>
    <row r="1225" spans="1:9" x14ac:dyDescent="0.3">
      <c r="A1225" t="s">
        <v>2</v>
      </c>
      <c r="B1225" t="s">
        <v>12</v>
      </c>
      <c r="C1225" t="s">
        <v>129</v>
      </c>
      <c r="D1225" s="9" t="s">
        <v>124</v>
      </c>
      <c r="E1225" t="s">
        <v>37</v>
      </c>
      <c r="F1225" t="s">
        <v>71</v>
      </c>
      <c r="G1225">
        <v>1071.0999999999999</v>
      </c>
      <c r="H1225" s="9">
        <v>9.25</v>
      </c>
      <c r="I1225"/>
    </row>
    <row r="1226" spans="1:9" x14ac:dyDescent="0.3">
      <c r="A1226" t="s">
        <v>2</v>
      </c>
      <c r="B1226" t="s">
        <v>12</v>
      </c>
      <c r="C1226" t="s">
        <v>130</v>
      </c>
      <c r="D1226" s="9" t="s">
        <v>124</v>
      </c>
      <c r="E1226" t="s">
        <v>38</v>
      </c>
      <c r="F1226" t="s">
        <v>73</v>
      </c>
      <c r="G1226">
        <v>1076.5</v>
      </c>
      <c r="H1226" s="9">
        <v>5.98</v>
      </c>
      <c r="I1226"/>
    </row>
    <row r="1227" spans="1:9" x14ac:dyDescent="0.3">
      <c r="A1227" t="s">
        <v>2</v>
      </c>
      <c r="B1227" t="s">
        <v>12</v>
      </c>
      <c r="C1227" t="s">
        <v>131</v>
      </c>
      <c r="D1227" s="9" t="s">
        <v>124</v>
      </c>
      <c r="E1227" t="s">
        <v>39</v>
      </c>
      <c r="F1227" t="s">
        <v>75</v>
      </c>
      <c r="G1227">
        <v>1110.4000000000001</v>
      </c>
      <c r="H1227" s="9">
        <v>2.5499999999999998</v>
      </c>
      <c r="I1227"/>
    </row>
    <row r="1228" spans="1:9" x14ac:dyDescent="0.3">
      <c r="A1228" t="s">
        <v>2</v>
      </c>
      <c r="B1228" t="s">
        <v>12</v>
      </c>
      <c r="C1228" t="s">
        <v>132</v>
      </c>
      <c r="D1228" s="9" t="s">
        <v>124</v>
      </c>
      <c r="E1228" t="s">
        <v>40</v>
      </c>
      <c r="F1228" t="s">
        <v>77</v>
      </c>
      <c r="G1228">
        <v>1105</v>
      </c>
      <c r="H1228" s="9">
        <v>-3.09</v>
      </c>
      <c r="I1228"/>
    </row>
    <row r="1229" spans="1:9" x14ac:dyDescent="0.3">
      <c r="A1229" t="s">
        <v>2</v>
      </c>
      <c r="B1229" t="s">
        <v>12</v>
      </c>
      <c r="C1229" t="s">
        <v>133</v>
      </c>
      <c r="D1229" s="9" t="s">
        <v>124</v>
      </c>
      <c r="E1229" t="s">
        <v>41</v>
      </c>
      <c r="F1229" t="s">
        <v>79</v>
      </c>
      <c r="G1229">
        <v>1150.7</v>
      </c>
      <c r="H1229" s="9">
        <v>-1.24</v>
      </c>
      <c r="I1229"/>
    </row>
    <row r="1230" spans="1:9" x14ac:dyDescent="0.3">
      <c r="A1230" t="s">
        <v>2</v>
      </c>
      <c r="B1230" t="s">
        <v>12</v>
      </c>
      <c r="C1230" t="s">
        <v>134</v>
      </c>
      <c r="D1230" s="9" t="s">
        <v>124</v>
      </c>
      <c r="E1230" t="s">
        <v>42</v>
      </c>
      <c r="F1230" t="s">
        <v>81</v>
      </c>
      <c r="G1230">
        <v>1136.7</v>
      </c>
      <c r="H1230" s="9">
        <v>-3.87</v>
      </c>
      <c r="I1230"/>
    </row>
    <row r="1231" spans="1:9" x14ac:dyDescent="0.3">
      <c r="A1231" t="s">
        <v>2</v>
      </c>
      <c r="B1231" t="s">
        <v>12</v>
      </c>
      <c r="C1231" t="s">
        <v>135</v>
      </c>
      <c r="D1231" s="9" t="s">
        <v>124</v>
      </c>
      <c r="E1231" t="s">
        <v>43</v>
      </c>
      <c r="F1231" t="s">
        <v>83</v>
      </c>
      <c r="G1231">
        <v>1132.3</v>
      </c>
      <c r="H1231" s="9">
        <v>-11.46</v>
      </c>
      <c r="I1231"/>
    </row>
    <row r="1232" spans="1:9" x14ac:dyDescent="0.3">
      <c r="A1232" t="s">
        <v>2</v>
      </c>
      <c r="B1232" t="s">
        <v>12</v>
      </c>
      <c r="C1232" t="s">
        <v>136</v>
      </c>
      <c r="D1232" s="9" t="s">
        <v>137</v>
      </c>
      <c r="E1232" t="s">
        <v>32</v>
      </c>
      <c r="F1232" t="s">
        <v>61</v>
      </c>
      <c r="G1232">
        <v>1006.3</v>
      </c>
      <c r="H1232" s="9">
        <v>-10.75</v>
      </c>
      <c r="I1232"/>
    </row>
    <row r="1233" spans="1:9" x14ac:dyDescent="0.3">
      <c r="A1233" t="s">
        <v>2</v>
      </c>
      <c r="B1233" t="s">
        <v>12</v>
      </c>
      <c r="C1233" t="s">
        <v>138</v>
      </c>
      <c r="D1233" s="9" t="s">
        <v>137</v>
      </c>
      <c r="E1233" t="s">
        <v>33</v>
      </c>
      <c r="F1233" t="s">
        <v>63</v>
      </c>
      <c r="G1233">
        <v>1034.9000000000001</v>
      </c>
      <c r="H1233" s="9">
        <v>-0.86</v>
      </c>
      <c r="I1233"/>
    </row>
    <row r="1234" spans="1:9" x14ac:dyDescent="0.3">
      <c r="A1234" t="s">
        <v>2</v>
      </c>
      <c r="B1234" t="s">
        <v>12</v>
      </c>
      <c r="C1234" t="s">
        <v>139</v>
      </c>
      <c r="D1234" s="9" t="s">
        <v>137</v>
      </c>
      <c r="E1234" t="s">
        <v>34</v>
      </c>
      <c r="F1234" t="s">
        <v>65</v>
      </c>
      <c r="G1234">
        <v>1052.8</v>
      </c>
      <c r="H1234" s="9">
        <v>-8.08</v>
      </c>
      <c r="I1234"/>
    </row>
    <row r="1235" spans="1:9" x14ac:dyDescent="0.3">
      <c r="A1235" t="s">
        <v>2</v>
      </c>
      <c r="B1235" t="s">
        <v>12</v>
      </c>
      <c r="C1235" t="s">
        <v>140</v>
      </c>
      <c r="D1235" s="9" t="s">
        <v>137</v>
      </c>
      <c r="E1235" t="s">
        <v>35</v>
      </c>
      <c r="F1235" t="s">
        <v>67</v>
      </c>
      <c r="G1235">
        <v>1057.7</v>
      </c>
      <c r="H1235" s="9">
        <v>3.15</v>
      </c>
      <c r="I1235"/>
    </row>
    <row r="1236" spans="1:9" x14ac:dyDescent="0.3">
      <c r="A1236" t="s">
        <v>2</v>
      </c>
      <c r="B1236" t="s">
        <v>12</v>
      </c>
      <c r="C1236" t="s">
        <v>141</v>
      </c>
      <c r="D1236" s="9" t="s">
        <v>137</v>
      </c>
      <c r="E1236" t="s">
        <v>36</v>
      </c>
      <c r="F1236" t="s">
        <v>69</v>
      </c>
      <c r="G1236">
        <v>1115.5999999999999</v>
      </c>
      <c r="H1236" s="9">
        <v>-2.75</v>
      </c>
      <c r="I1236"/>
    </row>
    <row r="1237" spans="1:9" x14ac:dyDescent="0.3">
      <c r="A1237" t="s">
        <v>2</v>
      </c>
      <c r="B1237" t="s">
        <v>12</v>
      </c>
      <c r="C1237" t="s">
        <v>142</v>
      </c>
      <c r="D1237" s="9" t="s">
        <v>137</v>
      </c>
      <c r="E1237" t="s">
        <v>37</v>
      </c>
      <c r="F1237" t="s">
        <v>71</v>
      </c>
      <c r="G1237">
        <v>1014.9</v>
      </c>
      <c r="H1237" s="9">
        <v>-5.25</v>
      </c>
      <c r="I1237"/>
    </row>
    <row r="1238" spans="1:9" x14ac:dyDescent="0.3">
      <c r="A1238" t="s">
        <v>2</v>
      </c>
      <c r="B1238" t="s">
        <v>12</v>
      </c>
      <c r="C1238" t="s">
        <v>143</v>
      </c>
      <c r="D1238" s="9" t="s">
        <v>137</v>
      </c>
      <c r="E1238" t="s">
        <v>38</v>
      </c>
      <c r="F1238" t="s">
        <v>73</v>
      </c>
      <c r="G1238">
        <v>1061.4000000000001</v>
      </c>
      <c r="H1238" s="9">
        <v>-1.4</v>
      </c>
      <c r="I1238"/>
    </row>
    <row r="1239" spans="1:9" x14ac:dyDescent="0.3">
      <c r="A1239" t="s">
        <v>2</v>
      </c>
      <c r="B1239" t="s">
        <v>12</v>
      </c>
      <c r="C1239" t="s">
        <v>144</v>
      </c>
      <c r="D1239" s="9" t="s">
        <v>137</v>
      </c>
      <c r="E1239" t="s">
        <v>39</v>
      </c>
      <c r="F1239" t="s">
        <v>75</v>
      </c>
      <c r="G1239">
        <v>1088.9000000000001</v>
      </c>
      <c r="H1239" s="9">
        <v>-1.94</v>
      </c>
      <c r="I1239"/>
    </row>
    <row r="1240" spans="1:9" x14ac:dyDescent="0.3">
      <c r="A1240" t="s">
        <v>2</v>
      </c>
      <c r="B1240" t="s">
        <v>12</v>
      </c>
      <c r="C1240" t="s">
        <v>145</v>
      </c>
      <c r="D1240" s="9" t="s">
        <v>137</v>
      </c>
      <c r="E1240" t="s">
        <v>40</v>
      </c>
      <c r="F1240" t="s">
        <v>77</v>
      </c>
      <c r="G1240">
        <v>1112.4000000000001</v>
      </c>
      <c r="H1240" s="9">
        <v>0.67</v>
      </c>
      <c r="I1240"/>
    </row>
    <row r="1241" spans="1:9" x14ac:dyDescent="0.3">
      <c r="A1241" t="s">
        <v>2</v>
      </c>
      <c r="B1241" t="s">
        <v>12</v>
      </c>
      <c r="C1241" t="s">
        <v>146</v>
      </c>
      <c r="D1241" s="9" t="s">
        <v>137</v>
      </c>
      <c r="E1241" t="s">
        <v>41</v>
      </c>
      <c r="F1241" t="s">
        <v>79</v>
      </c>
      <c r="G1241">
        <v>1150.5</v>
      </c>
      <c r="H1241" s="9">
        <v>-0.02</v>
      </c>
      <c r="I1241"/>
    </row>
    <row r="1242" spans="1:9" x14ac:dyDescent="0.3">
      <c r="A1242" t="s">
        <v>2</v>
      </c>
      <c r="B1242" t="s">
        <v>12</v>
      </c>
      <c r="C1242" t="s">
        <v>147</v>
      </c>
      <c r="D1242" s="9" t="s">
        <v>137</v>
      </c>
      <c r="E1242" t="s">
        <v>42</v>
      </c>
      <c r="F1242" t="s">
        <v>81</v>
      </c>
      <c r="G1242">
        <v>1176.4000000000001</v>
      </c>
      <c r="H1242" s="9">
        <v>3.49</v>
      </c>
      <c r="I1242"/>
    </row>
    <row r="1243" spans="1:9" x14ac:dyDescent="0.3">
      <c r="A1243" t="s">
        <v>2</v>
      </c>
      <c r="B1243" t="s">
        <v>12</v>
      </c>
      <c r="C1243" t="s">
        <v>148</v>
      </c>
      <c r="D1243" s="9" t="s">
        <v>137</v>
      </c>
      <c r="E1243" t="s">
        <v>43</v>
      </c>
      <c r="F1243" t="s">
        <v>83</v>
      </c>
      <c r="G1243">
        <v>1253.5</v>
      </c>
      <c r="H1243" s="9">
        <v>10.7</v>
      </c>
      <c r="I1243"/>
    </row>
    <row r="1244" spans="1:9" x14ac:dyDescent="0.3">
      <c r="A1244" t="s">
        <v>2</v>
      </c>
      <c r="B1244" t="s">
        <v>12</v>
      </c>
      <c r="C1244" t="s">
        <v>149</v>
      </c>
      <c r="D1244" s="9" t="s">
        <v>150</v>
      </c>
      <c r="E1244" t="s">
        <v>32</v>
      </c>
      <c r="F1244" t="s">
        <v>61</v>
      </c>
      <c r="G1244">
        <v>1080.5</v>
      </c>
      <c r="H1244" s="9">
        <v>7.37</v>
      </c>
      <c r="I1244"/>
    </row>
    <row r="1245" spans="1:9" x14ac:dyDescent="0.3">
      <c r="A1245" t="s">
        <v>2</v>
      </c>
      <c r="B1245" t="s">
        <v>12</v>
      </c>
      <c r="C1245" t="s">
        <v>151</v>
      </c>
      <c r="D1245" s="9" t="s">
        <v>150</v>
      </c>
      <c r="E1245" t="s">
        <v>33</v>
      </c>
      <c r="F1245" t="s">
        <v>63</v>
      </c>
      <c r="G1245">
        <v>1002.4</v>
      </c>
      <c r="H1245" s="9">
        <v>-3.14</v>
      </c>
      <c r="I1245"/>
    </row>
    <row r="1246" spans="1:9" x14ac:dyDescent="0.3">
      <c r="A1246" t="s">
        <v>2</v>
      </c>
      <c r="B1246" t="s">
        <v>12</v>
      </c>
      <c r="C1246" t="s">
        <v>152</v>
      </c>
      <c r="D1246" s="9" t="s">
        <v>150</v>
      </c>
      <c r="E1246" t="s">
        <v>34</v>
      </c>
      <c r="F1246" t="s">
        <v>65</v>
      </c>
      <c r="G1246">
        <v>1085</v>
      </c>
      <c r="H1246" s="9">
        <v>3.06</v>
      </c>
      <c r="I1246"/>
    </row>
    <row r="1247" spans="1:9" x14ac:dyDescent="0.3">
      <c r="A1247" t="s">
        <v>2</v>
      </c>
      <c r="B1247" t="s">
        <v>12</v>
      </c>
      <c r="C1247" t="s">
        <v>153</v>
      </c>
      <c r="D1247" s="9" t="s">
        <v>150</v>
      </c>
      <c r="E1247" t="s">
        <v>35</v>
      </c>
      <c r="F1247" t="s">
        <v>67</v>
      </c>
      <c r="G1247">
        <v>1036.5</v>
      </c>
      <c r="H1247" s="9">
        <v>-2</v>
      </c>
      <c r="I1247"/>
    </row>
    <row r="1248" spans="1:9" x14ac:dyDescent="0.3">
      <c r="A1248" t="s">
        <v>2</v>
      </c>
      <c r="B1248" t="s">
        <v>12</v>
      </c>
      <c r="C1248" t="s">
        <v>154</v>
      </c>
      <c r="D1248" s="9" t="s">
        <v>150</v>
      </c>
      <c r="E1248" t="s">
        <v>36</v>
      </c>
      <c r="F1248" t="s">
        <v>69</v>
      </c>
      <c r="G1248">
        <v>1101</v>
      </c>
      <c r="H1248" s="9">
        <v>-1.31</v>
      </c>
      <c r="I1248"/>
    </row>
    <row r="1249" spans="1:9" x14ac:dyDescent="0.3">
      <c r="A1249" t="s">
        <v>2</v>
      </c>
      <c r="B1249" t="s">
        <v>12</v>
      </c>
      <c r="C1249" t="s">
        <v>155</v>
      </c>
      <c r="D1249" s="9" t="s">
        <v>150</v>
      </c>
      <c r="E1249" t="s">
        <v>37</v>
      </c>
      <c r="F1249" t="s">
        <v>71</v>
      </c>
      <c r="G1249">
        <v>1056.9000000000001</v>
      </c>
      <c r="H1249" s="9">
        <v>4.1399999999999997</v>
      </c>
      <c r="I1249"/>
    </row>
    <row r="1250" spans="1:9" x14ac:dyDescent="0.3">
      <c r="A1250" t="s">
        <v>2</v>
      </c>
      <c r="B1250" t="s">
        <v>19</v>
      </c>
      <c r="C1250" t="s">
        <v>59</v>
      </c>
      <c r="D1250" s="9" t="s">
        <v>60</v>
      </c>
      <c r="E1250" t="s">
        <v>32</v>
      </c>
      <c r="F1250" t="s">
        <v>61</v>
      </c>
      <c r="G1250">
        <v>497.4</v>
      </c>
      <c r="I1250"/>
    </row>
    <row r="1251" spans="1:9" x14ac:dyDescent="0.3">
      <c r="A1251" t="s">
        <v>2</v>
      </c>
      <c r="B1251" t="s">
        <v>19</v>
      </c>
      <c r="C1251" t="s">
        <v>62</v>
      </c>
      <c r="D1251" s="9" t="s">
        <v>60</v>
      </c>
      <c r="E1251" t="s">
        <v>33</v>
      </c>
      <c r="F1251" t="s">
        <v>63</v>
      </c>
      <c r="G1251">
        <v>395.2</v>
      </c>
      <c r="I1251"/>
    </row>
    <row r="1252" spans="1:9" x14ac:dyDescent="0.3">
      <c r="A1252" t="s">
        <v>2</v>
      </c>
      <c r="B1252" t="s">
        <v>19</v>
      </c>
      <c r="C1252" t="s">
        <v>64</v>
      </c>
      <c r="D1252" s="9" t="s">
        <v>60</v>
      </c>
      <c r="E1252" t="s">
        <v>34</v>
      </c>
      <c r="F1252" t="s">
        <v>65</v>
      </c>
      <c r="G1252">
        <v>475.3</v>
      </c>
      <c r="I1252"/>
    </row>
    <row r="1253" spans="1:9" x14ac:dyDescent="0.3">
      <c r="A1253" t="s">
        <v>2</v>
      </c>
      <c r="B1253" t="s">
        <v>19</v>
      </c>
      <c r="C1253" t="s">
        <v>66</v>
      </c>
      <c r="D1253" s="9" t="s">
        <v>60</v>
      </c>
      <c r="E1253" t="s">
        <v>35</v>
      </c>
      <c r="F1253" t="s">
        <v>67</v>
      </c>
      <c r="G1253">
        <v>491.6</v>
      </c>
      <c r="I1253"/>
    </row>
    <row r="1254" spans="1:9" x14ac:dyDescent="0.3">
      <c r="A1254" t="s">
        <v>2</v>
      </c>
      <c r="B1254" t="s">
        <v>19</v>
      </c>
      <c r="C1254" t="s">
        <v>68</v>
      </c>
      <c r="D1254" s="9" t="s">
        <v>60</v>
      </c>
      <c r="E1254" t="s">
        <v>36</v>
      </c>
      <c r="F1254" t="s">
        <v>69</v>
      </c>
      <c r="G1254">
        <v>548.20000000000005</v>
      </c>
      <c r="I1254"/>
    </row>
    <row r="1255" spans="1:9" x14ac:dyDescent="0.3">
      <c r="A1255" t="s">
        <v>2</v>
      </c>
      <c r="B1255" t="s">
        <v>19</v>
      </c>
      <c r="C1255" t="s">
        <v>70</v>
      </c>
      <c r="D1255" s="9" t="s">
        <v>60</v>
      </c>
      <c r="E1255" t="s">
        <v>37</v>
      </c>
      <c r="F1255" t="s">
        <v>71</v>
      </c>
      <c r="G1255">
        <v>543.5</v>
      </c>
      <c r="I1255"/>
    </row>
    <row r="1256" spans="1:9" x14ac:dyDescent="0.3">
      <c r="A1256" t="s">
        <v>2</v>
      </c>
      <c r="B1256" t="s">
        <v>19</v>
      </c>
      <c r="C1256" t="s">
        <v>72</v>
      </c>
      <c r="D1256" s="9" t="s">
        <v>60</v>
      </c>
      <c r="E1256" t="s">
        <v>38</v>
      </c>
      <c r="F1256" t="s">
        <v>73</v>
      </c>
      <c r="G1256">
        <v>483.7</v>
      </c>
      <c r="I1256"/>
    </row>
    <row r="1257" spans="1:9" x14ac:dyDescent="0.3">
      <c r="A1257" t="s">
        <v>2</v>
      </c>
      <c r="B1257" t="s">
        <v>19</v>
      </c>
      <c r="C1257" t="s">
        <v>74</v>
      </c>
      <c r="D1257" s="9" t="s">
        <v>60</v>
      </c>
      <c r="E1257" t="s">
        <v>39</v>
      </c>
      <c r="F1257" t="s">
        <v>75</v>
      </c>
      <c r="G1257">
        <v>479</v>
      </c>
      <c r="I1257"/>
    </row>
    <row r="1258" spans="1:9" x14ac:dyDescent="0.3">
      <c r="A1258" t="s">
        <v>2</v>
      </c>
      <c r="B1258" t="s">
        <v>19</v>
      </c>
      <c r="C1258" t="s">
        <v>76</v>
      </c>
      <c r="D1258" s="9" t="s">
        <v>60</v>
      </c>
      <c r="E1258" t="s">
        <v>40</v>
      </c>
      <c r="F1258" t="s">
        <v>77</v>
      </c>
      <c r="G1258">
        <v>484.4</v>
      </c>
      <c r="I1258"/>
    </row>
    <row r="1259" spans="1:9" x14ac:dyDescent="0.3">
      <c r="A1259" t="s">
        <v>2</v>
      </c>
      <c r="B1259" t="s">
        <v>19</v>
      </c>
      <c r="C1259" t="s">
        <v>78</v>
      </c>
      <c r="D1259" s="9" t="s">
        <v>60</v>
      </c>
      <c r="E1259" t="s">
        <v>41</v>
      </c>
      <c r="F1259" t="s">
        <v>79</v>
      </c>
      <c r="G1259">
        <v>521.1</v>
      </c>
      <c r="I1259"/>
    </row>
    <row r="1260" spans="1:9" x14ac:dyDescent="0.3">
      <c r="A1260" t="s">
        <v>2</v>
      </c>
      <c r="B1260" t="s">
        <v>19</v>
      </c>
      <c r="C1260" t="s">
        <v>80</v>
      </c>
      <c r="D1260" s="9" t="s">
        <v>60</v>
      </c>
      <c r="E1260" t="s">
        <v>42</v>
      </c>
      <c r="F1260" t="s">
        <v>81</v>
      </c>
      <c r="G1260">
        <v>577.5</v>
      </c>
      <c r="I1260"/>
    </row>
    <row r="1261" spans="1:9" x14ac:dyDescent="0.3">
      <c r="A1261" t="s">
        <v>2</v>
      </c>
      <c r="B1261" t="s">
        <v>19</v>
      </c>
      <c r="C1261" t="s">
        <v>82</v>
      </c>
      <c r="D1261" s="9" t="s">
        <v>60</v>
      </c>
      <c r="E1261" t="s">
        <v>43</v>
      </c>
      <c r="F1261" t="s">
        <v>83</v>
      </c>
      <c r="G1261">
        <v>794.7</v>
      </c>
      <c r="I1261"/>
    </row>
    <row r="1262" spans="1:9" x14ac:dyDescent="0.3">
      <c r="A1262" t="s">
        <v>2</v>
      </c>
      <c r="B1262" t="s">
        <v>19</v>
      </c>
      <c r="C1262" t="s">
        <v>84</v>
      </c>
      <c r="D1262" s="9" t="s">
        <v>85</v>
      </c>
      <c r="E1262" t="s">
        <v>32</v>
      </c>
      <c r="F1262" t="s">
        <v>61</v>
      </c>
      <c r="G1262">
        <v>503</v>
      </c>
      <c r="H1262" s="9">
        <v>1.1299999999999999</v>
      </c>
      <c r="I1262"/>
    </row>
    <row r="1263" spans="1:9" x14ac:dyDescent="0.3">
      <c r="A1263" t="s">
        <v>2</v>
      </c>
      <c r="B1263" t="s">
        <v>19</v>
      </c>
      <c r="C1263" t="s">
        <v>86</v>
      </c>
      <c r="D1263" s="9" t="s">
        <v>85</v>
      </c>
      <c r="E1263" t="s">
        <v>33</v>
      </c>
      <c r="F1263" t="s">
        <v>63</v>
      </c>
      <c r="G1263">
        <v>399</v>
      </c>
      <c r="H1263" s="9">
        <v>0.96</v>
      </c>
      <c r="I1263"/>
    </row>
    <row r="1264" spans="1:9" x14ac:dyDescent="0.3">
      <c r="A1264" t="s">
        <v>2</v>
      </c>
      <c r="B1264" t="s">
        <v>19</v>
      </c>
      <c r="C1264" t="s">
        <v>87</v>
      </c>
      <c r="D1264" s="9" t="s">
        <v>85</v>
      </c>
      <c r="E1264" t="s">
        <v>34</v>
      </c>
      <c r="F1264" t="s">
        <v>65</v>
      </c>
      <c r="G1264">
        <v>364.2</v>
      </c>
      <c r="H1264" s="9">
        <v>-23.37</v>
      </c>
      <c r="I1264"/>
    </row>
    <row r="1265" spans="1:9" x14ac:dyDescent="0.3">
      <c r="A1265" t="s">
        <v>2</v>
      </c>
      <c r="B1265" t="s">
        <v>19</v>
      </c>
      <c r="C1265" t="s">
        <v>88</v>
      </c>
      <c r="D1265" s="9" t="s">
        <v>85</v>
      </c>
      <c r="E1265" t="s">
        <v>35</v>
      </c>
      <c r="F1265" t="s">
        <v>67</v>
      </c>
      <c r="G1265">
        <v>192.9</v>
      </c>
      <c r="H1265" s="9">
        <v>-60.76</v>
      </c>
      <c r="I1265"/>
    </row>
    <row r="1266" spans="1:9" x14ac:dyDescent="0.3">
      <c r="A1266" t="s">
        <v>2</v>
      </c>
      <c r="B1266" t="s">
        <v>19</v>
      </c>
      <c r="C1266" t="s">
        <v>89</v>
      </c>
      <c r="D1266" s="9" t="s">
        <v>85</v>
      </c>
      <c r="E1266" t="s">
        <v>36</v>
      </c>
      <c r="F1266" t="s">
        <v>69</v>
      </c>
      <c r="G1266">
        <v>475.5</v>
      </c>
      <c r="H1266" s="9">
        <v>-13.26</v>
      </c>
      <c r="I1266"/>
    </row>
    <row r="1267" spans="1:9" x14ac:dyDescent="0.3">
      <c r="A1267" t="s">
        <v>2</v>
      </c>
      <c r="B1267" t="s">
        <v>19</v>
      </c>
      <c r="C1267" t="s">
        <v>90</v>
      </c>
      <c r="D1267" s="9" t="s">
        <v>85</v>
      </c>
      <c r="E1267" t="s">
        <v>37</v>
      </c>
      <c r="F1267" t="s">
        <v>71</v>
      </c>
      <c r="G1267">
        <v>588.9</v>
      </c>
      <c r="H1267" s="9">
        <v>8.35</v>
      </c>
      <c r="I1267"/>
    </row>
    <row r="1268" spans="1:9" x14ac:dyDescent="0.3">
      <c r="A1268" t="s">
        <v>2</v>
      </c>
      <c r="B1268" t="s">
        <v>19</v>
      </c>
      <c r="C1268" t="s">
        <v>91</v>
      </c>
      <c r="D1268" s="9" t="s">
        <v>85</v>
      </c>
      <c r="E1268" t="s">
        <v>38</v>
      </c>
      <c r="F1268" t="s">
        <v>73</v>
      </c>
      <c r="G1268">
        <v>606.20000000000005</v>
      </c>
      <c r="H1268" s="9">
        <v>25.33</v>
      </c>
      <c r="I1268"/>
    </row>
    <row r="1269" spans="1:9" x14ac:dyDescent="0.3">
      <c r="A1269" t="s">
        <v>2</v>
      </c>
      <c r="B1269" t="s">
        <v>19</v>
      </c>
      <c r="C1269" t="s">
        <v>92</v>
      </c>
      <c r="D1269" s="9" t="s">
        <v>85</v>
      </c>
      <c r="E1269" t="s">
        <v>39</v>
      </c>
      <c r="F1269" t="s">
        <v>75</v>
      </c>
      <c r="G1269">
        <v>525.1</v>
      </c>
      <c r="H1269" s="9">
        <v>9.6199999999999992</v>
      </c>
      <c r="I1269"/>
    </row>
    <row r="1270" spans="1:9" x14ac:dyDescent="0.3">
      <c r="A1270" t="s">
        <v>2</v>
      </c>
      <c r="B1270" t="s">
        <v>19</v>
      </c>
      <c r="C1270" t="s">
        <v>93</v>
      </c>
      <c r="D1270" s="9" t="s">
        <v>85</v>
      </c>
      <c r="E1270" t="s">
        <v>40</v>
      </c>
      <c r="F1270" t="s">
        <v>77</v>
      </c>
      <c r="G1270">
        <v>564</v>
      </c>
      <c r="H1270" s="9">
        <v>16.43</v>
      </c>
      <c r="I1270"/>
    </row>
    <row r="1271" spans="1:9" x14ac:dyDescent="0.3">
      <c r="A1271" t="s">
        <v>2</v>
      </c>
      <c r="B1271" t="s">
        <v>19</v>
      </c>
      <c r="C1271" t="s">
        <v>94</v>
      </c>
      <c r="D1271" s="9" t="s">
        <v>85</v>
      </c>
      <c r="E1271" t="s">
        <v>41</v>
      </c>
      <c r="F1271" t="s">
        <v>79</v>
      </c>
      <c r="G1271">
        <v>641.79999999999995</v>
      </c>
      <c r="H1271" s="9">
        <v>23.16</v>
      </c>
      <c r="I1271"/>
    </row>
    <row r="1272" spans="1:9" x14ac:dyDescent="0.3">
      <c r="A1272" t="s">
        <v>2</v>
      </c>
      <c r="B1272" t="s">
        <v>19</v>
      </c>
      <c r="C1272" t="s">
        <v>95</v>
      </c>
      <c r="D1272" s="9" t="s">
        <v>85</v>
      </c>
      <c r="E1272" t="s">
        <v>42</v>
      </c>
      <c r="F1272" t="s">
        <v>81</v>
      </c>
      <c r="G1272">
        <v>715.6</v>
      </c>
      <c r="H1272" s="9">
        <v>23.91</v>
      </c>
      <c r="I1272"/>
    </row>
    <row r="1273" spans="1:9" x14ac:dyDescent="0.3">
      <c r="A1273" t="s">
        <v>2</v>
      </c>
      <c r="B1273" t="s">
        <v>19</v>
      </c>
      <c r="C1273" t="s">
        <v>96</v>
      </c>
      <c r="D1273" s="9" t="s">
        <v>85</v>
      </c>
      <c r="E1273" t="s">
        <v>43</v>
      </c>
      <c r="F1273" t="s">
        <v>83</v>
      </c>
      <c r="G1273">
        <v>931.2</v>
      </c>
      <c r="H1273" s="9">
        <v>17.18</v>
      </c>
      <c r="I1273"/>
    </row>
    <row r="1274" spans="1:9" x14ac:dyDescent="0.3">
      <c r="A1274" t="s">
        <v>2</v>
      </c>
      <c r="B1274" t="s">
        <v>19</v>
      </c>
      <c r="C1274" t="s">
        <v>97</v>
      </c>
      <c r="D1274" s="9" t="s">
        <v>98</v>
      </c>
      <c r="E1274" t="s">
        <v>32</v>
      </c>
      <c r="F1274" t="s">
        <v>61</v>
      </c>
      <c r="G1274">
        <v>539.29999999999995</v>
      </c>
      <c r="H1274" s="9">
        <v>7.22</v>
      </c>
      <c r="I1274"/>
    </row>
    <row r="1275" spans="1:9" x14ac:dyDescent="0.3">
      <c r="A1275" t="s">
        <v>2</v>
      </c>
      <c r="B1275" t="s">
        <v>19</v>
      </c>
      <c r="C1275" t="s">
        <v>99</v>
      </c>
      <c r="D1275" s="9" t="s">
        <v>98</v>
      </c>
      <c r="E1275" t="s">
        <v>33</v>
      </c>
      <c r="F1275" t="s">
        <v>63</v>
      </c>
      <c r="G1275">
        <v>504</v>
      </c>
      <c r="H1275" s="9">
        <v>26.32</v>
      </c>
      <c r="I1275"/>
    </row>
    <row r="1276" spans="1:9" x14ac:dyDescent="0.3">
      <c r="A1276" t="s">
        <v>2</v>
      </c>
      <c r="B1276" t="s">
        <v>19</v>
      </c>
      <c r="C1276" t="s">
        <v>100</v>
      </c>
      <c r="D1276" s="9" t="s">
        <v>98</v>
      </c>
      <c r="E1276" t="s">
        <v>34</v>
      </c>
      <c r="F1276" t="s">
        <v>65</v>
      </c>
      <c r="G1276">
        <v>613.79999999999995</v>
      </c>
      <c r="H1276" s="9">
        <v>68.53</v>
      </c>
      <c r="I1276"/>
    </row>
    <row r="1277" spans="1:9" x14ac:dyDescent="0.3">
      <c r="A1277" t="s">
        <v>2</v>
      </c>
      <c r="B1277" t="s">
        <v>19</v>
      </c>
      <c r="C1277" t="s">
        <v>101</v>
      </c>
      <c r="D1277" s="9" t="s">
        <v>98</v>
      </c>
      <c r="E1277" t="s">
        <v>35</v>
      </c>
      <c r="F1277" t="s">
        <v>67</v>
      </c>
      <c r="G1277">
        <v>661.9</v>
      </c>
      <c r="H1277" s="9">
        <v>243.13</v>
      </c>
      <c r="I1277"/>
    </row>
    <row r="1278" spans="1:9" x14ac:dyDescent="0.3">
      <c r="A1278" t="s">
        <v>2</v>
      </c>
      <c r="B1278" t="s">
        <v>19</v>
      </c>
      <c r="C1278" t="s">
        <v>102</v>
      </c>
      <c r="D1278" s="9" t="s">
        <v>98</v>
      </c>
      <c r="E1278" t="s">
        <v>36</v>
      </c>
      <c r="F1278" t="s">
        <v>69</v>
      </c>
      <c r="G1278">
        <v>724.8</v>
      </c>
      <c r="H1278" s="9">
        <v>52.43</v>
      </c>
      <c r="I1278"/>
    </row>
    <row r="1279" spans="1:9" x14ac:dyDescent="0.3">
      <c r="A1279" t="s">
        <v>2</v>
      </c>
      <c r="B1279" t="s">
        <v>19</v>
      </c>
      <c r="C1279" t="s">
        <v>103</v>
      </c>
      <c r="D1279" s="9" t="s">
        <v>98</v>
      </c>
      <c r="E1279" t="s">
        <v>37</v>
      </c>
      <c r="F1279" t="s">
        <v>71</v>
      </c>
      <c r="G1279">
        <v>647.20000000000005</v>
      </c>
      <c r="H1279" s="9">
        <v>9.9</v>
      </c>
      <c r="I1279"/>
    </row>
    <row r="1280" spans="1:9" x14ac:dyDescent="0.3">
      <c r="A1280" t="s">
        <v>2</v>
      </c>
      <c r="B1280" t="s">
        <v>19</v>
      </c>
      <c r="C1280" t="s">
        <v>104</v>
      </c>
      <c r="D1280" s="9" t="s">
        <v>98</v>
      </c>
      <c r="E1280" t="s">
        <v>38</v>
      </c>
      <c r="F1280" t="s">
        <v>73</v>
      </c>
      <c r="G1280">
        <v>324.89999999999998</v>
      </c>
      <c r="H1280" s="9">
        <v>-46.4</v>
      </c>
      <c r="I1280"/>
    </row>
    <row r="1281" spans="1:9" x14ac:dyDescent="0.3">
      <c r="A1281" t="s">
        <v>2</v>
      </c>
      <c r="B1281" t="s">
        <v>19</v>
      </c>
      <c r="C1281" t="s">
        <v>105</v>
      </c>
      <c r="D1281" s="9" t="s">
        <v>98</v>
      </c>
      <c r="E1281" t="s">
        <v>39</v>
      </c>
      <c r="F1281" t="s">
        <v>75</v>
      </c>
      <c r="G1281">
        <v>258.2</v>
      </c>
      <c r="H1281" s="9">
        <v>-50.83</v>
      </c>
      <c r="I1281"/>
    </row>
    <row r="1282" spans="1:9" x14ac:dyDescent="0.3">
      <c r="A1282" t="s">
        <v>2</v>
      </c>
      <c r="B1282" t="s">
        <v>19</v>
      </c>
      <c r="C1282" t="s">
        <v>106</v>
      </c>
      <c r="D1282" s="9" t="s">
        <v>98</v>
      </c>
      <c r="E1282" t="s">
        <v>40</v>
      </c>
      <c r="F1282" t="s">
        <v>77</v>
      </c>
      <c r="G1282">
        <v>292.3</v>
      </c>
      <c r="H1282" s="9">
        <v>-48.17</v>
      </c>
      <c r="I1282"/>
    </row>
    <row r="1283" spans="1:9" x14ac:dyDescent="0.3">
      <c r="A1283" t="s">
        <v>2</v>
      </c>
      <c r="B1283" t="s">
        <v>19</v>
      </c>
      <c r="C1283" t="s">
        <v>107</v>
      </c>
      <c r="D1283" s="9" t="s">
        <v>98</v>
      </c>
      <c r="E1283" t="s">
        <v>41</v>
      </c>
      <c r="F1283" t="s">
        <v>79</v>
      </c>
      <c r="G1283">
        <v>599.9</v>
      </c>
      <c r="H1283" s="9">
        <v>-6.53</v>
      </c>
      <c r="I1283"/>
    </row>
    <row r="1284" spans="1:9" x14ac:dyDescent="0.3">
      <c r="A1284" t="s">
        <v>2</v>
      </c>
      <c r="B1284" t="s">
        <v>19</v>
      </c>
      <c r="C1284" t="s">
        <v>108</v>
      </c>
      <c r="D1284" s="9" t="s">
        <v>98</v>
      </c>
      <c r="E1284" t="s">
        <v>42</v>
      </c>
      <c r="F1284" t="s">
        <v>81</v>
      </c>
      <c r="G1284">
        <v>823.1</v>
      </c>
      <c r="H1284" s="9">
        <v>15.02</v>
      </c>
      <c r="I1284"/>
    </row>
    <row r="1285" spans="1:9" x14ac:dyDescent="0.3">
      <c r="A1285" t="s">
        <v>2</v>
      </c>
      <c r="B1285" t="s">
        <v>19</v>
      </c>
      <c r="C1285" t="s">
        <v>109</v>
      </c>
      <c r="D1285" s="9" t="s">
        <v>98</v>
      </c>
      <c r="E1285" t="s">
        <v>43</v>
      </c>
      <c r="F1285" t="s">
        <v>83</v>
      </c>
      <c r="G1285">
        <v>1032</v>
      </c>
      <c r="H1285" s="9">
        <v>10.82</v>
      </c>
      <c r="I1285"/>
    </row>
    <row r="1286" spans="1:9" x14ac:dyDescent="0.3">
      <c r="A1286" t="s">
        <v>2</v>
      </c>
      <c r="B1286" t="s">
        <v>19</v>
      </c>
      <c r="C1286" t="s">
        <v>110</v>
      </c>
      <c r="D1286" s="9" t="s">
        <v>111</v>
      </c>
      <c r="E1286" t="s">
        <v>32</v>
      </c>
      <c r="F1286" t="s">
        <v>61</v>
      </c>
      <c r="G1286">
        <v>606.6</v>
      </c>
      <c r="H1286" s="9">
        <v>12.48</v>
      </c>
      <c r="I1286"/>
    </row>
    <row r="1287" spans="1:9" x14ac:dyDescent="0.3">
      <c r="A1287" t="s">
        <v>2</v>
      </c>
      <c r="B1287" t="s">
        <v>19</v>
      </c>
      <c r="C1287" t="s">
        <v>112</v>
      </c>
      <c r="D1287" s="9" t="s">
        <v>111</v>
      </c>
      <c r="E1287" t="s">
        <v>33</v>
      </c>
      <c r="F1287" t="s">
        <v>63</v>
      </c>
      <c r="G1287">
        <v>566</v>
      </c>
      <c r="H1287" s="9">
        <v>12.3</v>
      </c>
      <c r="I1287"/>
    </row>
    <row r="1288" spans="1:9" x14ac:dyDescent="0.3">
      <c r="A1288" t="s">
        <v>2</v>
      </c>
      <c r="B1288" t="s">
        <v>19</v>
      </c>
      <c r="C1288" t="s">
        <v>113</v>
      </c>
      <c r="D1288" s="9" t="s">
        <v>111</v>
      </c>
      <c r="E1288" t="s">
        <v>34</v>
      </c>
      <c r="F1288" t="s">
        <v>65</v>
      </c>
      <c r="G1288">
        <v>698.7</v>
      </c>
      <c r="H1288" s="9">
        <v>13.83</v>
      </c>
      <c r="I1288"/>
    </row>
    <row r="1289" spans="1:9" x14ac:dyDescent="0.3">
      <c r="A1289" t="s">
        <v>2</v>
      </c>
      <c r="B1289" t="s">
        <v>19</v>
      </c>
      <c r="C1289" t="s">
        <v>114</v>
      </c>
      <c r="D1289" s="9" t="s">
        <v>111</v>
      </c>
      <c r="E1289" t="s">
        <v>35</v>
      </c>
      <c r="F1289" t="s">
        <v>67</v>
      </c>
      <c r="G1289">
        <v>743.2</v>
      </c>
      <c r="H1289" s="9">
        <v>12.28</v>
      </c>
      <c r="I1289"/>
    </row>
    <row r="1290" spans="1:9" x14ac:dyDescent="0.3">
      <c r="A1290" t="s">
        <v>2</v>
      </c>
      <c r="B1290" t="s">
        <v>19</v>
      </c>
      <c r="C1290" t="s">
        <v>115</v>
      </c>
      <c r="D1290" s="9" t="s">
        <v>111</v>
      </c>
      <c r="E1290" t="s">
        <v>36</v>
      </c>
      <c r="F1290" t="s">
        <v>69</v>
      </c>
      <c r="G1290">
        <v>773</v>
      </c>
      <c r="H1290" s="9">
        <v>6.65</v>
      </c>
      <c r="I1290"/>
    </row>
    <row r="1291" spans="1:9" x14ac:dyDescent="0.3">
      <c r="A1291" t="s">
        <v>2</v>
      </c>
      <c r="B1291" t="s">
        <v>19</v>
      </c>
      <c r="C1291" t="s">
        <v>116</v>
      </c>
      <c r="D1291" s="9" t="s">
        <v>111</v>
      </c>
      <c r="E1291" t="s">
        <v>37</v>
      </c>
      <c r="F1291" t="s">
        <v>71</v>
      </c>
      <c r="G1291">
        <v>788.3</v>
      </c>
      <c r="H1291" s="9">
        <v>21.8</v>
      </c>
      <c r="I1291"/>
    </row>
    <row r="1292" spans="1:9" x14ac:dyDescent="0.3">
      <c r="A1292" t="s">
        <v>2</v>
      </c>
      <c r="B1292" t="s">
        <v>19</v>
      </c>
      <c r="C1292" t="s">
        <v>117</v>
      </c>
      <c r="D1292" s="9" t="s">
        <v>111</v>
      </c>
      <c r="E1292" t="s">
        <v>38</v>
      </c>
      <c r="F1292" t="s">
        <v>73</v>
      </c>
      <c r="G1292">
        <v>711.4</v>
      </c>
      <c r="H1292" s="9">
        <v>118.96</v>
      </c>
      <c r="I1292"/>
    </row>
    <row r="1293" spans="1:9" x14ac:dyDescent="0.3">
      <c r="A1293" t="s">
        <v>2</v>
      </c>
      <c r="B1293" t="s">
        <v>19</v>
      </c>
      <c r="C1293" t="s">
        <v>118</v>
      </c>
      <c r="D1293" s="9" t="s">
        <v>111</v>
      </c>
      <c r="E1293" t="s">
        <v>39</v>
      </c>
      <c r="F1293" t="s">
        <v>75</v>
      </c>
      <c r="G1293">
        <v>683.6</v>
      </c>
      <c r="H1293" s="9">
        <v>164.76</v>
      </c>
      <c r="I1293"/>
    </row>
    <row r="1294" spans="1:9" x14ac:dyDescent="0.3">
      <c r="A1294" t="s">
        <v>2</v>
      </c>
      <c r="B1294" t="s">
        <v>19</v>
      </c>
      <c r="C1294" t="s">
        <v>119</v>
      </c>
      <c r="D1294" s="9" t="s">
        <v>111</v>
      </c>
      <c r="E1294" t="s">
        <v>40</v>
      </c>
      <c r="F1294" t="s">
        <v>77</v>
      </c>
      <c r="G1294">
        <v>710.4</v>
      </c>
      <c r="H1294" s="9">
        <v>143.04</v>
      </c>
      <c r="I1294"/>
    </row>
    <row r="1295" spans="1:9" x14ac:dyDescent="0.3">
      <c r="A1295" t="s">
        <v>2</v>
      </c>
      <c r="B1295" t="s">
        <v>19</v>
      </c>
      <c r="C1295" t="s">
        <v>120</v>
      </c>
      <c r="D1295" s="9" t="s">
        <v>111</v>
      </c>
      <c r="E1295" t="s">
        <v>41</v>
      </c>
      <c r="F1295" t="s">
        <v>79</v>
      </c>
      <c r="G1295">
        <v>743.1</v>
      </c>
      <c r="H1295" s="9">
        <v>23.87</v>
      </c>
      <c r="I1295"/>
    </row>
    <row r="1296" spans="1:9" x14ac:dyDescent="0.3">
      <c r="A1296" t="s">
        <v>2</v>
      </c>
      <c r="B1296" t="s">
        <v>19</v>
      </c>
      <c r="C1296" t="s">
        <v>121</v>
      </c>
      <c r="D1296" s="9" t="s">
        <v>111</v>
      </c>
      <c r="E1296" t="s">
        <v>42</v>
      </c>
      <c r="F1296" t="s">
        <v>81</v>
      </c>
      <c r="G1296">
        <v>887.8</v>
      </c>
      <c r="H1296" s="9">
        <v>7.86</v>
      </c>
      <c r="I1296"/>
    </row>
    <row r="1297" spans="1:9" x14ac:dyDescent="0.3">
      <c r="A1297" t="s">
        <v>2</v>
      </c>
      <c r="B1297" t="s">
        <v>19</v>
      </c>
      <c r="C1297" t="s">
        <v>122</v>
      </c>
      <c r="D1297" s="9" t="s">
        <v>111</v>
      </c>
      <c r="E1297" t="s">
        <v>43</v>
      </c>
      <c r="F1297" t="s">
        <v>83</v>
      </c>
      <c r="G1297">
        <v>1120.8</v>
      </c>
      <c r="H1297" s="9">
        <v>8.6</v>
      </c>
      <c r="I1297"/>
    </row>
    <row r="1298" spans="1:9" x14ac:dyDescent="0.3">
      <c r="A1298" t="s">
        <v>2</v>
      </c>
      <c r="B1298" t="s">
        <v>19</v>
      </c>
      <c r="C1298" t="s">
        <v>123</v>
      </c>
      <c r="D1298" s="9" t="s">
        <v>124</v>
      </c>
      <c r="E1298" t="s">
        <v>32</v>
      </c>
      <c r="F1298" t="s">
        <v>61</v>
      </c>
      <c r="G1298">
        <v>702.2</v>
      </c>
      <c r="H1298" s="9">
        <v>15.76</v>
      </c>
      <c r="I1298"/>
    </row>
    <row r="1299" spans="1:9" x14ac:dyDescent="0.3">
      <c r="A1299" t="s">
        <v>2</v>
      </c>
      <c r="B1299" t="s">
        <v>19</v>
      </c>
      <c r="C1299" t="s">
        <v>125</v>
      </c>
      <c r="D1299" s="9" t="s">
        <v>124</v>
      </c>
      <c r="E1299" t="s">
        <v>33</v>
      </c>
      <c r="F1299" t="s">
        <v>63</v>
      </c>
      <c r="G1299">
        <v>603.29999999999995</v>
      </c>
      <c r="H1299" s="9">
        <v>6.59</v>
      </c>
      <c r="I1299"/>
    </row>
    <row r="1300" spans="1:9" x14ac:dyDescent="0.3">
      <c r="A1300" t="s">
        <v>2</v>
      </c>
      <c r="B1300" t="s">
        <v>19</v>
      </c>
      <c r="C1300" t="s">
        <v>126</v>
      </c>
      <c r="D1300" s="9" t="s">
        <v>124</v>
      </c>
      <c r="E1300" t="s">
        <v>34</v>
      </c>
      <c r="F1300" t="s">
        <v>65</v>
      </c>
      <c r="G1300">
        <v>723.1</v>
      </c>
      <c r="H1300" s="9">
        <v>3.49</v>
      </c>
      <c r="I1300"/>
    </row>
    <row r="1301" spans="1:9" x14ac:dyDescent="0.3">
      <c r="A1301" t="s">
        <v>2</v>
      </c>
      <c r="B1301" t="s">
        <v>19</v>
      </c>
      <c r="C1301" t="s">
        <v>127</v>
      </c>
      <c r="D1301" s="9" t="s">
        <v>124</v>
      </c>
      <c r="E1301" t="s">
        <v>35</v>
      </c>
      <c r="F1301" t="s">
        <v>67</v>
      </c>
      <c r="G1301">
        <v>773.5</v>
      </c>
      <c r="H1301" s="9">
        <v>4.08</v>
      </c>
      <c r="I1301"/>
    </row>
    <row r="1302" spans="1:9" x14ac:dyDescent="0.3">
      <c r="A1302" t="s">
        <v>2</v>
      </c>
      <c r="B1302" t="s">
        <v>19</v>
      </c>
      <c r="C1302" t="s">
        <v>128</v>
      </c>
      <c r="D1302" s="9" t="s">
        <v>124</v>
      </c>
      <c r="E1302" t="s">
        <v>36</v>
      </c>
      <c r="F1302" t="s">
        <v>69</v>
      </c>
      <c r="G1302">
        <v>836.5</v>
      </c>
      <c r="H1302" s="9">
        <v>8.2100000000000009</v>
      </c>
      <c r="I1302"/>
    </row>
    <row r="1303" spans="1:9" x14ac:dyDescent="0.3">
      <c r="A1303" t="s">
        <v>2</v>
      </c>
      <c r="B1303" t="s">
        <v>19</v>
      </c>
      <c r="C1303" t="s">
        <v>129</v>
      </c>
      <c r="D1303" s="9" t="s">
        <v>124</v>
      </c>
      <c r="E1303" t="s">
        <v>37</v>
      </c>
      <c r="F1303" t="s">
        <v>71</v>
      </c>
      <c r="G1303">
        <v>790.8</v>
      </c>
      <c r="H1303" s="9">
        <v>0.32</v>
      </c>
      <c r="I1303"/>
    </row>
    <row r="1304" spans="1:9" x14ac:dyDescent="0.3">
      <c r="A1304" t="s">
        <v>2</v>
      </c>
      <c r="B1304" t="s">
        <v>19</v>
      </c>
      <c r="C1304" t="s">
        <v>130</v>
      </c>
      <c r="D1304" s="9" t="s">
        <v>124</v>
      </c>
      <c r="E1304" t="s">
        <v>38</v>
      </c>
      <c r="F1304" t="s">
        <v>73</v>
      </c>
      <c r="G1304">
        <v>720.6</v>
      </c>
      <c r="H1304" s="9">
        <v>1.29</v>
      </c>
      <c r="I1304"/>
    </row>
    <row r="1305" spans="1:9" x14ac:dyDescent="0.3">
      <c r="A1305" t="s">
        <v>2</v>
      </c>
      <c r="B1305" t="s">
        <v>19</v>
      </c>
      <c r="C1305" t="s">
        <v>131</v>
      </c>
      <c r="D1305" s="9" t="s">
        <v>124</v>
      </c>
      <c r="E1305" t="s">
        <v>39</v>
      </c>
      <c r="F1305" t="s">
        <v>75</v>
      </c>
      <c r="G1305">
        <v>710.9</v>
      </c>
      <c r="H1305" s="9">
        <v>3.99</v>
      </c>
      <c r="I1305"/>
    </row>
    <row r="1306" spans="1:9" x14ac:dyDescent="0.3">
      <c r="A1306" t="s">
        <v>2</v>
      </c>
      <c r="B1306" t="s">
        <v>19</v>
      </c>
      <c r="C1306" t="s">
        <v>132</v>
      </c>
      <c r="D1306" s="9" t="s">
        <v>124</v>
      </c>
      <c r="E1306" t="s">
        <v>40</v>
      </c>
      <c r="F1306" t="s">
        <v>77</v>
      </c>
      <c r="G1306">
        <v>771.8</v>
      </c>
      <c r="H1306" s="9">
        <v>8.64</v>
      </c>
      <c r="I1306"/>
    </row>
    <row r="1307" spans="1:9" x14ac:dyDescent="0.3">
      <c r="A1307" t="s">
        <v>2</v>
      </c>
      <c r="B1307" t="s">
        <v>19</v>
      </c>
      <c r="C1307" t="s">
        <v>133</v>
      </c>
      <c r="D1307" s="9" t="s">
        <v>124</v>
      </c>
      <c r="E1307" t="s">
        <v>41</v>
      </c>
      <c r="F1307" t="s">
        <v>79</v>
      </c>
      <c r="G1307">
        <v>766.3</v>
      </c>
      <c r="H1307" s="9">
        <v>3.12</v>
      </c>
      <c r="I1307"/>
    </row>
    <row r="1308" spans="1:9" x14ac:dyDescent="0.3">
      <c r="A1308" t="s">
        <v>2</v>
      </c>
      <c r="B1308" t="s">
        <v>19</v>
      </c>
      <c r="C1308" t="s">
        <v>134</v>
      </c>
      <c r="D1308" s="9" t="s">
        <v>124</v>
      </c>
      <c r="E1308" t="s">
        <v>42</v>
      </c>
      <c r="F1308" t="s">
        <v>81</v>
      </c>
      <c r="G1308">
        <v>906.1</v>
      </c>
      <c r="H1308" s="9">
        <v>2.06</v>
      </c>
      <c r="I1308"/>
    </row>
    <row r="1309" spans="1:9" x14ac:dyDescent="0.3">
      <c r="A1309" t="s">
        <v>2</v>
      </c>
      <c r="B1309" t="s">
        <v>19</v>
      </c>
      <c r="C1309" t="s">
        <v>135</v>
      </c>
      <c r="D1309" s="9" t="s">
        <v>124</v>
      </c>
      <c r="E1309" t="s">
        <v>43</v>
      </c>
      <c r="F1309" t="s">
        <v>83</v>
      </c>
      <c r="G1309">
        <v>1093.3</v>
      </c>
      <c r="H1309" s="9">
        <v>-2.4500000000000002</v>
      </c>
      <c r="I1309"/>
    </row>
    <row r="1310" spans="1:9" x14ac:dyDescent="0.3">
      <c r="A1310" t="s">
        <v>2</v>
      </c>
      <c r="B1310" t="s">
        <v>19</v>
      </c>
      <c r="C1310" t="s">
        <v>136</v>
      </c>
      <c r="D1310" s="9" t="s">
        <v>137</v>
      </c>
      <c r="E1310" t="s">
        <v>32</v>
      </c>
      <c r="F1310" t="s">
        <v>61</v>
      </c>
      <c r="G1310">
        <v>705.2</v>
      </c>
      <c r="H1310" s="9">
        <v>0.43</v>
      </c>
      <c r="I1310"/>
    </row>
    <row r="1311" spans="1:9" x14ac:dyDescent="0.3">
      <c r="A1311" t="s">
        <v>2</v>
      </c>
      <c r="B1311" t="s">
        <v>19</v>
      </c>
      <c r="C1311" t="s">
        <v>138</v>
      </c>
      <c r="D1311" s="9" t="s">
        <v>137</v>
      </c>
      <c r="E1311" t="s">
        <v>33</v>
      </c>
      <c r="F1311" t="s">
        <v>63</v>
      </c>
      <c r="G1311">
        <v>673</v>
      </c>
      <c r="H1311" s="9">
        <v>11.55</v>
      </c>
      <c r="I1311"/>
    </row>
    <row r="1312" spans="1:9" x14ac:dyDescent="0.3">
      <c r="A1312" t="s">
        <v>2</v>
      </c>
      <c r="B1312" t="s">
        <v>19</v>
      </c>
      <c r="C1312" t="s">
        <v>139</v>
      </c>
      <c r="D1312" s="9" t="s">
        <v>137</v>
      </c>
      <c r="E1312" t="s">
        <v>34</v>
      </c>
      <c r="F1312" t="s">
        <v>65</v>
      </c>
      <c r="G1312">
        <v>716.9</v>
      </c>
      <c r="H1312" s="9">
        <v>-0.86</v>
      </c>
      <c r="I1312"/>
    </row>
    <row r="1313" spans="1:9" x14ac:dyDescent="0.3">
      <c r="A1313" t="s">
        <v>2</v>
      </c>
      <c r="B1313" t="s">
        <v>19</v>
      </c>
      <c r="C1313" t="s">
        <v>140</v>
      </c>
      <c r="D1313" s="9" t="s">
        <v>137</v>
      </c>
      <c r="E1313" t="s">
        <v>35</v>
      </c>
      <c r="F1313" t="s">
        <v>67</v>
      </c>
      <c r="G1313">
        <v>774.2</v>
      </c>
      <c r="H1313" s="9">
        <v>0.09</v>
      </c>
      <c r="I1313"/>
    </row>
    <row r="1314" spans="1:9" x14ac:dyDescent="0.3">
      <c r="A1314" t="s">
        <v>2</v>
      </c>
      <c r="B1314" t="s">
        <v>19</v>
      </c>
      <c r="C1314" t="s">
        <v>141</v>
      </c>
      <c r="D1314" s="9" t="s">
        <v>137</v>
      </c>
      <c r="E1314" t="s">
        <v>36</v>
      </c>
      <c r="F1314" t="s">
        <v>69</v>
      </c>
      <c r="G1314">
        <v>837.5</v>
      </c>
      <c r="H1314" s="9">
        <v>0.12</v>
      </c>
      <c r="I1314"/>
    </row>
    <row r="1315" spans="1:9" x14ac:dyDescent="0.3">
      <c r="A1315" t="s">
        <v>2</v>
      </c>
      <c r="B1315" t="s">
        <v>19</v>
      </c>
      <c r="C1315" t="s">
        <v>142</v>
      </c>
      <c r="D1315" s="9" t="s">
        <v>137</v>
      </c>
      <c r="E1315" t="s">
        <v>37</v>
      </c>
      <c r="F1315" t="s">
        <v>71</v>
      </c>
      <c r="G1315">
        <v>802.4</v>
      </c>
      <c r="H1315" s="9">
        <v>1.47</v>
      </c>
      <c r="I1315"/>
    </row>
    <row r="1316" spans="1:9" x14ac:dyDescent="0.3">
      <c r="A1316" t="s">
        <v>2</v>
      </c>
      <c r="B1316" t="s">
        <v>19</v>
      </c>
      <c r="C1316" t="s">
        <v>143</v>
      </c>
      <c r="D1316" s="9" t="s">
        <v>137</v>
      </c>
      <c r="E1316" t="s">
        <v>38</v>
      </c>
      <c r="F1316" t="s">
        <v>73</v>
      </c>
      <c r="G1316">
        <v>733.2</v>
      </c>
      <c r="H1316" s="9">
        <v>1.75</v>
      </c>
      <c r="I1316"/>
    </row>
    <row r="1317" spans="1:9" x14ac:dyDescent="0.3">
      <c r="A1317" t="s">
        <v>2</v>
      </c>
      <c r="B1317" t="s">
        <v>19</v>
      </c>
      <c r="C1317" t="s">
        <v>144</v>
      </c>
      <c r="D1317" s="9" t="s">
        <v>137</v>
      </c>
      <c r="E1317" t="s">
        <v>39</v>
      </c>
      <c r="F1317" t="s">
        <v>75</v>
      </c>
      <c r="G1317">
        <v>750.6</v>
      </c>
      <c r="H1317" s="9">
        <v>5.58</v>
      </c>
      <c r="I1317"/>
    </row>
    <row r="1318" spans="1:9" x14ac:dyDescent="0.3">
      <c r="A1318" t="s">
        <v>2</v>
      </c>
      <c r="B1318" t="s">
        <v>19</v>
      </c>
      <c r="C1318" t="s">
        <v>145</v>
      </c>
      <c r="D1318" s="9" t="s">
        <v>137</v>
      </c>
      <c r="E1318" t="s">
        <v>40</v>
      </c>
      <c r="F1318" t="s">
        <v>77</v>
      </c>
      <c r="G1318">
        <v>767.2</v>
      </c>
      <c r="H1318" s="9">
        <v>-0.6</v>
      </c>
      <c r="I1318"/>
    </row>
    <row r="1319" spans="1:9" x14ac:dyDescent="0.3">
      <c r="A1319" t="s">
        <v>2</v>
      </c>
      <c r="B1319" t="s">
        <v>19</v>
      </c>
      <c r="C1319" t="s">
        <v>146</v>
      </c>
      <c r="D1319" s="9" t="s">
        <v>137</v>
      </c>
      <c r="E1319" t="s">
        <v>41</v>
      </c>
      <c r="F1319" t="s">
        <v>79</v>
      </c>
      <c r="G1319">
        <v>781</v>
      </c>
      <c r="H1319" s="9">
        <v>1.92</v>
      </c>
      <c r="I1319"/>
    </row>
    <row r="1320" spans="1:9" x14ac:dyDescent="0.3">
      <c r="A1320" t="s">
        <v>2</v>
      </c>
      <c r="B1320" t="s">
        <v>19</v>
      </c>
      <c r="C1320" t="s">
        <v>147</v>
      </c>
      <c r="D1320" s="9" t="s">
        <v>137</v>
      </c>
      <c r="E1320" t="s">
        <v>42</v>
      </c>
      <c r="F1320" t="s">
        <v>81</v>
      </c>
      <c r="G1320">
        <v>943.6</v>
      </c>
      <c r="H1320" s="9">
        <v>4.1399999999999997</v>
      </c>
      <c r="I1320"/>
    </row>
    <row r="1321" spans="1:9" x14ac:dyDescent="0.3">
      <c r="A1321" t="s">
        <v>2</v>
      </c>
      <c r="B1321" t="s">
        <v>19</v>
      </c>
      <c r="C1321" t="s">
        <v>148</v>
      </c>
      <c r="D1321" s="9" t="s">
        <v>137</v>
      </c>
      <c r="E1321" t="s">
        <v>43</v>
      </c>
      <c r="F1321" t="s">
        <v>83</v>
      </c>
      <c r="G1321">
        <v>1118.5</v>
      </c>
      <c r="H1321" s="9">
        <v>2.2999999999999998</v>
      </c>
      <c r="I1321"/>
    </row>
    <row r="1322" spans="1:9" x14ac:dyDescent="0.3">
      <c r="A1322" t="s">
        <v>2</v>
      </c>
      <c r="B1322" t="s">
        <v>19</v>
      </c>
      <c r="C1322" t="s">
        <v>149</v>
      </c>
      <c r="D1322" s="9" t="s">
        <v>150</v>
      </c>
      <c r="E1322" t="s">
        <v>32</v>
      </c>
      <c r="F1322" t="s">
        <v>61</v>
      </c>
      <c r="G1322">
        <v>748.4</v>
      </c>
      <c r="H1322" s="9">
        <v>6.13</v>
      </c>
      <c r="I1322"/>
    </row>
    <row r="1323" spans="1:9" x14ac:dyDescent="0.3">
      <c r="A1323" t="s">
        <v>2</v>
      </c>
      <c r="B1323" t="s">
        <v>19</v>
      </c>
      <c r="C1323" t="s">
        <v>151</v>
      </c>
      <c r="D1323" s="9" t="s">
        <v>150</v>
      </c>
      <c r="E1323" t="s">
        <v>33</v>
      </c>
      <c r="F1323" t="s">
        <v>63</v>
      </c>
      <c r="G1323">
        <v>661.5</v>
      </c>
      <c r="H1323" s="9">
        <v>-1.71</v>
      </c>
      <c r="I1323"/>
    </row>
    <row r="1324" spans="1:9" x14ac:dyDescent="0.3">
      <c r="A1324" t="s">
        <v>2</v>
      </c>
      <c r="B1324" t="s">
        <v>19</v>
      </c>
      <c r="C1324" t="s">
        <v>152</v>
      </c>
      <c r="D1324" s="9" t="s">
        <v>150</v>
      </c>
      <c r="E1324" t="s">
        <v>34</v>
      </c>
      <c r="F1324" t="s">
        <v>65</v>
      </c>
      <c r="G1324">
        <v>780.8</v>
      </c>
      <c r="H1324" s="9">
        <v>8.91</v>
      </c>
      <c r="I1324"/>
    </row>
    <row r="1325" spans="1:9" x14ac:dyDescent="0.3">
      <c r="A1325" t="s">
        <v>2</v>
      </c>
      <c r="B1325" t="s">
        <v>19</v>
      </c>
      <c r="C1325" t="s">
        <v>153</v>
      </c>
      <c r="D1325" s="9" t="s">
        <v>150</v>
      </c>
      <c r="E1325" t="s">
        <v>35</v>
      </c>
      <c r="F1325" t="s">
        <v>67</v>
      </c>
      <c r="G1325">
        <v>770.1</v>
      </c>
      <c r="H1325" s="9">
        <v>-0.53</v>
      </c>
      <c r="I1325"/>
    </row>
    <row r="1326" spans="1:9" x14ac:dyDescent="0.3">
      <c r="A1326" t="s">
        <v>2</v>
      </c>
      <c r="B1326" t="s">
        <v>19</v>
      </c>
      <c r="C1326" t="s">
        <v>154</v>
      </c>
      <c r="D1326" s="9" t="s">
        <v>150</v>
      </c>
      <c r="E1326" t="s">
        <v>36</v>
      </c>
      <c r="F1326" t="s">
        <v>69</v>
      </c>
      <c r="G1326">
        <v>869.4</v>
      </c>
      <c r="H1326" s="9">
        <v>3.81</v>
      </c>
      <c r="I1326"/>
    </row>
    <row r="1327" spans="1:9" x14ac:dyDescent="0.3">
      <c r="A1327" t="s">
        <v>2</v>
      </c>
      <c r="B1327" t="s">
        <v>19</v>
      </c>
      <c r="C1327" t="s">
        <v>155</v>
      </c>
      <c r="D1327" s="9" t="s">
        <v>150</v>
      </c>
      <c r="E1327" t="s">
        <v>37</v>
      </c>
      <c r="F1327" t="s">
        <v>71</v>
      </c>
      <c r="G1327">
        <v>850.5</v>
      </c>
      <c r="H1327" s="9">
        <v>5.99</v>
      </c>
      <c r="I1327"/>
    </row>
    <row r="1328" spans="1:9" x14ac:dyDescent="0.3">
      <c r="A1328" t="s">
        <v>2</v>
      </c>
      <c r="B1328" t="s">
        <v>16</v>
      </c>
      <c r="C1328" t="s">
        <v>59</v>
      </c>
      <c r="D1328" s="9" t="s">
        <v>60</v>
      </c>
      <c r="E1328" t="s">
        <v>32</v>
      </c>
      <c r="F1328" t="s">
        <v>61</v>
      </c>
      <c r="G1328">
        <v>465.2</v>
      </c>
      <c r="I1328"/>
    </row>
    <row r="1329" spans="1:9" x14ac:dyDescent="0.3">
      <c r="A1329" t="s">
        <v>2</v>
      </c>
      <c r="B1329" t="s">
        <v>16</v>
      </c>
      <c r="C1329" t="s">
        <v>62</v>
      </c>
      <c r="D1329" s="9" t="s">
        <v>60</v>
      </c>
      <c r="E1329" t="s">
        <v>33</v>
      </c>
      <c r="F1329" t="s">
        <v>63</v>
      </c>
      <c r="G1329">
        <v>356.2</v>
      </c>
      <c r="I1329"/>
    </row>
    <row r="1330" spans="1:9" x14ac:dyDescent="0.3">
      <c r="A1330" t="s">
        <v>2</v>
      </c>
      <c r="B1330" t="s">
        <v>16</v>
      </c>
      <c r="C1330" t="s">
        <v>64</v>
      </c>
      <c r="D1330" s="9" t="s">
        <v>60</v>
      </c>
      <c r="E1330" t="s">
        <v>34</v>
      </c>
      <c r="F1330" t="s">
        <v>65</v>
      </c>
      <c r="G1330">
        <v>444.9</v>
      </c>
      <c r="I1330"/>
    </row>
    <row r="1331" spans="1:9" x14ac:dyDescent="0.3">
      <c r="A1331" t="s">
        <v>2</v>
      </c>
      <c r="B1331" t="s">
        <v>16</v>
      </c>
      <c r="C1331" t="s">
        <v>66</v>
      </c>
      <c r="D1331" s="9" t="s">
        <v>60</v>
      </c>
      <c r="E1331" t="s">
        <v>35</v>
      </c>
      <c r="F1331" t="s">
        <v>67</v>
      </c>
      <c r="G1331">
        <v>479.6</v>
      </c>
      <c r="I1331"/>
    </row>
    <row r="1332" spans="1:9" x14ac:dyDescent="0.3">
      <c r="A1332" t="s">
        <v>2</v>
      </c>
      <c r="B1332" t="s">
        <v>16</v>
      </c>
      <c r="C1332" t="s">
        <v>68</v>
      </c>
      <c r="D1332" s="9" t="s">
        <v>60</v>
      </c>
      <c r="E1332" t="s">
        <v>36</v>
      </c>
      <c r="F1332" t="s">
        <v>69</v>
      </c>
      <c r="G1332">
        <v>494.8</v>
      </c>
      <c r="I1332"/>
    </row>
    <row r="1333" spans="1:9" x14ac:dyDescent="0.3">
      <c r="A1333" t="s">
        <v>2</v>
      </c>
      <c r="B1333" t="s">
        <v>16</v>
      </c>
      <c r="C1333" t="s">
        <v>70</v>
      </c>
      <c r="D1333" s="9" t="s">
        <v>60</v>
      </c>
      <c r="E1333" t="s">
        <v>37</v>
      </c>
      <c r="F1333" t="s">
        <v>71</v>
      </c>
      <c r="G1333">
        <v>526.6</v>
      </c>
      <c r="I1333"/>
    </row>
    <row r="1334" spans="1:9" x14ac:dyDescent="0.3">
      <c r="A1334" t="s">
        <v>2</v>
      </c>
      <c r="B1334" t="s">
        <v>16</v>
      </c>
      <c r="C1334" t="s">
        <v>72</v>
      </c>
      <c r="D1334" s="9" t="s">
        <v>60</v>
      </c>
      <c r="E1334" t="s">
        <v>38</v>
      </c>
      <c r="F1334" t="s">
        <v>73</v>
      </c>
      <c r="G1334">
        <v>451.5</v>
      </c>
      <c r="I1334"/>
    </row>
    <row r="1335" spans="1:9" x14ac:dyDescent="0.3">
      <c r="A1335" t="s">
        <v>2</v>
      </c>
      <c r="B1335" t="s">
        <v>16</v>
      </c>
      <c r="C1335" t="s">
        <v>74</v>
      </c>
      <c r="D1335" s="9" t="s">
        <v>60</v>
      </c>
      <c r="E1335" t="s">
        <v>39</v>
      </c>
      <c r="F1335" t="s">
        <v>75</v>
      </c>
      <c r="G1335">
        <v>446.2</v>
      </c>
      <c r="I1335"/>
    </row>
    <row r="1336" spans="1:9" x14ac:dyDescent="0.3">
      <c r="A1336" t="s">
        <v>2</v>
      </c>
      <c r="B1336" t="s">
        <v>16</v>
      </c>
      <c r="C1336" t="s">
        <v>76</v>
      </c>
      <c r="D1336" s="9" t="s">
        <v>60</v>
      </c>
      <c r="E1336" t="s">
        <v>40</v>
      </c>
      <c r="F1336" t="s">
        <v>77</v>
      </c>
      <c r="G1336">
        <v>456.7</v>
      </c>
      <c r="I1336"/>
    </row>
    <row r="1337" spans="1:9" x14ac:dyDescent="0.3">
      <c r="A1337" t="s">
        <v>2</v>
      </c>
      <c r="B1337" t="s">
        <v>16</v>
      </c>
      <c r="C1337" t="s">
        <v>78</v>
      </c>
      <c r="D1337" s="9" t="s">
        <v>60</v>
      </c>
      <c r="E1337" t="s">
        <v>41</v>
      </c>
      <c r="F1337" t="s">
        <v>79</v>
      </c>
      <c r="G1337">
        <v>511</v>
      </c>
      <c r="I1337"/>
    </row>
    <row r="1338" spans="1:9" x14ac:dyDescent="0.3">
      <c r="A1338" t="s">
        <v>2</v>
      </c>
      <c r="B1338" t="s">
        <v>16</v>
      </c>
      <c r="C1338" t="s">
        <v>80</v>
      </c>
      <c r="D1338" s="9" t="s">
        <v>60</v>
      </c>
      <c r="E1338" t="s">
        <v>42</v>
      </c>
      <c r="F1338" t="s">
        <v>81</v>
      </c>
      <c r="G1338">
        <v>604.79999999999995</v>
      </c>
      <c r="I1338"/>
    </row>
    <row r="1339" spans="1:9" x14ac:dyDescent="0.3">
      <c r="A1339" t="s">
        <v>2</v>
      </c>
      <c r="B1339" t="s">
        <v>16</v>
      </c>
      <c r="C1339" t="s">
        <v>82</v>
      </c>
      <c r="D1339" s="9" t="s">
        <v>60</v>
      </c>
      <c r="E1339" t="s">
        <v>43</v>
      </c>
      <c r="F1339" t="s">
        <v>83</v>
      </c>
      <c r="G1339">
        <v>920.3</v>
      </c>
      <c r="I1339"/>
    </row>
    <row r="1340" spans="1:9" x14ac:dyDescent="0.3">
      <c r="A1340" t="s">
        <v>2</v>
      </c>
      <c r="B1340" t="s">
        <v>16</v>
      </c>
      <c r="C1340" t="s">
        <v>84</v>
      </c>
      <c r="D1340" s="9" t="s">
        <v>85</v>
      </c>
      <c r="E1340" t="s">
        <v>32</v>
      </c>
      <c r="F1340" t="s">
        <v>61</v>
      </c>
      <c r="G1340">
        <v>469.2</v>
      </c>
      <c r="H1340" s="9">
        <v>0.86</v>
      </c>
      <c r="I1340"/>
    </row>
    <row r="1341" spans="1:9" x14ac:dyDescent="0.3">
      <c r="A1341" t="s">
        <v>2</v>
      </c>
      <c r="B1341" t="s">
        <v>16</v>
      </c>
      <c r="C1341" t="s">
        <v>86</v>
      </c>
      <c r="D1341" s="9" t="s">
        <v>85</v>
      </c>
      <c r="E1341" t="s">
        <v>33</v>
      </c>
      <c r="F1341" t="s">
        <v>63</v>
      </c>
      <c r="G1341">
        <v>376.8</v>
      </c>
      <c r="H1341" s="9">
        <v>5.78</v>
      </c>
      <c r="I1341"/>
    </row>
    <row r="1342" spans="1:9" x14ac:dyDescent="0.3">
      <c r="A1342" t="s">
        <v>2</v>
      </c>
      <c r="B1342" t="s">
        <v>16</v>
      </c>
      <c r="C1342" t="s">
        <v>87</v>
      </c>
      <c r="D1342" s="9" t="s">
        <v>85</v>
      </c>
      <c r="E1342" t="s">
        <v>34</v>
      </c>
      <c r="F1342" t="s">
        <v>65</v>
      </c>
      <c r="G1342">
        <v>412</v>
      </c>
      <c r="H1342" s="9">
        <v>-7.39</v>
      </c>
      <c r="I1342"/>
    </row>
    <row r="1343" spans="1:9" x14ac:dyDescent="0.3">
      <c r="A1343" t="s">
        <v>2</v>
      </c>
      <c r="B1343" t="s">
        <v>16</v>
      </c>
      <c r="C1343" t="s">
        <v>88</v>
      </c>
      <c r="D1343" s="9" t="s">
        <v>85</v>
      </c>
      <c r="E1343" t="s">
        <v>35</v>
      </c>
      <c r="F1343" t="s">
        <v>67</v>
      </c>
      <c r="G1343">
        <v>390</v>
      </c>
      <c r="H1343" s="9">
        <v>-18.68</v>
      </c>
      <c r="I1343"/>
    </row>
    <row r="1344" spans="1:9" x14ac:dyDescent="0.3">
      <c r="A1344" t="s">
        <v>2</v>
      </c>
      <c r="B1344" t="s">
        <v>16</v>
      </c>
      <c r="C1344" t="s">
        <v>89</v>
      </c>
      <c r="D1344" s="9" t="s">
        <v>85</v>
      </c>
      <c r="E1344" t="s">
        <v>36</v>
      </c>
      <c r="F1344" t="s">
        <v>69</v>
      </c>
      <c r="G1344">
        <v>557.6</v>
      </c>
      <c r="H1344" s="9">
        <v>12.69</v>
      </c>
      <c r="I1344"/>
    </row>
    <row r="1345" spans="1:9" x14ac:dyDescent="0.3">
      <c r="A1345" t="s">
        <v>2</v>
      </c>
      <c r="B1345" t="s">
        <v>16</v>
      </c>
      <c r="C1345" t="s">
        <v>90</v>
      </c>
      <c r="D1345" s="9" t="s">
        <v>85</v>
      </c>
      <c r="E1345" t="s">
        <v>37</v>
      </c>
      <c r="F1345" t="s">
        <v>71</v>
      </c>
      <c r="G1345">
        <v>520</v>
      </c>
      <c r="H1345" s="9">
        <v>-1.25</v>
      </c>
      <c r="I1345"/>
    </row>
    <row r="1346" spans="1:9" x14ac:dyDescent="0.3">
      <c r="A1346" t="s">
        <v>2</v>
      </c>
      <c r="B1346" t="s">
        <v>16</v>
      </c>
      <c r="C1346" t="s">
        <v>91</v>
      </c>
      <c r="D1346" s="9" t="s">
        <v>85</v>
      </c>
      <c r="E1346" t="s">
        <v>38</v>
      </c>
      <c r="F1346" t="s">
        <v>73</v>
      </c>
      <c r="G1346">
        <v>506.9</v>
      </c>
      <c r="H1346" s="9">
        <v>12.27</v>
      </c>
      <c r="I1346"/>
    </row>
    <row r="1347" spans="1:9" x14ac:dyDescent="0.3">
      <c r="A1347" t="s">
        <v>2</v>
      </c>
      <c r="B1347" t="s">
        <v>16</v>
      </c>
      <c r="C1347" t="s">
        <v>92</v>
      </c>
      <c r="D1347" s="9" t="s">
        <v>85</v>
      </c>
      <c r="E1347" t="s">
        <v>39</v>
      </c>
      <c r="F1347" t="s">
        <v>75</v>
      </c>
      <c r="G1347">
        <v>449.3</v>
      </c>
      <c r="H1347" s="9">
        <v>0.69</v>
      </c>
      <c r="I1347"/>
    </row>
    <row r="1348" spans="1:9" x14ac:dyDescent="0.3">
      <c r="A1348" t="s">
        <v>2</v>
      </c>
      <c r="B1348" t="s">
        <v>16</v>
      </c>
      <c r="C1348" t="s">
        <v>93</v>
      </c>
      <c r="D1348" s="9" t="s">
        <v>85</v>
      </c>
      <c r="E1348" t="s">
        <v>40</v>
      </c>
      <c r="F1348" t="s">
        <v>77</v>
      </c>
      <c r="G1348">
        <v>505.7</v>
      </c>
      <c r="H1348" s="9">
        <v>10.73</v>
      </c>
      <c r="I1348"/>
    </row>
    <row r="1349" spans="1:9" x14ac:dyDescent="0.3">
      <c r="A1349" t="s">
        <v>2</v>
      </c>
      <c r="B1349" t="s">
        <v>16</v>
      </c>
      <c r="C1349" t="s">
        <v>94</v>
      </c>
      <c r="D1349" s="9" t="s">
        <v>85</v>
      </c>
      <c r="E1349" t="s">
        <v>41</v>
      </c>
      <c r="F1349" t="s">
        <v>79</v>
      </c>
      <c r="G1349">
        <v>561.6</v>
      </c>
      <c r="H1349" s="9">
        <v>9.9</v>
      </c>
      <c r="I1349"/>
    </row>
    <row r="1350" spans="1:9" x14ac:dyDescent="0.3">
      <c r="A1350" t="s">
        <v>2</v>
      </c>
      <c r="B1350" t="s">
        <v>16</v>
      </c>
      <c r="C1350" t="s">
        <v>95</v>
      </c>
      <c r="D1350" s="9" t="s">
        <v>85</v>
      </c>
      <c r="E1350" t="s">
        <v>42</v>
      </c>
      <c r="F1350" t="s">
        <v>81</v>
      </c>
      <c r="G1350">
        <v>688</v>
      </c>
      <c r="H1350" s="9">
        <v>13.76</v>
      </c>
      <c r="I1350"/>
    </row>
    <row r="1351" spans="1:9" x14ac:dyDescent="0.3">
      <c r="A1351" t="s">
        <v>2</v>
      </c>
      <c r="B1351" t="s">
        <v>16</v>
      </c>
      <c r="C1351" t="s">
        <v>96</v>
      </c>
      <c r="D1351" s="9" t="s">
        <v>85</v>
      </c>
      <c r="E1351" t="s">
        <v>43</v>
      </c>
      <c r="F1351" t="s">
        <v>83</v>
      </c>
      <c r="G1351">
        <v>959.4</v>
      </c>
      <c r="H1351" s="9">
        <v>4.25</v>
      </c>
      <c r="I1351"/>
    </row>
    <row r="1352" spans="1:9" x14ac:dyDescent="0.3">
      <c r="A1352" t="s">
        <v>2</v>
      </c>
      <c r="B1352" t="s">
        <v>16</v>
      </c>
      <c r="C1352" t="s">
        <v>97</v>
      </c>
      <c r="D1352" s="9" t="s">
        <v>98</v>
      </c>
      <c r="E1352" t="s">
        <v>32</v>
      </c>
      <c r="F1352" t="s">
        <v>61</v>
      </c>
      <c r="G1352">
        <v>470.6</v>
      </c>
      <c r="H1352" s="9">
        <v>0.3</v>
      </c>
      <c r="I1352"/>
    </row>
    <row r="1353" spans="1:9" x14ac:dyDescent="0.3">
      <c r="A1353" t="s">
        <v>2</v>
      </c>
      <c r="B1353" t="s">
        <v>16</v>
      </c>
      <c r="C1353" t="s">
        <v>99</v>
      </c>
      <c r="D1353" s="9" t="s">
        <v>98</v>
      </c>
      <c r="E1353" t="s">
        <v>33</v>
      </c>
      <c r="F1353" t="s">
        <v>63</v>
      </c>
      <c r="G1353">
        <v>398.2</v>
      </c>
      <c r="H1353" s="9">
        <v>5.68</v>
      </c>
      <c r="I1353"/>
    </row>
    <row r="1354" spans="1:9" x14ac:dyDescent="0.3">
      <c r="A1354" t="s">
        <v>2</v>
      </c>
      <c r="B1354" t="s">
        <v>16</v>
      </c>
      <c r="C1354" t="s">
        <v>100</v>
      </c>
      <c r="D1354" s="9" t="s">
        <v>98</v>
      </c>
      <c r="E1354" t="s">
        <v>34</v>
      </c>
      <c r="F1354" t="s">
        <v>65</v>
      </c>
      <c r="G1354">
        <v>513.6</v>
      </c>
      <c r="H1354" s="9">
        <v>24.66</v>
      </c>
      <c r="I1354"/>
    </row>
    <row r="1355" spans="1:9" x14ac:dyDescent="0.3">
      <c r="A1355" t="s">
        <v>2</v>
      </c>
      <c r="B1355" t="s">
        <v>16</v>
      </c>
      <c r="C1355" t="s">
        <v>101</v>
      </c>
      <c r="D1355" s="9" t="s">
        <v>98</v>
      </c>
      <c r="E1355" t="s">
        <v>35</v>
      </c>
      <c r="F1355" t="s">
        <v>67</v>
      </c>
      <c r="G1355">
        <v>516.79999999999995</v>
      </c>
      <c r="H1355" s="9">
        <v>32.51</v>
      </c>
      <c r="I1355"/>
    </row>
    <row r="1356" spans="1:9" x14ac:dyDescent="0.3">
      <c r="A1356" t="s">
        <v>2</v>
      </c>
      <c r="B1356" t="s">
        <v>16</v>
      </c>
      <c r="C1356" t="s">
        <v>102</v>
      </c>
      <c r="D1356" s="9" t="s">
        <v>98</v>
      </c>
      <c r="E1356" t="s">
        <v>36</v>
      </c>
      <c r="F1356" t="s">
        <v>69</v>
      </c>
      <c r="G1356">
        <v>528.9</v>
      </c>
      <c r="H1356" s="9">
        <v>-5.15</v>
      </c>
      <c r="I1356"/>
    </row>
    <row r="1357" spans="1:9" x14ac:dyDescent="0.3">
      <c r="A1357" t="s">
        <v>2</v>
      </c>
      <c r="B1357" t="s">
        <v>16</v>
      </c>
      <c r="C1357" t="s">
        <v>103</v>
      </c>
      <c r="D1357" s="9" t="s">
        <v>98</v>
      </c>
      <c r="E1357" t="s">
        <v>37</v>
      </c>
      <c r="F1357" t="s">
        <v>71</v>
      </c>
      <c r="G1357">
        <v>505.8</v>
      </c>
      <c r="H1357" s="9">
        <v>-2.73</v>
      </c>
      <c r="I1357"/>
    </row>
    <row r="1358" spans="1:9" x14ac:dyDescent="0.3">
      <c r="A1358" t="s">
        <v>2</v>
      </c>
      <c r="B1358" t="s">
        <v>16</v>
      </c>
      <c r="C1358" t="s">
        <v>104</v>
      </c>
      <c r="D1358" s="9" t="s">
        <v>98</v>
      </c>
      <c r="E1358" t="s">
        <v>38</v>
      </c>
      <c r="F1358" t="s">
        <v>73</v>
      </c>
      <c r="G1358">
        <v>322.39999999999998</v>
      </c>
      <c r="H1358" s="9">
        <v>-36.4</v>
      </c>
      <c r="I1358"/>
    </row>
    <row r="1359" spans="1:9" x14ac:dyDescent="0.3">
      <c r="A1359" t="s">
        <v>2</v>
      </c>
      <c r="B1359" t="s">
        <v>16</v>
      </c>
      <c r="C1359" t="s">
        <v>105</v>
      </c>
      <c r="D1359" s="9" t="s">
        <v>98</v>
      </c>
      <c r="E1359" t="s">
        <v>39</v>
      </c>
      <c r="F1359" t="s">
        <v>75</v>
      </c>
      <c r="G1359">
        <v>210.9</v>
      </c>
      <c r="H1359" s="9">
        <v>-53.06</v>
      </c>
      <c r="I1359"/>
    </row>
    <row r="1360" spans="1:9" x14ac:dyDescent="0.3">
      <c r="A1360" t="s">
        <v>2</v>
      </c>
      <c r="B1360" t="s">
        <v>16</v>
      </c>
      <c r="C1360" t="s">
        <v>106</v>
      </c>
      <c r="D1360" s="9" t="s">
        <v>98</v>
      </c>
      <c r="E1360" t="s">
        <v>40</v>
      </c>
      <c r="F1360" t="s">
        <v>77</v>
      </c>
      <c r="G1360">
        <v>248</v>
      </c>
      <c r="H1360" s="9">
        <v>-50.96</v>
      </c>
      <c r="I1360"/>
    </row>
    <row r="1361" spans="1:9" x14ac:dyDescent="0.3">
      <c r="A1361" t="s">
        <v>2</v>
      </c>
      <c r="B1361" t="s">
        <v>16</v>
      </c>
      <c r="C1361" t="s">
        <v>107</v>
      </c>
      <c r="D1361" s="9" t="s">
        <v>98</v>
      </c>
      <c r="E1361" t="s">
        <v>41</v>
      </c>
      <c r="F1361" t="s">
        <v>79</v>
      </c>
      <c r="G1361">
        <v>490.7</v>
      </c>
      <c r="H1361" s="9">
        <v>-12.62</v>
      </c>
      <c r="I1361"/>
    </row>
    <row r="1362" spans="1:9" x14ac:dyDescent="0.3">
      <c r="A1362" t="s">
        <v>2</v>
      </c>
      <c r="B1362" t="s">
        <v>16</v>
      </c>
      <c r="C1362" t="s">
        <v>108</v>
      </c>
      <c r="D1362" s="9" t="s">
        <v>98</v>
      </c>
      <c r="E1362" t="s">
        <v>42</v>
      </c>
      <c r="F1362" t="s">
        <v>81</v>
      </c>
      <c r="G1362">
        <v>644.1</v>
      </c>
      <c r="H1362" s="9">
        <v>-6.38</v>
      </c>
      <c r="I1362"/>
    </row>
    <row r="1363" spans="1:9" x14ac:dyDescent="0.3">
      <c r="A1363" t="s">
        <v>2</v>
      </c>
      <c r="B1363" t="s">
        <v>16</v>
      </c>
      <c r="C1363" t="s">
        <v>109</v>
      </c>
      <c r="D1363" s="9" t="s">
        <v>98</v>
      </c>
      <c r="E1363" t="s">
        <v>43</v>
      </c>
      <c r="F1363" t="s">
        <v>83</v>
      </c>
      <c r="G1363">
        <v>866.4</v>
      </c>
      <c r="H1363" s="9">
        <v>-9.69</v>
      </c>
      <c r="I1363"/>
    </row>
    <row r="1364" spans="1:9" x14ac:dyDescent="0.3">
      <c r="A1364" t="s">
        <v>2</v>
      </c>
      <c r="B1364" t="s">
        <v>16</v>
      </c>
      <c r="C1364" t="s">
        <v>110</v>
      </c>
      <c r="D1364" s="9" t="s">
        <v>111</v>
      </c>
      <c r="E1364" t="s">
        <v>32</v>
      </c>
      <c r="F1364" t="s">
        <v>61</v>
      </c>
      <c r="G1364">
        <v>451.8</v>
      </c>
      <c r="H1364" s="9">
        <v>-3.99</v>
      </c>
      <c r="I1364"/>
    </row>
    <row r="1365" spans="1:9" x14ac:dyDescent="0.3">
      <c r="A1365" t="s">
        <v>2</v>
      </c>
      <c r="B1365" t="s">
        <v>16</v>
      </c>
      <c r="C1365" t="s">
        <v>112</v>
      </c>
      <c r="D1365" s="9" t="s">
        <v>111</v>
      </c>
      <c r="E1365" t="s">
        <v>33</v>
      </c>
      <c r="F1365" t="s">
        <v>63</v>
      </c>
      <c r="G1365">
        <v>403.7</v>
      </c>
      <c r="H1365" s="9">
        <v>1.38</v>
      </c>
      <c r="I1365"/>
    </row>
    <row r="1366" spans="1:9" x14ac:dyDescent="0.3">
      <c r="A1366" t="s">
        <v>2</v>
      </c>
      <c r="B1366" t="s">
        <v>16</v>
      </c>
      <c r="C1366" t="s">
        <v>113</v>
      </c>
      <c r="D1366" s="9" t="s">
        <v>111</v>
      </c>
      <c r="E1366" t="s">
        <v>34</v>
      </c>
      <c r="F1366" t="s">
        <v>65</v>
      </c>
      <c r="G1366">
        <v>521.5</v>
      </c>
      <c r="H1366" s="9">
        <v>1.54</v>
      </c>
      <c r="I1366"/>
    </row>
    <row r="1367" spans="1:9" x14ac:dyDescent="0.3">
      <c r="A1367" t="s">
        <v>2</v>
      </c>
      <c r="B1367" t="s">
        <v>16</v>
      </c>
      <c r="C1367" t="s">
        <v>114</v>
      </c>
      <c r="D1367" s="9" t="s">
        <v>111</v>
      </c>
      <c r="E1367" t="s">
        <v>35</v>
      </c>
      <c r="F1367" t="s">
        <v>67</v>
      </c>
      <c r="G1367">
        <v>541.70000000000005</v>
      </c>
      <c r="H1367" s="9">
        <v>4.82</v>
      </c>
      <c r="I1367"/>
    </row>
    <row r="1368" spans="1:9" x14ac:dyDescent="0.3">
      <c r="A1368" t="s">
        <v>2</v>
      </c>
      <c r="B1368" t="s">
        <v>16</v>
      </c>
      <c r="C1368" t="s">
        <v>115</v>
      </c>
      <c r="D1368" s="9" t="s">
        <v>111</v>
      </c>
      <c r="E1368" t="s">
        <v>36</v>
      </c>
      <c r="F1368" t="s">
        <v>69</v>
      </c>
      <c r="G1368">
        <v>559.29999999999995</v>
      </c>
      <c r="H1368" s="9">
        <v>5.75</v>
      </c>
      <c r="I1368"/>
    </row>
    <row r="1369" spans="1:9" x14ac:dyDescent="0.3">
      <c r="A1369" t="s">
        <v>2</v>
      </c>
      <c r="B1369" t="s">
        <v>16</v>
      </c>
      <c r="C1369" t="s">
        <v>116</v>
      </c>
      <c r="D1369" s="9" t="s">
        <v>111</v>
      </c>
      <c r="E1369" t="s">
        <v>37</v>
      </c>
      <c r="F1369" t="s">
        <v>71</v>
      </c>
      <c r="G1369">
        <v>577.29999999999995</v>
      </c>
      <c r="H1369" s="9">
        <v>14.14</v>
      </c>
      <c r="I1369"/>
    </row>
    <row r="1370" spans="1:9" x14ac:dyDescent="0.3">
      <c r="A1370" t="s">
        <v>2</v>
      </c>
      <c r="B1370" t="s">
        <v>16</v>
      </c>
      <c r="C1370" t="s">
        <v>117</v>
      </c>
      <c r="D1370" s="9" t="s">
        <v>111</v>
      </c>
      <c r="E1370" t="s">
        <v>38</v>
      </c>
      <c r="F1370" t="s">
        <v>73</v>
      </c>
      <c r="G1370">
        <v>551.70000000000005</v>
      </c>
      <c r="H1370" s="9">
        <v>71.12</v>
      </c>
      <c r="I1370"/>
    </row>
    <row r="1371" spans="1:9" x14ac:dyDescent="0.3">
      <c r="A1371" t="s">
        <v>2</v>
      </c>
      <c r="B1371" t="s">
        <v>16</v>
      </c>
      <c r="C1371" t="s">
        <v>118</v>
      </c>
      <c r="D1371" s="9" t="s">
        <v>111</v>
      </c>
      <c r="E1371" t="s">
        <v>39</v>
      </c>
      <c r="F1371" t="s">
        <v>75</v>
      </c>
      <c r="G1371">
        <v>501.9</v>
      </c>
      <c r="H1371" s="9">
        <v>137.97999999999999</v>
      </c>
      <c r="I1371"/>
    </row>
    <row r="1372" spans="1:9" x14ac:dyDescent="0.3">
      <c r="A1372" t="s">
        <v>2</v>
      </c>
      <c r="B1372" t="s">
        <v>16</v>
      </c>
      <c r="C1372" t="s">
        <v>119</v>
      </c>
      <c r="D1372" s="9" t="s">
        <v>111</v>
      </c>
      <c r="E1372" t="s">
        <v>40</v>
      </c>
      <c r="F1372" t="s">
        <v>77</v>
      </c>
      <c r="G1372">
        <v>553.20000000000005</v>
      </c>
      <c r="H1372" s="9">
        <v>123.06</v>
      </c>
      <c r="I1372"/>
    </row>
    <row r="1373" spans="1:9" x14ac:dyDescent="0.3">
      <c r="A1373" t="s">
        <v>2</v>
      </c>
      <c r="B1373" t="s">
        <v>16</v>
      </c>
      <c r="C1373" t="s">
        <v>120</v>
      </c>
      <c r="D1373" s="9" t="s">
        <v>111</v>
      </c>
      <c r="E1373" t="s">
        <v>41</v>
      </c>
      <c r="F1373" t="s">
        <v>79</v>
      </c>
      <c r="G1373">
        <v>573.5</v>
      </c>
      <c r="H1373" s="9">
        <v>16.87</v>
      </c>
      <c r="I1373"/>
    </row>
    <row r="1374" spans="1:9" x14ac:dyDescent="0.3">
      <c r="A1374" t="s">
        <v>2</v>
      </c>
      <c r="B1374" t="s">
        <v>16</v>
      </c>
      <c r="C1374" t="s">
        <v>121</v>
      </c>
      <c r="D1374" s="9" t="s">
        <v>111</v>
      </c>
      <c r="E1374" t="s">
        <v>42</v>
      </c>
      <c r="F1374" t="s">
        <v>81</v>
      </c>
      <c r="G1374">
        <v>724.5</v>
      </c>
      <c r="H1374" s="9">
        <v>12.48</v>
      </c>
      <c r="I1374"/>
    </row>
    <row r="1375" spans="1:9" x14ac:dyDescent="0.3">
      <c r="A1375" t="s">
        <v>2</v>
      </c>
      <c r="B1375" t="s">
        <v>16</v>
      </c>
      <c r="C1375" t="s">
        <v>122</v>
      </c>
      <c r="D1375" s="9" t="s">
        <v>111</v>
      </c>
      <c r="E1375" t="s">
        <v>43</v>
      </c>
      <c r="F1375" t="s">
        <v>83</v>
      </c>
      <c r="G1375">
        <v>976.6</v>
      </c>
      <c r="H1375" s="9">
        <v>12.72</v>
      </c>
      <c r="I1375"/>
    </row>
    <row r="1376" spans="1:9" x14ac:dyDescent="0.3">
      <c r="A1376" t="s">
        <v>2</v>
      </c>
      <c r="B1376" t="s">
        <v>16</v>
      </c>
      <c r="C1376" t="s">
        <v>123</v>
      </c>
      <c r="D1376" s="9" t="s">
        <v>124</v>
      </c>
      <c r="E1376" t="s">
        <v>32</v>
      </c>
      <c r="F1376" t="s">
        <v>61</v>
      </c>
      <c r="G1376">
        <v>532.20000000000005</v>
      </c>
      <c r="H1376" s="9">
        <v>17.8</v>
      </c>
      <c r="I1376"/>
    </row>
    <row r="1377" spans="1:9" x14ac:dyDescent="0.3">
      <c r="A1377" t="s">
        <v>2</v>
      </c>
      <c r="B1377" t="s">
        <v>16</v>
      </c>
      <c r="C1377" t="s">
        <v>125</v>
      </c>
      <c r="D1377" s="9" t="s">
        <v>124</v>
      </c>
      <c r="E1377" t="s">
        <v>33</v>
      </c>
      <c r="F1377" t="s">
        <v>63</v>
      </c>
      <c r="G1377">
        <v>418.6</v>
      </c>
      <c r="H1377" s="9">
        <v>3.69</v>
      </c>
      <c r="I1377"/>
    </row>
    <row r="1378" spans="1:9" x14ac:dyDescent="0.3">
      <c r="A1378" t="s">
        <v>2</v>
      </c>
      <c r="B1378" t="s">
        <v>16</v>
      </c>
      <c r="C1378" t="s">
        <v>126</v>
      </c>
      <c r="D1378" s="9" t="s">
        <v>124</v>
      </c>
      <c r="E1378" t="s">
        <v>34</v>
      </c>
      <c r="F1378" t="s">
        <v>65</v>
      </c>
      <c r="G1378">
        <v>515.1</v>
      </c>
      <c r="H1378" s="9">
        <v>-1.23</v>
      </c>
      <c r="I1378"/>
    </row>
    <row r="1379" spans="1:9" x14ac:dyDescent="0.3">
      <c r="A1379" t="s">
        <v>2</v>
      </c>
      <c r="B1379" t="s">
        <v>16</v>
      </c>
      <c r="C1379" t="s">
        <v>127</v>
      </c>
      <c r="D1379" s="9" t="s">
        <v>124</v>
      </c>
      <c r="E1379" t="s">
        <v>35</v>
      </c>
      <c r="F1379" t="s">
        <v>67</v>
      </c>
      <c r="G1379">
        <v>573.1</v>
      </c>
      <c r="H1379" s="9">
        <v>5.8</v>
      </c>
      <c r="I1379"/>
    </row>
    <row r="1380" spans="1:9" x14ac:dyDescent="0.3">
      <c r="A1380" t="s">
        <v>2</v>
      </c>
      <c r="B1380" t="s">
        <v>16</v>
      </c>
      <c r="C1380" t="s">
        <v>128</v>
      </c>
      <c r="D1380" s="9" t="s">
        <v>124</v>
      </c>
      <c r="E1380" t="s">
        <v>36</v>
      </c>
      <c r="F1380" t="s">
        <v>69</v>
      </c>
      <c r="G1380">
        <v>582.20000000000005</v>
      </c>
      <c r="H1380" s="9">
        <v>4.09</v>
      </c>
      <c r="I1380"/>
    </row>
    <row r="1381" spans="1:9" x14ac:dyDescent="0.3">
      <c r="A1381" t="s">
        <v>2</v>
      </c>
      <c r="B1381" t="s">
        <v>16</v>
      </c>
      <c r="C1381" t="s">
        <v>129</v>
      </c>
      <c r="D1381" s="9" t="s">
        <v>124</v>
      </c>
      <c r="E1381" t="s">
        <v>37</v>
      </c>
      <c r="F1381" t="s">
        <v>71</v>
      </c>
      <c r="G1381">
        <v>552.9</v>
      </c>
      <c r="H1381" s="9">
        <v>-4.2300000000000004</v>
      </c>
      <c r="I1381"/>
    </row>
    <row r="1382" spans="1:9" x14ac:dyDescent="0.3">
      <c r="A1382" t="s">
        <v>2</v>
      </c>
      <c r="B1382" t="s">
        <v>16</v>
      </c>
      <c r="C1382" t="s">
        <v>130</v>
      </c>
      <c r="D1382" s="9" t="s">
        <v>124</v>
      </c>
      <c r="E1382" t="s">
        <v>38</v>
      </c>
      <c r="F1382" t="s">
        <v>73</v>
      </c>
      <c r="G1382">
        <v>522.29999999999995</v>
      </c>
      <c r="H1382" s="9">
        <v>-5.33</v>
      </c>
      <c r="I1382"/>
    </row>
    <row r="1383" spans="1:9" x14ac:dyDescent="0.3">
      <c r="A1383" t="s">
        <v>2</v>
      </c>
      <c r="B1383" t="s">
        <v>16</v>
      </c>
      <c r="C1383" t="s">
        <v>131</v>
      </c>
      <c r="D1383" s="9" t="s">
        <v>124</v>
      </c>
      <c r="E1383" t="s">
        <v>39</v>
      </c>
      <c r="F1383" t="s">
        <v>75</v>
      </c>
      <c r="G1383">
        <v>498</v>
      </c>
      <c r="H1383" s="9">
        <v>-0.78</v>
      </c>
      <c r="I1383"/>
    </row>
    <row r="1384" spans="1:9" x14ac:dyDescent="0.3">
      <c r="A1384" t="s">
        <v>2</v>
      </c>
      <c r="B1384" t="s">
        <v>16</v>
      </c>
      <c r="C1384" t="s">
        <v>132</v>
      </c>
      <c r="D1384" s="9" t="s">
        <v>124</v>
      </c>
      <c r="E1384" t="s">
        <v>40</v>
      </c>
      <c r="F1384" t="s">
        <v>77</v>
      </c>
      <c r="G1384">
        <v>561.5</v>
      </c>
      <c r="H1384" s="9">
        <v>1.5</v>
      </c>
      <c r="I1384"/>
    </row>
    <row r="1385" spans="1:9" x14ac:dyDescent="0.3">
      <c r="A1385" t="s">
        <v>2</v>
      </c>
      <c r="B1385" t="s">
        <v>16</v>
      </c>
      <c r="C1385" t="s">
        <v>133</v>
      </c>
      <c r="D1385" s="9" t="s">
        <v>124</v>
      </c>
      <c r="E1385" t="s">
        <v>41</v>
      </c>
      <c r="F1385" t="s">
        <v>79</v>
      </c>
      <c r="G1385">
        <v>563.9</v>
      </c>
      <c r="H1385" s="9">
        <v>-1.67</v>
      </c>
      <c r="I1385"/>
    </row>
    <row r="1386" spans="1:9" x14ac:dyDescent="0.3">
      <c r="A1386" t="s">
        <v>2</v>
      </c>
      <c r="B1386" t="s">
        <v>16</v>
      </c>
      <c r="C1386" t="s">
        <v>134</v>
      </c>
      <c r="D1386" s="9" t="s">
        <v>124</v>
      </c>
      <c r="E1386" t="s">
        <v>42</v>
      </c>
      <c r="F1386" t="s">
        <v>81</v>
      </c>
      <c r="G1386">
        <v>734.1</v>
      </c>
      <c r="H1386" s="9">
        <v>1.33</v>
      </c>
      <c r="I1386"/>
    </row>
    <row r="1387" spans="1:9" x14ac:dyDescent="0.3">
      <c r="A1387" t="s">
        <v>2</v>
      </c>
      <c r="B1387" t="s">
        <v>16</v>
      </c>
      <c r="C1387" t="s">
        <v>135</v>
      </c>
      <c r="D1387" s="9" t="s">
        <v>124</v>
      </c>
      <c r="E1387" t="s">
        <v>43</v>
      </c>
      <c r="F1387" t="s">
        <v>83</v>
      </c>
      <c r="G1387">
        <v>1000.3</v>
      </c>
      <c r="H1387" s="9">
        <v>2.4300000000000002</v>
      </c>
      <c r="I1387"/>
    </row>
    <row r="1388" spans="1:9" x14ac:dyDescent="0.3">
      <c r="A1388" t="s">
        <v>2</v>
      </c>
      <c r="B1388" t="s">
        <v>16</v>
      </c>
      <c r="C1388" t="s">
        <v>136</v>
      </c>
      <c r="D1388" s="9" t="s">
        <v>137</v>
      </c>
      <c r="E1388" t="s">
        <v>32</v>
      </c>
      <c r="F1388" t="s">
        <v>61</v>
      </c>
      <c r="G1388">
        <v>516.20000000000005</v>
      </c>
      <c r="H1388" s="9">
        <v>-3.01</v>
      </c>
      <c r="I1388"/>
    </row>
    <row r="1389" spans="1:9" x14ac:dyDescent="0.3">
      <c r="A1389" t="s">
        <v>2</v>
      </c>
      <c r="B1389" t="s">
        <v>16</v>
      </c>
      <c r="C1389" t="s">
        <v>138</v>
      </c>
      <c r="D1389" s="9" t="s">
        <v>137</v>
      </c>
      <c r="E1389" t="s">
        <v>33</v>
      </c>
      <c r="F1389" t="s">
        <v>63</v>
      </c>
      <c r="G1389">
        <v>434.1</v>
      </c>
      <c r="H1389" s="9">
        <v>3.7</v>
      </c>
      <c r="I1389"/>
    </row>
    <row r="1390" spans="1:9" x14ac:dyDescent="0.3">
      <c r="A1390" t="s">
        <v>2</v>
      </c>
      <c r="B1390" t="s">
        <v>16</v>
      </c>
      <c r="C1390" t="s">
        <v>139</v>
      </c>
      <c r="D1390" s="9" t="s">
        <v>137</v>
      </c>
      <c r="E1390" t="s">
        <v>34</v>
      </c>
      <c r="F1390" t="s">
        <v>65</v>
      </c>
      <c r="G1390">
        <v>524.9</v>
      </c>
      <c r="H1390" s="9">
        <v>1.9</v>
      </c>
      <c r="I1390"/>
    </row>
    <row r="1391" spans="1:9" x14ac:dyDescent="0.3">
      <c r="A1391" t="s">
        <v>2</v>
      </c>
      <c r="B1391" t="s">
        <v>16</v>
      </c>
      <c r="C1391" t="s">
        <v>140</v>
      </c>
      <c r="D1391" s="9" t="s">
        <v>137</v>
      </c>
      <c r="E1391" t="s">
        <v>35</v>
      </c>
      <c r="F1391" t="s">
        <v>67</v>
      </c>
      <c r="G1391">
        <v>532.5</v>
      </c>
      <c r="H1391" s="9">
        <v>-7.08</v>
      </c>
      <c r="I1391"/>
    </row>
    <row r="1392" spans="1:9" x14ac:dyDescent="0.3">
      <c r="A1392" t="s">
        <v>2</v>
      </c>
      <c r="B1392" t="s">
        <v>16</v>
      </c>
      <c r="C1392" t="s">
        <v>141</v>
      </c>
      <c r="D1392" s="9" t="s">
        <v>137</v>
      </c>
      <c r="E1392" t="s">
        <v>36</v>
      </c>
      <c r="F1392" t="s">
        <v>69</v>
      </c>
      <c r="G1392">
        <v>570.29999999999995</v>
      </c>
      <c r="H1392" s="9">
        <v>-2.04</v>
      </c>
      <c r="I1392"/>
    </row>
    <row r="1393" spans="1:9" x14ac:dyDescent="0.3">
      <c r="A1393" t="s">
        <v>2</v>
      </c>
      <c r="B1393" t="s">
        <v>16</v>
      </c>
      <c r="C1393" t="s">
        <v>142</v>
      </c>
      <c r="D1393" s="9" t="s">
        <v>137</v>
      </c>
      <c r="E1393" t="s">
        <v>37</v>
      </c>
      <c r="F1393" t="s">
        <v>71</v>
      </c>
      <c r="G1393">
        <v>576.20000000000005</v>
      </c>
      <c r="H1393" s="9">
        <v>4.21</v>
      </c>
      <c r="I1393"/>
    </row>
    <row r="1394" spans="1:9" x14ac:dyDescent="0.3">
      <c r="A1394" t="s">
        <v>2</v>
      </c>
      <c r="B1394" t="s">
        <v>16</v>
      </c>
      <c r="C1394" t="s">
        <v>143</v>
      </c>
      <c r="D1394" s="9" t="s">
        <v>137</v>
      </c>
      <c r="E1394" t="s">
        <v>38</v>
      </c>
      <c r="F1394" t="s">
        <v>73</v>
      </c>
      <c r="G1394">
        <v>524.70000000000005</v>
      </c>
      <c r="H1394" s="9">
        <v>0.46</v>
      </c>
      <c r="I1394"/>
    </row>
    <row r="1395" spans="1:9" x14ac:dyDescent="0.3">
      <c r="A1395" t="s">
        <v>2</v>
      </c>
      <c r="B1395" t="s">
        <v>16</v>
      </c>
      <c r="C1395" t="s">
        <v>144</v>
      </c>
      <c r="D1395" s="9" t="s">
        <v>137</v>
      </c>
      <c r="E1395" t="s">
        <v>39</v>
      </c>
      <c r="F1395" t="s">
        <v>75</v>
      </c>
      <c r="G1395">
        <v>511.1</v>
      </c>
      <c r="H1395" s="9">
        <v>2.63</v>
      </c>
      <c r="I1395"/>
    </row>
    <row r="1396" spans="1:9" x14ac:dyDescent="0.3">
      <c r="A1396" t="s">
        <v>2</v>
      </c>
      <c r="B1396" t="s">
        <v>16</v>
      </c>
      <c r="C1396" t="s">
        <v>145</v>
      </c>
      <c r="D1396" s="9" t="s">
        <v>137</v>
      </c>
      <c r="E1396" t="s">
        <v>40</v>
      </c>
      <c r="F1396" t="s">
        <v>77</v>
      </c>
      <c r="G1396">
        <v>525.79999999999995</v>
      </c>
      <c r="H1396" s="9">
        <v>-6.36</v>
      </c>
      <c r="I1396"/>
    </row>
    <row r="1397" spans="1:9" x14ac:dyDescent="0.3">
      <c r="A1397" t="s">
        <v>2</v>
      </c>
      <c r="B1397" t="s">
        <v>16</v>
      </c>
      <c r="C1397" t="s">
        <v>146</v>
      </c>
      <c r="D1397" s="9" t="s">
        <v>137</v>
      </c>
      <c r="E1397" t="s">
        <v>41</v>
      </c>
      <c r="F1397" t="s">
        <v>79</v>
      </c>
      <c r="G1397">
        <v>566.1</v>
      </c>
      <c r="H1397" s="9">
        <v>0.39</v>
      </c>
      <c r="I1397"/>
    </row>
    <row r="1398" spans="1:9" x14ac:dyDescent="0.3">
      <c r="A1398" t="s">
        <v>2</v>
      </c>
      <c r="B1398" t="s">
        <v>16</v>
      </c>
      <c r="C1398" t="s">
        <v>147</v>
      </c>
      <c r="D1398" s="9" t="s">
        <v>137</v>
      </c>
      <c r="E1398" t="s">
        <v>42</v>
      </c>
      <c r="F1398" t="s">
        <v>81</v>
      </c>
      <c r="G1398">
        <v>735.5</v>
      </c>
      <c r="H1398" s="9">
        <v>0.19</v>
      </c>
      <c r="I1398"/>
    </row>
    <row r="1399" spans="1:9" x14ac:dyDescent="0.3">
      <c r="A1399" t="s">
        <v>2</v>
      </c>
      <c r="B1399" t="s">
        <v>16</v>
      </c>
      <c r="C1399" t="s">
        <v>148</v>
      </c>
      <c r="D1399" s="9" t="s">
        <v>137</v>
      </c>
      <c r="E1399" t="s">
        <v>43</v>
      </c>
      <c r="F1399" t="s">
        <v>83</v>
      </c>
      <c r="G1399">
        <v>999.5</v>
      </c>
      <c r="H1399" s="9">
        <v>-0.08</v>
      </c>
      <c r="I1399"/>
    </row>
    <row r="1400" spans="1:9" x14ac:dyDescent="0.3">
      <c r="A1400" t="s">
        <v>2</v>
      </c>
      <c r="B1400" t="s">
        <v>16</v>
      </c>
      <c r="C1400" t="s">
        <v>149</v>
      </c>
      <c r="D1400" s="9" t="s">
        <v>150</v>
      </c>
      <c r="E1400" t="s">
        <v>32</v>
      </c>
      <c r="F1400" t="s">
        <v>61</v>
      </c>
      <c r="G1400">
        <v>523.4</v>
      </c>
      <c r="H1400" s="9">
        <v>1.39</v>
      </c>
      <c r="I1400"/>
    </row>
    <row r="1401" spans="1:9" x14ac:dyDescent="0.3">
      <c r="A1401" t="s">
        <v>2</v>
      </c>
      <c r="B1401" t="s">
        <v>16</v>
      </c>
      <c r="C1401" t="s">
        <v>151</v>
      </c>
      <c r="D1401" s="9" t="s">
        <v>150</v>
      </c>
      <c r="E1401" t="s">
        <v>33</v>
      </c>
      <c r="F1401" t="s">
        <v>63</v>
      </c>
      <c r="G1401">
        <v>437</v>
      </c>
      <c r="H1401" s="9">
        <v>0.67</v>
      </c>
      <c r="I1401"/>
    </row>
    <row r="1402" spans="1:9" x14ac:dyDescent="0.3">
      <c r="A1402" t="s">
        <v>2</v>
      </c>
      <c r="B1402" t="s">
        <v>16</v>
      </c>
      <c r="C1402" t="s">
        <v>152</v>
      </c>
      <c r="D1402" s="9" t="s">
        <v>150</v>
      </c>
      <c r="E1402" t="s">
        <v>34</v>
      </c>
      <c r="F1402" t="s">
        <v>65</v>
      </c>
      <c r="G1402">
        <v>534</v>
      </c>
      <c r="H1402" s="9">
        <v>1.73</v>
      </c>
      <c r="I1402"/>
    </row>
    <row r="1403" spans="1:9" x14ac:dyDescent="0.3">
      <c r="A1403" t="s">
        <v>2</v>
      </c>
      <c r="B1403" t="s">
        <v>16</v>
      </c>
      <c r="C1403" t="s">
        <v>153</v>
      </c>
      <c r="D1403" s="9" t="s">
        <v>150</v>
      </c>
      <c r="E1403" t="s">
        <v>35</v>
      </c>
      <c r="F1403" t="s">
        <v>67</v>
      </c>
      <c r="G1403">
        <v>534.4</v>
      </c>
      <c r="H1403" s="9">
        <v>0.36</v>
      </c>
      <c r="I1403"/>
    </row>
    <row r="1404" spans="1:9" x14ac:dyDescent="0.3">
      <c r="A1404" t="s">
        <v>2</v>
      </c>
      <c r="B1404" t="s">
        <v>16</v>
      </c>
      <c r="C1404" t="s">
        <v>154</v>
      </c>
      <c r="D1404" s="9" t="s">
        <v>150</v>
      </c>
      <c r="E1404" t="s">
        <v>36</v>
      </c>
      <c r="F1404" t="s">
        <v>69</v>
      </c>
      <c r="G1404">
        <v>582.79999999999995</v>
      </c>
      <c r="H1404" s="9">
        <v>2.19</v>
      </c>
      <c r="I1404"/>
    </row>
    <row r="1405" spans="1:9" x14ac:dyDescent="0.3">
      <c r="A1405" t="s">
        <v>2</v>
      </c>
      <c r="B1405" t="s">
        <v>16</v>
      </c>
      <c r="C1405" t="s">
        <v>155</v>
      </c>
      <c r="D1405" s="9" t="s">
        <v>150</v>
      </c>
      <c r="E1405" t="s">
        <v>37</v>
      </c>
      <c r="F1405" t="s">
        <v>71</v>
      </c>
      <c r="G1405">
        <v>607</v>
      </c>
      <c r="H1405" s="9">
        <v>5.35</v>
      </c>
      <c r="I1405"/>
    </row>
    <row r="1406" spans="1:9" x14ac:dyDescent="0.3">
      <c r="A1406" t="s">
        <v>2</v>
      </c>
      <c r="B1406" t="s">
        <v>13</v>
      </c>
      <c r="C1406" t="s">
        <v>59</v>
      </c>
      <c r="D1406" s="9" t="s">
        <v>60</v>
      </c>
      <c r="E1406" t="s">
        <v>32</v>
      </c>
      <c r="F1406" t="s">
        <v>61</v>
      </c>
      <c r="G1406">
        <v>580.5</v>
      </c>
      <c r="I1406"/>
    </row>
    <row r="1407" spans="1:9" x14ac:dyDescent="0.3">
      <c r="A1407" t="s">
        <v>2</v>
      </c>
      <c r="B1407" t="s">
        <v>13</v>
      </c>
      <c r="C1407" t="s">
        <v>62</v>
      </c>
      <c r="D1407" s="9" t="s">
        <v>60</v>
      </c>
      <c r="E1407" t="s">
        <v>33</v>
      </c>
      <c r="F1407" t="s">
        <v>63</v>
      </c>
      <c r="G1407">
        <v>501.3</v>
      </c>
      <c r="I1407"/>
    </row>
    <row r="1408" spans="1:9" x14ac:dyDescent="0.3">
      <c r="A1408" t="s">
        <v>2</v>
      </c>
      <c r="B1408" t="s">
        <v>13</v>
      </c>
      <c r="C1408" t="s">
        <v>64</v>
      </c>
      <c r="D1408" s="9" t="s">
        <v>60</v>
      </c>
      <c r="E1408" t="s">
        <v>34</v>
      </c>
      <c r="F1408" t="s">
        <v>65</v>
      </c>
      <c r="G1408">
        <v>533.5</v>
      </c>
      <c r="I1408"/>
    </row>
    <row r="1409" spans="1:9" x14ac:dyDescent="0.3">
      <c r="A1409" t="s">
        <v>2</v>
      </c>
      <c r="B1409" t="s">
        <v>13</v>
      </c>
      <c r="C1409" t="s">
        <v>66</v>
      </c>
      <c r="D1409" s="9" t="s">
        <v>60</v>
      </c>
      <c r="E1409" t="s">
        <v>35</v>
      </c>
      <c r="F1409" t="s">
        <v>67</v>
      </c>
      <c r="G1409">
        <v>473.4</v>
      </c>
      <c r="I1409"/>
    </row>
    <row r="1410" spans="1:9" x14ac:dyDescent="0.3">
      <c r="A1410" t="s">
        <v>2</v>
      </c>
      <c r="B1410" t="s">
        <v>13</v>
      </c>
      <c r="C1410" t="s">
        <v>68</v>
      </c>
      <c r="D1410" s="9" t="s">
        <v>60</v>
      </c>
      <c r="E1410" t="s">
        <v>36</v>
      </c>
      <c r="F1410" t="s">
        <v>69</v>
      </c>
      <c r="G1410">
        <v>522.20000000000005</v>
      </c>
      <c r="I1410"/>
    </row>
    <row r="1411" spans="1:9" x14ac:dyDescent="0.3">
      <c r="A1411" t="s">
        <v>2</v>
      </c>
      <c r="B1411" t="s">
        <v>13</v>
      </c>
      <c r="C1411" t="s">
        <v>70</v>
      </c>
      <c r="D1411" s="9" t="s">
        <v>60</v>
      </c>
      <c r="E1411" t="s">
        <v>37</v>
      </c>
      <c r="F1411" t="s">
        <v>71</v>
      </c>
      <c r="G1411">
        <v>595.9</v>
      </c>
      <c r="I1411"/>
    </row>
    <row r="1412" spans="1:9" x14ac:dyDescent="0.3">
      <c r="A1412" t="s">
        <v>2</v>
      </c>
      <c r="B1412" t="s">
        <v>13</v>
      </c>
      <c r="C1412" t="s">
        <v>72</v>
      </c>
      <c r="D1412" s="9" t="s">
        <v>60</v>
      </c>
      <c r="E1412" t="s">
        <v>38</v>
      </c>
      <c r="F1412" t="s">
        <v>73</v>
      </c>
      <c r="G1412">
        <v>538.5</v>
      </c>
      <c r="I1412"/>
    </row>
    <row r="1413" spans="1:9" x14ac:dyDescent="0.3">
      <c r="A1413" t="s">
        <v>2</v>
      </c>
      <c r="B1413" t="s">
        <v>13</v>
      </c>
      <c r="C1413" t="s">
        <v>74</v>
      </c>
      <c r="D1413" s="9" t="s">
        <v>60</v>
      </c>
      <c r="E1413" t="s">
        <v>39</v>
      </c>
      <c r="F1413" t="s">
        <v>75</v>
      </c>
      <c r="G1413">
        <v>528.79999999999995</v>
      </c>
      <c r="I1413"/>
    </row>
    <row r="1414" spans="1:9" x14ac:dyDescent="0.3">
      <c r="A1414" t="s">
        <v>2</v>
      </c>
      <c r="B1414" t="s">
        <v>13</v>
      </c>
      <c r="C1414" t="s">
        <v>76</v>
      </c>
      <c r="D1414" s="9" t="s">
        <v>60</v>
      </c>
      <c r="E1414" t="s">
        <v>40</v>
      </c>
      <c r="F1414" t="s">
        <v>77</v>
      </c>
      <c r="G1414">
        <v>536.4</v>
      </c>
      <c r="I1414"/>
    </row>
    <row r="1415" spans="1:9" x14ac:dyDescent="0.3">
      <c r="A1415" t="s">
        <v>2</v>
      </c>
      <c r="B1415" t="s">
        <v>13</v>
      </c>
      <c r="C1415" t="s">
        <v>78</v>
      </c>
      <c r="D1415" s="9" t="s">
        <v>60</v>
      </c>
      <c r="E1415" t="s">
        <v>41</v>
      </c>
      <c r="F1415" t="s">
        <v>79</v>
      </c>
      <c r="G1415">
        <v>543.1</v>
      </c>
      <c r="I1415"/>
    </row>
    <row r="1416" spans="1:9" x14ac:dyDescent="0.3">
      <c r="A1416" t="s">
        <v>2</v>
      </c>
      <c r="B1416" t="s">
        <v>13</v>
      </c>
      <c r="C1416" t="s">
        <v>80</v>
      </c>
      <c r="D1416" s="9" t="s">
        <v>60</v>
      </c>
      <c r="E1416" t="s">
        <v>42</v>
      </c>
      <c r="F1416" t="s">
        <v>81</v>
      </c>
      <c r="G1416">
        <v>624.79999999999995</v>
      </c>
      <c r="I1416"/>
    </row>
    <row r="1417" spans="1:9" x14ac:dyDescent="0.3">
      <c r="A1417" t="s">
        <v>2</v>
      </c>
      <c r="B1417" t="s">
        <v>13</v>
      </c>
      <c r="C1417" t="s">
        <v>82</v>
      </c>
      <c r="D1417" s="9" t="s">
        <v>60</v>
      </c>
      <c r="E1417" t="s">
        <v>43</v>
      </c>
      <c r="F1417" t="s">
        <v>83</v>
      </c>
      <c r="G1417">
        <v>839.9</v>
      </c>
      <c r="I1417"/>
    </row>
    <row r="1418" spans="1:9" x14ac:dyDescent="0.3">
      <c r="A1418" t="s">
        <v>2</v>
      </c>
      <c r="B1418" t="s">
        <v>13</v>
      </c>
      <c r="C1418" t="s">
        <v>84</v>
      </c>
      <c r="D1418" s="9" t="s">
        <v>85</v>
      </c>
      <c r="E1418" t="s">
        <v>32</v>
      </c>
      <c r="F1418" t="s">
        <v>61</v>
      </c>
      <c r="G1418">
        <v>563.9</v>
      </c>
      <c r="H1418" s="9">
        <v>-2.86</v>
      </c>
      <c r="I1418"/>
    </row>
    <row r="1419" spans="1:9" x14ac:dyDescent="0.3">
      <c r="A1419" t="s">
        <v>2</v>
      </c>
      <c r="B1419" t="s">
        <v>13</v>
      </c>
      <c r="C1419" t="s">
        <v>86</v>
      </c>
      <c r="D1419" s="9" t="s">
        <v>85</v>
      </c>
      <c r="E1419" t="s">
        <v>33</v>
      </c>
      <c r="F1419" t="s">
        <v>63</v>
      </c>
      <c r="G1419">
        <v>515</v>
      </c>
      <c r="H1419" s="9">
        <v>2.73</v>
      </c>
      <c r="I1419"/>
    </row>
    <row r="1420" spans="1:9" x14ac:dyDescent="0.3">
      <c r="A1420" t="s">
        <v>2</v>
      </c>
      <c r="B1420" t="s">
        <v>13</v>
      </c>
      <c r="C1420" t="s">
        <v>87</v>
      </c>
      <c r="D1420" s="9" t="s">
        <v>85</v>
      </c>
      <c r="E1420" t="s">
        <v>34</v>
      </c>
      <c r="F1420" t="s">
        <v>65</v>
      </c>
      <c r="G1420">
        <v>596.29999999999995</v>
      </c>
      <c r="H1420" s="9">
        <v>11.77</v>
      </c>
      <c r="I1420"/>
    </row>
    <row r="1421" spans="1:9" x14ac:dyDescent="0.3">
      <c r="A1421" t="s">
        <v>2</v>
      </c>
      <c r="B1421" t="s">
        <v>13</v>
      </c>
      <c r="C1421" t="s">
        <v>88</v>
      </c>
      <c r="D1421" s="9" t="s">
        <v>85</v>
      </c>
      <c r="E1421" t="s">
        <v>35</v>
      </c>
      <c r="F1421" t="s">
        <v>67</v>
      </c>
      <c r="G1421">
        <v>520.29999999999995</v>
      </c>
      <c r="H1421" s="9">
        <v>9.91</v>
      </c>
      <c r="I1421"/>
    </row>
    <row r="1422" spans="1:9" x14ac:dyDescent="0.3">
      <c r="A1422" t="s">
        <v>2</v>
      </c>
      <c r="B1422" t="s">
        <v>13</v>
      </c>
      <c r="C1422" t="s">
        <v>89</v>
      </c>
      <c r="D1422" s="9" t="s">
        <v>85</v>
      </c>
      <c r="E1422" t="s">
        <v>36</v>
      </c>
      <c r="F1422" t="s">
        <v>69</v>
      </c>
      <c r="G1422">
        <v>675.4</v>
      </c>
      <c r="H1422" s="9">
        <v>29.34</v>
      </c>
      <c r="I1422"/>
    </row>
    <row r="1423" spans="1:9" x14ac:dyDescent="0.3">
      <c r="A1423" t="s">
        <v>2</v>
      </c>
      <c r="B1423" t="s">
        <v>13</v>
      </c>
      <c r="C1423" t="s">
        <v>90</v>
      </c>
      <c r="D1423" s="9" t="s">
        <v>85</v>
      </c>
      <c r="E1423" t="s">
        <v>37</v>
      </c>
      <c r="F1423" t="s">
        <v>71</v>
      </c>
      <c r="G1423">
        <v>730.1</v>
      </c>
      <c r="H1423" s="9">
        <v>22.52</v>
      </c>
      <c r="I1423"/>
    </row>
    <row r="1424" spans="1:9" x14ac:dyDescent="0.3">
      <c r="A1424" t="s">
        <v>2</v>
      </c>
      <c r="B1424" t="s">
        <v>13</v>
      </c>
      <c r="C1424" t="s">
        <v>91</v>
      </c>
      <c r="D1424" s="9" t="s">
        <v>85</v>
      </c>
      <c r="E1424" t="s">
        <v>38</v>
      </c>
      <c r="F1424" t="s">
        <v>73</v>
      </c>
      <c r="G1424">
        <v>723.7</v>
      </c>
      <c r="H1424" s="9">
        <v>34.39</v>
      </c>
      <c r="I1424"/>
    </row>
    <row r="1425" spans="1:9" x14ac:dyDescent="0.3">
      <c r="A1425" t="s">
        <v>2</v>
      </c>
      <c r="B1425" t="s">
        <v>13</v>
      </c>
      <c r="C1425" t="s">
        <v>92</v>
      </c>
      <c r="D1425" s="9" t="s">
        <v>85</v>
      </c>
      <c r="E1425" t="s">
        <v>39</v>
      </c>
      <c r="F1425" t="s">
        <v>75</v>
      </c>
      <c r="G1425">
        <v>700.9</v>
      </c>
      <c r="H1425" s="9">
        <v>32.549999999999997</v>
      </c>
      <c r="I1425"/>
    </row>
    <row r="1426" spans="1:9" x14ac:dyDescent="0.3">
      <c r="A1426" t="s">
        <v>2</v>
      </c>
      <c r="B1426" t="s">
        <v>13</v>
      </c>
      <c r="C1426" t="s">
        <v>93</v>
      </c>
      <c r="D1426" s="9" t="s">
        <v>85</v>
      </c>
      <c r="E1426" t="s">
        <v>40</v>
      </c>
      <c r="F1426" t="s">
        <v>77</v>
      </c>
      <c r="G1426">
        <v>647.70000000000005</v>
      </c>
      <c r="H1426" s="9">
        <v>20.75</v>
      </c>
      <c r="I1426"/>
    </row>
    <row r="1427" spans="1:9" x14ac:dyDescent="0.3">
      <c r="A1427" t="s">
        <v>2</v>
      </c>
      <c r="B1427" t="s">
        <v>13</v>
      </c>
      <c r="C1427" t="s">
        <v>94</v>
      </c>
      <c r="D1427" s="9" t="s">
        <v>85</v>
      </c>
      <c r="E1427" t="s">
        <v>41</v>
      </c>
      <c r="F1427" t="s">
        <v>79</v>
      </c>
      <c r="G1427">
        <v>659.6</v>
      </c>
      <c r="H1427" s="9">
        <v>21.45</v>
      </c>
      <c r="I1427"/>
    </row>
    <row r="1428" spans="1:9" x14ac:dyDescent="0.3">
      <c r="A1428" t="s">
        <v>2</v>
      </c>
      <c r="B1428" t="s">
        <v>13</v>
      </c>
      <c r="C1428" t="s">
        <v>95</v>
      </c>
      <c r="D1428" s="9" t="s">
        <v>85</v>
      </c>
      <c r="E1428" t="s">
        <v>42</v>
      </c>
      <c r="F1428" t="s">
        <v>81</v>
      </c>
      <c r="G1428">
        <v>822.5</v>
      </c>
      <c r="H1428" s="9">
        <v>31.64</v>
      </c>
      <c r="I1428"/>
    </row>
    <row r="1429" spans="1:9" x14ac:dyDescent="0.3">
      <c r="A1429" t="s">
        <v>2</v>
      </c>
      <c r="B1429" t="s">
        <v>13</v>
      </c>
      <c r="C1429" t="s">
        <v>96</v>
      </c>
      <c r="D1429" s="9" t="s">
        <v>85</v>
      </c>
      <c r="E1429" t="s">
        <v>43</v>
      </c>
      <c r="F1429" t="s">
        <v>83</v>
      </c>
      <c r="G1429">
        <v>981.1</v>
      </c>
      <c r="H1429" s="9">
        <v>16.809999999999999</v>
      </c>
      <c r="I1429"/>
    </row>
    <row r="1430" spans="1:9" x14ac:dyDescent="0.3">
      <c r="A1430" t="s">
        <v>2</v>
      </c>
      <c r="B1430" t="s">
        <v>13</v>
      </c>
      <c r="C1430" t="s">
        <v>97</v>
      </c>
      <c r="D1430" s="9" t="s">
        <v>98</v>
      </c>
      <c r="E1430" t="s">
        <v>32</v>
      </c>
      <c r="F1430" t="s">
        <v>61</v>
      </c>
      <c r="G1430">
        <v>670.1</v>
      </c>
      <c r="H1430" s="9">
        <v>18.829999999999998</v>
      </c>
      <c r="I1430"/>
    </row>
    <row r="1431" spans="1:9" x14ac:dyDescent="0.3">
      <c r="A1431" t="s">
        <v>2</v>
      </c>
      <c r="B1431" t="s">
        <v>13</v>
      </c>
      <c r="C1431" t="s">
        <v>99</v>
      </c>
      <c r="D1431" s="9" t="s">
        <v>98</v>
      </c>
      <c r="E1431" t="s">
        <v>33</v>
      </c>
      <c r="F1431" t="s">
        <v>63</v>
      </c>
      <c r="G1431">
        <v>598.1</v>
      </c>
      <c r="H1431" s="9">
        <v>16.14</v>
      </c>
      <c r="I1431"/>
    </row>
    <row r="1432" spans="1:9" x14ac:dyDescent="0.3">
      <c r="A1432" t="s">
        <v>2</v>
      </c>
      <c r="B1432" t="s">
        <v>13</v>
      </c>
      <c r="C1432" t="s">
        <v>100</v>
      </c>
      <c r="D1432" s="9" t="s">
        <v>98</v>
      </c>
      <c r="E1432" t="s">
        <v>34</v>
      </c>
      <c r="F1432" t="s">
        <v>65</v>
      </c>
      <c r="G1432">
        <v>636.1</v>
      </c>
      <c r="H1432" s="9">
        <v>6.67</v>
      </c>
      <c r="I1432"/>
    </row>
    <row r="1433" spans="1:9" x14ac:dyDescent="0.3">
      <c r="A1433" t="s">
        <v>2</v>
      </c>
      <c r="B1433" t="s">
        <v>13</v>
      </c>
      <c r="C1433" t="s">
        <v>101</v>
      </c>
      <c r="D1433" s="9" t="s">
        <v>98</v>
      </c>
      <c r="E1433" t="s">
        <v>35</v>
      </c>
      <c r="F1433" t="s">
        <v>67</v>
      </c>
      <c r="G1433">
        <v>590.6</v>
      </c>
      <c r="H1433" s="9">
        <v>13.51</v>
      </c>
      <c r="I1433"/>
    </row>
    <row r="1434" spans="1:9" x14ac:dyDescent="0.3">
      <c r="A1434" t="s">
        <v>2</v>
      </c>
      <c r="B1434" t="s">
        <v>13</v>
      </c>
      <c r="C1434" t="s">
        <v>102</v>
      </c>
      <c r="D1434" s="9" t="s">
        <v>98</v>
      </c>
      <c r="E1434" t="s">
        <v>36</v>
      </c>
      <c r="F1434" t="s">
        <v>69</v>
      </c>
      <c r="G1434">
        <v>645</v>
      </c>
      <c r="H1434" s="9">
        <v>-4.5</v>
      </c>
      <c r="I1434"/>
    </row>
    <row r="1435" spans="1:9" x14ac:dyDescent="0.3">
      <c r="A1435" t="s">
        <v>2</v>
      </c>
      <c r="B1435" t="s">
        <v>13</v>
      </c>
      <c r="C1435" t="s">
        <v>103</v>
      </c>
      <c r="D1435" s="9" t="s">
        <v>98</v>
      </c>
      <c r="E1435" t="s">
        <v>37</v>
      </c>
      <c r="F1435" t="s">
        <v>71</v>
      </c>
      <c r="G1435">
        <v>720.3</v>
      </c>
      <c r="H1435" s="9">
        <v>-1.34</v>
      </c>
      <c r="I1435"/>
    </row>
    <row r="1436" spans="1:9" x14ac:dyDescent="0.3">
      <c r="A1436" t="s">
        <v>2</v>
      </c>
      <c r="B1436" t="s">
        <v>13</v>
      </c>
      <c r="C1436" t="s">
        <v>104</v>
      </c>
      <c r="D1436" s="9" t="s">
        <v>98</v>
      </c>
      <c r="E1436" t="s">
        <v>38</v>
      </c>
      <c r="F1436" t="s">
        <v>73</v>
      </c>
      <c r="G1436">
        <v>600.20000000000005</v>
      </c>
      <c r="H1436" s="9">
        <v>-17.07</v>
      </c>
      <c r="I1436"/>
    </row>
    <row r="1437" spans="1:9" x14ac:dyDescent="0.3">
      <c r="A1437" t="s">
        <v>2</v>
      </c>
      <c r="B1437" t="s">
        <v>13</v>
      </c>
      <c r="C1437" t="s">
        <v>105</v>
      </c>
      <c r="D1437" s="9" t="s">
        <v>98</v>
      </c>
      <c r="E1437" t="s">
        <v>39</v>
      </c>
      <c r="F1437" t="s">
        <v>75</v>
      </c>
      <c r="G1437">
        <v>522.6</v>
      </c>
      <c r="H1437" s="9">
        <v>-25.44</v>
      </c>
      <c r="I1437"/>
    </row>
    <row r="1438" spans="1:9" x14ac:dyDescent="0.3">
      <c r="A1438" t="s">
        <v>2</v>
      </c>
      <c r="B1438" t="s">
        <v>13</v>
      </c>
      <c r="C1438" t="s">
        <v>106</v>
      </c>
      <c r="D1438" s="9" t="s">
        <v>98</v>
      </c>
      <c r="E1438" t="s">
        <v>40</v>
      </c>
      <c r="F1438" t="s">
        <v>77</v>
      </c>
      <c r="G1438">
        <v>578.4</v>
      </c>
      <c r="H1438" s="9">
        <v>-10.7</v>
      </c>
      <c r="I1438"/>
    </row>
    <row r="1439" spans="1:9" x14ac:dyDescent="0.3">
      <c r="A1439" t="s">
        <v>2</v>
      </c>
      <c r="B1439" t="s">
        <v>13</v>
      </c>
      <c r="C1439" t="s">
        <v>107</v>
      </c>
      <c r="D1439" s="9" t="s">
        <v>98</v>
      </c>
      <c r="E1439" t="s">
        <v>41</v>
      </c>
      <c r="F1439" t="s">
        <v>79</v>
      </c>
      <c r="G1439">
        <v>690.5</v>
      </c>
      <c r="H1439" s="9">
        <v>4.68</v>
      </c>
      <c r="I1439"/>
    </row>
    <row r="1440" spans="1:9" x14ac:dyDescent="0.3">
      <c r="A1440" t="s">
        <v>2</v>
      </c>
      <c r="B1440" t="s">
        <v>13</v>
      </c>
      <c r="C1440" t="s">
        <v>108</v>
      </c>
      <c r="D1440" s="9" t="s">
        <v>98</v>
      </c>
      <c r="E1440" t="s">
        <v>42</v>
      </c>
      <c r="F1440" t="s">
        <v>81</v>
      </c>
      <c r="G1440">
        <v>867.2</v>
      </c>
      <c r="H1440" s="9">
        <v>5.43</v>
      </c>
      <c r="I1440"/>
    </row>
    <row r="1441" spans="1:9" x14ac:dyDescent="0.3">
      <c r="A1441" t="s">
        <v>2</v>
      </c>
      <c r="B1441" t="s">
        <v>13</v>
      </c>
      <c r="C1441" t="s">
        <v>109</v>
      </c>
      <c r="D1441" s="9" t="s">
        <v>98</v>
      </c>
      <c r="E1441" t="s">
        <v>43</v>
      </c>
      <c r="F1441" t="s">
        <v>83</v>
      </c>
      <c r="G1441">
        <v>970.9</v>
      </c>
      <c r="H1441" s="9">
        <v>-1.04</v>
      </c>
      <c r="I1441"/>
    </row>
    <row r="1442" spans="1:9" x14ac:dyDescent="0.3">
      <c r="A1442" t="s">
        <v>2</v>
      </c>
      <c r="B1442" t="s">
        <v>13</v>
      </c>
      <c r="C1442" t="s">
        <v>110</v>
      </c>
      <c r="D1442" s="9" t="s">
        <v>111</v>
      </c>
      <c r="E1442" t="s">
        <v>32</v>
      </c>
      <c r="F1442" t="s">
        <v>61</v>
      </c>
      <c r="G1442">
        <v>664.8</v>
      </c>
      <c r="H1442" s="9">
        <v>-0.79</v>
      </c>
      <c r="I1442"/>
    </row>
    <row r="1443" spans="1:9" x14ac:dyDescent="0.3">
      <c r="A1443" t="s">
        <v>2</v>
      </c>
      <c r="B1443" t="s">
        <v>13</v>
      </c>
      <c r="C1443" t="s">
        <v>112</v>
      </c>
      <c r="D1443" s="9" t="s">
        <v>111</v>
      </c>
      <c r="E1443" t="s">
        <v>33</v>
      </c>
      <c r="F1443" t="s">
        <v>63</v>
      </c>
      <c r="G1443">
        <v>621.29999999999995</v>
      </c>
      <c r="H1443" s="9">
        <v>3.88</v>
      </c>
      <c r="I1443"/>
    </row>
    <row r="1444" spans="1:9" x14ac:dyDescent="0.3">
      <c r="A1444" t="s">
        <v>2</v>
      </c>
      <c r="B1444" t="s">
        <v>13</v>
      </c>
      <c r="C1444" t="s">
        <v>113</v>
      </c>
      <c r="D1444" s="9" t="s">
        <v>111</v>
      </c>
      <c r="E1444" t="s">
        <v>34</v>
      </c>
      <c r="F1444" t="s">
        <v>65</v>
      </c>
      <c r="G1444">
        <v>705.6</v>
      </c>
      <c r="H1444" s="9">
        <v>10.93</v>
      </c>
      <c r="I1444"/>
    </row>
    <row r="1445" spans="1:9" x14ac:dyDescent="0.3">
      <c r="A1445" t="s">
        <v>2</v>
      </c>
      <c r="B1445" t="s">
        <v>13</v>
      </c>
      <c r="C1445" t="s">
        <v>114</v>
      </c>
      <c r="D1445" s="9" t="s">
        <v>111</v>
      </c>
      <c r="E1445" t="s">
        <v>35</v>
      </c>
      <c r="F1445" t="s">
        <v>67</v>
      </c>
      <c r="G1445">
        <v>639.20000000000005</v>
      </c>
      <c r="H1445" s="9">
        <v>8.23</v>
      </c>
      <c r="I1445"/>
    </row>
    <row r="1446" spans="1:9" x14ac:dyDescent="0.3">
      <c r="A1446" t="s">
        <v>2</v>
      </c>
      <c r="B1446" t="s">
        <v>13</v>
      </c>
      <c r="C1446" t="s">
        <v>115</v>
      </c>
      <c r="D1446" s="9" t="s">
        <v>111</v>
      </c>
      <c r="E1446" t="s">
        <v>36</v>
      </c>
      <c r="F1446" t="s">
        <v>69</v>
      </c>
      <c r="G1446">
        <v>681.5</v>
      </c>
      <c r="H1446" s="9">
        <v>5.66</v>
      </c>
      <c r="I1446"/>
    </row>
    <row r="1447" spans="1:9" x14ac:dyDescent="0.3">
      <c r="A1447" t="s">
        <v>2</v>
      </c>
      <c r="B1447" t="s">
        <v>13</v>
      </c>
      <c r="C1447" t="s">
        <v>116</v>
      </c>
      <c r="D1447" s="9" t="s">
        <v>111</v>
      </c>
      <c r="E1447" t="s">
        <v>37</v>
      </c>
      <c r="F1447" t="s">
        <v>71</v>
      </c>
      <c r="G1447">
        <v>720.2</v>
      </c>
      <c r="H1447" s="9">
        <v>-0.01</v>
      </c>
      <c r="I1447"/>
    </row>
    <row r="1448" spans="1:9" x14ac:dyDescent="0.3">
      <c r="A1448" t="s">
        <v>2</v>
      </c>
      <c r="B1448" t="s">
        <v>13</v>
      </c>
      <c r="C1448" t="s">
        <v>117</v>
      </c>
      <c r="D1448" s="9" t="s">
        <v>111</v>
      </c>
      <c r="E1448" t="s">
        <v>38</v>
      </c>
      <c r="F1448" t="s">
        <v>73</v>
      </c>
      <c r="G1448">
        <v>681</v>
      </c>
      <c r="H1448" s="9">
        <v>13.46</v>
      </c>
      <c r="I1448"/>
    </row>
    <row r="1449" spans="1:9" x14ac:dyDescent="0.3">
      <c r="A1449" t="s">
        <v>2</v>
      </c>
      <c r="B1449" t="s">
        <v>13</v>
      </c>
      <c r="C1449" t="s">
        <v>118</v>
      </c>
      <c r="D1449" s="9" t="s">
        <v>111</v>
      </c>
      <c r="E1449" t="s">
        <v>39</v>
      </c>
      <c r="F1449" t="s">
        <v>75</v>
      </c>
      <c r="G1449">
        <v>647.9</v>
      </c>
      <c r="H1449" s="9">
        <v>23.98</v>
      </c>
      <c r="I1449"/>
    </row>
    <row r="1450" spans="1:9" x14ac:dyDescent="0.3">
      <c r="A1450" t="s">
        <v>2</v>
      </c>
      <c r="B1450" t="s">
        <v>13</v>
      </c>
      <c r="C1450" t="s">
        <v>119</v>
      </c>
      <c r="D1450" s="9" t="s">
        <v>111</v>
      </c>
      <c r="E1450" t="s">
        <v>40</v>
      </c>
      <c r="F1450" t="s">
        <v>77</v>
      </c>
      <c r="G1450">
        <v>689.4</v>
      </c>
      <c r="H1450" s="9">
        <v>19.190000000000001</v>
      </c>
      <c r="I1450"/>
    </row>
    <row r="1451" spans="1:9" x14ac:dyDescent="0.3">
      <c r="A1451" t="s">
        <v>2</v>
      </c>
      <c r="B1451" t="s">
        <v>13</v>
      </c>
      <c r="C1451" t="s">
        <v>120</v>
      </c>
      <c r="D1451" s="9" t="s">
        <v>111</v>
      </c>
      <c r="E1451" t="s">
        <v>41</v>
      </c>
      <c r="F1451" t="s">
        <v>79</v>
      </c>
      <c r="G1451">
        <v>681.8</v>
      </c>
      <c r="H1451" s="9">
        <v>-1.26</v>
      </c>
      <c r="I1451"/>
    </row>
    <row r="1452" spans="1:9" x14ac:dyDescent="0.3">
      <c r="A1452" t="s">
        <v>2</v>
      </c>
      <c r="B1452" t="s">
        <v>13</v>
      </c>
      <c r="C1452" t="s">
        <v>121</v>
      </c>
      <c r="D1452" s="9" t="s">
        <v>111</v>
      </c>
      <c r="E1452" t="s">
        <v>42</v>
      </c>
      <c r="F1452" t="s">
        <v>81</v>
      </c>
      <c r="G1452">
        <v>817.6</v>
      </c>
      <c r="H1452" s="9">
        <v>-5.72</v>
      </c>
      <c r="I1452"/>
    </row>
    <row r="1453" spans="1:9" x14ac:dyDescent="0.3">
      <c r="A1453" t="s">
        <v>2</v>
      </c>
      <c r="B1453" t="s">
        <v>13</v>
      </c>
      <c r="C1453" t="s">
        <v>122</v>
      </c>
      <c r="D1453" s="9" t="s">
        <v>111</v>
      </c>
      <c r="E1453" t="s">
        <v>43</v>
      </c>
      <c r="F1453" t="s">
        <v>83</v>
      </c>
      <c r="G1453">
        <v>923.4</v>
      </c>
      <c r="H1453" s="9">
        <v>-4.8899999999999997</v>
      </c>
      <c r="I1453"/>
    </row>
    <row r="1454" spans="1:9" x14ac:dyDescent="0.3">
      <c r="A1454" t="s">
        <v>2</v>
      </c>
      <c r="B1454" t="s">
        <v>13</v>
      </c>
      <c r="C1454" t="s">
        <v>123</v>
      </c>
      <c r="D1454" s="9" t="s">
        <v>124</v>
      </c>
      <c r="E1454" t="s">
        <v>32</v>
      </c>
      <c r="F1454" t="s">
        <v>61</v>
      </c>
      <c r="G1454">
        <v>655.6</v>
      </c>
      <c r="H1454" s="9">
        <v>-1.38</v>
      </c>
      <c r="I1454"/>
    </row>
    <row r="1455" spans="1:9" x14ac:dyDescent="0.3">
      <c r="A1455" t="s">
        <v>2</v>
      </c>
      <c r="B1455" t="s">
        <v>13</v>
      </c>
      <c r="C1455" t="s">
        <v>125</v>
      </c>
      <c r="D1455" s="9" t="s">
        <v>124</v>
      </c>
      <c r="E1455" t="s">
        <v>33</v>
      </c>
      <c r="F1455" t="s">
        <v>63</v>
      </c>
      <c r="G1455">
        <v>596</v>
      </c>
      <c r="H1455" s="9">
        <v>-4.07</v>
      </c>
      <c r="I1455"/>
    </row>
    <row r="1456" spans="1:9" x14ac:dyDescent="0.3">
      <c r="A1456" t="s">
        <v>2</v>
      </c>
      <c r="B1456" t="s">
        <v>13</v>
      </c>
      <c r="C1456" t="s">
        <v>126</v>
      </c>
      <c r="D1456" s="9" t="s">
        <v>124</v>
      </c>
      <c r="E1456" t="s">
        <v>34</v>
      </c>
      <c r="F1456" t="s">
        <v>65</v>
      </c>
      <c r="G1456">
        <v>630.70000000000005</v>
      </c>
      <c r="H1456" s="9">
        <v>-10.62</v>
      </c>
      <c r="I1456"/>
    </row>
    <row r="1457" spans="1:9" x14ac:dyDescent="0.3">
      <c r="A1457" t="s">
        <v>2</v>
      </c>
      <c r="B1457" t="s">
        <v>13</v>
      </c>
      <c r="C1457" t="s">
        <v>127</v>
      </c>
      <c r="D1457" s="9" t="s">
        <v>124</v>
      </c>
      <c r="E1457" t="s">
        <v>35</v>
      </c>
      <c r="F1457" t="s">
        <v>67</v>
      </c>
      <c r="G1457">
        <v>569.20000000000005</v>
      </c>
      <c r="H1457" s="9">
        <v>-10.95</v>
      </c>
      <c r="I1457"/>
    </row>
    <row r="1458" spans="1:9" x14ac:dyDescent="0.3">
      <c r="A1458" t="s">
        <v>2</v>
      </c>
      <c r="B1458" t="s">
        <v>13</v>
      </c>
      <c r="C1458" t="s">
        <v>128</v>
      </c>
      <c r="D1458" s="9" t="s">
        <v>124</v>
      </c>
      <c r="E1458" t="s">
        <v>36</v>
      </c>
      <c r="F1458" t="s">
        <v>69</v>
      </c>
      <c r="G1458">
        <v>626.4</v>
      </c>
      <c r="H1458" s="9">
        <v>-8.09</v>
      </c>
      <c r="I1458"/>
    </row>
    <row r="1459" spans="1:9" x14ac:dyDescent="0.3">
      <c r="A1459" t="s">
        <v>2</v>
      </c>
      <c r="B1459" t="s">
        <v>13</v>
      </c>
      <c r="C1459" t="s">
        <v>129</v>
      </c>
      <c r="D1459" s="9" t="s">
        <v>124</v>
      </c>
      <c r="E1459" t="s">
        <v>37</v>
      </c>
      <c r="F1459" t="s">
        <v>71</v>
      </c>
      <c r="G1459">
        <v>691.8</v>
      </c>
      <c r="H1459" s="9">
        <v>-3.94</v>
      </c>
      <c r="I1459"/>
    </row>
    <row r="1460" spans="1:9" x14ac:dyDescent="0.3">
      <c r="A1460" t="s">
        <v>2</v>
      </c>
      <c r="B1460" t="s">
        <v>13</v>
      </c>
      <c r="C1460" t="s">
        <v>130</v>
      </c>
      <c r="D1460" s="9" t="s">
        <v>124</v>
      </c>
      <c r="E1460" t="s">
        <v>38</v>
      </c>
      <c r="F1460" t="s">
        <v>73</v>
      </c>
      <c r="G1460">
        <v>585.79999999999995</v>
      </c>
      <c r="H1460" s="9">
        <v>-13.98</v>
      </c>
      <c r="I1460"/>
    </row>
    <row r="1461" spans="1:9" x14ac:dyDescent="0.3">
      <c r="A1461" t="s">
        <v>2</v>
      </c>
      <c r="B1461" t="s">
        <v>13</v>
      </c>
      <c r="C1461" t="s">
        <v>131</v>
      </c>
      <c r="D1461" s="9" t="s">
        <v>124</v>
      </c>
      <c r="E1461" t="s">
        <v>39</v>
      </c>
      <c r="F1461" t="s">
        <v>75</v>
      </c>
      <c r="G1461">
        <v>570.1</v>
      </c>
      <c r="H1461" s="9">
        <v>-12.01</v>
      </c>
      <c r="I1461"/>
    </row>
    <row r="1462" spans="1:9" x14ac:dyDescent="0.3">
      <c r="A1462" t="s">
        <v>2</v>
      </c>
      <c r="B1462" t="s">
        <v>13</v>
      </c>
      <c r="C1462" t="s">
        <v>132</v>
      </c>
      <c r="D1462" s="9" t="s">
        <v>124</v>
      </c>
      <c r="E1462" t="s">
        <v>40</v>
      </c>
      <c r="F1462" t="s">
        <v>77</v>
      </c>
      <c r="G1462">
        <v>611.70000000000005</v>
      </c>
      <c r="H1462" s="9">
        <v>-11.27</v>
      </c>
      <c r="I1462"/>
    </row>
    <row r="1463" spans="1:9" x14ac:dyDescent="0.3">
      <c r="A1463" t="s">
        <v>2</v>
      </c>
      <c r="B1463" t="s">
        <v>13</v>
      </c>
      <c r="C1463" t="s">
        <v>133</v>
      </c>
      <c r="D1463" s="9" t="s">
        <v>124</v>
      </c>
      <c r="E1463" t="s">
        <v>41</v>
      </c>
      <c r="F1463" t="s">
        <v>79</v>
      </c>
      <c r="G1463">
        <v>623.79999999999995</v>
      </c>
      <c r="H1463" s="9">
        <v>-8.51</v>
      </c>
      <c r="I1463"/>
    </row>
    <row r="1464" spans="1:9" x14ac:dyDescent="0.3">
      <c r="A1464" t="s">
        <v>2</v>
      </c>
      <c r="B1464" t="s">
        <v>13</v>
      </c>
      <c r="C1464" t="s">
        <v>134</v>
      </c>
      <c r="D1464" s="9" t="s">
        <v>124</v>
      </c>
      <c r="E1464" t="s">
        <v>42</v>
      </c>
      <c r="F1464" t="s">
        <v>81</v>
      </c>
      <c r="G1464">
        <v>825.8</v>
      </c>
      <c r="H1464" s="9">
        <v>1</v>
      </c>
      <c r="I1464"/>
    </row>
    <row r="1465" spans="1:9" x14ac:dyDescent="0.3">
      <c r="A1465" t="s">
        <v>2</v>
      </c>
      <c r="B1465" t="s">
        <v>13</v>
      </c>
      <c r="C1465" t="s">
        <v>135</v>
      </c>
      <c r="D1465" s="9" t="s">
        <v>124</v>
      </c>
      <c r="E1465" t="s">
        <v>43</v>
      </c>
      <c r="F1465" t="s">
        <v>83</v>
      </c>
      <c r="G1465">
        <v>876.7</v>
      </c>
      <c r="H1465" s="9">
        <v>-5.0599999999999996</v>
      </c>
      <c r="I1465"/>
    </row>
    <row r="1466" spans="1:9" x14ac:dyDescent="0.3">
      <c r="A1466" t="s">
        <v>2</v>
      </c>
      <c r="B1466" t="s">
        <v>13</v>
      </c>
      <c r="C1466" t="s">
        <v>136</v>
      </c>
      <c r="D1466" s="9" t="s">
        <v>137</v>
      </c>
      <c r="E1466" t="s">
        <v>32</v>
      </c>
      <c r="F1466" t="s">
        <v>61</v>
      </c>
      <c r="G1466">
        <v>628.79999999999995</v>
      </c>
      <c r="H1466" s="9">
        <v>-4.09</v>
      </c>
      <c r="I1466"/>
    </row>
    <row r="1467" spans="1:9" x14ac:dyDescent="0.3">
      <c r="A1467" t="s">
        <v>2</v>
      </c>
      <c r="B1467" t="s">
        <v>13</v>
      </c>
      <c r="C1467" t="s">
        <v>138</v>
      </c>
      <c r="D1467" s="9" t="s">
        <v>137</v>
      </c>
      <c r="E1467" t="s">
        <v>33</v>
      </c>
      <c r="F1467" t="s">
        <v>63</v>
      </c>
      <c r="G1467">
        <v>582.20000000000005</v>
      </c>
      <c r="H1467" s="9">
        <v>-2.3199999999999998</v>
      </c>
      <c r="I1467"/>
    </row>
    <row r="1468" spans="1:9" x14ac:dyDescent="0.3">
      <c r="A1468" t="s">
        <v>2</v>
      </c>
      <c r="B1468" t="s">
        <v>13</v>
      </c>
      <c r="C1468" t="s">
        <v>139</v>
      </c>
      <c r="D1468" s="9" t="s">
        <v>137</v>
      </c>
      <c r="E1468" t="s">
        <v>34</v>
      </c>
      <c r="F1468" t="s">
        <v>65</v>
      </c>
      <c r="G1468">
        <v>570.79999999999995</v>
      </c>
      <c r="H1468" s="9">
        <v>-9.5</v>
      </c>
      <c r="I1468"/>
    </row>
    <row r="1469" spans="1:9" x14ac:dyDescent="0.3">
      <c r="A1469" t="s">
        <v>2</v>
      </c>
      <c r="B1469" t="s">
        <v>13</v>
      </c>
      <c r="C1469" t="s">
        <v>140</v>
      </c>
      <c r="D1469" s="9" t="s">
        <v>137</v>
      </c>
      <c r="E1469" t="s">
        <v>35</v>
      </c>
      <c r="F1469" t="s">
        <v>67</v>
      </c>
      <c r="G1469">
        <v>559.29999999999995</v>
      </c>
      <c r="H1469" s="9">
        <v>-1.74</v>
      </c>
      <c r="I1469"/>
    </row>
    <row r="1470" spans="1:9" x14ac:dyDescent="0.3">
      <c r="A1470" t="s">
        <v>2</v>
      </c>
      <c r="B1470" t="s">
        <v>13</v>
      </c>
      <c r="C1470" t="s">
        <v>141</v>
      </c>
      <c r="D1470" s="9" t="s">
        <v>137</v>
      </c>
      <c r="E1470" t="s">
        <v>36</v>
      </c>
      <c r="F1470" t="s">
        <v>69</v>
      </c>
      <c r="G1470">
        <v>607.4</v>
      </c>
      <c r="H1470" s="9">
        <v>-3.03</v>
      </c>
      <c r="I1470"/>
    </row>
    <row r="1471" spans="1:9" x14ac:dyDescent="0.3">
      <c r="A1471" t="s">
        <v>2</v>
      </c>
      <c r="B1471" t="s">
        <v>13</v>
      </c>
      <c r="C1471" t="s">
        <v>142</v>
      </c>
      <c r="D1471" s="9" t="s">
        <v>137</v>
      </c>
      <c r="E1471" t="s">
        <v>37</v>
      </c>
      <c r="F1471" t="s">
        <v>71</v>
      </c>
      <c r="G1471">
        <v>684.3</v>
      </c>
      <c r="H1471" s="9">
        <v>-1.08</v>
      </c>
      <c r="I1471"/>
    </row>
    <row r="1472" spans="1:9" x14ac:dyDescent="0.3">
      <c r="A1472" t="s">
        <v>2</v>
      </c>
      <c r="B1472" t="s">
        <v>13</v>
      </c>
      <c r="C1472" t="s">
        <v>143</v>
      </c>
      <c r="D1472" s="9" t="s">
        <v>137</v>
      </c>
      <c r="E1472" t="s">
        <v>38</v>
      </c>
      <c r="F1472" t="s">
        <v>73</v>
      </c>
      <c r="G1472">
        <v>605.70000000000005</v>
      </c>
      <c r="H1472" s="9">
        <v>3.4</v>
      </c>
      <c r="I1472"/>
    </row>
    <row r="1473" spans="1:9" x14ac:dyDescent="0.3">
      <c r="A1473" t="s">
        <v>2</v>
      </c>
      <c r="B1473" t="s">
        <v>13</v>
      </c>
      <c r="C1473" t="s">
        <v>144</v>
      </c>
      <c r="D1473" s="9" t="s">
        <v>137</v>
      </c>
      <c r="E1473" t="s">
        <v>39</v>
      </c>
      <c r="F1473" t="s">
        <v>75</v>
      </c>
      <c r="G1473">
        <v>576.4</v>
      </c>
      <c r="H1473" s="9">
        <v>1.1100000000000001</v>
      </c>
      <c r="I1473"/>
    </row>
    <row r="1474" spans="1:9" x14ac:dyDescent="0.3">
      <c r="A1474" t="s">
        <v>2</v>
      </c>
      <c r="B1474" t="s">
        <v>13</v>
      </c>
      <c r="C1474" t="s">
        <v>145</v>
      </c>
      <c r="D1474" s="9" t="s">
        <v>137</v>
      </c>
      <c r="E1474" t="s">
        <v>40</v>
      </c>
      <c r="F1474" t="s">
        <v>77</v>
      </c>
      <c r="G1474">
        <v>598.6</v>
      </c>
      <c r="H1474" s="9">
        <v>-2.14</v>
      </c>
      <c r="I1474"/>
    </row>
    <row r="1475" spans="1:9" x14ac:dyDescent="0.3">
      <c r="A1475" t="s">
        <v>2</v>
      </c>
      <c r="B1475" t="s">
        <v>13</v>
      </c>
      <c r="C1475" t="s">
        <v>146</v>
      </c>
      <c r="D1475" s="9" t="s">
        <v>137</v>
      </c>
      <c r="E1475" t="s">
        <v>41</v>
      </c>
      <c r="F1475" t="s">
        <v>79</v>
      </c>
      <c r="G1475">
        <v>653.9</v>
      </c>
      <c r="H1475" s="9">
        <v>4.83</v>
      </c>
      <c r="I1475"/>
    </row>
    <row r="1476" spans="1:9" x14ac:dyDescent="0.3">
      <c r="A1476" t="s">
        <v>2</v>
      </c>
      <c r="B1476" t="s">
        <v>13</v>
      </c>
      <c r="C1476" t="s">
        <v>147</v>
      </c>
      <c r="D1476" s="9" t="s">
        <v>137</v>
      </c>
      <c r="E1476" t="s">
        <v>42</v>
      </c>
      <c r="F1476" t="s">
        <v>81</v>
      </c>
      <c r="G1476">
        <v>823.3</v>
      </c>
      <c r="H1476" s="9">
        <v>-0.3</v>
      </c>
      <c r="I1476"/>
    </row>
    <row r="1477" spans="1:9" x14ac:dyDescent="0.3">
      <c r="A1477" t="s">
        <v>2</v>
      </c>
      <c r="B1477" t="s">
        <v>13</v>
      </c>
      <c r="C1477" t="s">
        <v>148</v>
      </c>
      <c r="D1477" s="9" t="s">
        <v>137</v>
      </c>
      <c r="E1477" t="s">
        <v>43</v>
      </c>
      <c r="F1477" t="s">
        <v>83</v>
      </c>
      <c r="G1477">
        <v>947.8</v>
      </c>
      <c r="H1477" s="9">
        <v>8.11</v>
      </c>
      <c r="I1477"/>
    </row>
    <row r="1478" spans="1:9" x14ac:dyDescent="0.3">
      <c r="A1478" t="s">
        <v>2</v>
      </c>
      <c r="B1478" t="s">
        <v>13</v>
      </c>
      <c r="C1478" t="s">
        <v>149</v>
      </c>
      <c r="D1478" s="9" t="s">
        <v>150</v>
      </c>
      <c r="E1478" t="s">
        <v>32</v>
      </c>
      <c r="F1478" t="s">
        <v>61</v>
      </c>
      <c r="G1478">
        <v>620</v>
      </c>
      <c r="H1478" s="9">
        <v>-1.4</v>
      </c>
      <c r="I1478"/>
    </row>
    <row r="1479" spans="1:9" x14ac:dyDescent="0.3">
      <c r="A1479" t="s">
        <v>2</v>
      </c>
      <c r="B1479" t="s">
        <v>13</v>
      </c>
      <c r="C1479" t="s">
        <v>151</v>
      </c>
      <c r="D1479" s="9" t="s">
        <v>150</v>
      </c>
      <c r="E1479" t="s">
        <v>33</v>
      </c>
      <c r="F1479" t="s">
        <v>63</v>
      </c>
      <c r="G1479">
        <v>572.6</v>
      </c>
      <c r="H1479" s="9">
        <v>-1.65</v>
      </c>
      <c r="I1479"/>
    </row>
    <row r="1480" spans="1:9" x14ac:dyDescent="0.3">
      <c r="A1480" t="s">
        <v>2</v>
      </c>
      <c r="B1480" t="s">
        <v>13</v>
      </c>
      <c r="C1480" t="s">
        <v>152</v>
      </c>
      <c r="D1480" s="9" t="s">
        <v>150</v>
      </c>
      <c r="E1480" t="s">
        <v>34</v>
      </c>
      <c r="F1480" t="s">
        <v>65</v>
      </c>
      <c r="G1480">
        <v>613</v>
      </c>
      <c r="H1480" s="9">
        <v>7.39</v>
      </c>
      <c r="I1480"/>
    </row>
    <row r="1481" spans="1:9" x14ac:dyDescent="0.3">
      <c r="A1481" t="s">
        <v>2</v>
      </c>
      <c r="B1481" t="s">
        <v>13</v>
      </c>
      <c r="C1481" t="s">
        <v>153</v>
      </c>
      <c r="D1481" s="9" t="s">
        <v>150</v>
      </c>
      <c r="E1481" t="s">
        <v>35</v>
      </c>
      <c r="F1481" t="s">
        <v>67</v>
      </c>
      <c r="G1481">
        <v>548.1</v>
      </c>
      <c r="H1481" s="9">
        <v>-2</v>
      </c>
      <c r="I1481"/>
    </row>
    <row r="1482" spans="1:9" x14ac:dyDescent="0.3">
      <c r="A1482" t="s">
        <v>2</v>
      </c>
      <c r="B1482" t="s">
        <v>13</v>
      </c>
      <c r="C1482" t="s">
        <v>154</v>
      </c>
      <c r="D1482" s="9" t="s">
        <v>150</v>
      </c>
      <c r="E1482" t="s">
        <v>36</v>
      </c>
      <c r="F1482" t="s">
        <v>69</v>
      </c>
      <c r="G1482">
        <v>612.5</v>
      </c>
      <c r="H1482" s="9">
        <v>0.84</v>
      </c>
      <c r="I1482"/>
    </row>
    <row r="1483" spans="1:9" x14ac:dyDescent="0.3">
      <c r="A1483" t="s">
        <v>2</v>
      </c>
      <c r="B1483" t="s">
        <v>13</v>
      </c>
      <c r="C1483" t="s">
        <v>155</v>
      </c>
      <c r="D1483" s="9" t="s">
        <v>150</v>
      </c>
      <c r="E1483" t="s">
        <v>37</v>
      </c>
      <c r="F1483" t="s">
        <v>71</v>
      </c>
      <c r="G1483">
        <v>725.2</v>
      </c>
      <c r="H1483" s="9">
        <v>5.98</v>
      </c>
      <c r="I1483"/>
    </row>
    <row r="1484" spans="1:9" x14ac:dyDescent="0.3">
      <c r="A1484" t="s">
        <v>2</v>
      </c>
      <c r="B1484" t="s">
        <v>22</v>
      </c>
      <c r="C1484" t="s">
        <v>59</v>
      </c>
      <c r="D1484" s="9" t="s">
        <v>60</v>
      </c>
      <c r="E1484" t="s">
        <v>32</v>
      </c>
      <c r="F1484" t="s">
        <v>61</v>
      </c>
      <c r="G1484">
        <v>266.7</v>
      </c>
      <c r="I1484"/>
    </row>
    <row r="1485" spans="1:9" x14ac:dyDescent="0.3">
      <c r="A1485" t="s">
        <v>2</v>
      </c>
      <c r="B1485" t="s">
        <v>22</v>
      </c>
      <c r="C1485" t="s">
        <v>62</v>
      </c>
      <c r="D1485" s="9" t="s">
        <v>60</v>
      </c>
      <c r="E1485" t="s">
        <v>33</v>
      </c>
      <c r="F1485" t="s">
        <v>63</v>
      </c>
      <c r="G1485">
        <v>233.2</v>
      </c>
      <c r="I1485"/>
    </row>
    <row r="1486" spans="1:9" x14ac:dyDescent="0.3">
      <c r="A1486" t="s">
        <v>2</v>
      </c>
      <c r="B1486" t="s">
        <v>22</v>
      </c>
      <c r="C1486" t="s">
        <v>64</v>
      </c>
      <c r="D1486" s="9" t="s">
        <v>60</v>
      </c>
      <c r="E1486" t="s">
        <v>34</v>
      </c>
      <c r="F1486" t="s">
        <v>65</v>
      </c>
      <c r="G1486">
        <v>245.7</v>
      </c>
      <c r="I1486"/>
    </row>
    <row r="1487" spans="1:9" x14ac:dyDescent="0.3">
      <c r="A1487" t="s">
        <v>2</v>
      </c>
      <c r="B1487" t="s">
        <v>22</v>
      </c>
      <c r="C1487" t="s">
        <v>66</v>
      </c>
      <c r="D1487" s="9" t="s">
        <v>60</v>
      </c>
      <c r="E1487" t="s">
        <v>35</v>
      </c>
      <c r="F1487" t="s">
        <v>67</v>
      </c>
      <c r="G1487">
        <v>227.4</v>
      </c>
      <c r="I1487"/>
    </row>
    <row r="1488" spans="1:9" x14ac:dyDescent="0.3">
      <c r="A1488" t="s">
        <v>2</v>
      </c>
      <c r="B1488" t="s">
        <v>22</v>
      </c>
      <c r="C1488" t="s">
        <v>68</v>
      </c>
      <c r="D1488" s="9" t="s">
        <v>60</v>
      </c>
      <c r="E1488" t="s">
        <v>36</v>
      </c>
      <c r="F1488" t="s">
        <v>69</v>
      </c>
      <c r="G1488">
        <v>255.1</v>
      </c>
      <c r="I1488"/>
    </row>
    <row r="1489" spans="1:9" x14ac:dyDescent="0.3">
      <c r="A1489" t="s">
        <v>2</v>
      </c>
      <c r="B1489" t="s">
        <v>22</v>
      </c>
      <c r="C1489" t="s">
        <v>70</v>
      </c>
      <c r="D1489" s="9" t="s">
        <v>60</v>
      </c>
      <c r="E1489" t="s">
        <v>37</v>
      </c>
      <c r="F1489" t="s">
        <v>71</v>
      </c>
      <c r="G1489">
        <v>243.7</v>
      </c>
      <c r="I1489"/>
    </row>
    <row r="1490" spans="1:9" x14ac:dyDescent="0.3">
      <c r="A1490" t="s">
        <v>2</v>
      </c>
      <c r="B1490" t="s">
        <v>22</v>
      </c>
      <c r="C1490" t="s">
        <v>72</v>
      </c>
      <c r="D1490" s="9" t="s">
        <v>60</v>
      </c>
      <c r="E1490" t="s">
        <v>38</v>
      </c>
      <c r="F1490" t="s">
        <v>73</v>
      </c>
      <c r="G1490">
        <v>237.5</v>
      </c>
      <c r="I1490"/>
    </row>
    <row r="1491" spans="1:9" x14ac:dyDescent="0.3">
      <c r="A1491" t="s">
        <v>2</v>
      </c>
      <c r="B1491" t="s">
        <v>22</v>
      </c>
      <c r="C1491" t="s">
        <v>74</v>
      </c>
      <c r="D1491" s="9" t="s">
        <v>60</v>
      </c>
      <c r="E1491" t="s">
        <v>39</v>
      </c>
      <c r="F1491" t="s">
        <v>75</v>
      </c>
      <c r="G1491">
        <v>259</v>
      </c>
      <c r="I1491"/>
    </row>
    <row r="1492" spans="1:9" x14ac:dyDescent="0.3">
      <c r="A1492" t="s">
        <v>2</v>
      </c>
      <c r="B1492" t="s">
        <v>22</v>
      </c>
      <c r="C1492" t="s">
        <v>76</v>
      </c>
      <c r="D1492" s="9" t="s">
        <v>60</v>
      </c>
      <c r="E1492" t="s">
        <v>40</v>
      </c>
      <c r="F1492" t="s">
        <v>77</v>
      </c>
      <c r="G1492">
        <v>247</v>
      </c>
      <c r="I1492"/>
    </row>
    <row r="1493" spans="1:9" x14ac:dyDescent="0.3">
      <c r="A1493" t="s">
        <v>2</v>
      </c>
      <c r="B1493" t="s">
        <v>22</v>
      </c>
      <c r="C1493" t="s">
        <v>78</v>
      </c>
      <c r="D1493" s="9" t="s">
        <v>60</v>
      </c>
      <c r="E1493" t="s">
        <v>41</v>
      </c>
      <c r="F1493" t="s">
        <v>79</v>
      </c>
      <c r="G1493">
        <v>257.89999999999998</v>
      </c>
      <c r="I1493"/>
    </row>
    <row r="1494" spans="1:9" x14ac:dyDescent="0.3">
      <c r="A1494" t="s">
        <v>2</v>
      </c>
      <c r="B1494" t="s">
        <v>22</v>
      </c>
      <c r="C1494" t="s">
        <v>80</v>
      </c>
      <c r="D1494" s="9" t="s">
        <v>60</v>
      </c>
      <c r="E1494" t="s">
        <v>42</v>
      </c>
      <c r="F1494" t="s">
        <v>81</v>
      </c>
      <c r="G1494">
        <v>297.3</v>
      </c>
      <c r="I1494"/>
    </row>
    <row r="1495" spans="1:9" x14ac:dyDescent="0.3">
      <c r="A1495" t="s">
        <v>2</v>
      </c>
      <c r="B1495" t="s">
        <v>22</v>
      </c>
      <c r="C1495" t="s">
        <v>82</v>
      </c>
      <c r="D1495" s="9" t="s">
        <v>60</v>
      </c>
      <c r="E1495" t="s">
        <v>43</v>
      </c>
      <c r="F1495" t="s">
        <v>83</v>
      </c>
      <c r="G1495">
        <v>450.7</v>
      </c>
      <c r="I1495"/>
    </row>
    <row r="1496" spans="1:9" x14ac:dyDescent="0.3">
      <c r="A1496" t="s">
        <v>2</v>
      </c>
      <c r="B1496" t="s">
        <v>22</v>
      </c>
      <c r="C1496" t="s">
        <v>84</v>
      </c>
      <c r="D1496" s="9" t="s">
        <v>85</v>
      </c>
      <c r="E1496" t="s">
        <v>32</v>
      </c>
      <c r="F1496" t="s">
        <v>61</v>
      </c>
      <c r="G1496">
        <v>260.3</v>
      </c>
      <c r="H1496" s="9">
        <v>-2.4</v>
      </c>
      <c r="I1496"/>
    </row>
    <row r="1497" spans="1:9" x14ac:dyDescent="0.3">
      <c r="A1497" t="s">
        <v>2</v>
      </c>
      <c r="B1497" t="s">
        <v>22</v>
      </c>
      <c r="C1497" t="s">
        <v>86</v>
      </c>
      <c r="D1497" s="9" t="s">
        <v>85</v>
      </c>
      <c r="E1497" t="s">
        <v>33</v>
      </c>
      <c r="F1497" t="s">
        <v>63</v>
      </c>
      <c r="G1497">
        <v>224.6</v>
      </c>
      <c r="H1497" s="9">
        <v>-3.69</v>
      </c>
      <c r="I1497"/>
    </row>
    <row r="1498" spans="1:9" x14ac:dyDescent="0.3">
      <c r="A1498" t="s">
        <v>2</v>
      </c>
      <c r="B1498" t="s">
        <v>22</v>
      </c>
      <c r="C1498" t="s">
        <v>87</v>
      </c>
      <c r="D1498" s="9" t="s">
        <v>85</v>
      </c>
      <c r="E1498" t="s">
        <v>34</v>
      </c>
      <c r="F1498" t="s">
        <v>65</v>
      </c>
      <c r="G1498">
        <v>191</v>
      </c>
      <c r="H1498" s="9">
        <v>-22.26</v>
      </c>
      <c r="I1498"/>
    </row>
    <row r="1499" spans="1:9" x14ac:dyDescent="0.3">
      <c r="A1499" t="s">
        <v>2</v>
      </c>
      <c r="B1499" t="s">
        <v>22</v>
      </c>
      <c r="C1499" t="s">
        <v>88</v>
      </c>
      <c r="D1499" s="9" t="s">
        <v>85</v>
      </c>
      <c r="E1499" t="s">
        <v>35</v>
      </c>
      <c r="F1499" t="s">
        <v>67</v>
      </c>
      <c r="G1499">
        <v>106.3</v>
      </c>
      <c r="H1499" s="9">
        <v>-53.25</v>
      </c>
      <c r="I1499"/>
    </row>
    <row r="1500" spans="1:9" x14ac:dyDescent="0.3">
      <c r="A1500" t="s">
        <v>2</v>
      </c>
      <c r="B1500" t="s">
        <v>22</v>
      </c>
      <c r="C1500" t="s">
        <v>89</v>
      </c>
      <c r="D1500" s="9" t="s">
        <v>85</v>
      </c>
      <c r="E1500" t="s">
        <v>36</v>
      </c>
      <c r="F1500" t="s">
        <v>69</v>
      </c>
      <c r="G1500">
        <v>212.6</v>
      </c>
      <c r="H1500" s="9">
        <v>-16.66</v>
      </c>
      <c r="I1500"/>
    </row>
    <row r="1501" spans="1:9" x14ac:dyDescent="0.3">
      <c r="A1501" t="s">
        <v>2</v>
      </c>
      <c r="B1501" t="s">
        <v>22</v>
      </c>
      <c r="C1501" t="s">
        <v>90</v>
      </c>
      <c r="D1501" s="9" t="s">
        <v>85</v>
      </c>
      <c r="E1501" t="s">
        <v>37</v>
      </c>
      <c r="F1501" t="s">
        <v>71</v>
      </c>
      <c r="G1501">
        <v>214.9</v>
      </c>
      <c r="H1501" s="9">
        <v>-11.82</v>
      </c>
      <c r="I1501"/>
    </row>
    <row r="1502" spans="1:9" x14ac:dyDescent="0.3">
      <c r="A1502" t="s">
        <v>2</v>
      </c>
      <c r="B1502" t="s">
        <v>22</v>
      </c>
      <c r="C1502" t="s">
        <v>91</v>
      </c>
      <c r="D1502" s="9" t="s">
        <v>85</v>
      </c>
      <c r="E1502" t="s">
        <v>38</v>
      </c>
      <c r="F1502" t="s">
        <v>73</v>
      </c>
      <c r="G1502">
        <v>250.8</v>
      </c>
      <c r="H1502" s="9">
        <v>5.6</v>
      </c>
      <c r="I1502"/>
    </row>
    <row r="1503" spans="1:9" x14ac:dyDescent="0.3">
      <c r="A1503" t="s">
        <v>2</v>
      </c>
      <c r="B1503" t="s">
        <v>22</v>
      </c>
      <c r="C1503" t="s">
        <v>92</v>
      </c>
      <c r="D1503" s="9" t="s">
        <v>85</v>
      </c>
      <c r="E1503" t="s">
        <v>39</v>
      </c>
      <c r="F1503" t="s">
        <v>75</v>
      </c>
      <c r="G1503">
        <v>259.2</v>
      </c>
      <c r="H1503" s="9">
        <v>0.08</v>
      </c>
      <c r="I1503"/>
    </row>
    <row r="1504" spans="1:9" x14ac:dyDescent="0.3">
      <c r="A1504" t="s">
        <v>2</v>
      </c>
      <c r="B1504" t="s">
        <v>22</v>
      </c>
      <c r="C1504" t="s">
        <v>93</v>
      </c>
      <c r="D1504" s="9" t="s">
        <v>85</v>
      </c>
      <c r="E1504" t="s">
        <v>40</v>
      </c>
      <c r="F1504" t="s">
        <v>77</v>
      </c>
      <c r="G1504">
        <v>256.39999999999998</v>
      </c>
      <c r="H1504" s="9">
        <v>3.81</v>
      </c>
      <c r="I1504"/>
    </row>
    <row r="1505" spans="1:9" x14ac:dyDescent="0.3">
      <c r="A1505" t="s">
        <v>2</v>
      </c>
      <c r="B1505" t="s">
        <v>22</v>
      </c>
      <c r="C1505" t="s">
        <v>94</v>
      </c>
      <c r="D1505" s="9" t="s">
        <v>85</v>
      </c>
      <c r="E1505" t="s">
        <v>41</v>
      </c>
      <c r="F1505" t="s">
        <v>79</v>
      </c>
      <c r="G1505">
        <v>263.7</v>
      </c>
      <c r="H1505" s="9">
        <v>2.25</v>
      </c>
      <c r="I1505"/>
    </row>
    <row r="1506" spans="1:9" x14ac:dyDescent="0.3">
      <c r="A1506" t="s">
        <v>2</v>
      </c>
      <c r="B1506" t="s">
        <v>22</v>
      </c>
      <c r="C1506" t="s">
        <v>95</v>
      </c>
      <c r="D1506" s="9" t="s">
        <v>85</v>
      </c>
      <c r="E1506" t="s">
        <v>42</v>
      </c>
      <c r="F1506" t="s">
        <v>81</v>
      </c>
      <c r="G1506">
        <v>305</v>
      </c>
      <c r="H1506" s="9">
        <v>2.59</v>
      </c>
      <c r="I1506"/>
    </row>
    <row r="1507" spans="1:9" x14ac:dyDescent="0.3">
      <c r="A1507" t="s">
        <v>2</v>
      </c>
      <c r="B1507" t="s">
        <v>22</v>
      </c>
      <c r="C1507" t="s">
        <v>96</v>
      </c>
      <c r="D1507" s="9" t="s">
        <v>85</v>
      </c>
      <c r="E1507" t="s">
        <v>43</v>
      </c>
      <c r="F1507" t="s">
        <v>83</v>
      </c>
      <c r="G1507">
        <v>454.8</v>
      </c>
      <c r="H1507" s="9">
        <v>0.91</v>
      </c>
      <c r="I1507"/>
    </row>
    <row r="1508" spans="1:9" x14ac:dyDescent="0.3">
      <c r="A1508" t="s">
        <v>2</v>
      </c>
      <c r="B1508" t="s">
        <v>22</v>
      </c>
      <c r="C1508" t="s">
        <v>97</v>
      </c>
      <c r="D1508" s="9" t="s">
        <v>98</v>
      </c>
      <c r="E1508" t="s">
        <v>32</v>
      </c>
      <c r="F1508" t="s">
        <v>61</v>
      </c>
      <c r="G1508">
        <v>271.2</v>
      </c>
      <c r="H1508" s="9">
        <v>4.1900000000000004</v>
      </c>
      <c r="I1508"/>
    </row>
    <row r="1509" spans="1:9" x14ac:dyDescent="0.3">
      <c r="A1509" t="s">
        <v>2</v>
      </c>
      <c r="B1509" t="s">
        <v>22</v>
      </c>
      <c r="C1509" t="s">
        <v>99</v>
      </c>
      <c r="D1509" s="9" t="s">
        <v>98</v>
      </c>
      <c r="E1509" t="s">
        <v>33</v>
      </c>
      <c r="F1509" t="s">
        <v>63</v>
      </c>
      <c r="G1509">
        <v>252.5</v>
      </c>
      <c r="H1509" s="9">
        <v>12.42</v>
      </c>
      <c r="I1509"/>
    </row>
    <row r="1510" spans="1:9" x14ac:dyDescent="0.3">
      <c r="A1510" t="s">
        <v>2</v>
      </c>
      <c r="B1510" t="s">
        <v>22</v>
      </c>
      <c r="C1510" t="s">
        <v>100</v>
      </c>
      <c r="D1510" s="9" t="s">
        <v>98</v>
      </c>
      <c r="E1510" t="s">
        <v>34</v>
      </c>
      <c r="F1510" t="s">
        <v>65</v>
      </c>
      <c r="G1510">
        <v>271.89999999999998</v>
      </c>
      <c r="H1510" s="9">
        <v>42.36</v>
      </c>
      <c r="I1510"/>
    </row>
    <row r="1511" spans="1:9" x14ac:dyDescent="0.3">
      <c r="A1511" t="s">
        <v>2</v>
      </c>
      <c r="B1511" t="s">
        <v>22</v>
      </c>
      <c r="C1511" t="s">
        <v>101</v>
      </c>
      <c r="D1511" s="9" t="s">
        <v>98</v>
      </c>
      <c r="E1511" t="s">
        <v>35</v>
      </c>
      <c r="F1511" t="s">
        <v>67</v>
      </c>
      <c r="G1511">
        <v>271.60000000000002</v>
      </c>
      <c r="H1511" s="9">
        <v>155.5</v>
      </c>
      <c r="I1511"/>
    </row>
    <row r="1512" spans="1:9" x14ac:dyDescent="0.3">
      <c r="A1512" t="s">
        <v>2</v>
      </c>
      <c r="B1512" t="s">
        <v>22</v>
      </c>
      <c r="C1512" t="s">
        <v>102</v>
      </c>
      <c r="D1512" s="9" t="s">
        <v>98</v>
      </c>
      <c r="E1512" t="s">
        <v>36</v>
      </c>
      <c r="F1512" t="s">
        <v>69</v>
      </c>
      <c r="G1512">
        <v>297.3</v>
      </c>
      <c r="H1512" s="9">
        <v>39.840000000000003</v>
      </c>
      <c r="I1512"/>
    </row>
    <row r="1513" spans="1:9" x14ac:dyDescent="0.3">
      <c r="A1513" t="s">
        <v>2</v>
      </c>
      <c r="B1513" t="s">
        <v>22</v>
      </c>
      <c r="C1513" t="s">
        <v>103</v>
      </c>
      <c r="D1513" s="9" t="s">
        <v>98</v>
      </c>
      <c r="E1513" t="s">
        <v>37</v>
      </c>
      <c r="F1513" t="s">
        <v>71</v>
      </c>
      <c r="G1513">
        <v>257.2</v>
      </c>
      <c r="H1513" s="9">
        <v>19.68</v>
      </c>
      <c r="I1513"/>
    </row>
    <row r="1514" spans="1:9" x14ac:dyDescent="0.3">
      <c r="A1514" t="s">
        <v>2</v>
      </c>
      <c r="B1514" t="s">
        <v>22</v>
      </c>
      <c r="C1514" t="s">
        <v>104</v>
      </c>
      <c r="D1514" s="9" t="s">
        <v>98</v>
      </c>
      <c r="E1514" t="s">
        <v>38</v>
      </c>
      <c r="F1514" t="s">
        <v>73</v>
      </c>
      <c r="G1514">
        <v>186.8</v>
      </c>
      <c r="H1514" s="9">
        <v>-25.52</v>
      </c>
      <c r="I1514"/>
    </row>
    <row r="1515" spans="1:9" x14ac:dyDescent="0.3">
      <c r="A1515" t="s">
        <v>2</v>
      </c>
      <c r="B1515" t="s">
        <v>22</v>
      </c>
      <c r="C1515" t="s">
        <v>105</v>
      </c>
      <c r="D1515" s="9" t="s">
        <v>98</v>
      </c>
      <c r="E1515" t="s">
        <v>39</v>
      </c>
      <c r="F1515" t="s">
        <v>75</v>
      </c>
      <c r="G1515">
        <v>140.1</v>
      </c>
      <c r="H1515" s="9">
        <v>-45.95</v>
      </c>
      <c r="I1515"/>
    </row>
    <row r="1516" spans="1:9" x14ac:dyDescent="0.3">
      <c r="A1516" t="s">
        <v>2</v>
      </c>
      <c r="B1516" t="s">
        <v>22</v>
      </c>
      <c r="C1516" t="s">
        <v>106</v>
      </c>
      <c r="D1516" s="9" t="s">
        <v>98</v>
      </c>
      <c r="E1516" t="s">
        <v>40</v>
      </c>
      <c r="F1516" t="s">
        <v>77</v>
      </c>
      <c r="G1516">
        <v>156.6</v>
      </c>
      <c r="H1516" s="9">
        <v>-38.92</v>
      </c>
      <c r="I1516"/>
    </row>
    <row r="1517" spans="1:9" x14ac:dyDescent="0.3">
      <c r="A1517" t="s">
        <v>2</v>
      </c>
      <c r="B1517" t="s">
        <v>22</v>
      </c>
      <c r="C1517" t="s">
        <v>107</v>
      </c>
      <c r="D1517" s="9" t="s">
        <v>98</v>
      </c>
      <c r="E1517" t="s">
        <v>41</v>
      </c>
      <c r="F1517" t="s">
        <v>79</v>
      </c>
      <c r="G1517">
        <v>283.60000000000002</v>
      </c>
      <c r="H1517" s="9">
        <v>7.55</v>
      </c>
      <c r="I1517"/>
    </row>
    <row r="1518" spans="1:9" x14ac:dyDescent="0.3">
      <c r="A1518" t="s">
        <v>2</v>
      </c>
      <c r="B1518" t="s">
        <v>22</v>
      </c>
      <c r="C1518" t="s">
        <v>108</v>
      </c>
      <c r="D1518" s="9" t="s">
        <v>98</v>
      </c>
      <c r="E1518" t="s">
        <v>42</v>
      </c>
      <c r="F1518" t="s">
        <v>81</v>
      </c>
      <c r="G1518">
        <v>390.7</v>
      </c>
      <c r="H1518" s="9">
        <v>28.1</v>
      </c>
      <c r="I1518"/>
    </row>
    <row r="1519" spans="1:9" x14ac:dyDescent="0.3">
      <c r="A1519" t="s">
        <v>2</v>
      </c>
      <c r="B1519" t="s">
        <v>22</v>
      </c>
      <c r="C1519" t="s">
        <v>109</v>
      </c>
      <c r="D1519" s="9" t="s">
        <v>98</v>
      </c>
      <c r="E1519" t="s">
        <v>43</v>
      </c>
      <c r="F1519" t="s">
        <v>83</v>
      </c>
      <c r="G1519">
        <v>534.9</v>
      </c>
      <c r="H1519" s="9">
        <v>17.61</v>
      </c>
      <c r="I1519"/>
    </row>
    <row r="1520" spans="1:9" x14ac:dyDescent="0.3">
      <c r="A1520" t="s">
        <v>2</v>
      </c>
      <c r="B1520" t="s">
        <v>22</v>
      </c>
      <c r="C1520" t="s">
        <v>110</v>
      </c>
      <c r="D1520" s="9" t="s">
        <v>111</v>
      </c>
      <c r="E1520" t="s">
        <v>32</v>
      </c>
      <c r="F1520" t="s">
        <v>61</v>
      </c>
      <c r="G1520">
        <v>310.2</v>
      </c>
      <c r="H1520" s="9">
        <v>14.38</v>
      </c>
      <c r="I1520"/>
    </row>
    <row r="1521" spans="1:9" x14ac:dyDescent="0.3">
      <c r="A1521" t="s">
        <v>2</v>
      </c>
      <c r="B1521" t="s">
        <v>22</v>
      </c>
      <c r="C1521" t="s">
        <v>112</v>
      </c>
      <c r="D1521" s="9" t="s">
        <v>111</v>
      </c>
      <c r="E1521" t="s">
        <v>33</v>
      </c>
      <c r="F1521" t="s">
        <v>63</v>
      </c>
      <c r="G1521">
        <v>291.39999999999998</v>
      </c>
      <c r="H1521" s="9">
        <v>15.41</v>
      </c>
      <c r="I1521"/>
    </row>
    <row r="1522" spans="1:9" x14ac:dyDescent="0.3">
      <c r="A1522" t="s">
        <v>2</v>
      </c>
      <c r="B1522" t="s">
        <v>22</v>
      </c>
      <c r="C1522" t="s">
        <v>113</v>
      </c>
      <c r="D1522" s="9" t="s">
        <v>111</v>
      </c>
      <c r="E1522" t="s">
        <v>34</v>
      </c>
      <c r="F1522" t="s">
        <v>65</v>
      </c>
      <c r="G1522">
        <v>326.8</v>
      </c>
      <c r="H1522" s="9">
        <v>20.190000000000001</v>
      </c>
      <c r="I1522"/>
    </row>
    <row r="1523" spans="1:9" x14ac:dyDescent="0.3">
      <c r="A1523" t="s">
        <v>2</v>
      </c>
      <c r="B1523" t="s">
        <v>22</v>
      </c>
      <c r="C1523" t="s">
        <v>114</v>
      </c>
      <c r="D1523" s="9" t="s">
        <v>111</v>
      </c>
      <c r="E1523" t="s">
        <v>35</v>
      </c>
      <c r="F1523" t="s">
        <v>67</v>
      </c>
      <c r="G1523">
        <v>308.7</v>
      </c>
      <c r="H1523" s="9">
        <v>13.66</v>
      </c>
      <c r="I1523"/>
    </row>
    <row r="1524" spans="1:9" x14ac:dyDescent="0.3">
      <c r="A1524" t="s">
        <v>2</v>
      </c>
      <c r="B1524" t="s">
        <v>22</v>
      </c>
      <c r="C1524" t="s">
        <v>115</v>
      </c>
      <c r="D1524" s="9" t="s">
        <v>111</v>
      </c>
      <c r="E1524" t="s">
        <v>36</v>
      </c>
      <c r="F1524" t="s">
        <v>69</v>
      </c>
      <c r="G1524">
        <v>341.4</v>
      </c>
      <c r="H1524" s="9">
        <v>14.83</v>
      </c>
      <c r="I1524"/>
    </row>
    <row r="1525" spans="1:9" x14ac:dyDescent="0.3">
      <c r="A1525" t="s">
        <v>2</v>
      </c>
      <c r="B1525" t="s">
        <v>22</v>
      </c>
      <c r="C1525" t="s">
        <v>116</v>
      </c>
      <c r="D1525" s="9" t="s">
        <v>111</v>
      </c>
      <c r="E1525" t="s">
        <v>37</v>
      </c>
      <c r="F1525" t="s">
        <v>71</v>
      </c>
      <c r="G1525">
        <v>314.5</v>
      </c>
      <c r="H1525" s="9">
        <v>22.28</v>
      </c>
      <c r="I1525"/>
    </row>
    <row r="1526" spans="1:9" x14ac:dyDescent="0.3">
      <c r="A1526" t="s">
        <v>2</v>
      </c>
      <c r="B1526" t="s">
        <v>22</v>
      </c>
      <c r="C1526" t="s">
        <v>117</v>
      </c>
      <c r="D1526" s="9" t="s">
        <v>111</v>
      </c>
      <c r="E1526" t="s">
        <v>38</v>
      </c>
      <c r="F1526" t="s">
        <v>73</v>
      </c>
      <c r="G1526">
        <v>324.5</v>
      </c>
      <c r="H1526" s="9">
        <v>73.72</v>
      </c>
      <c r="I1526"/>
    </row>
    <row r="1527" spans="1:9" x14ac:dyDescent="0.3">
      <c r="A1527" t="s">
        <v>2</v>
      </c>
      <c r="B1527" t="s">
        <v>22</v>
      </c>
      <c r="C1527" t="s">
        <v>118</v>
      </c>
      <c r="D1527" s="9" t="s">
        <v>111</v>
      </c>
      <c r="E1527" t="s">
        <v>39</v>
      </c>
      <c r="F1527" t="s">
        <v>75</v>
      </c>
      <c r="G1527">
        <v>334</v>
      </c>
      <c r="H1527" s="9">
        <v>138.4</v>
      </c>
      <c r="I1527"/>
    </row>
    <row r="1528" spans="1:9" x14ac:dyDescent="0.3">
      <c r="A1528" t="s">
        <v>2</v>
      </c>
      <c r="B1528" t="s">
        <v>22</v>
      </c>
      <c r="C1528" t="s">
        <v>119</v>
      </c>
      <c r="D1528" s="9" t="s">
        <v>111</v>
      </c>
      <c r="E1528" t="s">
        <v>40</v>
      </c>
      <c r="F1528" t="s">
        <v>77</v>
      </c>
      <c r="G1528">
        <v>340.1</v>
      </c>
      <c r="H1528" s="9">
        <v>117.18</v>
      </c>
      <c r="I1528"/>
    </row>
    <row r="1529" spans="1:9" x14ac:dyDescent="0.3">
      <c r="A1529" t="s">
        <v>2</v>
      </c>
      <c r="B1529" t="s">
        <v>22</v>
      </c>
      <c r="C1529" t="s">
        <v>120</v>
      </c>
      <c r="D1529" s="9" t="s">
        <v>111</v>
      </c>
      <c r="E1529" t="s">
        <v>41</v>
      </c>
      <c r="F1529" t="s">
        <v>79</v>
      </c>
      <c r="G1529">
        <v>338.4</v>
      </c>
      <c r="H1529" s="9">
        <v>19.32</v>
      </c>
      <c r="I1529"/>
    </row>
    <row r="1530" spans="1:9" x14ac:dyDescent="0.3">
      <c r="A1530" t="s">
        <v>2</v>
      </c>
      <c r="B1530" t="s">
        <v>22</v>
      </c>
      <c r="C1530" t="s">
        <v>121</v>
      </c>
      <c r="D1530" s="9" t="s">
        <v>111</v>
      </c>
      <c r="E1530" t="s">
        <v>42</v>
      </c>
      <c r="F1530" t="s">
        <v>81</v>
      </c>
      <c r="G1530">
        <v>422</v>
      </c>
      <c r="H1530" s="9">
        <v>8.01</v>
      </c>
      <c r="I1530"/>
    </row>
    <row r="1531" spans="1:9" x14ac:dyDescent="0.3">
      <c r="A1531" t="s">
        <v>2</v>
      </c>
      <c r="B1531" t="s">
        <v>22</v>
      </c>
      <c r="C1531" t="s">
        <v>122</v>
      </c>
      <c r="D1531" s="9" t="s">
        <v>111</v>
      </c>
      <c r="E1531" t="s">
        <v>43</v>
      </c>
      <c r="F1531" t="s">
        <v>83</v>
      </c>
      <c r="G1531">
        <v>556.5</v>
      </c>
      <c r="H1531" s="9">
        <v>4.04</v>
      </c>
      <c r="I1531"/>
    </row>
    <row r="1532" spans="1:9" x14ac:dyDescent="0.3">
      <c r="A1532" t="s">
        <v>2</v>
      </c>
      <c r="B1532" t="s">
        <v>22</v>
      </c>
      <c r="C1532" t="s">
        <v>123</v>
      </c>
      <c r="D1532" s="9" t="s">
        <v>124</v>
      </c>
      <c r="E1532" t="s">
        <v>32</v>
      </c>
      <c r="F1532" t="s">
        <v>61</v>
      </c>
      <c r="G1532">
        <v>357.3</v>
      </c>
      <c r="H1532" s="9">
        <v>15.18</v>
      </c>
      <c r="I1532"/>
    </row>
    <row r="1533" spans="1:9" x14ac:dyDescent="0.3">
      <c r="A1533" t="s">
        <v>2</v>
      </c>
      <c r="B1533" t="s">
        <v>22</v>
      </c>
      <c r="C1533" t="s">
        <v>125</v>
      </c>
      <c r="D1533" s="9" t="s">
        <v>124</v>
      </c>
      <c r="E1533" t="s">
        <v>33</v>
      </c>
      <c r="F1533" t="s">
        <v>63</v>
      </c>
      <c r="G1533">
        <v>293.10000000000002</v>
      </c>
      <c r="H1533" s="9">
        <v>0.57999999999999996</v>
      </c>
      <c r="I1533"/>
    </row>
    <row r="1534" spans="1:9" x14ac:dyDescent="0.3">
      <c r="A1534" t="s">
        <v>2</v>
      </c>
      <c r="B1534" t="s">
        <v>22</v>
      </c>
      <c r="C1534" t="s">
        <v>126</v>
      </c>
      <c r="D1534" s="9" t="s">
        <v>124</v>
      </c>
      <c r="E1534" t="s">
        <v>34</v>
      </c>
      <c r="F1534" t="s">
        <v>65</v>
      </c>
      <c r="G1534">
        <v>324.10000000000002</v>
      </c>
      <c r="H1534" s="9">
        <v>-0.83</v>
      </c>
      <c r="I1534"/>
    </row>
    <row r="1535" spans="1:9" x14ac:dyDescent="0.3">
      <c r="A1535" t="s">
        <v>2</v>
      </c>
      <c r="B1535" t="s">
        <v>22</v>
      </c>
      <c r="C1535" t="s">
        <v>127</v>
      </c>
      <c r="D1535" s="9" t="s">
        <v>124</v>
      </c>
      <c r="E1535" t="s">
        <v>35</v>
      </c>
      <c r="F1535" t="s">
        <v>67</v>
      </c>
      <c r="G1535">
        <v>319.3</v>
      </c>
      <c r="H1535" s="9">
        <v>3.43</v>
      </c>
      <c r="I1535"/>
    </row>
    <row r="1536" spans="1:9" x14ac:dyDescent="0.3">
      <c r="A1536" t="s">
        <v>2</v>
      </c>
      <c r="B1536" t="s">
        <v>22</v>
      </c>
      <c r="C1536" t="s">
        <v>128</v>
      </c>
      <c r="D1536" s="9" t="s">
        <v>124</v>
      </c>
      <c r="E1536" t="s">
        <v>36</v>
      </c>
      <c r="F1536" t="s">
        <v>69</v>
      </c>
      <c r="G1536">
        <v>336.7</v>
      </c>
      <c r="H1536" s="9">
        <v>-1.38</v>
      </c>
      <c r="I1536"/>
    </row>
    <row r="1537" spans="1:9" x14ac:dyDescent="0.3">
      <c r="A1537" t="s">
        <v>2</v>
      </c>
      <c r="B1537" t="s">
        <v>22</v>
      </c>
      <c r="C1537" t="s">
        <v>129</v>
      </c>
      <c r="D1537" s="9" t="s">
        <v>124</v>
      </c>
      <c r="E1537" t="s">
        <v>37</v>
      </c>
      <c r="F1537" t="s">
        <v>71</v>
      </c>
      <c r="G1537">
        <v>314.7</v>
      </c>
      <c r="H1537" s="9">
        <v>0.06</v>
      </c>
      <c r="I1537"/>
    </row>
    <row r="1538" spans="1:9" x14ac:dyDescent="0.3">
      <c r="A1538" t="s">
        <v>2</v>
      </c>
      <c r="B1538" t="s">
        <v>22</v>
      </c>
      <c r="C1538" t="s">
        <v>130</v>
      </c>
      <c r="D1538" s="9" t="s">
        <v>124</v>
      </c>
      <c r="E1538" t="s">
        <v>38</v>
      </c>
      <c r="F1538" t="s">
        <v>73</v>
      </c>
      <c r="G1538">
        <v>314.7</v>
      </c>
      <c r="H1538" s="9">
        <v>-3.02</v>
      </c>
      <c r="I1538"/>
    </row>
    <row r="1539" spans="1:9" x14ac:dyDescent="0.3">
      <c r="A1539" t="s">
        <v>2</v>
      </c>
      <c r="B1539" t="s">
        <v>22</v>
      </c>
      <c r="C1539" t="s">
        <v>131</v>
      </c>
      <c r="D1539" s="9" t="s">
        <v>124</v>
      </c>
      <c r="E1539" t="s">
        <v>39</v>
      </c>
      <c r="F1539" t="s">
        <v>75</v>
      </c>
      <c r="G1539">
        <v>344.7</v>
      </c>
      <c r="H1539" s="9">
        <v>3.2</v>
      </c>
      <c r="I1539"/>
    </row>
    <row r="1540" spans="1:9" x14ac:dyDescent="0.3">
      <c r="A1540" t="s">
        <v>2</v>
      </c>
      <c r="B1540" t="s">
        <v>22</v>
      </c>
      <c r="C1540" t="s">
        <v>132</v>
      </c>
      <c r="D1540" s="9" t="s">
        <v>124</v>
      </c>
      <c r="E1540" t="s">
        <v>40</v>
      </c>
      <c r="F1540" t="s">
        <v>77</v>
      </c>
      <c r="G1540">
        <v>325.8</v>
      </c>
      <c r="H1540" s="9">
        <v>-4.2</v>
      </c>
      <c r="I1540"/>
    </row>
    <row r="1541" spans="1:9" x14ac:dyDescent="0.3">
      <c r="A1541" t="s">
        <v>2</v>
      </c>
      <c r="B1541" t="s">
        <v>22</v>
      </c>
      <c r="C1541" t="s">
        <v>133</v>
      </c>
      <c r="D1541" s="9" t="s">
        <v>124</v>
      </c>
      <c r="E1541" t="s">
        <v>41</v>
      </c>
      <c r="F1541" t="s">
        <v>79</v>
      </c>
      <c r="G1541">
        <v>338.6</v>
      </c>
      <c r="H1541" s="9">
        <v>0.06</v>
      </c>
      <c r="I1541"/>
    </row>
    <row r="1542" spans="1:9" x14ac:dyDescent="0.3">
      <c r="A1542" t="s">
        <v>2</v>
      </c>
      <c r="B1542" t="s">
        <v>22</v>
      </c>
      <c r="C1542" t="s">
        <v>134</v>
      </c>
      <c r="D1542" s="9" t="s">
        <v>124</v>
      </c>
      <c r="E1542" t="s">
        <v>42</v>
      </c>
      <c r="F1542" t="s">
        <v>81</v>
      </c>
      <c r="G1542">
        <v>401.8</v>
      </c>
      <c r="H1542" s="9">
        <v>-4.79</v>
      </c>
      <c r="I1542"/>
    </row>
    <row r="1543" spans="1:9" x14ac:dyDescent="0.3">
      <c r="A1543" t="s">
        <v>2</v>
      </c>
      <c r="B1543" t="s">
        <v>22</v>
      </c>
      <c r="C1543" t="s">
        <v>135</v>
      </c>
      <c r="D1543" s="9" t="s">
        <v>124</v>
      </c>
      <c r="E1543" t="s">
        <v>43</v>
      </c>
      <c r="F1543" t="s">
        <v>83</v>
      </c>
      <c r="G1543">
        <v>554.20000000000005</v>
      </c>
      <c r="H1543" s="9">
        <v>-0.41</v>
      </c>
      <c r="I1543"/>
    </row>
    <row r="1544" spans="1:9" x14ac:dyDescent="0.3">
      <c r="A1544" t="s">
        <v>2</v>
      </c>
      <c r="B1544" t="s">
        <v>22</v>
      </c>
      <c r="C1544" t="s">
        <v>136</v>
      </c>
      <c r="D1544" s="9" t="s">
        <v>137</v>
      </c>
      <c r="E1544" t="s">
        <v>32</v>
      </c>
      <c r="F1544" t="s">
        <v>61</v>
      </c>
      <c r="G1544">
        <v>329.9</v>
      </c>
      <c r="H1544" s="9">
        <v>-7.67</v>
      </c>
      <c r="I1544"/>
    </row>
    <row r="1545" spans="1:9" x14ac:dyDescent="0.3">
      <c r="A1545" t="s">
        <v>2</v>
      </c>
      <c r="B1545" t="s">
        <v>22</v>
      </c>
      <c r="C1545" t="s">
        <v>138</v>
      </c>
      <c r="D1545" s="9" t="s">
        <v>137</v>
      </c>
      <c r="E1545" t="s">
        <v>33</v>
      </c>
      <c r="F1545" t="s">
        <v>63</v>
      </c>
      <c r="G1545">
        <v>296.8</v>
      </c>
      <c r="H1545" s="9">
        <v>1.26</v>
      </c>
      <c r="I1545"/>
    </row>
    <row r="1546" spans="1:9" x14ac:dyDescent="0.3">
      <c r="A1546" t="s">
        <v>2</v>
      </c>
      <c r="B1546" t="s">
        <v>22</v>
      </c>
      <c r="C1546" t="s">
        <v>139</v>
      </c>
      <c r="D1546" s="9" t="s">
        <v>137</v>
      </c>
      <c r="E1546" t="s">
        <v>34</v>
      </c>
      <c r="F1546" t="s">
        <v>65</v>
      </c>
      <c r="G1546">
        <v>306.10000000000002</v>
      </c>
      <c r="H1546" s="9">
        <v>-5.55</v>
      </c>
      <c r="I1546"/>
    </row>
    <row r="1547" spans="1:9" x14ac:dyDescent="0.3">
      <c r="A1547" t="s">
        <v>2</v>
      </c>
      <c r="B1547" t="s">
        <v>22</v>
      </c>
      <c r="C1547" t="s">
        <v>140</v>
      </c>
      <c r="D1547" s="9" t="s">
        <v>137</v>
      </c>
      <c r="E1547" t="s">
        <v>35</v>
      </c>
      <c r="F1547" t="s">
        <v>67</v>
      </c>
      <c r="G1547">
        <v>301.5</v>
      </c>
      <c r="H1547" s="9">
        <v>-5.57</v>
      </c>
      <c r="I1547"/>
    </row>
    <row r="1548" spans="1:9" x14ac:dyDescent="0.3">
      <c r="A1548" t="s">
        <v>2</v>
      </c>
      <c r="B1548" t="s">
        <v>22</v>
      </c>
      <c r="C1548" t="s">
        <v>141</v>
      </c>
      <c r="D1548" s="9" t="s">
        <v>137</v>
      </c>
      <c r="E1548" t="s">
        <v>36</v>
      </c>
      <c r="F1548" t="s">
        <v>69</v>
      </c>
      <c r="G1548">
        <v>342.1</v>
      </c>
      <c r="H1548" s="9">
        <v>1.6</v>
      </c>
      <c r="I1548"/>
    </row>
    <row r="1549" spans="1:9" x14ac:dyDescent="0.3">
      <c r="A1549" t="s">
        <v>2</v>
      </c>
      <c r="B1549" t="s">
        <v>22</v>
      </c>
      <c r="C1549" t="s">
        <v>142</v>
      </c>
      <c r="D1549" s="9" t="s">
        <v>137</v>
      </c>
      <c r="E1549" t="s">
        <v>37</v>
      </c>
      <c r="F1549" t="s">
        <v>71</v>
      </c>
      <c r="G1549">
        <v>312</v>
      </c>
      <c r="H1549" s="9">
        <v>-0.86</v>
      </c>
      <c r="I1549"/>
    </row>
    <row r="1550" spans="1:9" x14ac:dyDescent="0.3">
      <c r="A1550" t="s">
        <v>2</v>
      </c>
      <c r="B1550" t="s">
        <v>22</v>
      </c>
      <c r="C1550" t="s">
        <v>143</v>
      </c>
      <c r="D1550" s="9" t="s">
        <v>137</v>
      </c>
      <c r="E1550" t="s">
        <v>38</v>
      </c>
      <c r="F1550" t="s">
        <v>73</v>
      </c>
      <c r="G1550">
        <v>316.3</v>
      </c>
      <c r="H1550" s="9">
        <v>0.51</v>
      </c>
      <c r="I1550"/>
    </row>
    <row r="1551" spans="1:9" x14ac:dyDescent="0.3">
      <c r="A1551" t="s">
        <v>2</v>
      </c>
      <c r="B1551" t="s">
        <v>22</v>
      </c>
      <c r="C1551" t="s">
        <v>144</v>
      </c>
      <c r="D1551" s="9" t="s">
        <v>137</v>
      </c>
      <c r="E1551" t="s">
        <v>39</v>
      </c>
      <c r="F1551" t="s">
        <v>75</v>
      </c>
      <c r="G1551">
        <v>327.9</v>
      </c>
      <c r="H1551" s="9">
        <v>-4.87</v>
      </c>
      <c r="I1551"/>
    </row>
    <row r="1552" spans="1:9" x14ac:dyDescent="0.3">
      <c r="A1552" t="s">
        <v>2</v>
      </c>
      <c r="B1552" t="s">
        <v>22</v>
      </c>
      <c r="C1552" t="s">
        <v>145</v>
      </c>
      <c r="D1552" s="9" t="s">
        <v>137</v>
      </c>
      <c r="E1552" t="s">
        <v>40</v>
      </c>
      <c r="F1552" t="s">
        <v>77</v>
      </c>
      <c r="G1552">
        <v>312.2</v>
      </c>
      <c r="H1552" s="9">
        <v>-4.17</v>
      </c>
      <c r="I1552"/>
    </row>
    <row r="1553" spans="1:9" x14ac:dyDescent="0.3">
      <c r="A1553" t="s">
        <v>2</v>
      </c>
      <c r="B1553" t="s">
        <v>22</v>
      </c>
      <c r="C1553" t="s">
        <v>146</v>
      </c>
      <c r="D1553" s="9" t="s">
        <v>137</v>
      </c>
      <c r="E1553" t="s">
        <v>41</v>
      </c>
      <c r="F1553" t="s">
        <v>79</v>
      </c>
      <c r="G1553">
        <v>323.8</v>
      </c>
      <c r="H1553" s="9">
        <v>-4.37</v>
      </c>
      <c r="I1553"/>
    </row>
    <row r="1554" spans="1:9" x14ac:dyDescent="0.3">
      <c r="A1554" t="s">
        <v>2</v>
      </c>
      <c r="B1554" t="s">
        <v>22</v>
      </c>
      <c r="C1554" t="s">
        <v>147</v>
      </c>
      <c r="D1554" s="9" t="s">
        <v>137</v>
      </c>
      <c r="E1554" t="s">
        <v>42</v>
      </c>
      <c r="F1554" t="s">
        <v>81</v>
      </c>
      <c r="G1554">
        <v>415.5</v>
      </c>
      <c r="H1554" s="9">
        <v>3.41</v>
      </c>
      <c r="I1554"/>
    </row>
    <row r="1555" spans="1:9" x14ac:dyDescent="0.3">
      <c r="A1555" t="s">
        <v>2</v>
      </c>
      <c r="B1555" t="s">
        <v>22</v>
      </c>
      <c r="C1555" t="s">
        <v>148</v>
      </c>
      <c r="D1555" s="9" t="s">
        <v>137</v>
      </c>
      <c r="E1555" t="s">
        <v>43</v>
      </c>
      <c r="F1555" t="s">
        <v>83</v>
      </c>
      <c r="G1555">
        <v>570.5</v>
      </c>
      <c r="H1555" s="9">
        <v>2.94</v>
      </c>
      <c r="I1555"/>
    </row>
    <row r="1556" spans="1:9" x14ac:dyDescent="0.3">
      <c r="A1556" t="s">
        <v>2</v>
      </c>
      <c r="B1556" t="s">
        <v>22</v>
      </c>
      <c r="C1556" t="s">
        <v>149</v>
      </c>
      <c r="D1556" s="9" t="s">
        <v>150</v>
      </c>
      <c r="E1556" t="s">
        <v>32</v>
      </c>
      <c r="F1556" t="s">
        <v>61</v>
      </c>
      <c r="G1556">
        <v>333.1</v>
      </c>
      <c r="H1556" s="9">
        <v>0.97</v>
      </c>
      <c r="I1556"/>
    </row>
    <row r="1557" spans="1:9" x14ac:dyDescent="0.3">
      <c r="A1557" t="s">
        <v>2</v>
      </c>
      <c r="B1557" t="s">
        <v>22</v>
      </c>
      <c r="C1557" t="s">
        <v>151</v>
      </c>
      <c r="D1557" s="9" t="s">
        <v>150</v>
      </c>
      <c r="E1557" t="s">
        <v>33</v>
      </c>
      <c r="F1557" t="s">
        <v>63</v>
      </c>
      <c r="G1557">
        <v>294.3</v>
      </c>
      <c r="H1557" s="9">
        <v>-0.84</v>
      </c>
      <c r="I1557"/>
    </row>
    <row r="1558" spans="1:9" x14ac:dyDescent="0.3">
      <c r="A1558" t="s">
        <v>2</v>
      </c>
      <c r="B1558" t="s">
        <v>22</v>
      </c>
      <c r="C1558" t="s">
        <v>152</v>
      </c>
      <c r="D1558" s="9" t="s">
        <v>150</v>
      </c>
      <c r="E1558" t="s">
        <v>34</v>
      </c>
      <c r="F1558" t="s">
        <v>65</v>
      </c>
      <c r="G1558">
        <v>317.2</v>
      </c>
      <c r="H1558" s="9">
        <v>3.63</v>
      </c>
      <c r="I1558"/>
    </row>
    <row r="1559" spans="1:9" x14ac:dyDescent="0.3">
      <c r="A1559" t="s">
        <v>2</v>
      </c>
      <c r="B1559" t="s">
        <v>22</v>
      </c>
      <c r="C1559" t="s">
        <v>153</v>
      </c>
      <c r="D1559" s="9" t="s">
        <v>150</v>
      </c>
      <c r="E1559" t="s">
        <v>35</v>
      </c>
      <c r="F1559" t="s">
        <v>67</v>
      </c>
      <c r="G1559">
        <v>307</v>
      </c>
      <c r="H1559" s="9">
        <v>1.82</v>
      </c>
      <c r="I1559"/>
    </row>
    <row r="1560" spans="1:9" x14ac:dyDescent="0.3">
      <c r="A1560" t="s">
        <v>2</v>
      </c>
      <c r="B1560" t="s">
        <v>22</v>
      </c>
      <c r="C1560" t="s">
        <v>154</v>
      </c>
      <c r="D1560" s="9" t="s">
        <v>150</v>
      </c>
      <c r="E1560" t="s">
        <v>36</v>
      </c>
      <c r="F1560" t="s">
        <v>69</v>
      </c>
      <c r="G1560">
        <v>349.6</v>
      </c>
      <c r="H1560" s="9">
        <v>2.19</v>
      </c>
      <c r="I1560"/>
    </row>
    <row r="1561" spans="1:9" x14ac:dyDescent="0.3">
      <c r="A1561" t="s">
        <v>2</v>
      </c>
      <c r="B1561" t="s">
        <v>22</v>
      </c>
      <c r="C1561" t="s">
        <v>155</v>
      </c>
      <c r="D1561" s="9" t="s">
        <v>150</v>
      </c>
      <c r="E1561" t="s">
        <v>37</v>
      </c>
      <c r="F1561" t="s">
        <v>71</v>
      </c>
      <c r="G1561">
        <v>330</v>
      </c>
      <c r="H1561" s="9">
        <v>5.77</v>
      </c>
      <c r="I1561"/>
    </row>
    <row r="1562" spans="1:9" x14ac:dyDescent="0.3">
      <c r="A1562" t="s">
        <v>2</v>
      </c>
      <c r="B1562" t="s">
        <v>20</v>
      </c>
      <c r="C1562" t="s">
        <v>59</v>
      </c>
      <c r="D1562" s="9" t="s">
        <v>60</v>
      </c>
      <c r="E1562" t="s">
        <v>32</v>
      </c>
      <c r="F1562" t="s">
        <v>61</v>
      </c>
      <c r="G1562">
        <v>393.4</v>
      </c>
      <c r="I1562"/>
    </row>
    <row r="1563" spans="1:9" x14ac:dyDescent="0.3">
      <c r="A1563" t="s">
        <v>2</v>
      </c>
      <c r="B1563" t="s">
        <v>20</v>
      </c>
      <c r="C1563" t="s">
        <v>62</v>
      </c>
      <c r="D1563" s="9" t="s">
        <v>60</v>
      </c>
      <c r="E1563" t="s">
        <v>33</v>
      </c>
      <c r="F1563" t="s">
        <v>63</v>
      </c>
      <c r="G1563">
        <v>347</v>
      </c>
      <c r="I1563"/>
    </row>
    <row r="1564" spans="1:9" x14ac:dyDescent="0.3">
      <c r="A1564" t="s">
        <v>2</v>
      </c>
      <c r="B1564" t="s">
        <v>20</v>
      </c>
      <c r="C1564" t="s">
        <v>64</v>
      </c>
      <c r="D1564" s="9" t="s">
        <v>60</v>
      </c>
      <c r="E1564" t="s">
        <v>34</v>
      </c>
      <c r="F1564" t="s">
        <v>65</v>
      </c>
      <c r="G1564">
        <v>368.4</v>
      </c>
      <c r="I1564"/>
    </row>
    <row r="1565" spans="1:9" x14ac:dyDescent="0.3">
      <c r="A1565" t="s">
        <v>2</v>
      </c>
      <c r="B1565" t="s">
        <v>20</v>
      </c>
      <c r="C1565" t="s">
        <v>66</v>
      </c>
      <c r="D1565" s="9" t="s">
        <v>60</v>
      </c>
      <c r="E1565" t="s">
        <v>35</v>
      </c>
      <c r="F1565" t="s">
        <v>67</v>
      </c>
      <c r="G1565">
        <v>357.8</v>
      </c>
      <c r="I1565"/>
    </row>
    <row r="1566" spans="1:9" x14ac:dyDescent="0.3">
      <c r="A1566" t="s">
        <v>2</v>
      </c>
      <c r="B1566" t="s">
        <v>20</v>
      </c>
      <c r="C1566" t="s">
        <v>68</v>
      </c>
      <c r="D1566" s="9" t="s">
        <v>60</v>
      </c>
      <c r="E1566" t="s">
        <v>36</v>
      </c>
      <c r="F1566" t="s">
        <v>69</v>
      </c>
      <c r="G1566">
        <v>383.7</v>
      </c>
      <c r="I1566"/>
    </row>
    <row r="1567" spans="1:9" x14ac:dyDescent="0.3">
      <c r="A1567" t="s">
        <v>2</v>
      </c>
      <c r="B1567" t="s">
        <v>20</v>
      </c>
      <c r="C1567" t="s">
        <v>70</v>
      </c>
      <c r="D1567" s="9" t="s">
        <v>60</v>
      </c>
      <c r="E1567" t="s">
        <v>37</v>
      </c>
      <c r="F1567" t="s">
        <v>71</v>
      </c>
      <c r="G1567">
        <v>402.4</v>
      </c>
      <c r="I1567"/>
    </row>
    <row r="1568" spans="1:9" x14ac:dyDescent="0.3">
      <c r="A1568" t="s">
        <v>2</v>
      </c>
      <c r="B1568" t="s">
        <v>20</v>
      </c>
      <c r="C1568" t="s">
        <v>72</v>
      </c>
      <c r="D1568" s="9" t="s">
        <v>60</v>
      </c>
      <c r="E1568" t="s">
        <v>38</v>
      </c>
      <c r="F1568" t="s">
        <v>73</v>
      </c>
      <c r="G1568">
        <v>391</v>
      </c>
      <c r="I1568"/>
    </row>
    <row r="1569" spans="1:9" x14ac:dyDescent="0.3">
      <c r="A1569" t="s">
        <v>2</v>
      </c>
      <c r="B1569" t="s">
        <v>20</v>
      </c>
      <c r="C1569" t="s">
        <v>74</v>
      </c>
      <c r="D1569" s="9" t="s">
        <v>60</v>
      </c>
      <c r="E1569" t="s">
        <v>39</v>
      </c>
      <c r="F1569" t="s">
        <v>75</v>
      </c>
      <c r="G1569">
        <v>394.1</v>
      </c>
      <c r="I1569"/>
    </row>
    <row r="1570" spans="1:9" x14ac:dyDescent="0.3">
      <c r="A1570" t="s">
        <v>2</v>
      </c>
      <c r="B1570" t="s">
        <v>20</v>
      </c>
      <c r="C1570" t="s">
        <v>76</v>
      </c>
      <c r="D1570" s="9" t="s">
        <v>60</v>
      </c>
      <c r="E1570" t="s">
        <v>40</v>
      </c>
      <c r="F1570" t="s">
        <v>77</v>
      </c>
      <c r="G1570">
        <v>389.1</v>
      </c>
      <c r="I1570"/>
    </row>
    <row r="1571" spans="1:9" x14ac:dyDescent="0.3">
      <c r="A1571" t="s">
        <v>2</v>
      </c>
      <c r="B1571" t="s">
        <v>20</v>
      </c>
      <c r="C1571" t="s">
        <v>78</v>
      </c>
      <c r="D1571" s="9" t="s">
        <v>60</v>
      </c>
      <c r="E1571" t="s">
        <v>41</v>
      </c>
      <c r="F1571" t="s">
        <v>79</v>
      </c>
      <c r="G1571">
        <v>406.6</v>
      </c>
      <c r="I1571"/>
    </row>
    <row r="1572" spans="1:9" x14ac:dyDescent="0.3">
      <c r="A1572" t="s">
        <v>2</v>
      </c>
      <c r="B1572" t="s">
        <v>20</v>
      </c>
      <c r="C1572" t="s">
        <v>80</v>
      </c>
      <c r="D1572" s="9" t="s">
        <v>60</v>
      </c>
      <c r="E1572" t="s">
        <v>42</v>
      </c>
      <c r="F1572" t="s">
        <v>81</v>
      </c>
      <c r="G1572">
        <v>431.5</v>
      </c>
      <c r="I1572"/>
    </row>
    <row r="1573" spans="1:9" x14ac:dyDescent="0.3">
      <c r="A1573" t="s">
        <v>2</v>
      </c>
      <c r="B1573" t="s">
        <v>20</v>
      </c>
      <c r="C1573" t="s">
        <v>82</v>
      </c>
      <c r="D1573" s="9" t="s">
        <v>60</v>
      </c>
      <c r="E1573" t="s">
        <v>43</v>
      </c>
      <c r="F1573" t="s">
        <v>83</v>
      </c>
      <c r="G1573">
        <v>483.5</v>
      </c>
      <c r="I1573"/>
    </row>
    <row r="1574" spans="1:9" x14ac:dyDescent="0.3">
      <c r="A1574" t="s">
        <v>2</v>
      </c>
      <c r="B1574" t="s">
        <v>20</v>
      </c>
      <c r="C1574" t="s">
        <v>84</v>
      </c>
      <c r="D1574" s="9" t="s">
        <v>85</v>
      </c>
      <c r="E1574" t="s">
        <v>32</v>
      </c>
      <c r="F1574" t="s">
        <v>61</v>
      </c>
      <c r="G1574">
        <v>401.7</v>
      </c>
      <c r="H1574" s="9">
        <v>2.11</v>
      </c>
      <c r="I1574"/>
    </row>
    <row r="1575" spans="1:9" x14ac:dyDescent="0.3">
      <c r="A1575" t="s">
        <v>2</v>
      </c>
      <c r="B1575" t="s">
        <v>20</v>
      </c>
      <c r="C1575" t="s">
        <v>86</v>
      </c>
      <c r="D1575" s="9" t="s">
        <v>85</v>
      </c>
      <c r="E1575" t="s">
        <v>33</v>
      </c>
      <c r="F1575" t="s">
        <v>63</v>
      </c>
      <c r="G1575">
        <v>341.3</v>
      </c>
      <c r="H1575" s="9">
        <v>-1.64</v>
      </c>
      <c r="I1575"/>
    </row>
    <row r="1576" spans="1:9" x14ac:dyDescent="0.3">
      <c r="A1576" t="s">
        <v>2</v>
      </c>
      <c r="B1576" t="s">
        <v>20</v>
      </c>
      <c r="C1576" t="s">
        <v>87</v>
      </c>
      <c r="D1576" s="9" t="s">
        <v>85</v>
      </c>
      <c r="E1576" t="s">
        <v>34</v>
      </c>
      <c r="F1576" t="s">
        <v>65</v>
      </c>
      <c r="G1576">
        <v>353.9</v>
      </c>
      <c r="H1576" s="9">
        <v>-3.94</v>
      </c>
      <c r="I1576"/>
    </row>
    <row r="1577" spans="1:9" x14ac:dyDescent="0.3">
      <c r="A1577" t="s">
        <v>2</v>
      </c>
      <c r="B1577" t="s">
        <v>20</v>
      </c>
      <c r="C1577" t="s">
        <v>88</v>
      </c>
      <c r="D1577" s="9" t="s">
        <v>85</v>
      </c>
      <c r="E1577" t="s">
        <v>35</v>
      </c>
      <c r="F1577" t="s">
        <v>67</v>
      </c>
      <c r="G1577">
        <v>317.2</v>
      </c>
      <c r="H1577" s="9">
        <v>-11.35</v>
      </c>
      <c r="I1577"/>
    </row>
    <row r="1578" spans="1:9" x14ac:dyDescent="0.3">
      <c r="A1578" t="s">
        <v>2</v>
      </c>
      <c r="B1578" t="s">
        <v>20</v>
      </c>
      <c r="C1578" t="s">
        <v>89</v>
      </c>
      <c r="D1578" s="9" t="s">
        <v>85</v>
      </c>
      <c r="E1578" t="s">
        <v>36</v>
      </c>
      <c r="F1578" t="s">
        <v>69</v>
      </c>
      <c r="G1578">
        <v>428</v>
      </c>
      <c r="H1578" s="9">
        <v>11.55</v>
      </c>
      <c r="I1578"/>
    </row>
    <row r="1579" spans="1:9" x14ac:dyDescent="0.3">
      <c r="A1579" t="s">
        <v>2</v>
      </c>
      <c r="B1579" t="s">
        <v>20</v>
      </c>
      <c r="C1579" t="s">
        <v>90</v>
      </c>
      <c r="D1579" s="9" t="s">
        <v>85</v>
      </c>
      <c r="E1579" t="s">
        <v>37</v>
      </c>
      <c r="F1579" t="s">
        <v>71</v>
      </c>
      <c r="G1579">
        <v>481.7</v>
      </c>
      <c r="H1579" s="9">
        <v>19.71</v>
      </c>
      <c r="I1579"/>
    </row>
    <row r="1580" spans="1:9" x14ac:dyDescent="0.3">
      <c r="A1580" t="s">
        <v>2</v>
      </c>
      <c r="B1580" t="s">
        <v>20</v>
      </c>
      <c r="C1580" t="s">
        <v>91</v>
      </c>
      <c r="D1580" s="9" t="s">
        <v>85</v>
      </c>
      <c r="E1580" t="s">
        <v>38</v>
      </c>
      <c r="F1580" t="s">
        <v>73</v>
      </c>
      <c r="G1580">
        <v>501.5</v>
      </c>
      <c r="H1580" s="9">
        <v>28.26</v>
      </c>
      <c r="I1580"/>
    </row>
    <row r="1581" spans="1:9" x14ac:dyDescent="0.3">
      <c r="A1581" t="s">
        <v>2</v>
      </c>
      <c r="B1581" t="s">
        <v>20</v>
      </c>
      <c r="C1581" t="s">
        <v>92</v>
      </c>
      <c r="D1581" s="9" t="s">
        <v>85</v>
      </c>
      <c r="E1581" t="s">
        <v>39</v>
      </c>
      <c r="F1581" t="s">
        <v>75</v>
      </c>
      <c r="G1581">
        <v>494.6</v>
      </c>
      <c r="H1581" s="9">
        <v>25.5</v>
      </c>
      <c r="I1581"/>
    </row>
    <row r="1582" spans="1:9" x14ac:dyDescent="0.3">
      <c r="A1582" t="s">
        <v>2</v>
      </c>
      <c r="B1582" t="s">
        <v>20</v>
      </c>
      <c r="C1582" t="s">
        <v>93</v>
      </c>
      <c r="D1582" s="9" t="s">
        <v>85</v>
      </c>
      <c r="E1582" t="s">
        <v>40</v>
      </c>
      <c r="F1582" t="s">
        <v>77</v>
      </c>
      <c r="G1582">
        <v>497.8</v>
      </c>
      <c r="H1582" s="9">
        <v>27.94</v>
      </c>
      <c r="I1582"/>
    </row>
    <row r="1583" spans="1:9" x14ac:dyDescent="0.3">
      <c r="A1583" t="s">
        <v>2</v>
      </c>
      <c r="B1583" t="s">
        <v>20</v>
      </c>
      <c r="C1583" t="s">
        <v>94</v>
      </c>
      <c r="D1583" s="9" t="s">
        <v>85</v>
      </c>
      <c r="E1583" t="s">
        <v>41</v>
      </c>
      <c r="F1583" t="s">
        <v>79</v>
      </c>
      <c r="G1583">
        <v>513.1</v>
      </c>
      <c r="H1583" s="9">
        <v>26.19</v>
      </c>
      <c r="I1583"/>
    </row>
    <row r="1584" spans="1:9" x14ac:dyDescent="0.3">
      <c r="A1584" t="s">
        <v>2</v>
      </c>
      <c r="B1584" t="s">
        <v>20</v>
      </c>
      <c r="C1584" t="s">
        <v>95</v>
      </c>
      <c r="D1584" s="9" t="s">
        <v>85</v>
      </c>
      <c r="E1584" t="s">
        <v>42</v>
      </c>
      <c r="F1584" t="s">
        <v>81</v>
      </c>
      <c r="G1584">
        <v>528.5</v>
      </c>
      <c r="H1584" s="9">
        <v>22.48</v>
      </c>
      <c r="I1584"/>
    </row>
    <row r="1585" spans="1:9" x14ac:dyDescent="0.3">
      <c r="A1585" t="s">
        <v>2</v>
      </c>
      <c r="B1585" t="s">
        <v>20</v>
      </c>
      <c r="C1585" t="s">
        <v>96</v>
      </c>
      <c r="D1585" s="9" t="s">
        <v>85</v>
      </c>
      <c r="E1585" t="s">
        <v>43</v>
      </c>
      <c r="F1585" t="s">
        <v>83</v>
      </c>
      <c r="G1585">
        <v>575.79999999999995</v>
      </c>
      <c r="H1585" s="9">
        <v>19.09</v>
      </c>
      <c r="I1585"/>
    </row>
    <row r="1586" spans="1:9" x14ac:dyDescent="0.3">
      <c r="A1586" t="s">
        <v>2</v>
      </c>
      <c r="B1586" t="s">
        <v>20</v>
      </c>
      <c r="C1586" t="s">
        <v>97</v>
      </c>
      <c r="D1586" s="9" t="s">
        <v>98</v>
      </c>
      <c r="E1586" t="s">
        <v>32</v>
      </c>
      <c r="F1586" t="s">
        <v>61</v>
      </c>
      <c r="G1586">
        <v>494.1</v>
      </c>
      <c r="H1586" s="9">
        <v>23</v>
      </c>
      <c r="I1586"/>
    </row>
    <row r="1587" spans="1:9" x14ac:dyDescent="0.3">
      <c r="A1587" t="s">
        <v>2</v>
      </c>
      <c r="B1587" t="s">
        <v>20</v>
      </c>
      <c r="C1587" t="s">
        <v>99</v>
      </c>
      <c r="D1587" s="9" t="s">
        <v>98</v>
      </c>
      <c r="E1587" t="s">
        <v>33</v>
      </c>
      <c r="F1587" t="s">
        <v>63</v>
      </c>
      <c r="G1587">
        <v>442.5</v>
      </c>
      <c r="H1587" s="9">
        <v>29.65</v>
      </c>
      <c r="I1587"/>
    </row>
    <row r="1588" spans="1:9" x14ac:dyDescent="0.3">
      <c r="A1588" t="s">
        <v>2</v>
      </c>
      <c r="B1588" t="s">
        <v>20</v>
      </c>
      <c r="C1588" t="s">
        <v>100</v>
      </c>
      <c r="D1588" s="9" t="s">
        <v>98</v>
      </c>
      <c r="E1588" t="s">
        <v>34</v>
      </c>
      <c r="F1588" t="s">
        <v>65</v>
      </c>
      <c r="G1588">
        <v>483.1</v>
      </c>
      <c r="H1588" s="9">
        <v>36.51</v>
      </c>
      <c r="I1588"/>
    </row>
    <row r="1589" spans="1:9" x14ac:dyDescent="0.3">
      <c r="A1589" t="s">
        <v>2</v>
      </c>
      <c r="B1589" t="s">
        <v>20</v>
      </c>
      <c r="C1589" t="s">
        <v>101</v>
      </c>
      <c r="D1589" s="9" t="s">
        <v>98</v>
      </c>
      <c r="E1589" t="s">
        <v>35</v>
      </c>
      <c r="F1589" t="s">
        <v>67</v>
      </c>
      <c r="G1589">
        <v>464.3</v>
      </c>
      <c r="H1589" s="9">
        <v>46.37</v>
      </c>
      <c r="I1589"/>
    </row>
    <row r="1590" spans="1:9" x14ac:dyDescent="0.3">
      <c r="A1590" t="s">
        <v>2</v>
      </c>
      <c r="B1590" t="s">
        <v>20</v>
      </c>
      <c r="C1590" t="s">
        <v>102</v>
      </c>
      <c r="D1590" s="9" t="s">
        <v>98</v>
      </c>
      <c r="E1590" t="s">
        <v>36</v>
      </c>
      <c r="F1590" t="s">
        <v>69</v>
      </c>
      <c r="G1590">
        <v>488.1</v>
      </c>
      <c r="H1590" s="9">
        <v>14.04</v>
      </c>
      <c r="I1590"/>
    </row>
    <row r="1591" spans="1:9" x14ac:dyDescent="0.3">
      <c r="A1591" t="s">
        <v>2</v>
      </c>
      <c r="B1591" t="s">
        <v>20</v>
      </c>
      <c r="C1591" t="s">
        <v>103</v>
      </c>
      <c r="D1591" s="9" t="s">
        <v>98</v>
      </c>
      <c r="E1591" t="s">
        <v>37</v>
      </c>
      <c r="F1591" t="s">
        <v>71</v>
      </c>
      <c r="G1591">
        <v>498.8</v>
      </c>
      <c r="H1591" s="9">
        <v>3.55</v>
      </c>
      <c r="I1591"/>
    </row>
    <row r="1592" spans="1:9" x14ac:dyDescent="0.3">
      <c r="A1592" t="s">
        <v>2</v>
      </c>
      <c r="B1592" t="s">
        <v>20</v>
      </c>
      <c r="C1592" t="s">
        <v>104</v>
      </c>
      <c r="D1592" s="9" t="s">
        <v>98</v>
      </c>
      <c r="E1592" t="s">
        <v>38</v>
      </c>
      <c r="F1592" t="s">
        <v>73</v>
      </c>
      <c r="G1592">
        <v>407.9</v>
      </c>
      <c r="H1592" s="9">
        <v>-18.66</v>
      </c>
      <c r="I1592"/>
    </row>
    <row r="1593" spans="1:9" x14ac:dyDescent="0.3">
      <c r="A1593" t="s">
        <v>2</v>
      </c>
      <c r="B1593" t="s">
        <v>20</v>
      </c>
      <c r="C1593" t="s">
        <v>105</v>
      </c>
      <c r="D1593" s="9" t="s">
        <v>98</v>
      </c>
      <c r="E1593" t="s">
        <v>39</v>
      </c>
      <c r="F1593" t="s">
        <v>75</v>
      </c>
      <c r="G1593">
        <v>309.2</v>
      </c>
      <c r="H1593" s="9">
        <v>-37.479999999999997</v>
      </c>
      <c r="I1593"/>
    </row>
    <row r="1594" spans="1:9" x14ac:dyDescent="0.3">
      <c r="A1594" t="s">
        <v>2</v>
      </c>
      <c r="B1594" t="s">
        <v>20</v>
      </c>
      <c r="C1594" t="s">
        <v>106</v>
      </c>
      <c r="D1594" s="9" t="s">
        <v>98</v>
      </c>
      <c r="E1594" t="s">
        <v>40</v>
      </c>
      <c r="F1594" t="s">
        <v>77</v>
      </c>
      <c r="G1594">
        <v>347.4</v>
      </c>
      <c r="H1594" s="9">
        <v>-30.21</v>
      </c>
      <c r="I1594"/>
    </row>
    <row r="1595" spans="1:9" x14ac:dyDescent="0.3">
      <c r="A1595" t="s">
        <v>2</v>
      </c>
      <c r="B1595" t="s">
        <v>20</v>
      </c>
      <c r="C1595" t="s">
        <v>107</v>
      </c>
      <c r="D1595" s="9" t="s">
        <v>98</v>
      </c>
      <c r="E1595" t="s">
        <v>41</v>
      </c>
      <c r="F1595" t="s">
        <v>79</v>
      </c>
      <c r="G1595">
        <v>515.6</v>
      </c>
      <c r="H1595" s="9">
        <v>0.49</v>
      </c>
      <c r="I1595"/>
    </row>
    <row r="1596" spans="1:9" x14ac:dyDescent="0.3">
      <c r="A1596" t="s">
        <v>2</v>
      </c>
      <c r="B1596" t="s">
        <v>20</v>
      </c>
      <c r="C1596" t="s">
        <v>108</v>
      </c>
      <c r="D1596" s="9" t="s">
        <v>98</v>
      </c>
      <c r="E1596" t="s">
        <v>42</v>
      </c>
      <c r="F1596" t="s">
        <v>81</v>
      </c>
      <c r="G1596">
        <v>625.1</v>
      </c>
      <c r="H1596" s="9">
        <v>18.28</v>
      </c>
      <c r="I1596"/>
    </row>
    <row r="1597" spans="1:9" x14ac:dyDescent="0.3">
      <c r="A1597" t="s">
        <v>2</v>
      </c>
      <c r="B1597" t="s">
        <v>20</v>
      </c>
      <c r="C1597" t="s">
        <v>109</v>
      </c>
      <c r="D1597" s="9" t="s">
        <v>98</v>
      </c>
      <c r="E1597" t="s">
        <v>43</v>
      </c>
      <c r="F1597" t="s">
        <v>83</v>
      </c>
      <c r="G1597">
        <v>619.6</v>
      </c>
      <c r="H1597" s="9">
        <v>7.61</v>
      </c>
      <c r="I1597"/>
    </row>
    <row r="1598" spans="1:9" x14ac:dyDescent="0.3">
      <c r="A1598" t="s">
        <v>2</v>
      </c>
      <c r="B1598" t="s">
        <v>20</v>
      </c>
      <c r="C1598" t="s">
        <v>110</v>
      </c>
      <c r="D1598" s="9" t="s">
        <v>111</v>
      </c>
      <c r="E1598" t="s">
        <v>32</v>
      </c>
      <c r="F1598" t="s">
        <v>61</v>
      </c>
      <c r="G1598">
        <v>500.6</v>
      </c>
      <c r="H1598" s="9">
        <v>1.32</v>
      </c>
      <c r="I1598"/>
    </row>
    <row r="1599" spans="1:9" x14ac:dyDescent="0.3">
      <c r="A1599" t="s">
        <v>2</v>
      </c>
      <c r="B1599" t="s">
        <v>20</v>
      </c>
      <c r="C1599" t="s">
        <v>112</v>
      </c>
      <c r="D1599" s="9" t="s">
        <v>111</v>
      </c>
      <c r="E1599" t="s">
        <v>33</v>
      </c>
      <c r="F1599" t="s">
        <v>63</v>
      </c>
      <c r="G1599">
        <v>473.8</v>
      </c>
      <c r="H1599" s="9">
        <v>7.07</v>
      </c>
      <c r="I1599"/>
    </row>
    <row r="1600" spans="1:9" x14ac:dyDescent="0.3">
      <c r="A1600" t="s">
        <v>2</v>
      </c>
      <c r="B1600" t="s">
        <v>20</v>
      </c>
      <c r="C1600" t="s">
        <v>113</v>
      </c>
      <c r="D1600" s="9" t="s">
        <v>111</v>
      </c>
      <c r="E1600" t="s">
        <v>34</v>
      </c>
      <c r="F1600" t="s">
        <v>65</v>
      </c>
      <c r="G1600">
        <v>523.6</v>
      </c>
      <c r="H1600" s="9">
        <v>8.3800000000000008</v>
      </c>
      <c r="I1600"/>
    </row>
    <row r="1601" spans="1:9" x14ac:dyDescent="0.3">
      <c r="A1601" t="s">
        <v>2</v>
      </c>
      <c r="B1601" t="s">
        <v>20</v>
      </c>
      <c r="C1601" t="s">
        <v>114</v>
      </c>
      <c r="D1601" s="9" t="s">
        <v>111</v>
      </c>
      <c r="E1601" t="s">
        <v>35</v>
      </c>
      <c r="F1601" t="s">
        <v>67</v>
      </c>
      <c r="G1601">
        <v>488.2</v>
      </c>
      <c r="H1601" s="9">
        <v>5.15</v>
      </c>
      <c r="I1601"/>
    </row>
    <row r="1602" spans="1:9" x14ac:dyDescent="0.3">
      <c r="A1602" t="s">
        <v>2</v>
      </c>
      <c r="B1602" t="s">
        <v>20</v>
      </c>
      <c r="C1602" t="s">
        <v>115</v>
      </c>
      <c r="D1602" s="9" t="s">
        <v>111</v>
      </c>
      <c r="E1602" t="s">
        <v>36</v>
      </c>
      <c r="F1602" t="s">
        <v>69</v>
      </c>
      <c r="G1602">
        <v>554.6</v>
      </c>
      <c r="H1602" s="9">
        <v>13.62</v>
      </c>
      <c r="I1602"/>
    </row>
    <row r="1603" spans="1:9" x14ac:dyDescent="0.3">
      <c r="A1603" t="s">
        <v>2</v>
      </c>
      <c r="B1603" t="s">
        <v>20</v>
      </c>
      <c r="C1603" t="s">
        <v>116</v>
      </c>
      <c r="D1603" s="9" t="s">
        <v>111</v>
      </c>
      <c r="E1603" t="s">
        <v>37</v>
      </c>
      <c r="F1603" t="s">
        <v>71</v>
      </c>
      <c r="G1603">
        <v>552.1</v>
      </c>
      <c r="H1603" s="9">
        <v>10.69</v>
      </c>
      <c r="I1603"/>
    </row>
    <row r="1604" spans="1:9" x14ac:dyDescent="0.3">
      <c r="A1604" t="s">
        <v>2</v>
      </c>
      <c r="B1604" t="s">
        <v>20</v>
      </c>
      <c r="C1604" t="s">
        <v>117</v>
      </c>
      <c r="D1604" s="9" t="s">
        <v>111</v>
      </c>
      <c r="E1604" t="s">
        <v>38</v>
      </c>
      <c r="F1604" t="s">
        <v>73</v>
      </c>
      <c r="G1604">
        <v>532.6</v>
      </c>
      <c r="H1604" s="9">
        <v>30.57</v>
      </c>
      <c r="I1604"/>
    </row>
    <row r="1605" spans="1:9" x14ac:dyDescent="0.3">
      <c r="A1605" t="s">
        <v>2</v>
      </c>
      <c r="B1605" t="s">
        <v>20</v>
      </c>
      <c r="C1605" t="s">
        <v>118</v>
      </c>
      <c r="D1605" s="9" t="s">
        <v>111</v>
      </c>
      <c r="E1605" t="s">
        <v>39</v>
      </c>
      <c r="F1605" t="s">
        <v>75</v>
      </c>
      <c r="G1605">
        <v>553.9</v>
      </c>
      <c r="H1605" s="9">
        <v>79.14</v>
      </c>
      <c r="I1605"/>
    </row>
    <row r="1606" spans="1:9" x14ac:dyDescent="0.3">
      <c r="A1606" t="s">
        <v>2</v>
      </c>
      <c r="B1606" t="s">
        <v>20</v>
      </c>
      <c r="C1606" t="s">
        <v>119</v>
      </c>
      <c r="D1606" s="9" t="s">
        <v>111</v>
      </c>
      <c r="E1606" t="s">
        <v>40</v>
      </c>
      <c r="F1606" t="s">
        <v>77</v>
      </c>
      <c r="G1606">
        <v>534.20000000000005</v>
      </c>
      <c r="H1606" s="9">
        <v>53.77</v>
      </c>
      <c r="I1606"/>
    </row>
    <row r="1607" spans="1:9" x14ac:dyDescent="0.3">
      <c r="A1607" t="s">
        <v>2</v>
      </c>
      <c r="B1607" t="s">
        <v>20</v>
      </c>
      <c r="C1607" t="s">
        <v>120</v>
      </c>
      <c r="D1607" s="9" t="s">
        <v>111</v>
      </c>
      <c r="E1607" t="s">
        <v>41</v>
      </c>
      <c r="F1607" t="s">
        <v>79</v>
      </c>
      <c r="G1607">
        <v>559.20000000000005</v>
      </c>
      <c r="H1607" s="9">
        <v>8.4600000000000009</v>
      </c>
      <c r="I1607"/>
    </row>
    <row r="1608" spans="1:9" x14ac:dyDescent="0.3">
      <c r="A1608" t="s">
        <v>2</v>
      </c>
      <c r="B1608" t="s">
        <v>20</v>
      </c>
      <c r="C1608" t="s">
        <v>121</v>
      </c>
      <c r="D1608" s="9" t="s">
        <v>111</v>
      </c>
      <c r="E1608" t="s">
        <v>42</v>
      </c>
      <c r="F1608" t="s">
        <v>81</v>
      </c>
      <c r="G1608">
        <v>638.5</v>
      </c>
      <c r="H1608" s="9">
        <v>2.14</v>
      </c>
      <c r="I1608"/>
    </row>
    <row r="1609" spans="1:9" x14ac:dyDescent="0.3">
      <c r="A1609" t="s">
        <v>2</v>
      </c>
      <c r="B1609" t="s">
        <v>20</v>
      </c>
      <c r="C1609" t="s">
        <v>122</v>
      </c>
      <c r="D1609" s="9" t="s">
        <v>111</v>
      </c>
      <c r="E1609" t="s">
        <v>43</v>
      </c>
      <c r="F1609" t="s">
        <v>83</v>
      </c>
      <c r="G1609">
        <v>660.3</v>
      </c>
      <c r="H1609" s="9">
        <v>6.57</v>
      </c>
      <c r="I1609"/>
    </row>
    <row r="1610" spans="1:9" x14ac:dyDescent="0.3">
      <c r="A1610" t="s">
        <v>2</v>
      </c>
      <c r="B1610" t="s">
        <v>20</v>
      </c>
      <c r="C1610" t="s">
        <v>123</v>
      </c>
      <c r="D1610" s="9" t="s">
        <v>124</v>
      </c>
      <c r="E1610" t="s">
        <v>32</v>
      </c>
      <c r="F1610" t="s">
        <v>61</v>
      </c>
      <c r="G1610">
        <v>525.5</v>
      </c>
      <c r="H1610" s="9">
        <v>4.97</v>
      </c>
      <c r="I1610"/>
    </row>
    <row r="1611" spans="1:9" x14ac:dyDescent="0.3">
      <c r="A1611" t="s">
        <v>2</v>
      </c>
      <c r="B1611" t="s">
        <v>20</v>
      </c>
      <c r="C1611" t="s">
        <v>125</v>
      </c>
      <c r="D1611" s="9" t="s">
        <v>124</v>
      </c>
      <c r="E1611" t="s">
        <v>33</v>
      </c>
      <c r="F1611" t="s">
        <v>63</v>
      </c>
      <c r="G1611">
        <v>465.5</v>
      </c>
      <c r="H1611" s="9">
        <v>-1.75</v>
      </c>
      <c r="I1611"/>
    </row>
    <row r="1612" spans="1:9" x14ac:dyDescent="0.3">
      <c r="A1612" t="s">
        <v>2</v>
      </c>
      <c r="B1612" t="s">
        <v>20</v>
      </c>
      <c r="C1612" t="s">
        <v>126</v>
      </c>
      <c r="D1612" s="9" t="s">
        <v>124</v>
      </c>
      <c r="E1612" t="s">
        <v>34</v>
      </c>
      <c r="F1612" t="s">
        <v>65</v>
      </c>
      <c r="G1612">
        <v>504.1</v>
      </c>
      <c r="H1612" s="9">
        <v>-3.72</v>
      </c>
      <c r="I1612"/>
    </row>
    <row r="1613" spans="1:9" x14ac:dyDescent="0.3">
      <c r="A1613" t="s">
        <v>2</v>
      </c>
      <c r="B1613" t="s">
        <v>20</v>
      </c>
      <c r="C1613" t="s">
        <v>127</v>
      </c>
      <c r="D1613" s="9" t="s">
        <v>124</v>
      </c>
      <c r="E1613" t="s">
        <v>35</v>
      </c>
      <c r="F1613" t="s">
        <v>67</v>
      </c>
      <c r="G1613">
        <v>466.9</v>
      </c>
      <c r="H1613" s="9">
        <v>-4.3600000000000003</v>
      </c>
      <c r="I1613"/>
    </row>
    <row r="1614" spans="1:9" x14ac:dyDescent="0.3">
      <c r="A1614" t="s">
        <v>2</v>
      </c>
      <c r="B1614" t="s">
        <v>20</v>
      </c>
      <c r="C1614" t="s">
        <v>128</v>
      </c>
      <c r="D1614" s="9" t="s">
        <v>124</v>
      </c>
      <c r="E1614" t="s">
        <v>36</v>
      </c>
      <c r="F1614" t="s">
        <v>69</v>
      </c>
      <c r="G1614">
        <v>511.1</v>
      </c>
      <c r="H1614" s="9">
        <v>-7.84</v>
      </c>
      <c r="I1614"/>
    </row>
    <row r="1615" spans="1:9" x14ac:dyDescent="0.3">
      <c r="A1615" t="s">
        <v>2</v>
      </c>
      <c r="B1615" t="s">
        <v>20</v>
      </c>
      <c r="C1615" t="s">
        <v>129</v>
      </c>
      <c r="D1615" s="9" t="s">
        <v>124</v>
      </c>
      <c r="E1615" t="s">
        <v>37</v>
      </c>
      <c r="F1615" t="s">
        <v>71</v>
      </c>
      <c r="G1615">
        <v>534.1</v>
      </c>
      <c r="H1615" s="9">
        <v>-3.26</v>
      </c>
      <c r="I1615"/>
    </row>
    <row r="1616" spans="1:9" x14ac:dyDescent="0.3">
      <c r="A1616" t="s">
        <v>2</v>
      </c>
      <c r="B1616" t="s">
        <v>20</v>
      </c>
      <c r="C1616" t="s">
        <v>130</v>
      </c>
      <c r="D1616" s="9" t="s">
        <v>124</v>
      </c>
      <c r="E1616" t="s">
        <v>38</v>
      </c>
      <c r="F1616" t="s">
        <v>73</v>
      </c>
      <c r="G1616">
        <v>494.3</v>
      </c>
      <c r="H1616" s="9">
        <v>-7.19</v>
      </c>
      <c r="I1616"/>
    </row>
    <row r="1617" spans="1:9" x14ac:dyDescent="0.3">
      <c r="A1617" t="s">
        <v>2</v>
      </c>
      <c r="B1617" t="s">
        <v>20</v>
      </c>
      <c r="C1617" t="s">
        <v>131</v>
      </c>
      <c r="D1617" s="9" t="s">
        <v>124</v>
      </c>
      <c r="E1617" t="s">
        <v>39</v>
      </c>
      <c r="F1617" t="s">
        <v>75</v>
      </c>
      <c r="G1617">
        <v>491.8</v>
      </c>
      <c r="H1617" s="9">
        <v>-11.21</v>
      </c>
      <c r="I1617"/>
    </row>
    <row r="1618" spans="1:9" x14ac:dyDescent="0.3">
      <c r="A1618" t="s">
        <v>2</v>
      </c>
      <c r="B1618" t="s">
        <v>20</v>
      </c>
      <c r="C1618" t="s">
        <v>132</v>
      </c>
      <c r="D1618" s="9" t="s">
        <v>124</v>
      </c>
      <c r="E1618" t="s">
        <v>40</v>
      </c>
      <c r="F1618" t="s">
        <v>77</v>
      </c>
      <c r="G1618">
        <v>482.6</v>
      </c>
      <c r="H1618" s="9">
        <v>-9.66</v>
      </c>
      <c r="I1618"/>
    </row>
    <row r="1619" spans="1:9" x14ac:dyDescent="0.3">
      <c r="A1619" t="s">
        <v>2</v>
      </c>
      <c r="B1619" t="s">
        <v>20</v>
      </c>
      <c r="C1619" t="s">
        <v>133</v>
      </c>
      <c r="D1619" s="9" t="s">
        <v>124</v>
      </c>
      <c r="E1619" t="s">
        <v>41</v>
      </c>
      <c r="F1619" t="s">
        <v>79</v>
      </c>
      <c r="G1619">
        <v>519.79999999999995</v>
      </c>
      <c r="H1619" s="9">
        <v>-7.05</v>
      </c>
      <c r="I1619"/>
    </row>
    <row r="1620" spans="1:9" x14ac:dyDescent="0.3">
      <c r="A1620" t="s">
        <v>2</v>
      </c>
      <c r="B1620" t="s">
        <v>20</v>
      </c>
      <c r="C1620" t="s">
        <v>134</v>
      </c>
      <c r="D1620" s="9" t="s">
        <v>124</v>
      </c>
      <c r="E1620" t="s">
        <v>42</v>
      </c>
      <c r="F1620" t="s">
        <v>81</v>
      </c>
      <c r="G1620">
        <v>618.9</v>
      </c>
      <c r="H1620" s="9">
        <v>-3.07</v>
      </c>
      <c r="I1620"/>
    </row>
    <row r="1621" spans="1:9" x14ac:dyDescent="0.3">
      <c r="A1621" t="s">
        <v>2</v>
      </c>
      <c r="B1621" t="s">
        <v>20</v>
      </c>
      <c r="C1621" t="s">
        <v>135</v>
      </c>
      <c r="D1621" s="9" t="s">
        <v>124</v>
      </c>
      <c r="E1621" t="s">
        <v>43</v>
      </c>
      <c r="F1621" t="s">
        <v>83</v>
      </c>
      <c r="G1621">
        <v>627.6</v>
      </c>
      <c r="H1621" s="9">
        <v>-4.95</v>
      </c>
      <c r="I1621"/>
    </row>
    <row r="1622" spans="1:9" x14ac:dyDescent="0.3">
      <c r="A1622" t="s">
        <v>2</v>
      </c>
      <c r="B1622" t="s">
        <v>20</v>
      </c>
      <c r="C1622" t="s">
        <v>136</v>
      </c>
      <c r="D1622" s="9" t="s">
        <v>137</v>
      </c>
      <c r="E1622" t="s">
        <v>32</v>
      </c>
      <c r="F1622" t="s">
        <v>61</v>
      </c>
      <c r="G1622">
        <v>500.5</v>
      </c>
      <c r="H1622" s="9">
        <v>-4.76</v>
      </c>
      <c r="I1622"/>
    </row>
    <row r="1623" spans="1:9" x14ac:dyDescent="0.3">
      <c r="A1623" t="s">
        <v>2</v>
      </c>
      <c r="B1623" t="s">
        <v>20</v>
      </c>
      <c r="C1623" t="s">
        <v>138</v>
      </c>
      <c r="D1623" s="9" t="s">
        <v>137</v>
      </c>
      <c r="E1623" t="s">
        <v>33</v>
      </c>
      <c r="F1623" t="s">
        <v>63</v>
      </c>
      <c r="G1623">
        <v>456.6</v>
      </c>
      <c r="H1623" s="9">
        <v>-1.91</v>
      </c>
      <c r="I1623"/>
    </row>
    <row r="1624" spans="1:9" x14ac:dyDescent="0.3">
      <c r="A1624" t="s">
        <v>2</v>
      </c>
      <c r="B1624" t="s">
        <v>20</v>
      </c>
      <c r="C1624" t="s">
        <v>139</v>
      </c>
      <c r="D1624" s="9" t="s">
        <v>137</v>
      </c>
      <c r="E1624" t="s">
        <v>34</v>
      </c>
      <c r="F1624" t="s">
        <v>65</v>
      </c>
      <c r="G1624">
        <v>456.3</v>
      </c>
      <c r="H1624" s="9">
        <v>-9.48</v>
      </c>
      <c r="I1624"/>
    </row>
    <row r="1625" spans="1:9" x14ac:dyDescent="0.3">
      <c r="A1625" t="s">
        <v>2</v>
      </c>
      <c r="B1625" t="s">
        <v>20</v>
      </c>
      <c r="C1625" t="s">
        <v>140</v>
      </c>
      <c r="D1625" s="9" t="s">
        <v>137</v>
      </c>
      <c r="E1625" t="s">
        <v>35</v>
      </c>
      <c r="F1625" t="s">
        <v>67</v>
      </c>
      <c r="G1625">
        <v>454.9</v>
      </c>
      <c r="H1625" s="9">
        <v>-2.57</v>
      </c>
      <c r="I1625"/>
    </row>
    <row r="1626" spans="1:9" x14ac:dyDescent="0.3">
      <c r="A1626" t="s">
        <v>2</v>
      </c>
      <c r="B1626" t="s">
        <v>20</v>
      </c>
      <c r="C1626" t="s">
        <v>141</v>
      </c>
      <c r="D1626" s="9" t="s">
        <v>137</v>
      </c>
      <c r="E1626" t="s">
        <v>36</v>
      </c>
      <c r="F1626" t="s">
        <v>69</v>
      </c>
      <c r="G1626">
        <v>506.4</v>
      </c>
      <c r="H1626" s="9">
        <v>-0.92</v>
      </c>
      <c r="I1626"/>
    </row>
    <row r="1627" spans="1:9" x14ac:dyDescent="0.3">
      <c r="A1627" t="s">
        <v>2</v>
      </c>
      <c r="B1627" t="s">
        <v>20</v>
      </c>
      <c r="C1627" t="s">
        <v>142</v>
      </c>
      <c r="D1627" s="9" t="s">
        <v>137</v>
      </c>
      <c r="E1627" t="s">
        <v>37</v>
      </c>
      <c r="F1627" t="s">
        <v>71</v>
      </c>
      <c r="G1627">
        <v>524.79999999999995</v>
      </c>
      <c r="H1627" s="9">
        <v>-1.74</v>
      </c>
      <c r="I1627"/>
    </row>
    <row r="1628" spans="1:9" x14ac:dyDescent="0.3">
      <c r="A1628" t="s">
        <v>2</v>
      </c>
      <c r="B1628" t="s">
        <v>20</v>
      </c>
      <c r="C1628" t="s">
        <v>143</v>
      </c>
      <c r="D1628" s="9" t="s">
        <v>137</v>
      </c>
      <c r="E1628" t="s">
        <v>38</v>
      </c>
      <c r="F1628" t="s">
        <v>73</v>
      </c>
      <c r="G1628">
        <v>508.9</v>
      </c>
      <c r="H1628" s="9">
        <v>2.95</v>
      </c>
      <c r="I1628"/>
    </row>
    <row r="1629" spans="1:9" x14ac:dyDescent="0.3">
      <c r="A1629" t="s">
        <v>2</v>
      </c>
      <c r="B1629" t="s">
        <v>20</v>
      </c>
      <c r="C1629" t="s">
        <v>144</v>
      </c>
      <c r="D1629" s="9" t="s">
        <v>137</v>
      </c>
      <c r="E1629" t="s">
        <v>39</v>
      </c>
      <c r="F1629" t="s">
        <v>75</v>
      </c>
      <c r="G1629">
        <v>492</v>
      </c>
      <c r="H1629" s="9">
        <v>0.04</v>
      </c>
      <c r="I1629"/>
    </row>
    <row r="1630" spans="1:9" x14ac:dyDescent="0.3">
      <c r="A1630" t="s">
        <v>2</v>
      </c>
      <c r="B1630" t="s">
        <v>20</v>
      </c>
      <c r="C1630" t="s">
        <v>145</v>
      </c>
      <c r="D1630" s="9" t="s">
        <v>137</v>
      </c>
      <c r="E1630" t="s">
        <v>40</v>
      </c>
      <c r="F1630" t="s">
        <v>77</v>
      </c>
      <c r="G1630">
        <v>481.4</v>
      </c>
      <c r="H1630" s="9">
        <v>-0.25</v>
      </c>
      <c r="I1630"/>
    </row>
    <row r="1631" spans="1:9" x14ac:dyDescent="0.3">
      <c r="A1631" t="s">
        <v>2</v>
      </c>
      <c r="B1631" t="s">
        <v>20</v>
      </c>
      <c r="C1631" t="s">
        <v>146</v>
      </c>
      <c r="D1631" s="9" t="s">
        <v>137</v>
      </c>
      <c r="E1631" t="s">
        <v>41</v>
      </c>
      <c r="F1631" t="s">
        <v>79</v>
      </c>
      <c r="G1631">
        <v>528.6</v>
      </c>
      <c r="H1631" s="9">
        <v>1.69</v>
      </c>
      <c r="I1631"/>
    </row>
    <row r="1632" spans="1:9" x14ac:dyDescent="0.3">
      <c r="A1632" t="s">
        <v>2</v>
      </c>
      <c r="B1632" t="s">
        <v>20</v>
      </c>
      <c r="C1632" t="s">
        <v>147</v>
      </c>
      <c r="D1632" s="9" t="s">
        <v>137</v>
      </c>
      <c r="E1632" t="s">
        <v>42</v>
      </c>
      <c r="F1632" t="s">
        <v>81</v>
      </c>
      <c r="G1632">
        <v>603.70000000000005</v>
      </c>
      <c r="H1632" s="9">
        <v>-2.46</v>
      </c>
      <c r="I1632"/>
    </row>
    <row r="1633" spans="1:9" x14ac:dyDescent="0.3">
      <c r="A1633" t="s">
        <v>2</v>
      </c>
      <c r="B1633" t="s">
        <v>20</v>
      </c>
      <c r="C1633" t="s">
        <v>148</v>
      </c>
      <c r="D1633" s="9" t="s">
        <v>137</v>
      </c>
      <c r="E1633" t="s">
        <v>43</v>
      </c>
      <c r="F1633" t="s">
        <v>83</v>
      </c>
      <c r="G1633">
        <v>658.1</v>
      </c>
      <c r="H1633" s="9">
        <v>4.8600000000000003</v>
      </c>
      <c r="I1633"/>
    </row>
    <row r="1634" spans="1:9" x14ac:dyDescent="0.3">
      <c r="A1634" t="s">
        <v>2</v>
      </c>
      <c r="B1634" t="s">
        <v>20</v>
      </c>
      <c r="C1634" t="s">
        <v>149</v>
      </c>
      <c r="D1634" s="9" t="s">
        <v>150</v>
      </c>
      <c r="E1634" t="s">
        <v>32</v>
      </c>
      <c r="F1634" t="s">
        <v>61</v>
      </c>
      <c r="G1634">
        <v>488.8</v>
      </c>
      <c r="H1634" s="9">
        <v>-2.34</v>
      </c>
      <c r="I1634"/>
    </row>
    <row r="1635" spans="1:9" x14ac:dyDescent="0.3">
      <c r="A1635" t="s">
        <v>2</v>
      </c>
      <c r="B1635" t="s">
        <v>20</v>
      </c>
      <c r="C1635" t="s">
        <v>151</v>
      </c>
      <c r="D1635" s="9" t="s">
        <v>150</v>
      </c>
      <c r="E1635" t="s">
        <v>33</v>
      </c>
      <c r="F1635" t="s">
        <v>63</v>
      </c>
      <c r="G1635">
        <v>430.4</v>
      </c>
      <c r="H1635" s="9">
        <v>-5.74</v>
      </c>
      <c r="I1635"/>
    </row>
    <row r="1636" spans="1:9" x14ac:dyDescent="0.3">
      <c r="A1636" t="s">
        <v>2</v>
      </c>
      <c r="B1636" t="s">
        <v>20</v>
      </c>
      <c r="C1636" t="s">
        <v>152</v>
      </c>
      <c r="D1636" s="9" t="s">
        <v>150</v>
      </c>
      <c r="E1636" t="s">
        <v>34</v>
      </c>
      <c r="F1636" t="s">
        <v>65</v>
      </c>
      <c r="G1636">
        <v>465.8</v>
      </c>
      <c r="H1636" s="9">
        <v>2.08</v>
      </c>
      <c r="I1636"/>
    </row>
    <row r="1637" spans="1:9" x14ac:dyDescent="0.3">
      <c r="A1637" t="s">
        <v>2</v>
      </c>
      <c r="B1637" t="s">
        <v>20</v>
      </c>
      <c r="C1637" t="s">
        <v>153</v>
      </c>
      <c r="D1637" s="9" t="s">
        <v>150</v>
      </c>
      <c r="E1637" t="s">
        <v>35</v>
      </c>
      <c r="F1637" t="s">
        <v>67</v>
      </c>
      <c r="G1637">
        <v>451.7</v>
      </c>
      <c r="H1637" s="9">
        <v>-0.7</v>
      </c>
      <c r="I1637"/>
    </row>
    <row r="1638" spans="1:9" x14ac:dyDescent="0.3">
      <c r="A1638" t="s">
        <v>2</v>
      </c>
      <c r="B1638" t="s">
        <v>20</v>
      </c>
      <c r="C1638" t="s">
        <v>154</v>
      </c>
      <c r="D1638" s="9" t="s">
        <v>150</v>
      </c>
      <c r="E1638" t="s">
        <v>36</v>
      </c>
      <c r="F1638" t="s">
        <v>69</v>
      </c>
      <c r="G1638">
        <v>499.5</v>
      </c>
      <c r="H1638" s="9">
        <v>-1.36</v>
      </c>
      <c r="I1638"/>
    </row>
    <row r="1639" spans="1:9" x14ac:dyDescent="0.3">
      <c r="A1639" t="s">
        <v>2</v>
      </c>
      <c r="B1639" t="s">
        <v>20</v>
      </c>
      <c r="C1639" t="s">
        <v>155</v>
      </c>
      <c r="D1639" s="9" t="s">
        <v>150</v>
      </c>
      <c r="E1639" t="s">
        <v>37</v>
      </c>
      <c r="F1639" t="s">
        <v>71</v>
      </c>
      <c r="G1639">
        <v>543.9</v>
      </c>
      <c r="H1639" s="9">
        <v>3.64</v>
      </c>
      <c r="I1639"/>
    </row>
    <row r="1640" spans="1:9" x14ac:dyDescent="0.3">
      <c r="A1640" t="s">
        <v>2</v>
      </c>
      <c r="B1640" t="s">
        <v>15</v>
      </c>
      <c r="C1640" t="s">
        <v>59</v>
      </c>
      <c r="D1640" s="9" t="s">
        <v>60</v>
      </c>
      <c r="E1640" t="s">
        <v>32</v>
      </c>
      <c r="F1640" t="s">
        <v>61</v>
      </c>
      <c r="G1640">
        <v>469.1</v>
      </c>
      <c r="I1640"/>
    </row>
    <row r="1641" spans="1:9" x14ac:dyDescent="0.3">
      <c r="A1641" t="s">
        <v>2</v>
      </c>
      <c r="B1641" t="s">
        <v>15</v>
      </c>
      <c r="C1641" t="s">
        <v>62</v>
      </c>
      <c r="D1641" s="9" t="s">
        <v>60</v>
      </c>
      <c r="E1641" t="s">
        <v>33</v>
      </c>
      <c r="F1641" t="s">
        <v>63</v>
      </c>
      <c r="G1641">
        <v>440.8</v>
      </c>
      <c r="I1641"/>
    </row>
    <row r="1642" spans="1:9" x14ac:dyDescent="0.3">
      <c r="A1642" t="s">
        <v>2</v>
      </c>
      <c r="B1642" t="s">
        <v>15</v>
      </c>
      <c r="C1642" t="s">
        <v>64</v>
      </c>
      <c r="D1642" s="9" t="s">
        <v>60</v>
      </c>
      <c r="E1642" t="s">
        <v>34</v>
      </c>
      <c r="F1642" t="s">
        <v>65</v>
      </c>
      <c r="G1642">
        <v>462.8</v>
      </c>
      <c r="I1642"/>
    </row>
    <row r="1643" spans="1:9" x14ac:dyDescent="0.3">
      <c r="A1643" t="s">
        <v>2</v>
      </c>
      <c r="B1643" t="s">
        <v>15</v>
      </c>
      <c r="C1643" t="s">
        <v>66</v>
      </c>
      <c r="D1643" s="9" t="s">
        <v>60</v>
      </c>
      <c r="E1643" t="s">
        <v>35</v>
      </c>
      <c r="F1643" t="s">
        <v>67</v>
      </c>
      <c r="G1643">
        <v>445.6</v>
      </c>
      <c r="I1643"/>
    </row>
    <row r="1644" spans="1:9" x14ac:dyDescent="0.3">
      <c r="A1644" t="s">
        <v>2</v>
      </c>
      <c r="B1644" t="s">
        <v>15</v>
      </c>
      <c r="C1644" t="s">
        <v>68</v>
      </c>
      <c r="D1644" s="9" t="s">
        <v>60</v>
      </c>
      <c r="E1644" t="s">
        <v>36</v>
      </c>
      <c r="F1644" t="s">
        <v>69</v>
      </c>
      <c r="G1644">
        <v>457.2</v>
      </c>
      <c r="I1644"/>
    </row>
    <row r="1645" spans="1:9" x14ac:dyDescent="0.3">
      <c r="A1645" t="s">
        <v>2</v>
      </c>
      <c r="B1645" t="s">
        <v>15</v>
      </c>
      <c r="C1645" t="s">
        <v>70</v>
      </c>
      <c r="D1645" s="9" t="s">
        <v>60</v>
      </c>
      <c r="E1645" t="s">
        <v>37</v>
      </c>
      <c r="F1645" t="s">
        <v>71</v>
      </c>
      <c r="G1645">
        <v>435.4</v>
      </c>
      <c r="I1645"/>
    </row>
    <row r="1646" spans="1:9" x14ac:dyDescent="0.3">
      <c r="A1646" t="s">
        <v>2</v>
      </c>
      <c r="B1646" t="s">
        <v>15</v>
      </c>
      <c r="C1646" t="s">
        <v>72</v>
      </c>
      <c r="D1646" s="9" t="s">
        <v>60</v>
      </c>
      <c r="E1646" t="s">
        <v>38</v>
      </c>
      <c r="F1646" t="s">
        <v>73</v>
      </c>
      <c r="G1646">
        <v>457</v>
      </c>
      <c r="I1646"/>
    </row>
    <row r="1647" spans="1:9" x14ac:dyDescent="0.3">
      <c r="A1647" t="s">
        <v>2</v>
      </c>
      <c r="B1647" t="s">
        <v>15</v>
      </c>
      <c r="C1647" t="s">
        <v>74</v>
      </c>
      <c r="D1647" s="9" t="s">
        <v>60</v>
      </c>
      <c r="E1647" t="s">
        <v>39</v>
      </c>
      <c r="F1647" t="s">
        <v>75</v>
      </c>
      <c r="G1647">
        <v>479.2</v>
      </c>
      <c r="I1647"/>
    </row>
    <row r="1648" spans="1:9" x14ac:dyDescent="0.3">
      <c r="A1648" t="s">
        <v>2</v>
      </c>
      <c r="B1648" t="s">
        <v>15</v>
      </c>
      <c r="C1648" t="s">
        <v>76</v>
      </c>
      <c r="D1648" s="9" t="s">
        <v>60</v>
      </c>
      <c r="E1648" t="s">
        <v>40</v>
      </c>
      <c r="F1648" t="s">
        <v>77</v>
      </c>
      <c r="G1648">
        <v>506.2</v>
      </c>
      <c r="I1648"/>
    </row>
    <row r="1649" spans="1:9" x14ac:dyDescent="0.3">
      <c r="A1649" t="s">
        <v>2</v>
      </c>
      <c r="B1649" t="s">
        <v>15</v>
      </c>
      <c r="C1649" t="s">
        <v>78</v>
      </c>
      <c r="D1649" s="9" t="s">
        <v>60</v>
      </c>
      <c r="E1649" t="s">
        <v>41</v>
      </c>
      <c r="F1649" t="s">
        <v>79</v>
      </c>
      <c r="G1649">
        <v>535.70000000000005</v>
      </c>
      <c r="I1649"/>
    </row>
    <row r="1650" spans="1:9" x14ac:dyDescent="0.3">
      <c r="A1650" t="s">
        <v>2</v>
      </c>
      <c r="B1650" t="s">
        <v>15</v>
      </c>
      <c r="C1650" t="s">
        <v>80</v>
      </c>
      <c r="D1650" s="9" t="s">
        <v>60</v>
      </c>
      <c r="E1650" t="s">
        <v>42</v>
      </c>
      <c r="F1650" t="s">
        <v>81</v>
      </c>
      <c r="G1650">
        <v>535.1</v>
      </c>
      <c r="I1650"/>
    </row>
    <row r="1651" spans="1:9" x14ac:dyDescent="0.3">
      <c r="A1651" t="s">
        <v>2</v>
      </c>
      <c r="B1651" t="s">
        <v>15</v>
      </c>
      <c r="C1651" t="s">
        <v>82</v>
      </c>
      <c r="D1651" s="9" t="s">
        <v>60</v>
      </c>
      <c r="E1651" t="s">
        <v>43</v>
      </c>
      <c r="F1651" t="s">
        <v>83</v>
      </c>
      <c r="G1651">
        <v>526.79999999999995</v>
      </c>
      <c r="I1651"/>
    </row>
    <row r="1652" spans="1:9" x14ac:dyDescent="0.3">
      <c r="A1652" t="s">
        <v>2</v>
      </c>
      <c r="B1652" t="s">
        <v>15</v>
      </c>
      <c r="C1652" t="s">
        <v>84</v>
      </c>
      <c r="D1652" s="9" t="s">
        <v>85</v>
      </c>
      <c r="E1652" t="s">
        <v>32</v>
      </c>
      <c r="F1652" t="s">
        <v>61</v>
      </c>
      <c r="G1652">
        <v>444.1</v>
      </c>
      <c r="H1652" s="9">
        <v>-5.33</v>
      </c>
      <c r="I1652"/>
    </row>
    <row r="1653" spans="1:9" x14ac:dyDescent="0.3">
      <c r="A1653" t="s">
        <v>2</v>
      </c>
      <c r="B1653" t="s">
        <v>15</v>
      </c>
      <c r="C1653" t="s">
        <v>86</v>
      </c>
      <c r="D1653" s="9" t="s">
        <v>85</v>
      </c>
      <c r="E1653" t="s">
        <v>33</v>
      </c>
      <c r="F1653" t="s">
        <v>63</v>
      </c>
      <c r="G1653">
        <v>443.3</v>
      </c>
      <c r="H1653" s="9">
        <v>0.56999999999999995</v>
      </c>
      <c r="I1653"/>
    </row>
    <row r="1654" spans="1:9" x14ac:dyDescent="0.3">
      <c r="A1654" t="s">
        <v>2</v>
      </c>
      <c r="B1654" t="s">
        <v>15</v>
      </c>
      <c r="C1654" t="s">
        <v>87</v>
      </c>
      <c r="D1654" s="9" t="s">
        <v>85</v>
      </c>
      <c r="E1654" t="s">
        <v>34</v>
      </c>
      <c r="F1654" t="s">
        <v>65</v>
      </c>
      <c r="G1654">
        <v>520.29999999999995</v>
      </c>
      <c r="H1654" s="9">
        <v>12.42</v>
      </c>
      <c r="I1654"/>
    </row>
    <row r="1655" spans="1:9" x14ac:dyDescent="0.3">
      <c r="A1655" t="s">
        <v>2</v>
      </c>
      <c r="B1655" t="s">
        <v>15</v>
      </c>
      <c r="C1655" t="s">
        <v>88</v>
      </c>
      <c r="D1655" s="9" t="s">
        <v>85</v>
      </c>
      <c r="E1655" t="s">
        <v>35</v>
      </c>
      <c r="F1655" t="s">
        <v>67</v>
      </c>
      <c r="G1655">
        <v>571.9</v>
      </c>
      <c r="H1655" s="9">
        <v>28.34</v>
      </c>
      <c r="I1655"/>
    </row>
    <row r="1656" spans="1:9" x14ac:dyDescent="0.3">
      <c r="A1656" t="s">
        <v>2</v>
      </c>
      <c r="B1656" t="s">
        <v>15</v>
      </c>
      <c r="C1656" t="s">
        <v>89</v>
      </c>
      <c r="D1656" s="9" t="s">
        <v>85</v>
      </c>
      <c r="E1656" t="s">
        <v>36</v>
      </c>
      <c r="F1656" t="s">
        <v>69</v>
      </c>
      <c r="G1656">
        <v>624.4</v>
      </c>
      <c r="H1656" s="9">
        <v>36.57</v>
      </c>
      <c r="I1656"/>
    </row>
    <row r="1657" spans="1:9" x14ac:dyDescent="0.3">
      <c r="A1657" t="s">
        <v>2</v>
      </c>
      <c r="B1657" t="s">
        <v>15</v>
      </c>
      <c r="C1657" t="s">
        <v>90</v>
      </c>
      <c r="D1657" s="9" t="s">
        <v>85</v>
      </c>
      <c r="E1657" t="s">
        <v>37</v>
      </c>
      <c r="F1657" t="s">
        <v>71</v>
      </c>
      <c r="G1657">
        <v>565.4</v>
      </c>
      <c r="H1657" s="9">
        <v>29.86</v>
      </c>
      <c r="I1657"/>
    </row>
    <row r="1658" spans="1:9" x14ac:dyDescent="0.3">
      <c r="A1658" t="s">
        <v>2</v>
      </c>
      <c r="B1658" t="s">
        <v>15</v>
      </c>
      <c r="C1658" t="s">
        <v>91</v>
      </c>
      <c r="D1658" s="9" t="s">
        <v>85</v>
      </c>
      <c r="E1658" t="s">
        <v>38</v>
      </c>
      <c r="F1658" t="s">
        <v>73</v>
      </c>
      <c r="G1658">
        <v>567.1</v>
      </c>
      <c r="H1658" s="9">
        <v>24.09</v>
      </c>
      <c r="I1658"/>
    </row>
    <row r="1659" spans="1:9" x14ac:dyDescent="0.3">
      <c r="A1659" t="s">
        <v>2</v>
      </c>
      <c r="B1659" t="s">
        <v>15</v>
      </c>
      <c r="C1659" t="s">
        <v>92</v>
      </c>
      <c r="D1659" s="9" t="s">
        <v>85</v>
      </c>
      <c r="E1659" t="s">
        <v>39</v>
      </c>
      <c r="F1659" t="s">
        <v>75</v>
      </c>
      <c r="G1659">
        <v>599.4</v>
      </c>
      <c r="H1659" s="9">
        <v>25.08</v>
      </c>
      <c r="I1659"/>
    </row>
    <row r="1660" spans="1:9" x14ac:dyDescent="0.3">
      <c r="A1660" t="s">
        <v>2</v>
      </c>
      <c r="B1660" t="s">
        <v>15</v>
      </c>
      <c r="C1660" t="s">
        <v>93</v>
      </c>
      <c r="D1660" s="9" t="s">
        <v>85</v>
      </c>
      <c r="E1660" t="s">
        <v>40</v>
      </c>
      <c r="F1660" t="s">
        <v>77</v>
      </c>
      <c r="G1660">
        <v>655.6</v>
      </c>
      <c r="H1660" s="9">
        <v>29.51</v>
      </c>
      <c r="I1660"/>
    </row>
    <row r="1661" spans="1:9" x14ac:dyDescent="0.3">
      <c r="A1661" t="s">
        <v>2</v>
      </c>
      <c r="B1661" t="s">
        <v>15</v>
      </c>
      <c r="C1661" t="s">
        <v>94</v>
      </c>
      <c r="D1661" s="9" t="s">
        <v>85</v>
      </c>
      <c r="E1661" t="s">
        <v>41</v>
      </c>
      <c r="F1661" t="s">
        <v>79</v>
      </c>
      <c r="G1661">
        <v>676</v>
      </c>
      <c r="H1661" s="9">
        <v>26.19</v>
      </c>
      <c r="I1661"/>
    </row>
    <row r="1662" spans="1:9" x14ac:dyDescent="0.3">
      <c r="A1662" t="s">
        <v>2</v>
      </c>
      <c r="B1662" t="s">
        <v>15</v>
      </c>
      <c r="C1662" t="s">
        <v>95</v>
      </c>
      <c r="D1662" s="9" t="s">
        <v>85</v>
      </c>
      <c r="E1662" t="s">
        <v>42</v>
      </c>
      <c r="F1662" t="s">
        <v>81</v>
      </c>
      <c r="G1662">
        <v>631</v>
      </c>
      <c r="H1662" s="9">
        <v>17.920000000000002</v>
      </c>
      <c r="I1662"/>
    </row>
    <row r="1663" spans="1:9" x14ac:dyDescent="0.3">
      <c r="A1663" t="s">
        <v>2</v>
      </c>
      <c r="B1663" t="s">
        <v>15</v>
      </c>
      <c r="C1663" t="s">
        <v>96</v>
      </c>
      <c r="D1663" s="9" t="s">
        <v>85</v>
      </c>
      <c r="E1663" t="s">
        <v>43</v>
      </c>
      <c r="F1663" t="s">
        <v>83</v>
      </c>
      <c r="G1663">
        <v>636.70000000000005</v>
      </c>
      <c r="H1663" s="9">
        <v>20.86</v>
      </c>
      <c r="I1663"/>
    </row>
    <row r="1664" spans="1:9" x14ac:dyDescent="0.3">
      <c r="A1664" t="s">
        <v>2</v>
      </c>
      <c r="B1664" t="s">
        <v>15</v>
      </c>
      <c r="C1664" t="s">
        <v>97</v>
      </c>
      <c r="D1664" s="9" t="s">
        <v>98</v>
      </c>
      <c r="E1664" t="s">
        <v>32</v>
      </c>
      <c r="F1664" t="s">
        <v>61</v>
      </c>
      <c r="G1664">
        <v>568.29999999999995</v>
      </c>
      <c r="H1664" s="9">
        <v>27.97</v>
      </c>
      <c r="I1664"/>
    </row>
    <row r="1665" spans="1:9" x14ac:dyDescent="0.3">
      <c r="A1665" t="s">
        <v>2</v>
      </c>
      <c r="B1665" t="s">
        <v>15</v>
      </c>
      <c r="C1665" t="s">
        <v>99</v>
      </c>
      <c r="D1665" s="9" t="s">
        <v>98</v>
      </c>
      <c r="E1665" t="s">
        <v>33</v>
      </c>
      <c r="F1665" t="s">
        <v>63</v>
      </c>
      <c r="G1665">
        <v>532.6</v>
      </c>
      <c r="H1665" s="9">
        <v>20.14</v>
      </c>
      <c r="I1665"/>
    </row>
    <row r="1666" spans="1:9" x14ac:dyDescent="0.3">
      <c r="A1666" t="s">
        <v>2</v>
      </c>
      <c r="B1666" t="s">
        <v>15</v>
      </c>
      <c r="C1666" t="s">
        <v>100</v>
      </c>
      <c r="D1666" s="9" t="s">
        <v>98</v>
      </c>
      <c r="E1666" t="s">
        <v>34</v>
      </c>
      <c r="F1666" t="s">
        <v>65</v>
      </c>
      <c r="G1666">
        <v>583.1</v>
      </c>
      <c r="H1666" s="9">
        <v>12.07</v>
      </c>
      <c r="I1666"/>
    </row>
    <row r="1667" spans="1:9" x14ac:dyDescent="0.3">
      <c r="A1667" t="s">
        <v>2</v>
      </c>
      <c r="B1667" t="s">
        <v>15</v>
      </c>
      <c r="C1667" t="s">
        <v>101</v>
      </c>
      <c r="D1667" s="9" t="s">
        <v>98</v>
      </c>
      <c r="E1667" t="s">
        <v>35</v>
      </c>
      <c r="F1667" t="s">
        <v>67</v>
      </c>
      <c r="G1667">
        <v>564.4</v>
      </c>
      <c r="H1667" s="9">
        <v>-1.31</v>
      </c>
      <c r="I1667"/>
    </row>
    <row r="1668" spans="1:9" x14ac:dyDescent="0.3">
      <c r="A1668" t="s">
        <v>2</v>
      </c>
      <c r="B1668" t="s">
        <v>15</v>
      </c>
      <c r="C1668" t="s">
        <v>102</v>
      </c>
      <c r="D1668" s="9" t="s">
        <v>98</v>
      </c>
      <c r="E1668" t="s">
        <v>36</v>
      </c>
      <c r="F1668" t="s">
        <v>69</v>
      </c>
      <c r="G1668">
        <v>576.6</v>
      </c>
      <c r="H1668" s="9">
        <v>-7.66</v>
      </c>
      <c r="I1668"/>
    </row>
    <row r="1669" spans="1:9" x14ac:dyDescent="0.3">
      <c r="A1669" t="s">
        <v>2</v>
      </c>
      <c r="B1669" t="s">
        <v>15</v>
      </c>
      <c r="C1669" t="s">
        <v>103</v>
      </c>
      <c r="D1669" s="9" t="s">
        <v>98</v>
      </c>
      <c r="E1669" t="s">
        <v>37</v>
      </c>
      <c r="F1669" t="s">
        <v>71</v>
      </c>
      <c r="G1669">
        <v>550.79999999999995</v>
      </c>
      <c r="H1669" s="9">
        <v>-2.58</v>
      </c>
      <c r="I1669"/>
    </row>
    <row r="1670" spans="1:9" x14ac:dyDescent="0.3">
      <c r="A1670" t="s">
        <v>2</v>
      </c>
      <c r="B1670" t="s">
        <v>15</v>
      </c>
      <c r="C1670" t="s">
        <v>104</v>
      </c>
      <c r="D1670" s="9" t="s">
        <v>98</v>
      </c>
      <c r="E1670" t="s">
        <v>38</v>
      </c>
      <c r="F1670" t="s">
        <v>73</v>
      </c>
      <c r="G1670">
        <v>546.4</v>
      </c>
      <c r="H1670" s="9">
        <v>-3.65</v>
      </c>
      <c r="I1670"/>
    </row>
    <row r="1671" spans="1:9" x14ac:dyDescent="0.3">
      <c r="A1671" t="s">
        <v>2</v>
      </c>
      <c r="B1671" t="s">
        <v>15</v>
      </c>
      <c r="C1671" t="s">
        <v>105</v>
      </c>
      <c r="D1671" s="9" t="s">
        <v>98</v>
      </c>
      <c r="E1671" t="s">
        <v>39</v>
      </c>
      <c r="F1671" t="s">
        <v>75</v>
      </c>
      <c r="G1671">
        <v>593.29999999999995</v>
      </c>
      <c r="H1671" s="9">
        <v>-1.02</v>
      </c>
      <c r="I1671"/>
    </row>
    <row r="1672" spans="1:9" x14ac:dyDescent="0.3">
      <c r="A1672" t="s">
        <v>2</v>
      </c>
      <c r="B1672" t="s">
        <v>15</v>
      </c>
      <c r="C1672" t="s">
        <v>106</v>
      </c>
      <c r="D1672" s="9" t="s">
        <v>98</v>
      </c>
      <c r="E1672" t="s">
        <v>40</v>
      </c>
      <c r="F1672" t="s">
        <v>77</v>
      </c>
      <c r="G1672">
        <v>686.4</v>
      </c>
      <c r="H1672" s="9">
        <v>4.7</v>
      </c>
      <c r="I1672"/>
    </row>
    <row r="1673" spans="1:9" x14ac:dyDescent="0.3">
      <c r="A1673" t="s">
        <v>2</v>
      </c>
      <c r="B1673" t="s">
        <v>15</v>
      </c>
      <c r="C1673" t="s">
        <v>107</v>
      </c>
      <c r="D1673" s="9" t="s">
        <v>98</v>
      </c>
      <c r="E1673" t="s">
        <v>41</v>
      </c>
      <c r="F1673" t="s">
        <v>79</v>
      </c>
      <c r="G1673">
        <v>767.2</v>
      </c>
      <c r="H1673" s="9">
        <v>13.49</v>
      </c>
      <c r="I1673"/>
    </row>
    <row r="1674" spans="1:9" x14ac:dyDescent="0.3">
      <c r="A1674" t="s">
        <v>2</v>
      </c>
      <c r="B1674" t="s">
        <v>15</v>
      </c>
      <c r="C1674" t="s">
        <v>108</v>
      </c>
      <c r="D1674" s="9" t="s">
        <v>98</v>
      </c>
      <c r="E1674" t="s">
        <v>42</v>
      </c>
      <c r="F1674" t="s">
        <v>81</v>
      </c>
      <c r="G1674">
        <v>677.5</v>
      </c>
      <c r="H1674" s="9">
        <v>7.37</v>
      </c>
      <c r="I1674"/>
    </row>
    <row r="1675" spans="1:9" x14ac:dyDescent="0.3">
      <c r="A1675" t="s">
        <v>2</v>
      </c>
      <c r="B1675" t="s">
        <v>15</v>
      </c>
      <c r="C1675" t="s">
        <v>109</v>
      </c>
      <c r="D1675" s="9" t="s">
        <v>98</v>
      </c>
      <c r="E1675" t="s">
        <v>43</v>
      </c>
      <c r="F1675" t="s">
        <v>83</v>
      </c>
      <c r="G1675">
        <v>718</v>
      </c>
      <c r="H1675" s="9">
        <v>12.77</v>
      </c>
      <c r="I1675"/>
    </row>
    <row r="1676" spans="1:9" x14ac:dyDescent="0.3">
      <c r="A1676" t="s">
        <v>2</v>
      </c>
      <c r="B1676" t="s">
        <v>15</v>
      </c>
      <c r="C1676" t="s">
        <v>110</v>
      </c>
      <c r="D1676" s="9" t="s">
        <v>111</v>
      </c>
      <c r="E1676" t="s">
        <v>32</v>
      </c>
      <c r="F1676" t="s">
        <v>61</v>
      </c>
      <c r="G1676">
        <v>591</v>
      </c>
      <c r="H1676" s="9">
        <v>3.99</v>
      </c>
      <c r="I1676"/>
    </row>
    <row r="1677" spans="1:9" x14ac:dyDescent="0.3">
      <c r="A1677" t="s">
        <v>2</v>
      </c>
      <c r="B1677" t="s">
        <v>15</v>
      </c>
      <c r="C1677" t="s">
        <v>112</v>
      </c>
      <c r="D1677" s="9" t="s">
        <v>111</v>
      </c>
      <c r="E1677" t="s">
        <v>33</v>
      </c>
      <c r="F1677" t="s">
        <v>63</v>
      </c>
      <c r="G1677">
        <v>562.9</v>
      </c>
      <c r="H1677" s="9">
        <v>5.69</v>
      </c>
      <c r="I1677"/>
    </row>
    <row r="1678" spans="1:9" x14ac:dyDescent="0.3">
      <c r="A1678" t="s">
        <v>2</v>
      </c>
      <c r="B1678" t="s">
        <v>15</v>
      </c>
      <c r="C1678" t="s">
        <v>113</v>
      </c>
      <c r="D1678" s="9" t="s">
        <v>111</v>
      </c>
      <c r="E1678" t="s">
        <v>34</v>
      </c>
      <c r="F1678" t="s">
        <v>65</v>
      </c>
      <c r="G1678">
        <v>620.5</v>
      </c>
      <c r="H1678" s="9">
        <v>6.41</v>
      </c>
      <c r="I1678"/>
    </row>
    <row r="1679" spans="1:9" x14ac:dyDescent="0.3">
      <c r="A1679" t="s">
        <v>2</v>
      </c>
      <c r="B1679" t="s">
        <v>15</v>
      </c>
      <c r="C1679" t="s">
        <v>114</v>
      </c>
      <c r="D1679" s="9" t="s">
        <v>111</v>
      </c>
      <c r="E1679" t="s">
        <v>35</v>
      </c>
      <c r="F1679" t="s">
        <v>67</v>
      </c>
      <c r="G1679">
        <v>596.79999999999995</v>
      </c>
      <c r="H1679" s="9">
        <v>5.74</v>
      </c>
      <c r="I1679"/>
    </row>
    <row r="1680" spans="1:9" x14ac:dyDescent="0.3">
      <c r="A1680" t="s">
        <v>2</v>
      </c>
      <c r="B1680" t="s">
        <v>15</v>
      </c>
      <c r="C1680" t="s">
        <v>115</v>
      </c>
      <c r="D1680" s="9" t="s">
        <v>111</v>
      </c>
      <c r="E1680" t="s">
        <v>36</v>
      </c>
      <c r="F1680" t="s">
        <v>69</v>
      </c>
      <c r="G1680">
        <v>640.70000000000005</v>
      </c>
      <c r="H1680" s="9">
        <v>11.12</v>
      </c>
      <c r="I1680"/>
    </row>
    <row r="1681" spans="1:9" x14ac:dyDescent="0.3">
      <c r="A1681" t="s">
        <v>2</v>
      </c>
      <c r="B1681" t="s">
        <v>15</v>
      </c>
      <c r="C1681" t="s">
        <v>116</v>
      </c>
      <c r="D1681" s="9" t="s">
        <v>111</v>
      </c>
      <c r="E1681" t="s">
        <v>37</v>
      </c>
      <c r="F1681" t="s">
        <v>71</v>
      </c>
      <c r="G1681">
        <v>625.6</v>
      </c>
      <c r="H1681" s="9">
        <v>13.58</v>
      </c>
      <c r="I1681"/>
    </row>
    <row r="1682" spans="1:9" x14ac:dyDescent="0.3">
      <c r="A1682" t="s">
        <v>2</v>
      </c>
      <c r="B1682" t="s">
        <v>15</v>
      </c>
      <c r="C1682" t="s">
        <v>117</v>
      </c>
      <c r="D1682" s="9" t="s">
        <v>111</v>
      </c>
      <c r="E1682" t="s">
        <v>38</v>
      </c>
      <c r="F1682" t="s">
        <v>73</v>
      </c>
      <c r="G1682">
        <v>598.79999999999995</v>
      </c>
      <c r="H1682" s="9">
        <v>9.59</v>
      </c>
      <c r="I1682"/>
    </row>
    <row r="1683" spans="1:9" x14ac:dyDescent="0.3">
      <c r="A1683" t="s">
        <v>2</v>
      </c>
      <c r="B1683" t="s">
        <v>15</v>
      </c>
      <c r="C1683" t="s">
        <v>118</v>
      </c>
      <c r="D1683" s="9" t="s">
        <v>111</v>
      </c>
      <c r="E1683" t="s">
        <v>39</v>
      </c>
      <c r="F1683" t="s">
        <v>75</v>
      </c>
      <c r="G1683">
        <v>659.8</v>
      </c>
      <c r="H1683" s="9">
        <v>11.21</v>
      </c>
      <c r="I1683"/>
    </row>
    <row r="1684" spans="1:9" x14ac:dyDescent="0.3">
      <c r="A1684" t="s">
        <v>2</v>
      </c>
      <c r="B1684" t="s">
        <v>15</v>
      </c>
      <c r="C1684" t="s">
        <v>119</v>
      </c>
      <c r="D1684" s="9" t="s">
        <v>111</v>
      </c>
      <c r="E1684" t="s">
        <v>40</v>
      </c>
      <c r="F1684" t="s">
        <v>77</v>
      </c>
      <c r="G1684">
        <v>676.2</v>
      </c>
      <c r="H1684" s="9">
        <v>-1.49</v>
      </c>
      <c r="I1684"/>
    </row>
    <row r="1685" spans="1:9" x14ac:dyDescent="0.3">
      <c r="A1685" t="s">
        <v>2</v>
      </c>
      <c r="B1685" t="s">
        <v>15</v>
      </c>
      <c r="C1685" t="s">
        <v>120</v>
      </c>
      <c r="D1685" s="9" t="s">
        <v>111</v>
      </c>
      <c r="E1685" t="s">
        <v>41</v>
      </c>
      <c r="F1685" t="s">
        <v>79</v>
      </c>
      <c r="G1685">
        <v>705.2</v>
      </c>
      <c r="H1685" s="9">
        <v>-8.08</v>
      </c>
      <c r="I1685"/>
    </row>
    <row r="1686" spans="1:9" x14ac:dyDescent="0.3">
      <c r="A1686" t="s">
        <v>2</v>
      </c>
      <c r="B1686" t="s">
        <v>15</v>
      </c>
      <c r="C1686" t="s">
        <v>121</v>
      </c>
      <c r="D1686" s="9" t="s">
        <v>111</v>
      </c>
      <c r="E1686" t="s">
        <v>42</v>
      </c>
      <c r="F1686" t="s">
        <v>81</v>
      </c>
      <c r="G1686">
        <v>754.6</v>
      </c>
      <c r="H1686" s="9">
        <v>11.38</v>
      </c>
      <c r="I1686"/>
    </row>
    <row r="1687" spans="1:9" x14ac:dyDescent="0.3">
      <c r="A1687" t="s">
        <v>2</v>
      </c>
      <c r="B1687" t="s">
        <v>15</v>
      </c>
      <c r="C1687" t="s">
        <v>122</v>
      </c>
      <c r="D1687" s="9" t="s">
        <v>111</v>
      </c>
      <c r="E1687" t="s">
        <v>43</v>
      </c>
      <c r="F1687" t="s">
        <v>83</v>
      </c>
      <c r="G1687">
        <v>738.4</v>
      </c>
      <c r="H1687" s="9">
        <v>2.84</v>
      </c>
      <c r="I1687"/>
    </row>
    <row r="1688" spans="1:9" x14ac:dyDescent="0.3">
      <c r="A1688" t="s">
        <v>2</v>
      </c>
      <c r="B1688" t="s">
        <v>15</v>
      </c>
      <c r="C1688" t="s">
        <v>123</v>
      </c>
      <c r="D1688" s="9" t="s">
        <v>124</v>
      </c>
      <c r="E1688" t="s">
        <v>32</v>
      </c>
      <c r="F1688" t="s">
        <v>61</v>
      </c>
      <c r="G1688">
        <v>606.6</v>
      </c>
      <c r="H1688" s="9">
        <v>2.64</v>
      </c>
      <c r="I1688"/>
    </row>
    <row r="1689" spans="1:9" x14ac:dyDescent="0.3">
      <c r="A1689" t="s">
        <v>2</v>
      </c>
      <c r="B1689" t="s">
        <v>15</v>
      </c>
      <c r="C1689" t="s">
        <v>125</v>
      </c>
      <c r="D1689" s="9" t="s">
        <v>124</v>
      </c>
      <c r="E1689" t="s">
        <v>33</v>
      </c>
      <c r="F1689" t="s">
        <v>63</v>
      </c>
      <c r="G1689">
        <v>565</v>
      </c>
      <c r="H1689" s="9">
        <v>0.37</v>
      </c>
      <c r="I1689"/>
    </row>
    <row r="1690" spans="1:9" x14ac:dyDescent="0.3">
      <c r="A1690" t="s">
        <v>2</v>
      </c>
      <c r="B1690" t="s">
        <v>15</v>
      </c>
      <c r="C1690" t="s">
        <v>126</v>
      </c>
      <c r="D1690" s="9" t="s">
        <v>124</v>
      </c>
      <c r="E1690" t="s">
        <v>34</v>
      </c>
      <c r="F1690" t="s">
        <v>65</v>
      </c>
      <c r="G1690">
        <v>619.6</v>
      </c>
      <c r="H1690" s="9">
        <v>-0.15</v>
      </c>
      <c r="I1690"/>
    </row>
    <row r="1691" spans="1:9" x14ac:dyDescent="0.3">
      <c r="A1691" t="s">
        <v>2</v>
      </c>
      <c r="B1691" t="s">
        <v>15</v>
      </c>
      <c r="C1691" t="s">
        <v>127</v>
      </c>
      <c r="D1691" s="9" t="s">
        <v>124</v>
      </c>
      <c r="E1691" t="s">
        <v>35</v>
      </c>
      <c r="F1691" t="s">
        <v>67</v>
      </c>
      <c r="G1691">
        <v>565.5</v>
      </c>
      <c r="H1691" s="9">
        <v>-5.24</v>
      </c>
      <c r="I1691"/>
    </row>
    <row r="1692" spans="1:9" x14ac:dyDescent="0.3">
      <c r="A1692" t="s">
        <v>2</v>
      </c>
      <c r="B1692" t="s">
        <v>15</v>
      </c>
      <c r="C1692" t="s">
        <v>128</v>
      </c>
      <c r="D1692" s="9" t="s">
        <v>124</v>
      </c>
      <c r="E1692" t="s">
        <v>36</v>
      </c>
      <c r="F1692" t="s">
        <v>69</v>
      </c>
      <c r="G1692">
        <v>595.70000000000005</v>
      </c>
      <c r="H1692" s="9">
        <v>-7.02</v>
      </c>
      <c r="I1692"/>
    </row>
    <row r="1693" spans="1:9" x14ac:dyDescent="0.3">
      <c r="A1693" t="s">
        <v>2</v>
      </c>
      <c r="B1693" t="s">
        <v>15</v>
      </c>
      <c r="C1693" t="s">
        <v>129</v>
      </c>
      <c r="D1693" s="9" t="s">
        <v>124</v>
      </c>
      <c r="E1693" t="s">
        <v>37</v>
      </c>
      <c r="F1693" t="s">
        <v>71</v>
      </c>
      <c r="G1693">
        <v>576.70000000000005</v>
      </c>
      <c r="H1693" s="9">
        <v>-7.82</v>
      </c>
      <c r="I1693"/>
    </row>
    <row r="1694" spans="1:9" x14ac:dyDescent="0.3">
      <c r="A1694" t="s">
        <v>2</v>
      </c>
      <c r="B1694" t="s">
        <v>15</v>
      </c>
      <c r="C1694" t="s">
        <v>130</v>
      </c>
      <c r="D1694" s="9" t="s">
        <v>124</v>
      </c>
      <c r="E1694" t="s">
        <v>38</v>
      </c>
      <c r="F1694" t="s">
        <v>73</v>
      </c>
      <c r="G1694">
        <v>595.1</v>
      </c>
      <c r="H1694" s="9">
        <v>-0.62</v>
      </c>
      <c r="I1694"/>
    </row>
    <row r="1695" spans="1:9" x14ac:dyDescent="0.3">
      <c r="A1695" t="s">
        <v>2</v>
      </c>
      <c r="B1695" t="s">
        <v>15</v>
      </c>
      <c r="C1695" t="s">
        <v>131</v>
      </c>
      <c r="D1695" s="9" t="s">
        <v>124</v>
      </c>
      <c r="E1695" t="s">
        <v>39</v>
      </c>
      <c r="F1695" t="s">
        <v>75</v>
      </c>
      <c r="G1695">
        <v>640.79999999999995</v>
      </c>
      <c r="H1695" s="9">
        <v>-2.88</v>
      </c>
      <c r="I1695"/>
    </row>
    <row r="1696" spans="1:9" x14ac:dyDescent="0.3">
      <c r="A1696" t="s">
        <v>2</v>
      </c>
      <c r="B1696" t="s">
        <v>15</v>
      </c>
      <c r="C1696" t="s">
        <v>132</v>
      </c>
      <c r="D1696" s="9" t="s">
        <v>124</v>
      </c>
      <c r="E1696" t="s">
        <v>40</v>
      </c>
      <c r="F1696" t="s">
        <v>77</v>
      </c>
      <c r="G1696">
        <v>690.4</v>
      </c>
      <c r="H1696" s="9">
        <v>2.1</v>
      </c>
      <c r="I1696"/>
    </row>
    <row r="1697" spans="1:9" x14ac:dyDescent="0.3">
      <c r="A1697" t="s">
        <v>2</v>
      </c>
      <c r="B1697" t="s">
        <v>15</v>
      </c>
      <c r="C1697" t="s">
        <v>133</v>
      </c>
      <c r="D1697" s="9" t="s">
        <v>124</v>
      </c>
      <c r="E1697" t="s">
        <v>41</v>
      </c>
      <c r="F1697" t="s">
        <v>79</v>
      </c>
      <c r="G1697">
        <v>701.3</v>
      </c>
      <c r="H1697" s="9">
        <v>-0.55000000000000004</v>
      </c>
      <c r="I1697"/>
    </row>
    <row r="1698" spans="1:9" x14ac:dyDescent="0.3">
      <c r="A1698" t="s">
        <v>2</v>
      </c>
      <c r="B1698" t="s">
        <v>15</v>
      </c>
      <c r="C1698" t="s">
        <v>134</v>
      </c>
      <c r="D1698" s="9" t="s">
        <v>124</v>
      </c>
      <c r="E1698" t="s">
        <v>42</v>
      </c>
      <c r="F1698" t="s">
        <v>81</v>
      </c>
      <c r="G1698">
        <v>687.9</v>
      </c>
      <c r="H1698" s="9">
        <v>-8.84</v>
      </c>
      <c r="I1698"/>
    </row>
    <row r="1699" spans="1:9" x14ac:dyDescent="0.3">
      <c r="A1699" t="s">
        <v>2</v>
      </c>
      <c r="B1699" t="s">
        <v>15</v>
      </c>
      <c r="C1699" t="s">
        <v>135</v>
      </c>
      <c r="D1699" s="9" t="s">
        <v>124</v>
      </c>
      <c r="E1699" t="s">
        <v>43</v>
      </c>
      <c r="F1699" t="s">
        <v>83</v>
      </c>
      <c r="G1699">
        <v>702.2</v>
      </c>
      <c r="H1699" s="9">
        <v>-4.9000000000000004</v>
      </c>
      <c r="I1699"/>
    </row>
    <row r="1700" spans="1:9" x14ac:dyDescent="0.3">
      <c r="A1700" t="s">
        <v>2</v>
      </c>
      <c r="B1700" t="s">
        <v>15</v>
      </c>
      <c r="C1700" t="s">
        <v>136</v>
      </c>
      <c r="D1700" s="9" t="s">
        <v>137</v>
      </c>
      <c r="E1700" t="s">
        <v>32</v>
      </c>
      <c r="F1700" t="s">
        <v>61</v>
      </c>
      <c r="G1700">
        <v>602.20000000000005</v>
      </c>
      <c r="H1700" s="9">
        <v>-0.73</v>
      </c>
      <c r="I1700"/>
    </row>
    <row r="1701" spans="1:9" x14ac:dyDescent="0.3">
      <c r="A1701" t="s">
        <v>2</v>
      </c>
      <c r="B1701" t="s">
        <v>15</v>
      </c>
      <c r="C1701" t="s">
        <v>138</v>
      </c>
      <c r="D1701" s="9" t="s">
        <v>137</v>
      </c>
      <c r="E1701" t="s">
        <v>33</v>
      </c>
      <c r="F1701" t="s">
        <v>63</v>
      </c>
      <c r="G1701">
        <v>570.9</v>
      </c>
      <c r="H1701" s="9">
        <v>1.04</v>
      </c>
      <c r="I1701"/>
    </row>
    <row r="1702" spans="1:9" x14ac:dyDescent="0.3">
      <c r="A1702" t="s">
        <v>2</v>
      </c>
      <c r="B1702" t="s">
        <v>15</v>
      </c>
      <c r="C1702" t="s">
        <v>139</v>
      </c>
      <c r="D1702" s="9" t="s">
        <v>137</v>
      </c>
      <c r="E1702" t="s">
        <v>34</v>
      </c>
      <c r="F1702" t="s">
        <v>65</v>
      </c>
      <c r="G1702">
        <v>597.79999999999995</v>
      </c>
      <c r="H1702" s="9">
        <v>-3.52</v>
      </c>
      <c r="I1702"/>
    </row>
    <row r="1703" spans="1:9" x14ac:dyDescent="0.3">
      <c r="A1703" t="s">
        <v>2</v>
      </c>
      <c r="B1703" t="s">
        <v>15</v>
      </c>
      <c r="C1703" t="s">
        <v>140</v>
      </c>
      <c r="D1703" s="9" t="s">
        <v>137</v>
      </c>
      <c r="E1703" t="s">
        <v>35</v>
      </c>
      <c r="F1703" t="s">
        <v>67</v>
      </c>
      <c r="G1703">
        <v>586.6</v>
      </c>
      <c r="H1703" s="9">
        <v>3.73</v>
      </c>
      <c r="I1703"/>
    </row>
    <row r="1704" spans="1:9" x14ac:dyDescent="0.3">
      <c r="A1704" t="s">
        <v>2</v>
      </c>
      <c r="B1704" t="s">
        <v>15</v>
      </c>
      <c r="C1704" t="s">
        <v>141</v>
      </c>
      <c r="D1704" s="9" t="s">
        <v>137</v>
      </c>
      <c r="E1704" t="s">
        <v>36</v>
      </c>
      <c r="F1704" t="s">
        <v>69</v>
      </c>
      <c r="G1704">
        <v>578.20000000000005</v>
      </c>
      <c r="H1704" s="9">
        <v>-2.94</v>
      </c>
      <c r="I1704"/>
    </row>
    <row r="1705" spans="1:9" x14ac:dyDescent="0.3">
      <c r="A1705" t="s">
        <v>2</v>
      </c>
      <c r="B1705" t="s">
        <v>15</v>
      </c>
      <c r="C1705" t="s">
        <v>142</v>
      </c>
      <c r="D1705" s="9" t="s">
        <v>137</v>
      </c>
      <c r="E1705" t="s">
        <v>37</v>
      </c>
      <c r="F1705" t="s">
        <v>71</v>
      </c>
      <c r="G1705">
        <v>551.79999999999995</v>
      </c>
      <c r="H1705" s="9">
        <v>-4.32</v>
      </c>
      <c r="I1705"/>
    </row>
    <row r="1706" spans="1:9" x14ac:dyDescent="0.3">
      <c r="A1706" t="s">
        <v>2</v>
      </c>
      <c r="B1706" t="s">
        <v>15</v>
      </c>
      <c r="C1706" t="s">
        <v>143</v>
      </c>
      <c r="D1706" s="9" t="s">
        <v>137</v>
      </c>
      <c r="E1706" t="s">
        <v>38</v>
      </c>
      <c r="F1706" t="s">
        <v>73</v>
      </c>
      <c r="G1706">
        <v>571.5</v>
      </c>
      <c r="H1706" s="9">
        <v>-3.97</v>
      </c>
      <c r="I1706"/>
    </row>
    <row r="1707" spans="1:9" x14ac:dyDescent="0.3">
      <c r="A1707" t="s">
        <v>2</v>
      </c>
      <c r="B1707" t="s">
        <v>15</v>
      </c>
      <c r="C1707" t="s">
        <v>144</v>
      </c>
      <c r="D1707" s="9" t="s">
        <v>137</v>
      </c>
      <c r="E1707" t="s">
        <v>39</v>
      </c>
      <c r="F1707" t="s">
        <v>75</v>
      </c>
      <c r="G1707">
        <v>631.20000000000005</v>
      </c>
      <c r="H1707" s="9">
        <v>-1.5</v>
      </c>
      <c r="I1707"/>
    </row>
    <row r="1708" spans="1:9" x14ac:dyDescent="0.3">
      <c r="A1708" t="s">
        <v>2</v>
      </c>
      <c r="B1708" t="s">
        <v>15</v>
      </c>
      <c r="C1708" t="s">
        <v>145</v>
      </c>
      <c r="D1708" s="9" t="s">
        <v>137</v>
      </c>
      <c r="E1708" t="s">
        <v>40</v>
      </c>
      <c r="F1708" t="s">
        <v>77</v>
      </c>
      <c r="G1708">
        <v>669.9</v>
      </c>
      <c r="H1708" s="9">
        <v>-2.97</v>
      </c>
      <c r="I1708"/>
    </row>
    <row r="1709" spans="1:9" x14ac:dyDescent="0.3">
      <c r="A1709" t="s">
        <v>2</v>
      </c>
      <c r="B1709" t="s">
        <v>15</v>
      </c>
      <c r="C1709" t="s">
        <v>146</v>
      </c>
      <c r="D1709" s="9" t="s">
        <v>137</v>
      </c>
      <c r="E1709" t="s">
        <v>41</v>
      </c>
      <c r="F1709" t="s">
        <v>79</v>
      </c>
      <c r="G1709">
        <v>703.1</v>
      </c>
      <c r="H1709" s="9">
        <v>0.26</v>
      </c>
      <c r="I1709"/>
    </row>
    <row r="1710" spans="1:9" x14ac:dyDescent="0.3">
      <c r="A1710" t="s">
        <v>2</v>
      </c>
      <c r="B1710" t="s">
        <v>15</v>
      </c>
      <c r="C1710" t="s">
        <v>147</v>
      </c>
      <c r="D1710" s="9" t="s">
        <v>137</v>
      </c>
      <c r="E1710" t="s">
        <v>42</v>
      </c>
      <c r="F1710" t="s">
        <v>81</v>
      </c>
      <c r="G1710">
        <v>701.8</v>
      </c>
      <c r="H1710" s="9">
        <v>2.02</v>
      </c>
      <c r="I1710"/>
    </row>
    <row r="1711" spans="1:9" x14ac:dyDescent="0.3">
      <c r="A1711" t="s">
        <v>2</v>
      </c>
      <c r="B1711" t="s">
        <v>15</v>
      </c>
      <c r="C1711" t="s">
        <v>148</v>
      </c>
      <c r="D1711" s="9" t="s">
        <v>137</v>
      </c>
      <c r="E1711" t="s">
        <v>43</v>
      </c>
      <c r="F1711" t="s">
        <v>83</v>
      </c>
      <c r="G1711">
        <v>728.4</v>
      </c>
      <c r="H1711" s="9">
        <v>3.73</v>
      </c>
      <c r="I1711"/>
    </row>
    <row r="1712" spans="1:9" x14ac:dyDescent="0.3">
      <c r="A1712" t="s">
        <v>2</v>
      </c>
      <c r="B1712" t="s">
        <v>15</v>
      </c>
      <c r="C1712" t="s">
        <v>149</v>
      </c>
      <c r="D1712" s="9" t="s">
        <v>150</v>
      </c>
      <c r="E1712" t="s">
        <v>32</v>
      </c>
      <c r="F1712" t="s">
        <v>61</v>
      </c>
      <c r="G1712">
        <v>609</v>
      </c>
      <c r="H1712" s="9">
        <v>1.1299999999999999</v>
      </c>
      <c r="I1712"/>
    </row>
    <row r="1713" spans="1:9" x14ac:dyDescent="0.3">
      <c r="A1713" t="s">
        <v>2</v>
      </c>
      <c r="B1713" t="s">
        <v>15</v>
      </c>
      <c r="C1713" t="s">
        <v>151</v>
      </c>
      <c r="D1713" s="9" t="s">
        <v>150</v>
      </c>
      <c r="E1713" t="s">
        <v>33</v>
      </c>
      <c r="F1713" t="s">
        <v>63</v>
      </c>
      <c r="G1713">
        <v>568.4</v>
      </c>
      <c r="H1713" s="9">
        <v>-0.44</v>
      </c>
      <c r="I1713"/>
    </row>
    <row r="1714" spans="1:9" x14ac:dyDescent="0.3">
      <c r="A1714" t="s">
        <v>2</v>
      </c>
      <c r="B1714" t="s">
        <v>15</v>
      </c>
      <c r="C1714" t="s">
        <v>152</v>
      </c>
      <c r="D1714" s="9" t="s">
        <v>150</v>
      </c>
      <c r="E1714" t="s">
        <v>34</v>
      </c>
      <c r="F1714" t="s">
        <v>65</v>
      </c>
      <c r="G1714">
        <v>595.5</v>
      </c>
      <c r="H1714" s="9">
        <v>-0.38</v>
      </c>
      <c r="I1714"/>
    </row>
    <row r="1715" spans="1:9" x14ac:dyDescent="0.3">
      <c r="A1715" t="s">
        <v>2</v>
      </c>
      <c r="B1715" t="s">
        <v>15</v>
      </c>
      <c r="C1715" t="s">
        <v>153</v>
      </c>
      <c r="D1715" s="9" t="s">
        <v>150</v>
      </c>
      <c r="E1715" t="s">
        <v>35</v>
      </c>
      <c r="F1715" t="s">
        <v>67</v>
      </c>
      <c r="G1715">
        <v>583.4</v>
      </c>
      <c r="H1715" s="9">
        <v>-0.55000000000000004</v>
      </c>
      <c r="I1715"/>
    </row>
    <row r="1716" spans="1:9" x14ac:dyDescent="0.3">
      <c r="A1716" t="s">
        <v>2</v>
      </c>
      <c r="B1716" t="s">
        <v>15</v>
      </c>
      <c r="C1716" t="s">
        <v>154</v>
      </c>
      <c r="D1716" s="9" t="s">
        <v>150</v>
      </c>
      <c r="E1716" t="s">
        <v>36</v>
      </c>
      <c r="F1716" t="s">
        <v>69</v>
      </c>
      <c r="G1716">
        <v>594.4</v>
      </c>
      <c r="H1716" s="9">
        <v>2.8</v>
      </c>
      <c r="I1716"/>
    </row>
    <row r="1717" spans="1:9" x14ac:dyDescent="0.3">
      <c r="A1717" t="s">
        <v>2</v>
      </c>
      <c r="B1717" t="s">
        <v>15</v>
      </c>
      <c r="C1717" t="s">
        <v>155</v>
      </c>
      <c r="D1717" s="9" t="s">
        <v>150</v>
      </c>
      <c r="E1717" t="s">
        <v>37</v>
      </c>
      <c r="F1717" t="s">
        <v>71</v>
      </c>
      <c r="G1717">
        <v>592.9</v>
      </c>
      <c r="H1717" s="9">
        <v>7.45</v>
      </c>
      <c r="I1717"/>
    </row>
    <row r="1718" spans="1:9" x14ac:dyDescent="0.3">
      <c r="A1718" t="s">
        <v>2</v>
      </c>
      <c r="B1718" t="s">
        <v>21</v>
      </c>
      <c r="C1718" t="s">
        <v>59</v>
      </c>
      <c r="D1718" s="9" t="s">
        <v>60</v>
      </c>
      <c r="E1718" t="s">
        <v>32</v>
      </c>
      <c r="F1718" t="s">
        <v>61</v>
      </c>
      <c r="G1718">
        <v>303.10000000000002</v>
      </c>
      <c r="I1718"/>
    </row>
    <row r="1719" spans="1:9" x14ac:dyDescent="0.3">
      <c r="A1719" t="s">
        <v>2</v>
      </c>
      <c r="B1719" t="s">
        <v>21</v>
      </c>
      <c r="C1719" t="s">
        <v>62</v>
      </c>
      <c r="D1719" s="9" t="s">
        <v>60</v>
      </c>
      <c r="E1719" t="s">
        <v>33</v>
      </c>
      <c r="F1719" t="s">
        <v>63</v>
      </c>
      <c r="G1719">
        <v>266</v>
      </c>
      <c r="I1719"/>
    </row>
    <row r="1720" spans="1:9" x14ac:dyDescent="0.3">
      <c r="A1720" t="s">
        <v>2</v>
      </c>
      <c r="B1720" t="s">
        <v>21</v>
      </c>
      <c r="C1720" t="s">
        <v>64</v>
      </c>
      <c r="D1720" s="9" t="s">
        <v>60</v>
      </c>
      <c r="E1720" t="s">
        <v>34</v>
      </c>
      <c r="F1720" t="s">
        <v>65</v>
      </c>
      <c r="G1720">
        <v>297.39999999999998</v>
      </c>
      <c r="I1720"/>
    </row>
    <row r="1721" spans="1:9" x14ac:dyDescent="0.3">
      <c r="A1721" t="s">
        <v>2</v>
      </c>
      <c r="B1721" t="s">
        <v>21</v>
      </c>
      <c r="C1721" t="s">
        <v>66</v>
      </c>
      <c r="D1721" s="9" t="s">
        <v>60</v>
      </c>
      <c r="E1721" t="s">
        <v>35</v>
      </c>
      <c r="F1721" t="s">
        <v>67</v>
      </c>
      <c r="G1721">
        <v>296</v>
      </c>
      <c r="I1721"/>
    </row>
    <row r="1722" spans="1:9" x14ac:dyDescent="0.3">
      <c r="A1722" t="s">
        <v>2</v>
      </c>
      <c r="B1722" t="s">
        <v>21</v>
      </c>
      <c r="C1722" t="s">
        <v>68</v>
      </c>
      <c r="D1722" s="9" t="s">
        <v>60</v>
      </c>
      <c r="E1722" t="s">
        <v>36</v>
      </c>
      <c r="F1722" t="s">
        <v>69</v>
      </c>
      <c r="G1722">
        <v>276.8</v>
      </c>
      <c r="I1722"/>
    </row>
    <row r="1723" spans="1:9" x14ac:dyDescent="0.3">
      <c r="A1723" t="s">
        <v>2</v>
      </c>
      <c r="B1723" t="s">
        <v>21</v>
      </c>
      <c r="C1723" t="s">
        <v>70</v>
      </c>
      <c r="D1723" s="9" t="s">
        <v>60</v>
      </c>
      <c r="E1723" t="s">
        <v>37</v>
      </c>
      <c r="F1723" t="s">
        <v>71</v>
      </c>
      <c r="G1723">
        <v>267.5</v>
      </c>
      <c r="I1723"/>
    </row>
    <row r="1724" spans="1:9" x14ac:dyDescent="0.3">
      <c r="A1724" t="s">
        <v>2</v>
      </c>
      <c r="B1724" t="s">
        <v>21</v>
      </c>
      <c r="C1724" t="s">
        <v>72</v>
      </c>
      <c r="D1724" s="9" t="s">
        <v>60</v>
      </c>
      <c r="E1724" t="s">
        <v>38</v>
      </c>
      <c r="F1724" t="s">
        <v>73</v>
      </c>
      <c r="G1724">
        <v>276.10000000000002</v>
      </c>
      <c r="I1724"/>
    </row>
    <row r="1725" spans="1:9" x14ac:dyDescent="0.3">
      <c r="A1725" t="s">
        <v>2</v>
      </c>
      <c r="B1725" t="s">
        <v>21</v>
      </c>
      <c r="C1725" t="s">
        <v>74</v>
      </c>
      <c r="D1725" s="9" t="s">
        <v>60</v>
      </c>
      <c r="E1725" t="s">
        <v>39</v>
      </c>
      <c r="F1725" t="s">
        <v>75</v>
      </c>
      <c r="G1725">
        <v>298.8</v>
      </c>
      <c r="I1725"/>
    </row>
    <row r="1726" spans="1:9" x14ac:dyDescent="0.3">
      <c r="A1726" t="s">
        <v>2</v>
      </c>
      <c r="B1726" t="s">
        <v>21</v>
      </c>
      <c r="C1726" t="s">
        <v>76</v>
      </c>
      <c r="D1726" s="9" t="s">
        <v>60</v>
      </c>
      <c r="E1726" t="s">
        <v>40</v>
      </c>
      <c r="F1726" t="s">
        <v>77</v>
      </c>
      <c r="G1726">
        <v>289.7</v>
      </c>
      <c r="I1726"/>
    </row>
    <row r="1727" spans="1:9" x14ac:dyDescent="0.3">
      <c r="A1727" t="s">
        <v>2</v>
      </c>
      <c r="B1727" t="s">
        <v>21</v>
      </c>
      <c r="C1727" t="s">
        <v>78</v>
      </c>
      <c r="D1727" s="9" t="s">
        <v>60</v>
      </c>
      <c r="E1727" t="s">
        <v>41</v>
      </c>
      <c r="F1727" t="s">
        <v>79</v>
      </c>
      <c r="G1727">
        <v>318</v>
      </c>
      <c r="I1727"/>
    </row>
    <row r="1728" spans="1:9" x14ac:dyDescent="0.3">
      <c r="A1728" t="s">
        <v>2</v>
      </c>
      <c r="B1728" t="s">
        <v>21</v>
      </c>
      <c r="C1728" t="s">
        <v>80</v>
      </c>
      <c r="D1728" s="9" t="s">
        <v>60</v>
      </c>
      <c r="E1728" t="s">
        <v>42</v>
      </c>
      <c r="F1728" t="s">
        <v>81</v>
      </c>
      <c r="G1728">
        <v>345.1</v>
      </c>
      <c r="I1728"/>
    </row>
    <row r="1729" spans="1:9" x14ac:dyDescent="0.3">
      <c r="A1729" t="s">
        <v>2</v>
      </c>
      <c r="B1729" t="s">
        <v>21</v>
      </c>
      <c r="C1729" t="s">
        <v>82</v>
      </c>
      <c r="D1729" s="9" t="s">
        <v>60</v>
      </c>
      <c r="E1729" t="s">
        <v>43</v>
      </c>
      <c r="F1729" t="s">
        <v>83</v>
      </c>
      <c r="G1729">
        <v>489.4</v>
      </c>
      <c r="I1729"/>
    </row>
    <row r="1730" spans="1:9" x14ac:dyDescent="0.3">
      <c r="A1730" t="s">
        <v>2</v>
      </c>
      <c r="B1730" t="s">
        <v>21</v>
      </c>
      <c r="C1730" t="s">
        <v>84</v>
      </c>
      <c r="D1730" s="9" t="s">
        <v>85</v>
      </c>
      <c r="E1730" t="s">
        <v>32</v>
      </c>
      <c r="F1730" t="s">
        <v>61</v>
      </c>
      <c r="G1730">
        <v>312.3</v>
      </c>
      <c r="H1730" s="9">
        <v>3.04</v>
      </c>
      <c r="I1730"/>
    </row>
    <row r="1731" spans="1:9" x14ac:dyDescent="0.3">
      <c r="A1731" t="s">
        <v>2</v>
      </c>
      <c r="B1731" t="s">
        <v>21</v>
      </c>
      <c r="C1731" t="s">
        <v>86</v>
      </c>
      <c r="D1731" s="9" t="s">
        <v>85</v>
      </c>
      <c r="E1731" t="s">
        <v>33</v>
      </c>
      <c r="F1731" t="s">
        <v>63</v>
      </c>
      <c r="G1731">
        <v>288.2</v>
      </c>
      <c r="H1731" s="9">
        <v>8.35</v>
      </c>
      <c r="I1731"/>
    </row>
    <row r="1732" spans="1:9" x14ac:dyDescent="0.3">
      <c r="A1732" t="s">
        <v>2</v>
      </c>
      <c r="B1732" t="s">
        <v>21</v>
      </c>
      <c r="C1732" t="s">
        <v>87</v>
      </c>
      <c r="D1732" s="9" t="s">
        <v>85</v>
      </c>
      <c r="E1732" t="s">
        <v>34</v>
      </c>
      <c r="F1732" t="s">
        <v>65</v>
      </c>
      <c r="G1732">
        <v>423.8</v>
      </c>
      <c r="H1732" s="9">
        <v>42.5</v>
      </c>
      <c r="I1732"/>
    </row>
    <row r="1733" spans="1:9" x14ac:dyDescent="0.3">
      <c r="A1733" t="s">
        <v>2</v>
      </c>
      <c r="B1733" t="s">
        <v>21</v>
      </c>
      <c r="C1733" t="s">
        <v>88</v>
      </c>
      <c r="D1733" s="9" t="s">
        <v>85</v>
      </c>
      <c r="E1733" t="s">
        <v>35</v>
      </c>
      <c r="F1733" t="s">
        <v>67</v>
      </c>
      <c r="G1733">
        <v>387.3</v>
      </c>
      <c r="H1733" s="9">
        <v>30.84</v>
      </c>
      <c r="I1733"/>
    </row>
    <row r="1734" spans="1:9" x14ac:dyDescent="0.3">
      <c r="A1734" t="s">
        <v>2</v>
      </c>
      <c r="B1734" t="s">
        <v>21</v>
      </c>
      <c r="C1734" t="s">
        <v>89</v>
      </c>
      <c r="D1734" s="9" t="s">
        <v>85</v>
      </c>
      <c r="E1734" t="s">
        <v>36</v>
      </c>
      <c r="F1734" t="s">
        <v>69</v>
      </c>
      <c r="G1734">
        <v>456</v>
      </c>
      <c r="H1734" s="9">
        <v>64.739999999999995</v>
      </c>
      <c r="I1734"/>
    </row>
    <row r="1735" spans="1:9" x14ac:dyDescent="0.3">
      <c r="A1735" t="s">
        <v>2</v>
      </c>
      <c r="B1735" t="s">
        <v>21</v>
      </c>
      <c r="C1735" t="s">
        <v>90</v>
      </c>
      <c r="D1735" s="9" t="s">
        <v>85</v>
      </c>
      <c r="E1735" t="s">
        <v>37</v>
      </c>
      <c r="F1735" t="s">
        <v>71</v>
      </c>
      <c r="G1735">
        <v>408.4</v>
      </c>
      <c r="H1735" s="9">
        <v>52.67</v>
      </c>
      <c r="I1735"/>
    </row>
    <row r="1736" spans="1:9" x14ac:dyDescent="0.3">
      <c r="A1736" t="s">
        <v>2</v>
      </c>
      <c r="B1736" t="s">
        <v>21</v>
      </c>
      <c r="C1736" t="s">
        <v>91</v>
      </c>
      <c r="D1736" s="9" t="s">
        <v>85</v>
      </c>
      <c r="E1736" t="s">
        <v>38</v>
      </c>
      <c r="F1736" t="s">
        <v>73</v>
      </c>
      <c r="G1736">
        <v>417.9</v>
      </c>
      <c r="H1736" s="9">
        <v>51.36</v>
      </c>
      <c r="I1736"/>
    </row>
    <row r="1737" spans="1:9" x14ac:dyDescent="0.3">
      <c r="A1737" t="s">
        <v>2</v>
      </c>
      <c r="B1737" t="s">
        <v>21</v>
      </c>
      <c r="C1737" t="s">
        <v>92</v>
      </c>
      <c r="D1737" s="9" t="s">
        <v>85</v>
      </c>
      <c r="E1737" t="s">
        <v>39</v>
      </c>
      <c r="F1737" t="s">
        <v>75</v>
      </c>
      <c r="G1737">
        <v>413.4</v>
      </c>
      <c r="H1737" s="9">
        <v>38.35</v>
      </c>
      <c r="I1737"/>
    </row>
    <row r="1738" spans="1:9" x14ac:dyDescent="0.3">
      <c r="A1738" t="s">
        <v>2</v>
      </c>
      <c r="B1738" t="s">
        <v>21</v>
      </c>
      <c r="C1738" t="s">
        <v>93</v>
      </c>
      <c r="D1738" s="9" t="s">
        <v>85</v>
      </c>
      <c r="E1738" t="s">
        <v>40</v>
      </c>
      <c r="F1738" t="s">
        <v>77</v>
      </c>
      <c r="G1738">
        <v>421</v>
      </c>
      <c r="H1738" s="9">
        <v>45.32</v>
      </c>
      <c r="I1738"/>
    </row>
    <row r="1739" spans="1:9" x14ac:dyDescent="0.3">
      <c r="A1739" t="s">
        <v>2</v>
      </c>
      <c r="B1739" t="s">
        <v>21</v>
      </c>
      <c r="C1739" t="s">
        <v>94</v>
      </c>
      <c r="D1739" s="9" t="s">
        <v>85</v>
      </c>
      <c r="E1739" t="s">
        <v>41</v>
      </c>
      <c r="F1739" t="s">
        <v>79</v>
      </c>
      <c r="G1739">
        <v>458.6</v>
      </c>
      <c r="H1739" s="9">
        <v>44.21</v>
      </c>
      <c r="I1739"/>
    </row>
    <row r="1740" spans="1:9" x14ac:dyDescent="0.3">
      <c r="A1740" t="s">
        <v>2</v>
      </c>
      <c r="B1740" t="s">
        <v>21</v>
      </c>
      <c r="C1740" t="s">
        <v>95</v>
      </c>
      <c r="D1740" s="9" t="s">
        <v>85</v>
      </c>
      <c r="E1740" t="s">
        <v>42</v>
      </c>
      <c r="F1740" t="s">
        <v>81</v>
      </c>
      <c r="G1740">
        <v>449</v>
      </c>
      <c r="H1740" s="9">
        <v>30.11</v>
      </c>
      <c r="I1740"/>
    </row>
    <row r="1741" spans="1:9" x14ac:dyDescent="0.3">
      <c r="A1741" t="s">
        <v>2</v>
      </c>
      <c r="B1741" t="s">
        <v>21</v>
      </c>
      <c r="C1741" t="s">
        <v>96</v>
      </c>
      <c r="D1741" s="9" t="s">
        <v>85</v>
      </c>
      <c r="E1741" t="s">
        <v>43</v>
      </c>
      <c r="F1741" t="s">
        <v>83</v>
      </c>
      <c r="G1741">
        <v>676.8</v>
      </c>
      <c r="H1741" s="9">
        <v>38.29</v>
      </c>
      <c r="I1741"/>
    </row>
    <row r="1742" spans="1:9" x14ac:dyDescent="0.3">
      <c r="A1742" t="s">
        <v>2</v>
      </c>
      <c r="B1742" t="s">
        <v>21</v>
      </c>
      <c r="C1742" t="s">
        <v>97</v>
      </c>
      <c r="D1742" s="9" t="s">
        <v>98</v>
      </c>
      <c r="E1742" t="s">
        <v>32</v>
      </c>
      <c r="F1742" t="s">
        <v>61</v>
      </c>
      <c r="G1742">
        <v>416.5</v>
      </c>
      <c r="H1742" s="9">
        <v>33.369999999999997</v>
      </c>
      <c r="I1742"/>
    </row>
    <row r="1743" spans="1:9" x14ac:dyDescent="0.3">
      <c r="A1743" t="s">
        <v>2</v>
      </c>
      <c r="B1743" t="s">
        <v>21</v>
      </c>
      <c r="C1743" t="s">
        <v>99</v>
      </c>
      <c r="D1743" s="9" t="s">
        <v>98</v>
      </c>
      <c r="E1743" t="s">
        <v>33</v>
      </c>
      <c r="F1743" t="s">
        <v>63</v>
      </c>
      <c r="G1743">
        <v>355.4</v>
      </c>
      <c r="H1743" s="9">
        <v>23.32</v>
      </c>
      <c r="I1743"/>
    </row>
    <row r="1744" spans="1:9" x14ac:dyDescent="0.3">
      <c r="A1744" t="s">
        <v>2</v>
      </c>
      <c r="B1744" t="s">
        <v>21</v>
      </c>
      <c r="C1744" t="s">
        <v>100</v>
      </c>
      <c r="D1744" s="9" t="s">
        <v>98</v>
      </c>
      <c r="E1744" t="s">
        <v>34</v>
      </c>
      <c r="F1744" t="s">
        <v>65</v>
      </c>
      <c r="G1744">
        <v>400.9</v>
      </c>
      <c r="H1744" s="9">
        <v>-5.4</v>
      </c>
      <c r="I1744"/>
    </row>
    <row r="1745" spans="1:9" x14ac:dyDescent="0.3">
      <c r="A1745" t="s">
        <v>2</v>
      </c>
      <c r="B1745" t="s">
        <v>21</v>
      </c>
      <c r="C1745" t="s">
        <v>101</v>
      </c>
      <c r="D1745" s="9" t="s">
        <v>98</v>
      </c>
      <c r="E1745" t="s">
        <v>35</v>
      </c>
      <c r="F1745" t="s">
        <v>67</v>
      </c>
      <c r="G1745">
        <v>397.9</v>
      </c>
      <c r="H1745" s="9">
        <v>2.74</v>
      </c>
      <c r="I1745"/>
    </row>
    <row r="1746" spans="1:9" x14ac:dyDescent="0.3">
      <c r="A1746" t="s">
        <v>2</v>
      </c>
      <c r="B1746" t="s">
        <v>21</v>
      </c>
      <c r="C1746" t="s">
        <v>102</v>
      </c>
      <c r="D1746" s="9" t="s">
        <v>98</v>
      </c>
      <c r="E1746" t="s">
        <v>36</v>
      </c>
      <c r="F1746" t="s">
        <v>69</v>
      </c>
      <c r="G1746">
        <v>377.4</v>
      </c>
      <c r="H1746" s="9">
        <v>-17.239999999999998</v>
      </c>
      <c r="I1746"/>
    </row>
    <row r="1747" spans="1:9" x14ac:dyDescent="0.3">
      <c r="A1747" t="s">
        <v>2</v>
      </c>
      <c r="B1747" t="s">
        <v>21</v>
      </c>
      <c r="C1747" t="s">
        <v>103</v>
      </c>
      <c r="D1747" s="9" t="s">
        <v>98</v>
      </c>
      <c r="E1747" t="s">
        <v>37</v>
      </c>
      <c r="F1747" t="s">
        <v>71</v>
      </c>
      <c r="G1747">
        <v>376.6</v>
      </c>
      <c r="H1747" s="9">
        <v>-7.79</v>
      </c>
      <c r="I1747"/>
    </row>
    <row r="1748" spans="1:9" x14ac:dyDescent="0.3">
      <c r="A1748" t="s">
        <v>2</v>
      </c>
      <c r="B1748" t="s">
        <v>21</v>
      </c>
      <c r="C1748" t="s">
        <v>104</v>
      </c>
      <c r="D1748" s="9" t="s">
        <v>98</v>
      </c>
      <c r="E1748" t="s">
        <v>38</v>
      </c>
      <c r="F1748" t="s">
        <v>73</v>
      </c>
      <c r="G1748">
        <v>429.5</v>
      </c>
      <c r="H1748" s="9">
        <v>2.78</v>
      </c>
      <c r="I1748"/>
    </row>
    <row r="1749" spans="1:9" x14ac:dyDescent="0.3">
      <c r="A1749" t="s">
        <v>2</v>
      </c>
      <c r="B1749" t="s">
        <v>21</v>
      </c>
      <c r="C1749" t="s">
        <v>105</v>
      </c>
      <c r="D1749" s="9" t="s">
        <v>98</v>
      </c>
      <c r="E1749" t="s">
        <v>39</v>
      </c>
      <c r="F1749" t="s">
        <v>75</v>
      </c>
      <c r="G1749">
        <v>452.6</v>
      </c>
      <c r="H1749" s="9">
        <v>9.48</v>
      </c>
      <c r="I1749"/>
    </row>
    <row r="1750" spans="1:9" x14ac:dyDescent="0.3">
      <c r="A1750" t="s">
        <v>2</v>
      </c>
      <c r="B1750" t="s">
        <v>21</v>
      </c>
      <c r="C1750" t="s">
        <v>106</v>
      </c>
      <c r="D1750" s="9" t="s">
        <v>98</v>
      </c>
      <c r="E1750" t="s">
        <v>40</v>
      </c>
      <c r="F1750" t="s">
        <v>77</v>
      </c>
      <c r="G1750">
        <v>469.8</v>
      </c>
      <c r="H1750" s="9">
        <v>11.59</v>
      </c>
      <c r="I1750"/>
    </row>
    <row r="1751" spans="1:9" x14ac:dyDescent="0.3">
      <c r="A1751" t="s">
        <v>2</v>
      </c>
      <c r="B1751" t="s">
        <v>21</v>
      </c>
      <c r="C1751" t="s">
        <v>107</v>
      </c>
      <c r="D1751" s="9" t="s">
        <v>98</v>
      </c>
      <c r="E1751" t="s">
        <v>41</v>
      </c>
      <c r="F1751" t="s">
        <v>79</v>
      </c>
      <c r="G1751">
        <v>481</v>
      </c>
      <c r="H1751" s="9">
        <v>4.88</v>
      </c>
      <c r="I1751"/>
    </row>
    <row r="1752" spans="1:9" x14ac:dyDescent="0.3">
      <c r="A1752" t="s">
        <v>2</v>
      </c>
      <c r="B1752" t="s">
        <v>21</v>
      </c>
      <c r="C1752" t="s">
        <v>108</v>
      </c>
      <c r="D1752" s="9" t="s">
        <v>98</v>
      </c>
      <c r="E1752" t="s">
        <v>42</v>
      </c>
      <c r="F1752" t="s">
        <v>81</v>
      </c>
      <c r="G1752">
        <v>447.1</v>
      </c>
      <c r="H1752" s="9">
        <v>-0.42</v>
      </c>
      <c r="I1752"/>
    </row>
    <row r="1753" spans="1:9" x14ac:dyDescent="0.3">
      <c r="A1753" t="s">
        <v>2</v>
      </c>
      <c r="B1753" t="s">
        <v>21</v>
      </c>
      <c r="C1753" t="s">
        <v>109</v>
      </c>
      <c r="D1753" s="9" t="s">
        <v>98</v>
      </c>
      <c r="E1753" t="s">
        <v>43</v>
      </c>
      <c r="F1753" t="s">
        <v>83</v>
      </c>
      <c r="G1753">
        <v>719.5</v>
      </c>
      <c r="H1753" s="9">
        <v>6.31</v>
      </c>
      <c r="I1753"/>
    </row>
    <row r="1754" spans="1:9" x14ac:dyDescent="0.3">
      <c r="A1754" t="s">
        <v>2</v>
      </c>
      <c r="B1754" t="s">
        <v>21</v>
      </c>
      <c r="C1754" t="s">
        <v>110</v>
      </c>
      <c r="D1754" s="9" t="s">
        <v>111</v>
      </c>
      <c r="E1754" t="s">
        <v>32</v>
      </c>
      <c r="F1754" t="s">
        <v>61</v>
      </c>
      <c r="G1754">
        <v>415.8</v>
      </c>
      <c r="H1754" s="9">
        <v>-0.17</v>
      </c>
      <c r="I1754"/>
    </row>
    <row r="1755" spans="1:9" x14ac:dyDescent="0.3">
      <c r="A1755" t="s">
        <v>2</v>
      </c>
      <c r="B1755" t="s">
        <v>21</v>
      </c>
      <c r="C1755" t="s">
        <v>112</v>
      </c>
      <c r="D1755" s="9" t="s">
        <v>111</v>
      </c>
      <c r="E1755" t="s">
        <v>33</v>
      </c>
      <c r="F1755" t="s">
        <v>63</v>
      </c>
      <c r="G1755">
        <v>380.9</v>
      </c>
      <c r="H1755" s="9">
        <v>7.18</v>
      </c>
      <c r="I1755"/>
    </row>
    <row r="1756" spans="1:9" x14ac:dyDescent="0.3">
      <c r="A1756" t="s">
        <v>2</v>
      </c>
      <c r="B1756" t="s">
        <v>21</v>
      </c>
      <c r="C1756" t="s">
        <v>113</v>
      </c>
      <c r="D1756" s="9" t="s">
        <v>111</v>
      </c>
      <c r="E1756" t="s">
        <v>34</v>
      </c>
      <c r="F1756" t="s">
        <v>65</v>
      </c>
      <c r="G1756">
        <v>410</v>
      </c>
      <c r="H1756" s="9">
        <v>2.27</v>
      </c>
      <c r="I1756"/>
    </row>
    <row r="1757" spans="1:9" x14ac:dyDescent="0.3">
      <c r="A1757" t="s">
        <v>2</v>
      </c>
      <c r="B1757" t="s">
        <v>21</v>
      </c>
      <c r="C1757" t="s">
        <v>114</v>
      </c>
      <c r="D1757" s="9" t="s">
        <v>111</v>
      </c>
      <c r="E1757" t="s">
        <v>35</v>
      </c>
      <c r="F1757" t="s">
        <v>67</v>
      </c>
      <c r="G1757">
        <v>436.1</v>
      </c>
      <c r="H1757" s="9">
        <v>9.6</v>
      </c>
      <c r="I1757"/>
    </row>
    <row r="1758" spans="1:9" x14ac:dyDescent="0.3">
      <c r="A1758" t="s">
        <v>2</v>
      </c>
      <c r="B1758" t="s">
        <v>21</v>
      </c>
      <c r="C1758" t="s">
        <v>115</v>
      </c>
      <c r="D1758" s="9" t="s">
        <v>111</v>
      </c>
      <c r="E1758" t="s">
        <v>36</v>
      </c>
      <c r="F1758" t="s">
        <v>69</v>
      </c>
      <c r="G1758">
        <v>397.4</v>
      </c>
      <c r="H1758" s="9">
        <v>5.3</v>
      </c>
      <c r="I1758"/>
    </row>
    <row r="1759" spans="1:9" x14ac:dyDescent="0.3">
      <c r="A1759" t="s">
        <v>2</v>
      </c>
      <c r="B1759" t="s">
        <v>21</v>
      </c>
      <c r="C1759" t="s">
        <v>116</v>
      </c>
      <c r="D1759" s="9" t="s">
        <v>111</v>
      </c>
      <c r="E1759" t="s">
        <v>37</v>
      </c>
      <c r="F1759" t="s">
        <v>71</v>
      </c>
      <c r="G1759">
        <v>391.9</v>
      </c>
      <c r="H1759" s="9">
        <v>4.0599999999999996</v>
      </c>
      <c r="I1759"/>
    </row>
    <row r="1760" spans="1:9" x14ac:dyDescent="0.3">
      <c r="A1760" t="s">
        <v>2</v>
      </c>
      <c r="B1760" t="s">
        <v>21</v>
      </c>
      <c r="C1760" t="s">
        <v>117</v>
      </c>
      <c r="D1760" s="9" t="s">
        <v>111</v>
      </c>
      <c r="E1760" t="s">
        <v>38</v>
      </c>
      <c r="F1760" t="s">
        <v>73</v>
      </c>
      <c r="G1760">
        <v>408.9</v>
      </c>
      <c r="H1760" s="9">
        <v>-4.8</v>
      </c>
      <c r="I1760"/>
    </row>
    <row r="1761" spans="1:9" x14ac:dyDescent="0.3">
      <c r="A1761" t="s">
        <v>2</v>
      </c>
      <c r="B1761" t="s">
        <v>21</v>
      </c>
      <c r="C1761" t="s">
        <v>118</v>
      </c>
      <c r="D1761" s="9" t="s">
        <v>111</v>
      </c>
      <c r="E1761" t="s">
        <v>39</v>
      </c>
      <c r="F1761" t="s">
        <v>75</v>
      </c>
      <c r="G1761">
        <v>413.2</v>
      </c>
      <c r="H1761" s="9">
        <v>-8.7100000000000009</v>
      </c>
      <c r="I1761"/>
    </row>
    <row r="1762" spans="1:9" x14ac:dyDescent="0.3">
      <c r="A1762" t="s">
        <v>2</v>
      </c>
      <c r="B1762" t="s">
        <v>21</v>
      </c>
      <c r="C1762" t="s">
        <v>119</v>
      </c>
      <c r="D1762" s="9" t="s">
        <v>111</v>
      </c>
      <c r="E1762" t="s">
        <v>40</v>
      </c>
      <c r="F1762" t="s">
        <v>77</v>
      </c>
      <c r="G1762">
        <v>447.3</v>
      </c>
      <c r="H1762" s="9">
        <v>-4.79</v>
      </c>
      <c r="I1762"/>
    </row>
    <row r="1763" spans="1:9" x14ac:dyDescent="0.3">
      <c r="A1763" t="s">
        <v>2</v>
      </c>
      <c r="B1763" t="s">
        <v>21</v>
      </c>
      <c r="C1763" t="s">
        <v>120</v>
      </c>
      <c r="D1763" s="9" t="s">
        <v>111</v>
      </c>
      <c r="E1763" t="s">
        <v>41</v>
      </c>
      <c r="F1763" t="s">
        <v>79</v>
      </c>
      <c r="G1763">
        <v>450.4</v>
      </c>
      <c r="H1763" s="9">
        <v>-6.36</v>
      </c>
      <c r="I1763"/>
    </row>
    <row r="1764" spans="1:9" x14ac:dyDescent="0.3">
      <c r="A1764" t="s">
        <v>2</v>
      </c>
      <c r="B1764" t="s">
        <v>21</v>
      </c>
      <c r="C1764" t="s">
        <v>121</v>
      </c>
      <c r="D1764" s="9" t="s">
        <v>111</v>
      </c>
      <c r="E1764" t="s">
        <v>42</v>
      </c>
      <c r="F1764" t="s">
        <v>81</v>
      </c>
      <c r="G1764">
        <v>472.6</v>
      </c>
      <c r="H1764" s="9">
        <v>5.7</v>
      </c>
      <c r="I1764"/>
    </row>
    <row r="1765" spans="1:9" x14ac:dyDescent="0.3">
      <c r="A1765" t="s">
        <v>2</v>
      </c>
      <c r="B1765" t="s">
        <v>21</v>
      </c>
      <c r="C1765" t="s">
        <v>122</v>
      </c>
      <c r="D1765" s="9" t="s">
        <v>111</v>
      </c>
      <c r="E1765" t="s">
        <v>43</v>
      </c>
      <c r="F1765" t="s">
        <v>83</v>
      </c>
      <c r="G1765">
        <v>749.8</v>
      </c>
      <c r="H1765" s="9">
        <v>4.21</v>
      </c>
      <c r="I1765"/>
    </row>
    <row r="1766" spans="1:9" x14ac:dyDescent="0.3">
      <c r="A1766" t="s">
        <v>2</v>
      </c>
      <c r="B1766" t="s">
        <v>21</v>
      </c>
      <c r="C1766" t="s">
        <v>123</v>
      </c>
      <c r="D1766" s="9" t="s">
        <v>124</v>
      </c>
      <c r="E1766" t="s">
        <v>32</v>
      </c>
      <c r="F1766" t="s">
        <v>61</v>
      </c>
      <c r="G1766">
        <v>435</v>
      </c>
      <c r="H1766" s="9">
        <v>4.62</v>
      </c>
      <c r="I1766"/>
    </row>
    <row r="1767" spans="1:9" x14ac:dyDescent="0.3">
      <c r="A1767" t="s">
        <v>2</v>
      </c>
      <c r="B1767" t="s">
        <v>21</v>
      </c>
      <c r="C1767" t="s">
        <v>125</v>
      </c>
      <c r="D1767" s="9" t="s">
        <v>124</v>
      </c>
      <c r="E1767" t="s">
        <v>33</v>
      </c>
      <c r="F1767" t="s">
        <v>63</v>
      </c>
      <c r="G1767">
        <v>399.7</v>
      </c>
      <c r="H1767" s="9">
        <v>4.9400000000000004</v>
      </c>
      <c r="I1767"/>
    </row>
    <row r="1768" spans="1:9" x14ac:dyDescent="0.3">
      <c r="A1768" t="s">
        <v>2</v>
      </c>
      <c r="B1768" t="s">
        <v>21</v>
      </c>
      <c r="C1768" t="s">
        <v>126</v>
      </c>
      <c r="D1768" s="9" t="s">
        <v>124</v>
      </c>
      <c r="E1768" t="s">
        <v>34</v>
      </c>
      <c r="F1768" t="s">
        <v>65</v>
      </c>
      <c r="G1768">
        <v>449</v>
      </c>
      <c r="H1768" s="9">
        <v>9.51</v>
      </c>
      <c r="I1768"/>
    </row>
    <row r="1769" spans="1:9" x14ac:dyDescent="0.3">
      <c r="A1769" t="s">
        <v>2</v>
      </c>
      <c r="B1769" t="s">
        <v>21</v>
      </c>
      <c r="C1769" t="s">
        <v>127</v>
      </c>
      <c r="D1769" s="9" t="s">
        <v>124</v>
      </c>
      <c r="E1769" t="s">
        <v>35</v>
      </c>
      <c r="F1769" t="s">
        <v>67</v>
      </c>
      <c r="G1769">
        <v>435.7</v>
      </c>
      <c r="H1769" s="9">
        <v>-0.09</v>
      </c>
      <c r="I1769"/>
    </row>
    <row r="1770" spans="1:9" x14ac:dyDescent="0.3">
      <c r="A1770" t="s">
        <v>2</v>
      </c>
      <c r="B1770" t="s">
        <v>21</v>
      </c>
      <c r="C1770" t="s">
        <v>128</v>
      </c>
      <c r="D1770" s="9" t="s">
        <v>124</v>
      </c>
      <c r="E1770" t="s">
        <v>36</v>
      </c>
      <c r="F1770" t="s">
        <v>69</v>
      </c>
      <c r="G1770">
        <v>408.2</v>
      </c>
      <c r="H1770" s="9">
        <v>2.72</v>
      </c>
      <c r="I1770"/>
    </row>
    <row r="1771" spans="1:9" x14ac:dyDescent="0.3">
      <c r="A1771" t="s">
        <v>2</v>
      </c>
      <c r="B1771" t="s">
        <v>21</v>
      </c>
      <c r="C1771" t="s">
        <v>129</v>
      </c>
      <c r="D1771" s="9" t="s">
        <v>124</v>
      </c>
      <c r="E1771" t="s">
        <v>37</v>
      </c>
      <c r="F1771" t="s">
        <v>71</v>
      </c>
      <c r="G1771">
        <v>409.6</v>
      </c>
      <c r="H1771" s="9">
        <v>4.5199999999999996</v>
      </c>
      <c r="I1771"/>
    </row>
    <row r="1772" spans="1:9" x14ac:dyDescent="0.3">
      <c r="A1772" t="s">
        <v>2</v>
      </c>
      <c r="B1772" t="s">
        <v>21</v>
      </c>
      <c r="C1772" t="s">
        <v>130</v>
      </c>
      <c r="D1772" s="9" t="s">
        <v>124</v>
      </c>
      <c r="E1772" t="s">
        <v>38</v>
      </c>
      <c r="F1772" t="s">
        <v>73</v>
      </c>
      <c r="G1772">
        <v>404.7</v>
      </c>
      <c r="H1772" s="9">
        <v>-1.03</v>
      </c>
      <c r="I1772"/>
    </row>
    <row r="1773" spans="1:9" x14ac:dyDescent="0.3">
      <c r="A1773" t="s">
        <v>2</v>
      </c>
      <c r="B1773" t="s">
        <v>21</v>
      </c>
      <c r="C1773" t="s">
        <v>131</v>
      </c>
      <c r="D1773" s="9" t="s">
        <v>124</v>
      </c>
      <c r="E1773" t="s">
        <v>39</v>
      </c>
      <c r="F1773" t="s">
        <v>75</v>
      </c>
      <c r="G1773">
        <v>420.7</v>
      </c>
      <c r="H1773" s="9">
        <v>1.82</v>
      </c>
      <c r="I1773"/>
    </row>
    <row r="1774" spans="1:9" x14ac:dyDescent="0.3">
      <c r="A1774" t="s">
        <v>2</v>
      </c>
      <c r="B1774" t="s">
        <v>21</v>
      </c>
      <c r="C1774" t="s">
        <v>132</v>
      </c>
      <c r="D1774" s="9" t="s">
        <v>124</v>
      </c>
      <c r="E1774" t="s">
        <v>40</v>
      </c>
      <c r="F1774" t="s">
        <v>77</v>
      </c>
      <c r="G1774">
        <v>455.7</v>
      </c>
      <c r="H1774" s="9">
        <v>1.88</v>
      </c>
      <c r="I1774"/>
    </row>
    <row r="1775" spans="1:9" x14ac:dyDescent="0.3">
      <c r="A1775" t="s">
        <v>2</v>
      </c>
      <c r="B1775" t="s">
        <v>21</v>
      </c>
      <c r="C1775" t="s">
        <v>133</v>
      </c>
      <c r="D1775" s="9" t="s">
        <v>124</v>
      </c>
      <c r="E1775" t="s">
        <v>41</v>
      </c>
      <c r="F1775" t="s">
        <v>79</v>
      </c>
      <c r="G1775">
        <v>447.7</v>
      </c>
      <c r="H1775" s="9">
        <v>-0.6</v>
      </c>
      <c r="I1775"/>
    </row>
    <row r="1776" spans="1:9" x14ac:dyDescent="0.3">
      <c r="A1776" t="s">
        <v>2</v>
      </c>
      <c r="B1776" t="s">
        <v>21</v>
      </c>
      <c r="C1776" t="s">
        <v>134</v>
      </c>
      <c r="D1776" s="9" t="s">
        <v>124</v>
      </c>
      <c r="E1776" t="s">
        <v>42</v>
      </c>
      <c r="F1776" t="s">
        <v>81</v>
      </c>
      <c r="G1776">
        <v>474.5</v>
      </c>
      <c r="H1776" s="9">
        <v>0.4</v>
      </c>
      <c r="I1776"/>
    </row>
    <row r="1777" spans="1:9" x14ac:dyDescent="0.3">
      <c r="A1777" t="s">
        <v>2</v>
      </c>
      <c r="B1777" t="s">
        <v>21</v>
      </c>
      <c r="C1777" t="s">
        <v>135</v>
      </c>
      <c r="D1777" s="9" t="s">
        <v>124</v>
      </c>
      <c r="E1777" t="s">
        <v>43</v>
      </c>
      <c r="F1777" t="s">
        <v>83</v>
      </c>
      <c r="G1777">
        <v>725.6</v>
      </c>
      <c r="H1777" s="9">
        <v>-3.23</v>
      </c>
      <c r="I1777"/>
    </row>
    <row r="1778" spans="1:9" x14ac:dyDescent="0.3">
      <c r="A1778" t="s">
        <v>2</v>
      </c>
      <c r="B1778" t="s">
        <v>21</v>
      </c>
      <c r="C1778" t="s">
        <v>136</v>
      </c>
      <c r="D1778" s="9" t="s">
        <v>137</v>
      </c>
      <c r="E1778" t="s">
        <v>32</v>
      </c>
      <c r="F1778" t="s">
        <v>61</v>
      </c>
      <c r="G1778">
        <v>425.5</v>
      </c>
      <c r="H1778" s="9">
        <v>-2.1800000000000002</v>
      </c>
      <c r="I1778"/>
    </row>
    <row r="1779" spans="1:9" x14ac:dyDescent="0.3">
      <c r="A1779" t="s">
        <v>2</v>
      </c>
      <c r="B1779" t="s">
        <v>21</v>
      </c>
      <c r="C1779" t="s">
        <v>138</v>
      </c>
      <c r="D1779" s="9" t="s">
        <v>137</v>
      </c>
      <c r="E1779" t="s">
        <v>33</v>
      </c>
      <c r="F1779" t="s">
        <v>63</v>
      </c>
      <c r="G1779">
        <v>394.5</v>
      </c>
      <c r="H1779" s="9">
        <v>-1.3</v>
      </c>
      <c r="I1779"/>
    </row>
    <row r="1780" spans="1:9" x14ac:dyDescent="0.3">
      <c r="A1780" t="s">
        <v>2</v>
      </c>
      <c r="B1780" t="s">
        <v>21</v>
      </c>
      <c r="C1780" t="s">
        <v>139</v>
      </c>
      <c r="D1780" s="9" t="s">
        <v>137</v>
      </c>
      <c r="E1780" t="s">
        <v>34</v>
      </c>
      <c r="F1780" t="s">
        <v>65</v>
      </c>
      <c r="G1780">
        <v>459.6</v>
      </c>
      <c r="H1780" s="9">
        <v>2.36</v>
      </c>
      <c r="I1780"/>
    </row>
    <row r="1781" spans="1:9" x14ac:dyDescent="0.3">
      <c r="A1781" t="s">
        <v>2</v>
      </c>
      <c r="B1781" t="s">
        <v>21</v>
      </c>
      <c r="C1781" t="s">
        <v>140</v>
      </c>
      <c r="D1781" s="9" t="s">
        <v>137</v>
      </c>
      <c r="E1781" t="s">
        <v>35</v>
      </c>
      <c r="F1781" t="s">
        <v>67</v>
      </c>
      <c r="G1781">
        <v>400</v>
      </c>
      <c r="H1781" s="9">
        <v>-8.19</v>
      </c>
      <c r="I1781"/>
    </row>
    <row r="1782" spans="1:9" x14ac:dyDescent="0.3">
      <c r="A1782" t="s">
        <v>2</v>
      </c>
      <c r="B1782" t="s">
        <v>21</v>
      </c>
      <c r="C1782" t="s">
        <v>141</v>
      </c>
      <c r="D1782" s="9" t="s">
        <v>137</v>
      </c>
      <c r="E1782" t="s">
        <v>36</v>
      </c>
      <c r="F1782" t="s">
        <v>69</v>
      </c>
      <c r="G1782">
        <v>410.6</v>
      </c>
      <c r="H1782" s="9">
        <v>0.59</v>
      </c>
      <c r="I1782"/>
    </row>
    <row r="1783" spans="1:9" x14ac:dyDescent="0.3">
      <c r="A1783" t="s">
        <v>2</v>
      </c>
      <c r="B1783" t="s">
        <v>21</v>
      </c>
      <c r="C1783" t="s">
        <v>142</v>
      </c>
      <c r="D1783" s="9" t="s">
        <v>137</v>
      </c>
      <c r="E1783" t="s">
        <v>37</v>
      </c>
      <c r="F1783" t="s">
        <v>71</v>
      </c>
      <c r="G1783">
        <v>401.3</v>
      </c>
      <c r="H1783" s="9">
        <v>-2.0299999999999998</v>
      </c>
      <c r="I1783"/>
    </row>
    <row r="1784" spans="1:9" x14ac:dyDescent="0.3">
      <c r="A1784" t="s">
        <v>2</v>
      </c>
      <c r="B1784" t="s">
        <v>21</v>
      </c>
      <c r="C1784" t="s">
        <v>143</v>
      </c>
      <c r="D1784" s="9" t="s">
        <v>137</v>
      </c>
      <c r="E1784" t="s">
        <v>38</v>
      </c>
      <c r="F1784" t="s">
        <v>73</v>
      </c>
      <c r="G1784">
        <v>391.5</v>
      </c>
      <c r="H1784" s="9">
        <v>-3.26</v>
      </c>
      <c r="I1784"/>
    </row>
    <row r="1785" spans="1:9" x14ac:dyDescent="0.3">
      <c r="A1785" t="s">
        <v>2</v>
      </c>
      <c r="B1785" t="s">
        <v>21</v>
      </c>
      <c r="C1785" t="s">
        <v>144</v>
      </c>
      <c r="D1785" s="9" t="s">
        <v>137</v>
      </c>
      <c r="E1785" t="s">
        <v>39</v>
      </c>
      <c r="F1785" t="s">
        <v>75</v>
      </c>
      <c r="G1785">
        <v>441.4</v>
      </c>
      <c r="H1785" s="9">
        <v>4.92</v>
      </c>
      <c r="I1785"/>
    </row>
    <row r="1786" spans="1:9" x14ac:dyDescent="0.3">
      <c r="A1786" t="s">
        <v>2</v>
      </c>
      <c r="B1786" t="s">
        <v>21</v>
      </c>
      <c r="C1786" t="s">
        <v>145</v>
      </c>
      <c r="D1786" s="9" t="s">
        <v>137</v>
      </c>
      <c r="E1786" t="s">
        <v>40</v>
      </c>
      <c r="F1786" t="s">
        <v>77</v>
      </c>
      <c r="G1786">
        <v>409.5</v>
      </c>
      <c r="H1786" s="9">
        <v>-10.14</v>
      </c>
      <c r="I1786"/>
    </row>
    <row r="1787" spans="1:9" x14ac:dyDescent="0.3">
      <c r="A1787" t="s">
        <v>2</v>
      </c>
      <c r="B1787" t="s">
        <v>21</v>
      </c>
      <c r="C1787" t="s">
        <v>146</v>
      </c>
      <c r="D1787" s="9" t="s">
        <v>137</v>
      </c>
      <c r="E1787" t="s">
        <v>41</v>
      </c>
      <c r="F1787" t="s">
        <v>79</v>
      </c>
      <c r="G1787">
        <v>448.3</v>
      </c>
      <c r="H1787" s="9">
        <v>0.13</v>
      </c>
      <c r="I1787"/>
    </row>
    <row r="1788" spans="1:9" x14ac:dyDescent="0.3">
      <c r="A1788" t="s">
        <v>2</v>
      </c>
      <c r="B1788" t="s">
        <v>21</v>
      </c>
      <c r="C1788" t="s">
        <v>147</v>
      </c>
      <c r="D1788" s="9" t="s">
        <v>137</v>
      </c>
      <c r="E1788" t="s">
        <v>42</v>
      </c>
      <c r="F1788" t="s">
        <v>81</v>
      </c>
      <c r="G1788">
        <v>492.6</v>
      </c>
      <c r="H1788" s="9">
        <v>3.81</v>
      </c>
      <c r="I1788"/>
    </row>
    <row r="1789" spans="1:9" x14ac:dyDescent="0.3">
      <c r="A1789" t="s">
        <v>2</v>
      </c>
      <c r="B1789" t="s">
        <v>21</v>
      </c>
      <c r="C1789" t="s">
        <v>148</v>
      </c>
      <c r="D1789" s="9" t="s">
        <v>137</v>
      </c>
      <c r="E1789" t="s">
        <v>43</v>
      </c>
      <c r="F1789" t="s">
        <v>83</v>
      </c>
      <c r="G1789">
        <v>724.6</v>
      </c>
      <c r="H1789" s="9">
        <v>-0.14000000000000001</v>
      </c>
      <c r="I1789"/>
    </row>
    <row r="1790" spans="1:9" x14ac:dyDescent="0.3">
      <c r="A1790" t="s">
        <v>2</v>
      </c>
      <c r="B1790" t="s">
        <v>21</v>
      </c>
      <c r="C1790" t="s">
        <v>149</v>
      </c>
      <c r="D1790" s="9" t="s">
        <v>150</v>
      </c>
      <c r="E1790" t="s">
        <v>32</v>
      </c>
      <c r="F1790" t="s">
        <v>61</v>
      </c>
      <c r="G1790">
        <v>418.6</v>
      </c>
      <c r="H1790" s="9">
        <v>-1.62</v>
      </c>
      <c r="I1790"/>
    </row>
    <row r="1791" spans="1:9" x14ac:dyDescent="0.3">
      <c r="A1791" t="s">
        <v>2</v>
      </c>
      <c r="B1791" t="s">
        <v>21</v>
      </c>
      <c r="C1791" t="s">
        <v>151</v>
      </c>
      <c r="D1791" s="9" t="s">
        <v>150</v>
      </c>
      <c r="E1791" t="s">
        <v>33</v>
      </c>
      <c r="F1791" t="s">
        <v>63</v>
      </c>
      <c r="G1791">
        <v>377.3</v>
      </c>
      <c r="H1791" s="9">
        <v>-4.3600000000000003</v>
      </c>
      <c r="I1791"/>
    </row>
    <row r="1792" spans="1:9" x14ac:dyDescent="0.3">
      <c r="A1792" t="s">
        <v>2</v>
      </c>
      <c r="B1792" t="s">
        <v>21</v>
      </c>
      <c r="C1792" t="s">
        <v>152</v>
      </c>
      <c r="D1792" s="9" t="s">
        <v>150</v>
      </c>
      <c r="E1792" t="s">
        <v>34</v>
      </c>
      <c r="F1792" t="s">
        <v>65</v>
      </c>
      <c r="G1792">
        <v>425.8</v>
      </c>
      <c r="H1792" s="9">
        <v>-7.35</v>
      </c>
      <c r="I1792"/>
    </row>
    <row r="1793" spans="1:9" x14ac:dyDescent="0.3">
      <c r="A1793" t="s">
        <v>2</v>
      </c>
      <c r="B1793" t="s">
        <v>21</v>
      </c>
      <c r="C1793" t="s">
        <v>153</v>
      </c>
      <c r="D1793" s="9" t="s">
        <v>150</v>
      </c>
      <c r="E1793" t="s">
        <v>35</v>
      </c>
      <c r="F1793" t="s">
        <v>67</v>
      </c>
      <c r="G1793">
        <v>425.2</v>
      </c>
      <c r="H1793" s="9">
        <v>6.3</v>
      </c>
      <c r="I1793"/>
    </row>
    <row r="1794" spans="1:9" x14ac:dyDescent="0.3">
      <c r="A1794" t="s">
        <v>2</v>
      </c>
      <c r="B1794" t="s">
        <v>21</v>
      </c>
      <c r="C1794" t="s">
        <v>154</v>
      </c>
      <c r="D1794" s="9" t="s">
        <v>150</v>
      </c>
      <c r="E1794" t="s">
        <v>36</v>
      </c>
      <c r="F1794" t="s">
        <v>69</v>
      </c>
      <c r="G1794">
        <v>414.1</v>
      </c>
      <c r="H1794" s="9">
        <v>0.85</v>
      </c>
      <c r="I1794"/>
    </row>
    <row r="1795" spans="1:9" x14ac:dyDescent="0.3">
      <c r="A1795" t="s">
        <v>2</v>
      </c>
      <c r="B1795" t="s">
        <v>21</v>
      </c>
      <c r="C1795" t="s">
        <v>155</v>
      </c>
      <c r="D1795" s="9" t="s">
        <v>150</v>
      </c>
      <c r="E1795" t="s">
        <v>37</v>
      </c>
      <c r="F1795" t="s">
        <v>71</v>
      </c>
      <c r="G1795">
        <v>386</v>
      </c>
      <c r="H1795" s="9">
        <v>-3.81</v>
      </c>
      <c r="I1795"/>
    </row>
    <row r="1796" spans="1:9" x14ac:dyDescent="0.3">
      <c r="A1796" t="s">
        <v>2</v>
      </c>
      <c r="B1796" t="s">
        <v>25</v>
      </c>
      <c r="C1796" t="s">
        <v>59</v>
      </c>
      <c r="D1796" s="9" t="s">
        <v>60</v>
      </c>
      <c r="E1796" t="s">
        <v>32</v>
      </c>
      <c r="F1796" t="s">
        <v>61</v>
      </c>
      <c r="G1796">
        <v>77.8</v>
      </c>
      <c r="I1796"/>
    </row>
    <row r="1797" spans="1:9" x14ac:dyDescent="0.3">
      <c r="A1797" t="s">
        <v>2</v>
      </c>
      <c r="B1797" t="s">
        <v>25</v>
      </c>
      <c r="C1797" t="s">
        <v>62</v>
      </c>
      <c r="D1797" s="9" t="s">
        <v>60</v>
      </c>
      <c r="E1797" t="s">
        <v>33</v>
      </c>
      <c r="F1797" t="s">
        <v>63</v>
      </c>
      <c r="G1797">
        <v>74.099999999999994</v>
      </c>
      <c r="I1797"/>
    </row>
    <row r="1798" spans="1:9" x14ac:dyDescent="0.3">
      <c r="A1798" t="s">
        <v>2</v>
      </c>
      <c r="B1798" t="s">
        <v>25</v>
      </c>
      <c r="C1798" t="s">
        <v>64</v>
      </c>
      <c r="D1798" s="9" t="s">
        <v>60</v>
      </c>
      <c r="E1798" t="s">
        <v>34</v>
      </c>
      <c r="F1798" t="s">
        <v>65</v>
      </c>
      <c r="G1798">
        <v>76.599999999999994</v>
      </c>
      <c r="I1798"/>
    </row>
    <row r="1799" spans="1:9" x14ac:dyDescent="0.3">
      <c r="A1799" t="s">
        <v>2</v>
      </c>
      <c r="B1799" t="s">
        <v>25</v>
      </c>
      <c r="C1799" t="s">
        <v>66</v>
      </c>
      <c r="D1799" s="9" t="s">
        <v>60</v>
      </c>
      <c r="E1799" t="s">
        <v>35</v>
      </c>
      <c r="F1799" t="s">
        <v>67</v>
      </c>
      <c r="G1799">
        <v>65.8</v>
      </c>
      <c r="I1799"/>
    </row>
    <row r="1800" spans="1:9" x14ac:dyDescent="0.3">
      <c r="A1800" t="s">
        <v>2</v>
      </c>
      <c r="B1800" t="s">
        <v>25</v>
      </c>
      <c r="C1800" t="s">
        <v>68</v>
      </c>
      <c r="D1800" s="9" t="s">
        <v>60</v>
      </c>
      <c r="E1800" t="s">
        <v>36</v>
      </c>
      <c r="F1800" t="s">
        <v>69</v>
      </c>
      <c r="G1800">
        <v>72.7</v>
      </c>
      <c r="I1800"/>
    </row>
    <row r="1801" spans="1:9" x14ac:dyDescent="0.3">
      <c r="A1801" t="s">
        <v>2</v>
      </c>
      <c r="B1801" t="s">
        <v>25</v>
      </c>
      <c r="C1801" t="s">
        <v>70</v>
      </c>
      <c r="D1801" s="9" t="s">
        <v>60</v>
      </c>
      <c r="E1801" t="s">
        <v>37</v>
      </c>
      <c r="F1801" t="s">
        <v>71</v>
      </c>
      <c r="G1801">
        <v>70.8</v>
      </c>
      <c r="I1801"/>
    </row>
    <row r="1802" spans="1:9" x14ac:dyDescent="0.3">
      <c r="A1802" t="s">
        <v>2</v>
      </c>
      <c r="B1802" t="s">
        <v>25</v>
      </c>
      <c r="C1802" t="s">
        <v>72</v>
      </c>
      <c r="D1802" s="9" t="s">
        <v>60</v>
      </c>
      <c r="E1802" t="s">
        <v>38</v>
      </c>
      <c r="F1802" t="s">
        <v>73</v>
      </c>
      <c r="G1802">
        <v>76</v>
      </c>
      <c r="I1802"/>
    </row>
    <row r="1803" spans="1:9" x14ac:dyDescent="0.3">
      <c r="A1803" t="s">
        <v>2</v>
      </c>
      <c r="B1803" t="s">
        <v>25</v>
      </c>
      <c r="C1803" t="s">
        <v>74</v>
      </c>
      <c r="D1803" s="9" t="s">
        <v>60</v>
      </c>
      <c r="E1803" t="s">
        <v>39</v>
      </c>
      <c r="F1803" t="s">
        <v>75</v>
      </c>
      <c r="G1803">
        <v>74.2</v>
      </c>
      <c r="I1803"/>
    </row>
    <row r="1804" spans="1:9" x14ac:dyDescent="0.3">
      <c r="A1804" t="s">
        <v>2</v>
      </c>
      <c r="B1804" t="s">
        <v>25</v>
      </c>
      <c r="C1804" t="s">
        <v>76</v>
      </c>
      <c r="D1804" s="9" t="s">
        <v>60</v>
      </c>
      <c r="E1804" t="s">
        <v>40</v>
      </c>
      <c r="F1804" t="s">
        <v>77</v>
      </c>
      <c r="G1804">
        <v>66.8</v>
      </c>
      <c r="I1804"/>
    </row>
    <row r="1805" spans="1:9" x14ac:dyDescent="0.3">
      <c r="A1805" t="s">
        <v>2</v>
      </c>
      <c r="B1805" t="s">
        <v>25</v>
      </c>
      <c r="C1805" t="s">
        <v>78</v>
      </c>
      <c r="D1805" s="9" t="s">
        <v>60</v>
      </c>
      <c r="E1805" t="s">
        <v>41</v>
      </c>
      <c r="F1805" t="s">
        <v>79</v>
      </c>
      <c r="G1805">
        <v>59.8</v>
      </c>
      <c r="I1805"/>
    </row>
    <row r="1806" spans="1:9" x14ac:dyDescent="0.3">
      <c r="A1806" t="s">
        <v>2</v>
      </c>
      <c r="B1806" t="s">
        <v>25</v>
      </c>
      <c r="C1806" t="s">
        <v>80</v>
      </c>
      <c r="D1806" s="9" t="s">
        <v>60</v>
      </c>
      <c r="E1806" t="s">
        <v>42</v>
      </c>
      <c r="F1806" t="s">
        <v>81</v>
      </c>
      <c r="G1806">
        <v>64.400000000000006</v>
      </c>
      <c r="I1806"/>
    </row>
    <row r="1807" spans="1:9" x14ac:dyDescent="0.3">
      <c r="A1807" t="s">
        <v>2</v>
      </c>
      <c r="B1807" t="s">
        <v>25</v>
      </c>
      <c r="C1807" t="s">
        <v>82</v>
      </c>
      <c r="D1807" s="9" t="s">
        <v>60</v>
      </c>
      <c r="E1807" t="s">
        <v>43</v>
      </c>
      <c r="F1807" t="s">
        <v>83</v>
      </c>
      <c r="G1807">
        <v>87.3</v>
      </c>
      <c r="I1807"/>
    </row>
    <row r="1808" spans="1:9" x14ac:dyDescent="0.3">
      <c r="A1808" t="s">
        <v>2</v>
      </c>
      <c r="B1808" t="s">
        <v>25</v>
      </c>
      <c r="C1808" t="s">
        <v>84</v>
      </c>
      <c r="D1808" s="9" t="s">
        <v>85</v>
      </c>
      <c r="E1808" t="s">
        <v>32</v>
      </c>
      <c r="F1808" t="s">
        <v>61</v>
      </c>
      <c r="G1808">
        <v>64</v>
      </c>
      <c r="H1808" s="9">
        <v>-17.739999999999998</v>
      </c>
      <c r="I1808"/>
    </row>
    <row r="1809" spans="1:9" x14ac:dyDescent="0.3">
      <c r="A1809" t="s">
        <v>2</v>
      </c>
      <c r="B1809" t="s">
        <v>25</v>
      </c>
      <c r="C1809" t="s">
        <v>86</v>
      </c>
      <c r="D1809" s="9" t="s">
        <v>85</v>
      </c>
      <c r="E1809" t="s">
        <v>33</v>
      </c>
      <c r="F1809" t="s">
        <v>63</v>
      </c>
      <c r="G1809">
        <v>61.3</v>
      </c>
      <c r="H1809" s="9">
        <v>-17.27</v>
      </c>
      <c r="I1809"/>
    </row>
    <row r="1810" spans="1:9" x14ac:dyDescent="0.3">
      <c r="A1810" t="s">
        <v>2</v>
      </c>
      <c r="B1810" t="s">
        <v>25</v>
      </c>
      <c r="C1810" t="s">
        <v>87</v>
      </c>
      <c r="D1810" s="9" t="s">
        <v>85</v>
      </c>
      <c r="E1810" t="s">
        <v>34</v>
      </c>
      <c r="F1810" t="s">
        <v>65</v>
      </c>
      <c r="G1810">
        <v>57.3</v>
      </c>
      <c r="H1810" s="9">
        <v>-25.2</v>
      </c>
      <c r="I1810"/>
    </row>
    <row r="1811" spans="1:9" x14ac:dyDescent="0.3">
      <c r="A1811" t="s">
        <v>2</v>
      </c>
      <c r="B1811" t="s">
        <v>25</v>
      </c>
      <c r="C1811" t="s">
        <v>88</v>
      </c>
      <c r="D1811" s="9" t="s">
        <v>85</v>
      </c>
      <c r="E1811" t="s">
        <v>35</v>
      </c>
      <c r="F1811" t="s">
        <v>67</v>
      </c>
      <c r="G1811">
        <v>45.2</v>
      </c>
      <c r="H1811" s="9">
        <v>-31.31</v>
      </c>
      <c r="I1811"/>
    </row>
    <row r="1812" spans="1:9" x14ac:dyDescent="0.3">
      <c r="A1812" t="s">
        <v>2</v>
      </c>
      <c r="B1812" t="s">
        <v>25</v>
      </c>
      <c r="C1812" t="s">
        <v>89</v>
      </c>
      <c r="D1812" s="9" t="s">
        <v>85</v>
      </c>
      <c r="E1812" t="s">
        <v>36</v>
      </c>
      <c r="F1812" t="s">
        <v>69</v>
      </c>
      <c r="G1812">
        <v>56.5</v>
      </c>
      <c r="H1812" s="9">
        <v>-22.28</v>
      </c>
      <c r="I1812"/>
    </row>
    <row r="1813" spans="1:9" x14ac:dyDescent="0.3">
      <c r="A1813" t="s">
        <v>2</v>
      </c>
      <c r="B1813" t="s">
        <v>25</v>
      </c>
      <c r="C1813" t="s">
        <v>90</v>
      </c>
      <c r="D1813" s="9" t="s">
        <v>85</v>
      </c>
      <c r="E1813" t="s">
        <v>37</v>
      </c>
      <c r="F1813" t="s">
        <v>71</v>
      </c>
      <c r="G1813">
        <v>50.2</v>
      </c>
      <c r="H1813" s="9">
        <v>-29.1</v>
      </c>
      <c r="I1813"/>
    </row>
    <row r="1814" spans="1:9" x14ac:dyDescent="0.3">
      <c r="A1814" t="s">
        <v>2</v>
      </c>
      <c r="B1814" t="s">
        <v>25</v>
      </c>
      <c r="C1814" t="s">
        <v>91</v>
      </c>
      <c r="D1814" s="9" t="s">
        <v>85</v>
      </c>
      <c r="E1814" t="s">
        <v>38</v>
      </c>
      <c r="F1814" t="s">
        <v>73</v>
      </c>
      <c r="G1814">
        <v>56.8</v>
      </c>
      <c r="H1814" s="9">
        <v>-25.26</v>
      </c>
      <c r="I1814"/>
    </row>
    <row r="1815" spans="1:9" x14ac:dyDescent="0.3">
      <c r="A1815" t="s">
        <v>2</v>
      </c>
      <c r="B1815" t="s">
        <v>25</v>
      </c>
      <c r="C1815" t="s">
        <v>92</v>
      </c>
      <c r="D1815" s="9" t="s">
        <v>85</v>
      </c>
      <c r="E1815" t="s">
        <v>39</v>
      </c>
      <c r="F1815" t="s">
        <v>75</v>
      </c>
      <c r="G1815">
        <v>52.4</v>
      </c>
      <c r="H1815" s="9">
        <v>-29.38</v>
      </c>
      <c r="I1815"/>
    </row>
    <row r="1816" spans="1:9" x14ac:dyDescent="0.3">
      <c r="A1816" t="s">
        <v>2</v>
      </c>
      <c r="B1816" t="s">
        <v>25</v>
      </c>
      <c r="C1816" t="s">
        <v>93</v>
      </c>
      <c r="D1816" s="9" t="s">
        <v>85</v>
      </c>
      <c r="E1816" t="s">
        <v>40</v>
      </c>
      <c r="F1816" t="s">
        <v>77</v>
      </c>
      <c r="G1816">
        <v>55.9</v>
      </c>
      <c r="H1816" s="9">
        <v>-16.32</v>
      </c>
      <c r="I1816"/>
    </row>
    <row r="1817" spans="1:9" x14ac:dyDescent="0.3">
      <c r="A1817" t="s">
        <v>2</v>
      </c>
      <c r="B1817" t="s">
        <v>25</v>
      </c>
      <c r="C1817" t="s">
        <v>94</v>
      </c>
      <c r="D1817" s="9" t="s">
        <v>85</v>
      </c>
      <c r="E1817" t="s">
        <v>41</v>
      </c>
      <c r="F1817" t="s">
        <v>79</v>
      </c>
      <c r="G1817">
        <v>55.4</v>
      </c>
      <c r="H1817" s="9">
        <v>-7.36</v>
      </c>
      <c r="I1817"/>
    </row>
    <row r="1818" spans="1:9" x14ac:dyDescent="0.3">
      <c r="A1818" t="s">
        <v>2</v>
      </c>
      <c r="B1818" t="s">
        <v>25</v>
      </c>
      <c r="C1818" t="s">
        <v>95</v>
      </c>
      <c r="D1818" s="9" t="s">
        <v>85</v>
      </c>
      <c r="E1818" t="s">
        <v>42</v>
      </c>
      <c r="F1818" t="s">
        <v>81</v>
      </c>
      <c r="G1818">
        <v>58.3</v>
      </c>
      <c r="H1818" s="9">
        <v>-9.4700000000000006</v>
      </c>
      <c r="I1818"/>
    </row>
    <row r="1819" spans="1:9" x14ac:dyDescent="0.3">
      <c r="A1819" t="s">
        <v>2</v>
      </c>
      <c r="B1819" t="s">
        <v>25</v>
      </c>
      <c r="C1819" t="s">
        <v>96</v>
      </c>
      <c r="D1819" s="9" t="s">
        <v>85</v>
      </c>
      <c r="E1819" t="s">
        <v>43</v>
      </c>
      <c r="F1819" t="s">
        <v>83</v>
      </c>
      <c r="G1819">
        <v>71.8</v>
      </c>
      <c r="H1819" s="9">
        <v>-17.75</v>
      </c>
      <c r="I1819"/>
    </row>
    <row r="1820" spans="1:9" x14ac:dyDescent="0.3">
      <c r="A1820" t="s">
        <v>2</v>
      </c>
      <c r="B1820" t="s">
        <v>25</v>
      </c>
      <c r="C1820" t="s">
        <v>97</v>
      </c>
      <c r="D1820" s="9" t="s">
        <v>98</v>
      </c>
      <c r="E1820" t="s">
        <v>32</v>
      </c>
      <c r="F1820" t="s">
        <v>61</v>
      </c>
      <c r="G1820">
        <v>51.9</v>
      </c>
      <c r="H1820" s="9">
        <v>-18.91</v>
      </c>
      <c r="I1820"/>
    </row>
    <row r="1821" spans="1:9" x14ac:dyDescent="0.3">
      <c r="A1821" t="s">
        <v>2</v>
      </c>
      <c r="B1821" t="s">
        <v>25</v>
      </c>
      <c r="C1821" t="s">
        <v>99</v>
      </c>
      <c r="D1821" s="9" t="s">
        <v>98</v>
      </c>
      <c r="E1821" t="s">
        <v>33</v>
      </c>
      <c r="F1821" t="s">
        <v>63</v>
      </c>
      <c r="G1821">
        <v>53.4</v>
      </c>
      <c r="H1821" s="9">
        <v>-12.89</v>
      </c>
      <c r="I1821"/>
    </row>
    <row r="1822" spans="1:9" x14ac:dyDescent="0.3">
      <c r="A1822" t="s">
        <v>2</v>
      </c>
      <c r="B1822" t="s">
        <v>25</v>
      </c>
      <c r="C1822" t="s">
        <v>100</v>
      </c>
      <c r="D1822" s="9" t="s">
        <v>98</v>
      </c>
      <c r="E1822" t="s">
        <v>34</v>
      </c>
      <c r="F1822" t="s">
        <v>65</v>
      </c>
      <c r="G1822">
        <v>56</v>
      </c>
      <c r="H1822" s="9">
        <v>-2.27</v>
      </c>
      <c r="I1822"/>
    </row>
    <row r="1823" spans="1:9" x14ac:dyDescent="0.3">
      <c r="A1823" t="s">
        <v>2</v>
      </c>
      <c r="B1823" t="s">
        <v>25</v>
      </c>
      <c r="C1823" t="s">
        <v>101</v>
      </c>
      <c r="D1823" s="9" t="s">
        <v>98</v>
      </c>
      <c r="E1823" t="s">
        <v>35</v>
      </c>
      <c r="F1823" t="s">
        <v>67</v>
      </c>
      <c r="G1823">
        <v>57</v>
      </c>
      <c r="H1823" s="9">
        <v>26.11</v>
      </c>
      <c r="I1823"/>
    </row>
    <row r="1824" spans="1:9" x14ac:dyDescent="0.3">
      <c r="A1824" t="s">
        <v>2</v>
      </c>
      <c r="B1824" t="s">
        <v>25</v>
      </c>
      <c r="C1824" t="s">
        <v>102</v>
      </c>
      <c r="D1824" s="9" t="s">
        <v>98</v>
      </c>
      <c r="E1824" t="s">
        <v>36</v>
      </c>
      <c r="F1824" t="s">
        <v>69</v>
      </c>
      <c r="G1824">
        <v>62.1</v>
      </c>
      <c r="H1824" s="9">
        <v>9.91</v>
      </c>
      <c r="I1824"/>
    </row>
    <row r="1825" spans="1:9" x14ac:dyDescent="0.3">
      <c r="A1825" t="s">
        <v>2</v>
      </c>
      <c r="B1825" t="s">
        <v>25</v>
      </c>
      <c r="C1825" t="s">
        <v>103</v>
      </c>
      <c r="D1825" s="9" t="s">
        <v>98</v>
      </c>
      <c r="E1825" t="s">
        <v>37</v>
      </c>
      <c r="F1825" t="s">
        <v>71</v>
      </c>
      <c r="G1825">
        <v>50.8</v>
      </c>
      <c r="H1825" s="9">
        <v>1.2</v>
      </c>
      <c r="I1825"/>
    </row>
    <row r="1826" spans="1:9" x14ac:dyDescent="0.3">
      <c r="A1826" t="s">
        <v>2</v>
      </c>
      <c r="B1826" t="s">
        <v>25</v>
      </c>
      <c r="C1826" t="s">
        <v>104</v>
      </c>
      <c r="D1826" s="9" t="s">
        <v>98</v>
      </c>
      <c r="E1826" t="s">
        <v>38</v>
      </c>
      <c r="F1826" t="s">
        <v>73</v>
      </c>
      <c r="G1826">
        <v>34.6</v>
      </c>
      <c r="H1826" s="9">
        <v>-39.08</v>
      </c>
      <c r="I1826"/>
    </row>
    <row r="1827" spans="1:9" x14ac:dyDescent="0.3">
      <c r="A1827" t="s">
        <v>2</v>
      </c>
      <c r="B1827" t="s">
        <v>25</v>
      </c>
      <c r="C1827" t="s">
        <v>105</v>
      </c>
      <c r="D1827" s="9" t="s">
        <v>98</v>
      </c>
      <c r="E1827" t="s">
        <v>39</v>
      </c>
      <c r="F1827" t="s">
        <v>75</v>
      </c>
      <c r="G1827">
        <v>37.700000000000003</v>
      </c>
      <c r="H1827" s="9">
        <v>-28.05</v>
      </c>
      <c r="I1827"/>
    </row>
    <row r="1828" spans="1:9" x14ac:dyDescent="0.3">
      <c r="A1828" t="s">
        <v>2</v>
      </c>
      <c r="B1828" t="s">
        <v>25</v>
      </c>
      <c r="C1828" t="s">
        <v>106</v>
      </c>
      <c r="D1828" s="9" t="s">
        <v>98</v>
      </c>
      <c r="E1828" t="s">
        <v>40</v>
      </c>
      <c r="F1828" t="s">
        <v>77</v>
      </c>
      <c r="G1828">
        <v>39.799999999999997</v>
      </c>
      <c r="H1828" s="9">
        <v>-28.8</v>
      </c>
      <c r="I1828"/>
    </row>
    <row r="1829" spans="1:9" x14ac:dyDescent="0.3">
      <c r="A1829" t="s">
        <v>2</v>
      </c>
      <c r="B1829" t="s">
        <v>25</v>
      </c>
      <c r="C1829" t="s">
        <v>107</v>
      </c>
      <c r="D1829" s="9" t="s">
        <v>98</v>
      </c>
      <c r="E1829" t="s">
        <v>41</v>
      </c>
      <c r="F1829" t="s">
        <v>79</v>
      </c>
      <c r="G1829">
        <v>46</v>
      </c>
      <c r="H1829" s="9">
        <v>-16.97</v>
      </c>
      <c r="I1829"/>
    </row>
    <row r="1830" spans="1:9" x14ac:dyDescent="0.3">
      <c r="A1830" t="s">
        <v>2</v>
      </c>
      <c r="B1830" t="s">
        <v>25</v>
      </c>
      <c r="C1830" t="s">
        <v>108</v>
      </c>
      <c r="D1830" s="9" t="s">
        <v>98</v>
      </c>
      <c r="E1830" t="s">
        <v>42</v>
      </c>
      <c r="F1830" t="s">
        <v>81</v>
      </c>
      <c r="G1830">
        <v>50.1</v>
      </c>
      <c r="H1830" s="9">
        <v>-14.07</v>
      </c>
      <c r="I1830"/>
    </row>
    <row r="1831" spans="1:9" x14ac:dyDescent="0.3">
      <c r="A1831" t="s">
        <v>2</v>
      </c>
      <c r="B1831" t="s">
        <v>25</v>
      </c>
      <c r="C1831" t="s">
        <v>109</v>
      </c>
      <c r="D1831" s="9" t="s">
        <v>98</v>
      </c>
      <c r="E1831" t="s">
        <v>43</v>
      </c>
      <c r="F1831" t="s">
        <v>83</v>
      </c>
      <c r="G1831">
        <v>69.900000000000006</v>
      </c>
      <c r="H1831" s="9">
        <v>-2.65</v>
      </c>
      <c r="I1831"/>
    </row>
    <row r="1832" spans="1:9" x14ac:dyDescent="0.3">
      <c r="A1832" t="s">
        <v>2</v>
      </c>
      <c r="B1832" t="s">
        <v>25</v>
      </c>
      <c r="C1832" t="s">
        <v>110</v>
      </c>
      <c r="D1832" s="9" t="s">
        <v>111</v>
      </c>
      <c r="E1832" t="s">
        <v>32</v>
      </c>
      <c r="F1832" t="s">
        <v>61</v>
      </c>
      <c r="G1832">
        <v>43.1</v>
      </c>
      <c r="H1832" s="9">
        <v>-16.96</v>
      </c>
      <c r="I1832"/>
    </row>
    <row r="1833" spans="1:9" x14ac:dyDescent="0.3">
      <c r="A1833" t="s">
        <v>2</v>
      </c>
      <c r="B1833" t="s">
        <v>25</v>
      </c>
      <c r="C1833" t="s">
        <v>112</v>
      </c>
      <c r="D1833" s="9" t="s">
        <v>111</v>
      </c>
      <c r="E1833" t="s">
        <v>33</v>
      </c>
      <c r="F1833" t="s">
        <v>63</v>
      </c>
      <c r="G1833">
        <v>41.6</v>
      </c>
      <c r="H1833" s="9">
        <v>-22.1</v>
      </c>
      <c r="I1833"/>
    </row>
    <row r="1834" spans="1:9" x14ac:dyDescent="0.3">
      <c r="A1834" t="s">
        <v>2</v>
      </c>
      <c r="B1834" t="s">
        <v>25</v>
      </c>
      <c r="C1834" t="s">
        <v>113</v>
      </c>
      <c r="D1834" s="9" t="s">
        <v>111</v>
      </c>
      <c r="E1834" t="s">
        <v>34</v>
      </c>
      <c r="F1834" t="s">
        <v>65</v>
      </c>
      <c r="G1834">
        <v>40.299999999999997</v>
      </c>
      <c r="H1834" s="9">
        <v>-28.04</v>
      </c>
      <c r="I1834"/>
    </row>
    <row r="1835" spans="1:9" x14ac:dyDescent="0.3">
      <c r="A1835" t="s">
        <v>2</v>
      </c>
      <c r="B1835" t="s">
        <v>25</v>
      </c>
      <c r="C1835" t="s">
        <v>114</v>
      </c>
      <c r="D1835" s="9" t="s">
        <v>111</v>
      </c>
      <c r="E1835" t="s">
        <v>35</v>
      </c>
      <c r="F1835" t="s">
        <v>67</v>
      </c>
      <c r="G1835">
        <v>38.9</v>
      </c>
      <c r="H1835" s="9">
        <v>-31.75</v>
      </c>
      <c r="I1835"/>
    </row>
    <row r="1836" spans="1:9" x14ac:dyDescent="0.3">
      <c r="A1836" t="s">
        <v>2</v>
      </c>
      <c r="B1836" t="s">
        <v>25</v>
      </c>
      <c r="C1836" t="s">
        <v>115</v>
      </c>
      <c r="D1836" s="9" t="s">
        <v>111</v>
      </c>
      <c r="E1836" t="s">
        <v>36</v>
      </c>
      <c r="F1836" t="s">
        <v>69</v>
      </c>
      <c r="G1836">
        <v>43.2</v>
      </c>
      <c r="H1836" s="9">
        <v>-30.43</v>
      </c>
      <c r="I1836"/>
    </row>
    <row r="1837" spans="1:9" x14ac:dyDescent="0.3">
      <c r="A1837" t="s">
        <v>2</v>
      </c>
      <c r="B1837" t="s">
        <v>25</v>
      </c>
      <c r="C1837" t="s">
        <v>116</v>
      </c>
      <c r="D1837" s="9" t="s">
        <v>111</v>
      </c>
      <c r="E1837" t="s">
        <v>37</v>
      </c>
      <c r="F1837" t="s">
        <v>71</v>
      </c>
      <c r="G1837">
        <v>43.2</v>
      </c>
      <c r="H1837" s="9">
        <v>-14.96</v>
      </c>
      <c r="I1837"/>
    </row>
    <row r="1838" spans="1:9" x14ac:dyDescent="0.3">
      <c r="A1838" t="s">
        <v>2</v>
      </c>
      <c r="B1838" t="s">
        <v>25</v>
      </c>
      <c r="C1838" t="s">
        <v>117</v>
      </c>
      <c r="D1838" s="9" t="s">
        <v>111</v>
      </c>
      <c r="E1838" t="s">
        <v>38</v>
      </c>
      <c r="F1838" t="s">
        <v>73</v>
      </c>
      <c r="G1838">
        <v>39.299999999999997</v>
      </c>
      <c r="H1838" s="9">
        <v>13.58</v>
      </c>
      <c r="I1838"/>
    </row>
    <row r="1839" spans="1:9" x14ac:dyDescent="0.3">
      <c r="A1839" t="s">
        <v>2</v>
      </c>
      <c r="B1839" t="s">
        <v>25</v>
      </c>
      <c r="C1839" t="s">
        <v>118</v>
      </c>
      <c r="D1839" s="9" t="s">
        <v>111</v>
      </c>
      <c r="E1839" t="s">
        <v>39</v>
      </c>
      <c r="F1839" t="s">
        <v>75</v>
      </c>
      <c r="G1839">
        <v>39</v>
      </c>
      <c r="H1839" s="9">
        <v>3.45</v>
      </c>
      <c r="I1839"/>
    </row>
    <row r="1840" spans="1:9" x14ac:dyDescent="0.3">
      <c r="A1840" t="s">
        <v>2</v>
      </c>
      <c r="B1840" t="s">
        <v>25</v>
      </c>
      <c r="C1840" t="s">
        <v>119</v>
      </c>
      <c r="D1840" s="9" t="s">
        <v>111</v>
      </c>
      <c r="E1840" t="s">
        <v>40</v>
      </c>
      <c r="F1840" t="s">
        <v>77</v>
      </c>
      <c r="G1840">
        <v>39.200000000000003</v>
      </c>
      <c r="H1840" s="9">
        <v>-1.51</v>
      </c>
      <c r="I1840"/>
    </row>
    <row r="1841" spans="1:9" x14ac:dyDescent="0.3">
      <c r="A1841" t="s">
        <v>2</v>
      </c>
      <c r="B1841" t="s">
        <v>25</v>
      </c>
      <c r="C1841" t="s">
        <v>120</v>
      </c>
      <c r="D1841" s="9" t="s">
        <v>111</v>
      </c>
      <c r="E1841" t="s">
        <v>41</v>
      </c>
      <c r="F1841" t="s">
        <v>79</v>
      </c>
      <c r="G1841">
        <v>41.8</v>
      </c>
      <c r="H1841" s="9">
        <v>-9.1300000000000008</v>
      </c>
      <c r="I1841"/>
    </row>
    <row r="1842" spans="1:9" x14ac:dyDescent="0.3">
      <c r="A1842" t="s">
        <v>2</v>
      </c>
      <c r="B1842" t="s">
        <v>25</v>
      </c>
      <c r="C1842" t="s">
        <v>121</v>
      </c>
      <c r="D1842" s="9" t="s">
        <v>111</v>
      </c>
      <c r="E1842" t="s">
        <v>42</v>
      </c>
      <c r="F1842" t="s">
        <v>81</v>
      </c>
      <c r="G1842">
        <v>44</v>
      </c>
      <c r="H1842" s="9">
        <v>-12.18</v>
      </c>
      <c r="I1842"/>
    </row>
    <row r="1843" spans="1:9" x14ac:dyDescent="0.3">
      <c r="A1843" t="s">
        <v>2</v>
      </c>
      <c r="B1843" t="s">
        <v>25</v>
      </c>
      <c r="C1843" t="s">
        <v>122</v>
      </c>
      <c r="D1843" s="9" t="s">
        <v>111</v>
      </c>
      <c r="E1843" t="s">
        <v>43</v>
      </c>
      <c r="F1843" t="s">
        <v>83</v>
      </c>
      <c r="G1843">
        <v>56.7</v>
      </c>
      <c r="H1843" s="9">
        <v>-18.88</v>
      </c>
      <c r="I1843"/>
    </row>
    <row r="1844" spans="1:9" x14ac:dyDescent="0.3">
      <c r="A1844" t="s">
        <v>2</v>
      </c>
      <c r="B1844" t="s">
        <v>25</v>
      </c>
      <c r="C1844" t="s">
        <v>123</v>
      </c>
      <c r="D1844" s="9" t="s">
        <v>124</v>
      </c>
      <c r="E1844" t="s">
        <v>32</v>
      </c>
      <c r="F1844" t="s">
        <v>61</v>
      </c>
      <c r="G1844">
        <v>38</v>
      </c>
      <c r="H1844" s="9">
        <v>-11.83</v>
      </c>
      <c r="I1844"/>
    </row>
    <row r="1845" spans="1:9" x14ac:dyDescent="0.3">
      <c r="A1845" t="s">
        <v>2</v>
      </c>
      <c r="B1845" t="s">
        <v>25</v>
      </c>
      <c r="C1845" t="s">
        <v>125</v>
      </c>
      <c r="D1845" s="9" t="s">
        <v>124</v>
      </c>
      <c r="E1845" t="s">
        <v>33</v>
      </c>
      <c r="F1845" t="s">
        <v>63</v>
      </c>
      <c r="G1845">
        <v>33.9</v>
      </c>
      <c r="H1845" s="9">
        <v>-18.510000000000002</v>
      </c>
      <c r="I1845"/>
    </row>
    <row r="1846" spans="1:9" x14ac:dyDescent="0.3">
      <c r="A1846" t="s">
        <v>2</v>
      </c>
      <c r="B1846" t="s">
        <v>25</v>
      </c>
      <c r="C1846" t="s">
        <v>126</v>
      </c>
      <c r="D1846" s="9" t="s">
        <v>124</v>
      </c>
      <c r="E1846" t="s">
        <v>34</v>
      </c>
      <c r="F1846" t="s">
        <v>65</v>
      </c>
      <c r="G1846">
        <v>37.4</v>
      </c>
      <c r="H1846" s="9">
        <v>-7.2</v>
      </c>
      <c r="I1846"/>
    </row>
    <row r="1847" spans="1:9" x14ac:dyDescent="0.3">
      <c r="A1847" t="s">
        <v>2</v>
      </c>
      <c r="B1847" t="s">
        <v>25</v>
      </c>
      <c r="C1847" t="s">
        <v>127</v>
      </c>
      <c r="D1847" s="9" t="s">
        <v>124</v>
      </c>
      <c r="E1847" t="s">
        <v>35</v>
      </c>
      <c r="F1847" t="s">
        <v>67</v>
      </c>
      <c r="G1847">
        <v>35.200000000000003</v>
      </c>
      <c r="H1847" s="9">
        <v>-9.51</v>
      </c>
      <c r="I1847"/>
    </row>
    <row r="1848" spans="1:9" x14ac:dyDescent="0.3">
      <c r="A1848" t="s">
        <v>2</v>
      </c>
      <c r="B1848" t="s">
        <v>25</v>
      </c>
      <c r="C1848" t="s">
        <v>128</v>
      </c>
      <c r="D1848" s="9" t="s">
        <v>124</v>
      </c>
      <c r="E1848" t="s">
        <v>36</v>
      </c>
      <c r="F1848" t="s">
        <v>69</v>
      </c>
      <c r="G1848">
        <v>33</v>
      </c>
      <c r="H1848" s="9">
        <v>-23.61</v>
      </c>
      <c r="I1848"/>
    </row>
    <row r="1849" spans="1:9" x14ac:dyDescent="0.3">
      <c r="A1849" t="s">
        <v>2</v>
      </c>
      <c r="B1849" t="s">
        <v>25</v>
      </c>
      <c r="C1849" t="s">
        <v>129</v>
      </c>
      <c r="D1849" s="9" t="s">
        <v>124</v>
      </c>
      <c r="E1849" t="s">
        <v>37</v>
      </c>
      <c r="F1849" t="s">
        <v>71</v>
      </c>
      <c r="G1849">
        <v>32.700000000000003</v>
      </c>
      <c r="H1849" s="9">
        <v>-24.31</v>
      </c>
      <c r="I1849"/>
    </row>
    <row r="1850" spans="1:9" x14ac:dyDescent="0.3">
      <c r="A1850" t="s">
        <v>2</v>
      </c>
      <c r="B1850" t="s">
        <v>25</v>
      </c>
      <c r="C1850" t="s">
        <v>130</v>
      </c>
      <c r="D1850" s="9" t="s">
        <v>124</v>
      </c>
      <c r="E1850" t="s">
        <v>38</v>
      </c>
      <c r="F1850" t="s">
        <v>73</v>
      </c>
      <c r="G1850">
        <v>33.5</v>
      </c>
      <c r="H1850" s="9">
        <v>-14.76</v>
      </c>
      <c r="I1850"/>
    </row>
    <row r="1851" spans="1:9" x14ac:dyDescent="0.3">
      <c r="A1851" t="s">
        <v>2</v>
      </c>
      <c r="B1851" t="s">
        <v>25</v>
      </c>
      <c r="C1851" t="s">
        <v>131</v>
      </c>
      <c r="D1851" s="9" t="s">
        <v>124</v>
      </c>
      <c r="E1851" t="s">
        <v>39</v>
      </c>
      <c r="F1851" t="s">
        <v>75</v>
      </c>
      <c r="G1851">
        <v>36</v>
      </c>
      <c r="H1851" s="9">
        <v>-7.69</v>
      </c>
      <c r="I1851"/>
    </row>
    <row r="1852" spans="1:9" x14ac:dyDescent="0.3">
      <c r="A1852" t="s">
        <v>2</v>
      </c>
      <c r="B1852" t="s">
        <v>25</v>
      </c>
      <c r="C1852" t="s">
        <v>132</v>
      </c>
      <c r="D1852" s="9" t="s">
        <v>124</v>
      </c>
      <c r="E1852" t="s">
        <v>40</v>
      </c>
      <c r="F1852" t="s">
        <v>77</v>
      </c>
      <c r="G1852">
        <v>35.4</v>
      </c>
      <c r="H1852" s="9">
        <v>-9.69</v>
      </c>
      <c r="I1852"/>
    </row>
    <row r="1853" spans="1:9" x14ac:dyDescent="0.3">
      <c r="A1853" t="s">
        <v>2</v>
      </c>
      <c r="B1853" t="s">
        <v>25</v>
      </c>
      <c r="C1853" t="s">
        <v>133</v>
      </c>
      <c r="D1853" s="9" t="s">
        <v>124</v>
      </c>
      <c r="E1853" t="s">
        <v>41</v>
      </c>
      <c r="F1853" t="s">
        <v>79</v>
      </c>
      <c r="G1853">
        <v>34.299999999999997</v>
      </c>
      <c r="H1853" s="9">
        <v>-17.940000000000001</v>
      </c>
      <c r="I1853"/>
    </row>
    <row r="1854" spans="1:9" x14ac:dyDescent="0.3">
      <c r="A1854" t="s">
        <v>2</v>
      </c>
      <c r="B1854" t="s">
        <v>25</v>
      </c>
      <c r="C1854" t="s">
        <v>134</v>
      </c>
      <c r="D1854" s="9" t="s">
        <v>124</v>
      </c>
      <c r="E1854" t="s">
        <v>42</v>
      </c>
      <c r="F1854" t="s">
        <v>81</v>
      </c>
      <c r="G1854">
        <v>38.799999999999997</v>
      </c>
      <c r="H1854" s="9">
        <v>-11.82</v>
      </c>
      <c r="I1854"/>
    </row>
    <row r="1855" spans="1:9" x14ac:dyDescent="0.3">
      <c r="A1855" t="s">
        <v>2</v>
      </c>
      <c r="B1855" t="s">
        <v>25</v>
      </c>
      <c r="C1855" t="s">
        <v>135</v>
      </c>
      <c r="D1855" s="9" t="s">
        <v>124</v>
      </c>
      <c r="E1855" t="s">
        <v>43</v>
      </c>
      <c r="F1855" t="s">
        <v>83</v>
      </c>
      <c r="G1855">
        <v>53.2</v>
      </c>
      <c r="H1855" s="9">
        <v>-6.17</v>
      </c>
      <c r="I1855"/>
    </row>
    <row r="1856" spans="1:9" x14ac:dyDescent="0.3">
      <c r="A1856" t="s">
        <v>2</v>
      </c>
      <c r="B1856" t="s">
        <v>25</v>
      </c>
      <c r="C1856" t="s">
        <v>136</v>
      </c>
      <c r="D1856" s="9" t="s">
        <v>137</v>
      </c>
      <c r="E1856" t="s">
        <v>32</v>
      </c>
      <c r="F1856" t="s">
        <v>61</v>
      </c>
      <c r="G1856">
        <v>39.5</v>
      </c>
      <c r="H1856" s="9">
        <v>3.95</v>
      </c>
      <c r="I1856"/>
    </row>
    <row r="1857" spans="1:9" x14ac:dyDescent="0.3">
      <c r="A1857" t="s">
        <v>2</v>
      </c>
      <c r="B1857" t="s">
        <v>25</v>
      </c>
      <c r="C1857" t="s">
        <v>138</v>
      </c>
      <c r="D1857" s="9" t="s">
        <v>137</v>
      </c>
      <c r="E1857" t="s">
        <v>33</v>
      </c>
      <c r="F1857" t="s">
        <v>63</v>
      </c>
      <c r="G1857">
        <v>35.5</v>
      </c>
      <c r="H1857" s="9">
        <v>4.72</v>
      </c>
      <c r="I1857"/>
    </row>
    <row r="1858" spans="1:9" x14ac:dyDescent="0.3">
      <c r="A1858" t="s">
        <v>2</v>
      </c>
      <c r="B1858" t="s">
        <v>25</v>
      </c>
      <c r="C1858" t="s">
        <v>139</v>
      </c>
      <c r="D1858" s="9" t="s">
        <v>137</v>
      </c>
      <c r="E1858" t="s">
        <v>34</v>
      </c>
      <c r="F1858" t="s">
        <v>65</v>
      </c>
      <c r="G1858">
        <v>33.6</v>
      </c>
      <c r="H1858" s="9">
        <v>-10.16</v>
      </c>
      <c r="I1858"/>
    </row>
    <row r="1859" spans="1:9" x14ac:dyDescent="0.3">
      <c r="A1859" t="s">
        <v>2</v>
      </c>
      <c r="B1859" t="s">
        <v>25</v>
      </c>
      <c r="C1859" t="s">
        <v>140</v>
      </c>
      <c r="D1859" s="9" t="s">
        <v>137</v>
      </c>
      <c r="E1859" t="s">
        <v>35</v>
      </c>
      <c r="F1859" t="s">
        <v>67</v>
      </c>
      <c r="G1859">
        <v>33.9</v>
      </c>
      <c r="H1859" s="9">
        <v>-3.69</v>
      </c>
      <c r="I1859"/>
    </row>
    <row r="1860" spans="1:9" x14ac:dyDescent="0.3">
      <c r="A1860" t="s">
        <v>2</v>
      </c>
      <c r="B1860" t="s">
        <v>25</v>
      </c>
      <c r="C1860" t="s">
        <v>141</v>
      </c>
      <c r="D1860" s="9" t="s">
        <v>137</v>
      </c>
      <c r="E1860" t="s">
        <v>36</v>
      </c>
      <c r="F1860" t="s">
        <v>69</v>
      </c>
      <c r="G1860">
        <v>36.299999999999997</v>
      </c>
      <c r="H1860" s="9">
        <v>10</v>
      </c>
      <c r="I1860"/>
    </row>
    <row r="1861" spans="1:9" x14ac:dyDescent="0.3">
      <c r="A1861" t="s">
        <v>2</v>
      </c>
      <c r="B1861" t="s">
        <v>25</v>
      </c>
      <c r="C1861" t="s">
        <v>142</v>
      </c>
      <c r="D1861" s="9" t="s">
        <v>137</v>
      </c>
      <c r="E1861" t="s">
        <v>37</v>
      </c>
      <c r="F1861" t="s">
        <v>71</v>
      </c>
      <c r="G1861">
        <v>33.299999999999997</v>
      </c>
      <c r="H1861" s="9">
        <v>1.83</v>
      </c>
      <c r="I1861"/>
    </row>
    <row r="1862" spans="1:9" x14ac:dyDescent="0.3">
      <c r="A1862" t="s">
        <v>2</v>
      </c>
      <c r="B1862" t="s">
        <v>25</v>
      </c>
      <c r="C1862" t="s">
        <v>143</v>
      </c>
      <c r="D1862" s="9" t="s">
        <v>137</v>
      </c>
      <c r="E1862" t="s">
        <v>38</v>
      </c>
      <c r="F1862" t="s">
        <v>73</v>
      </c>
      <c r="G1862">
        <v>34.9</v>
      </c>
      <c r="H1862" s="9">
        <v>4.18</v>
      </c>
      <c r="I1862"/>
    </row>
    <row r="1863" spans="1:9" x14ac:dyDescent="0.3">
      <c r="A1863" t="s">
        <v>2</v>
      </c>
      <c r="B1863" t="s">
        <v>25</v>
      </c>
      <c r="C1863" t="s">
        <v>144</v>
      </c>
      <c r="D1863" s="9" t="s">
        <v>137</v>
      </c>
      <c r="E1863" t="s">
        <v>39</v>
      </c>
      <c r="F1863" t="s">
        <v>75</v>
      </c>
      <c r="G1863">
        <v>39.200000000000003</v>
      </c>
      <c r="H1863" s="9">
        <v>8.89</v>
      </c>
      <c r="I1863"/>
    </row>
    <row r="1864" spans="1:9" x14ac:dyDescent="0.3">
      <c r="A1864" t="s">
        <v>2</v>
      </c>
      <c r="B1864" t="s">
        <v>25</v>
      </c>
      <c r="C1864" t="s">
        <v>145</v>
      </c>
      <c r="D1864" s="9" t="s">
        <v>137</v>
      </c>
      <c r="E1864" t="s">
        <v>40</v>
      </c>
      <c r="F1864" t="s">
        <v>77</v>
      </c>
      <c r="G1864">
        <v>36.9</v>
      </c>
      <c r="H1864" s="9">
        <v>4.24</v>
      </c>
      <c r="I1864"/>
    </row>
    <row r="1865" spans="1:9" x14ac:dyDescent="0.3">
      <c r="A1865" t="s">
        <v>2</v>
      </c>
      <c r="B1865" t="s">
        <v>25</v>
      </c>
      <c r="C1865" t="s">
        <v>146</v>
      </c>
      <c r="D1865" s="9" t="s">
        <v>137</v>
      </c>
      <c r="E1865" t="s">
        <v>41</v>
      </c>
      <c r="F1865" t="s">
        <v>79</v>
      </c>
      <c r="G1865">
        <v>38</v>
      </c>
      <c r="H1865" s="9">
        <v>10.79</v>
      </c>
      <c r="I1865"/>
    </row>
    <row r="1866" spans="1:9" x14ac:dyDescent="0.3">
      <c r="A1866" t="s">
        <v>2</v>
      </c>
      <c r="B1866" t="s">
        <v>25</v>
      </c>
      <c r="C1866" t="s">
        <v>147</v>
      </c>
      <c r="D1866" s="9" t="s">
        <v>137</v>
      </c>
      <c r="E1866" t="s">
        <v>42</v>
      </c>
      <c r="F1866" t="s">
        <v>81</v>
      </c>
      <c r="G1866">
        <v>43.3</v>
      </c>
      <c r="H1866" s="9">
        <v>11.6</v>
      </c>
      <c r="I1866"/>
    </row>
    <row r="1867" spans="1:9" x14ac:dyDescent="0.3">
      <c r="A1867" t="s">
        <v>2</v>
      </c>
      <c r="B1867" t="s">
        <v>25</v>
      </c>
      <c r="C1867" t="s">
        <v>148</v>
      </c>
      <c r="D1867" s="9" t="s">
        <v>137</v>
      </c>
      <c r="E1867" t="s">
        <v>43</v>
      </c>
      <c r="F1867" t="s">
        <v>83</v>
      </c>
      <c r="G1867">
        <v>60.2</v>
      </c>
      <c r="H1867" s="9">
        <v>13.16</v>
      </c>
      <c r="I1867"/>
    </row>
    <row r="1868" spans="1:9" x14ac:dyDescent="0.3">
      <c r="A1868" t="s">
        <v>2</v>
      </c>
      <c r="B1868" t="s">
        <v>25</v>
      </c>
      <c r="C1868" t="s">
        <v>149</v>
      </c>
      <c r="D1868" s="9" t="s">
        <v>150</v>
      </c>
      <c r="E1868" t="s">
        <v>32</v>
      </c>
      <c r="F1868" t="s">
        <v>61</v>
      </c>
      <c r="G1868">
        <v>40.5</v>
      </c>
      <c r="H1868" s="9">
        <v>2.5299999999999998</v>
      </c>
      <c r="I1868"/>
    </row>
    <row r="1869" spans="1:9" x14ac:dyDescent="0.3">
      <c r="A1869" t="s">
        <v>2</v>
      </c>
      <c r="B1869" t="s">
        <v>25</v>
      </c>
      <c r="C1869" t="s">
        <v>151</v>
      </c>
      <c r="D1869" s="9" t="s">
        <v>150</v>
      </c>
      <c r="E1869" t="s">
        <v>33</v>
      </c>
      <c r="F1869" t="s">
        <v>63</v>
      </c>
      <c r="G1869">
        <v>36.200000000000003</v>
      </c>
      <c r="H1869" s="9">
        <v>1.97</v>
      </c>
      <c r="I1869"/>
    </row>
    <row r="1870" spans="1:9" x14ac:dyDescent="0.3">
      <c r="A1870" t="s">
        <v>2</v>
      </c>
      <c r="B1870" t="s">
        <v>25</v>
      </c>
      <c r="C1870" t="s">
        <v>152</v>
      </c>
      <c r="D1870" s="9" t="s">
        <v>150</v>
      </c>
      <c r="E1870" t="s">
        <v>34</v>
      </c>
      <c r="F1870" t="s">
        <v>65</v>
      </c>
      <c r="G1870">
        <v>34.700000000000003</v>
      </c>
      <c r="H1870" s="9">
        <v>3.27</v>
      </c>
      <c r="I1870"/>
    </row>
    <row r="1871" spans="1:9" x14ac:dyDescent="0.3">
      <c r="A1871" t="s">
        <v>2</v>
      </c>
      <c r="B1871" t="s">
        <v>25</v>
      </c>
      <c r="C1871" t="s">
        <v>153</v>
      </c>
      <c r="D1871" s="9" t="s">
        <v>150</v>
      </c>
      <c r="E1871" t="s">
        <v>35</v>
      </c>
      <c r="F1871" t="s">
        <v>67</v>
      </c>
      <c r="G1871">
        <v>34.5</v>
      </c>
      <c r="H1871" s="9">
        <v>1.77</v>
      </c>
      <c r="I1871"/>
    </row>
    <row r="1872" spans="1:9" x14ac:dyDescent="0.3">
      <c r="A1872" t="s">
        <v>2</v>
      </c>
      <c r="B1872" t="s">
        <v>25</v>
      </c>
      <c r="C1872" t="s">
        <v>154</v>
      </c>
      <c r="D1872" s="9" t="s">
        <v>150</v>
      </c>
      <c r="E1872" t="s">
        <v>36</v>
      </c>
      <c r="F1872" t="s">
        <v>69</v>
      </c>
      <c r="G1872">
        <v>37.5</v>
      </c>
      <c r="H1872" s="9">
        <v>3.31</v>
      </c>
      <c r="I1872"/>
    </row>
    <row r="1873" spans="1:9" x14ac:dyDescent="0.3">
      <c r="A1873" t="s">
        <v>2</v>
      </c>
      <c r="B1873" t="s">
        <v>25</v>
      </c>
      <c r="C1873" t="s">
        <v>155</v>
      </c>
      <c r="D1873" s="9" t="s">
        <v>150</v>
      </c>
      <c r="E1873" t="s">
        <v>37</v>
      </c>
      <c r="F1873" t="s">
        <v>71</v>
      </c>
      <c r="G1873">
        <v>35.9</v>
      </c>
      <c r="H1873" s="9">
        <v>7.81</v>
      </c>
      <c r="I1873"/>
    </row>
    <row r="1874" spans="1:9" x14ac:dyDescent="0.3">
      <c r="A1874" t="s">
        <v>2</v>
      </c>
      <c r="B1874" t="s">
        <v>24</v>
      </c>
      <c r="C1874" t="s">
        <v>59</v>
      </c>
      <c r="D1874" s="9" t="s">
        <v>60</v>
      </c>
      <c r="E1874" t="s">
        <v>32</v>
      </c>
      <c r="F1874" t="s">
        <v>61</v>
      </c>
      <c r="G1874">
        <v>131.4</v>
      </c>
      <c r="I1874"/>
    </row>
    <row r="1875" spans="1:9" x14ac:dyDescent="0.3">
      <c r="A1875" t="s">
        <v>2</v>
      </c>
      <c r="B1875" t="s">
        <v>24</v>
      </c>
      <c r="C1875" t="s">
        <v>62</v>
      </c>
      <c r="D1875" s="9" t="s">
        <v>60</v>
      </c>
      <c r="E1875" t="s">
        <v>33</v>
      </c>
      <c r="F1875" t="s">
        <v>63</v>
      </c>
      <c r="G1875">
        <v>87.4</v>
      </c>
      <c r="I1875"/>
    </row>
    <row r="1876" spans="1:9" x14ac:dyDescent="0.3">
      <c r="A1876" t="s">
        <v>2</v>
      </c>
      <c r="B1876" t="s">
        <v>24</v>
      </c>
      <c r="C1876" t="s">
        <v>64</v>
      </c>
      <c r="D1876" s="9" t="s">
        <v>60</v>
      </c>
      <c r="E1876" t="s">
        <v>34</v>
      </c>
      <c r="F1876" t="s">
        <v>65</v>
      </c>
      <c r="G1876">
        <v>102.7</v>
      </c>
      <c r="I1876"/>
    </row>
    <row r="1877" spans="1:9" x14ac:dyDescent="0.3">
      <c r="A1877" t="s">
        <v>2</v>
      </c>
      <c r="B1877" t="s">
        <v>24</v>
      </c>
      <c r="C1877" t="s">
        <v>66</v>
      </c>
      <c r="D1877" s="9" t="s">
        <v>60</v>
      </c>
      <c r="E1877" t="s">
        <v>35</v>
      </c>
      <c r="F1877" t="s">
        <v>67</v>
      </c>
      <c r="G1877">
        <v>101.7</v>
      </c>
      <c r="I1877"/>
    </row>
    <row r="1878" spans="1:9" x14ac:dyDescent="0.3">
      <c r="A1878" t="s">
        <v>2</v>
      </c>
      <c r="B1878" t="s">
        <v>24</v>
      </c>
      <c r="C1878" t="s">
        <v>68</v>
      </c>
      <c r="D1878" s="9" t="s">
        <v>60</v>
      </c>
      <c r="E1878" t="s">
        <v>36</v>
      </c>
      <c r="F1878" t="s">
        <v>69</v>
      </c>
      <c r="G1878">
        <v>92.1</v>
      </c>
      <c r="I1878"/>
    </row>
    <row r="1879" spans="1:9" x14ac:dyDescent="0.3">
      <c r="A1879" t="s">
        <v>2</v>
      </c>
      <c r="B1879" t="s">
        <v>24</v>
      </c>
      <c r="C1879" t="s">
        <v>70</v>
      </c>
      <c r="D1879" s="9" t="s">
        <v>60</v>
      </c>
      <c r="E1879" t="s">
        <v>37</v>
      </c>
      <c r="F1879" t="s">
        <v>71</v>
      </c>
      <c r="G1879">
        <v>93.3</v>
      </c>
      <c r="I1879"/>
    </row>
    <row r="1880" spans="1:9" x14ac:dyDescent="0.3">
      <c r="A1880" t="s">
        <v>2</v>
      </c>
      <c r="B1880" t="s">
        <v>24</v>
      </c>
      <c r="C1880" t="s">
        <v>72</v>
      </c>
      <c r="D1880" s="9" t="s">
        <v>60</v>
      </c>
      <c r="E1880" t="s">
        <v>38</v>
      </c>
      <c r="F1880" t="s">
        <v>73</v>
      </c>
      <c r="G1880">
        <v>99.8</v>
      </c>
      <c r="I1880"/>
    </row>
    <row r="1881" spans="1:9" x14ac:dyDescent="0.3">
      <c r="A1881" t="s">
        <v>2</v>
      </c>
      <c r="B1881" t="s">
        <v>24</v>
      </c>
      <c r="C1881" t="s">
        <v>74</v>
      </c>
      <c r="D1881" s="9" t="s">
        <v>60</v>
      </c>
      <c r="E1881" t="s">
        <v>39</v>
      </c>
      <c r="F1881" t="s">
        <v>75</v>
      </c>
      <c r="G1881">
        <v>97.6</v>
      </c>
      <c r="I1881"/>
    </row>
    <row r="1882" spans="1:9" x14ac:dyDescent="0.3">
      <c r="A1882" t="s">
        <v>2</v>
      </c>
      <c r="B1882" t="s">
        <v>24</v>
      </c>
      <c r="C1882" t="s">
        <v>76</v>
      </c>
      <c r="D1882" s="9" t="s">
        <v>60</v>
      </c>
      <c r="E1882" t="s">
        <v>40</v>
      </c>
      <c r="F1882" t="s">
        <v>77</v>
      </c>
      <c r="G1882">
        <v>107.8</v>
      </c>
      <c r="I1882"/>
    </row>
    <row r="1883" spans="1:9" x14ac:dyDescent="0.3">
      <c r="A1883" t="s">
        <v>2</v>
      </c>
      <c r="B1883" t="s">
        <v>24</v>
      </c>
      <c r="C1883" t="s">
        <v>78</v>
      </c>
      <c r="D1883" s="9" t="s">
        <v>60</v>
      </c>
      <c r="E1883" t="s">
        <v>41</v>
      </c>
      <c r="F1883" t="s">
        <v>79</v>
      </c>
      <c r="G1883">
        <v>129.4</v>
      </c>
      <c r="I1883"/>
    </row>
    <row r="1884" spans="1:9" x14ac:dyDescent="0.3">
      <c r="A1884" t="s">
        <v>2</v>
      </c>
      <c r="B1884" t="s">
        <v>24</v>
      </c>
      <c r="C1884" t="s">
        <v>80</v>
      </c>
      <c r="D1884" s="9" t="s">
        <v>60</v>
      </c>
      <c r="E1884" t="s">
        <v>42</v>
      </c>
      <c r="F1884" t="s">
        <v>81</v>
      </c>
      <c r="G1884">
        <v>143.6</v>
      </c>
      <c r="I1884"/>
    </row>
    <row r="1885" spans="1:9" x14ac:dyDescent="0.3">
      <c r="A1885" t="s">
        <v>2</v>
      </c>
      <c r="B1885" t="s">
        <v>24</v>
      </c>
      <c r="C1885" t="s">
        <v>82</v>
      </c>
      <c r="D1885" s="9" t="s">
        <v>60</v>
      </c>
      <c r="E1885" t="s">
        <v>43</v>
      </c>
      <c r="F1885" t="s">
        <v>83</v>
      </c>
      <c r="G1885">
        <v>231.3</v>
      </c>
      <c r="I1885"/>
    </row>
    <row r="1886" spans="1:9" x14ac:dyDescent="0.3">
      <c r="A1886" t="s">
        <v>2</v>
      </c>
      <c r="B1886" t="s">
        <v>24</v>
      </c>
      <c r="C1886" t="s">
        <v>84</v>
      </c>
      <c r="D1886" s="9" t="s">
        <v>85</v>
      </c>
      <c r="E1886" t="s">
        <v>32</v>
      </c>
      <c r="F1886" t="s">
        <v>61</v>
      </c>
      <c r="G1886">
        <v>123.5</v>
      </c>
      <c r="H1886" s="9">
        <v>-6.01</v>
      </c>
      <c r="I1886"/>
    </row>
    <row r="1887" spans="1:9" x14ac:dyDescent="0.3">
      <c r="A1887" t="s">
        <v>2</v>
      </c>
      <c r="B1887" t="s">
        <v>24</v>
      </c>
      <c r="C1887" t="s">
        <v>86</v>
      </c>
      <c r="D1887" s="9" t="s">
        <v>85</v>
      </c>
      <c r="E1887" t="s">
        <v>33</v>
      </c>
      <c r="F1887" t="s">
        <v>63</v>
      </c>
      <c r="G1887">
        <v>92.7</v>
      </c>
      <c r="H1887" s="9">
        <v>6.06</v>
      </c>
      <c r="I1887"/>
    </row>
    <row r="1888" spans="1:9" x14ac:dyDescent="0.3">
      <c r="A1888" t="s">
        <v>2</v>
      </c>
      <c r="B1888" t="s">
        <v>24</v>
      </c>
      <c r="C1888" t="s">
        <v>87</v>
      </c>
      <c r="D1888" s="9" t="s">
        <v>85</v>
      </c>
      <c r="E1888" t="s">
        <v>34</v>
      </c>
      <c r="F1888" t="s">
        <v>65</v>
      </c>
      <c r="G1888">
        <v>112.5</v>
      </c>
      <c r="H1888" s="9">
        <v>9.5399999999999991</v>
      </c>
      <c r="I1888"/>
    </row>
    <row r="1889" spans="1:9" x14ac:dyDescent="0.3">
      <c r="A1889" t="s">
        <v>2</v>
      </c>
      <c r="B1889" t="s">
        <v>24</v>
      </c>
      <c r="C1889" t="s">
        <v>88</v>
      </c>
      <c r="D1889" s="9" t="s">
        <v>85</v>
      </c>
      <c r="E1889" t="s">
        <v>35</v>
      </c>
      <c r="F1889" t="s">
        <v>67</v>
      </c>
      <c r="G1889">
        <v>120.2</v>
      </c>
      <c r="H1889" s="9">
        <v>18.190000000000001</v>
      </c>
      <c r="I1889"/>
    </row>
    <row r="1890" spans="1:9" x14ac:dyDescent="0.3">
      <c r="A1890" t="s">
        <v>2</v>
      </c>
      <c r="B1890" t="s">
        <v>24</v>
      </c>
      <c r="C1890" t="s">
        <v>89</v>
      </c>
      <c r="D1890" s="9" t="s">
        <v>85</v>
      </c>
      <c r="E1890" t="s">
        <v>36</v>
      </c>
      <c r="F1890" t="s">
        <v>69</v>
      </c>
      <c r="G1890">
        <v>138.4</v>
      </c>
      <c r="H1890" s="9">
        <v>50.27</v>
      </c>
      <c r="I1890"/>
    </row>
    <row r="1891" spans="1:9" x14ac:dyDescent="0.3">
      <c r="A1891" t="s">
        <v>2</v>
      </c>
      <c r="B1891" t="s">
        <v>24</v>
      </c>
      <c r="C1891" t="s">
        <v>90</v>
      </c>
      <c r="D1891" s="9" t="s">
        <v>85</v>
      </c>
      <c r="E1891" t="s">
        <v>37</v>
      </c>
      <c r="F1891" t="s">
        <v>71</v>
      </c>
      <c r="G1891">
        <v>143.69999999999999</v>
      </c>
      <c r="H1891" s="9">
        <v>54.02</v>
      </c>
      <c r="I1891"/>
    </row>
    <row r="1892" spans="1:9" x14ac:dyDescent="0.3">
      <c r="A1892" t="s">
        <v>2</v>
      </c>
      <c r="B1892" t="s">
        <v>24</v>
      </c>
      <c r="C1892" t="s">
        <v>91</v>
      </c>
      <c r="D1892" s="9" t="s">
        <v>85</v>
      </c>
      <c r="E1892" t="s">
        <v>38</v>
      </c>
      <c r="F1892" t="s">
        <v>73</v>
      </c>
      <c r="G1892">
        <v>174.7</v>
      </c>
      <c r="H1892" s="9">
        <v>75.05</v>
      </c>
      <c r="I1892"/>
    </row>
    <row r="1893" spans="1:9" x14ac:dyDescent="0.3">
      <c r="A1893" t="s">
        <v>2</v>
      </c>
      <c r="B1893" t="s">
        <v>24</v>
      </c>
      <c r="C1893" t="s">
        <v>92</v>
      </c>
      <c r="D1893" s="9" t="s">
        <v>85</v>
      </c>
      <c r="E1893" t="s">
        <v>39</v>
      </c>
      <c r="F1893" t="s">
        <v>75</v>
      </c>
      <c r="G1893">
        <v>152.5</v>
      </c>
      <c r="H1893" s="9">
        <v>56.25</v>
      </c>
      <c r="I1893"/>
    </row>
    <row r="1894" spans="1:9" x14ac:dyDescent="0.3">
      <c r="A1894" t="s">
        <v>2</v>
      </c>
      <c r="B1894" t="s">
        <v>24</v>
      </c>
      <c r="C1894" t="s">
        <v>93</v>
      </c>
      <c r="D1894" s="9" t="s">
        <v>85</v>
      </c>
      <c r="E1894" t="s">
        <v>40</v>
      </c>
      <c r="F1894" t="s">
        <v>77</v>
      </c>
      <c r="G1894">
        <v>168.9</v>
      </c>
      <c r="H1894" s="9">
        <v>56.68</v>
      </c>
      <c r="I1894"/>
    </row>
    <row r="1895" spans="1:9" x14ac:dyDescent="0.3">
      <c r="A1895" t="s">
        <v>2</v>
      </c>
      <c r="B1895" t="s">
        <v>24</v>
      </c>
      <c r="C1895" t="s">
        <v>94</v>
      </c>
      <c r="D1895" s="9" t="s">
        <v>85</v>
      </c>
      <c r="E1895" t="s">
        <v>41</v>
      </c>
      <c r="F1895" t="s">
        <v>79</v>
      </c>
      <c r="G1895">
        <v>199.3</v>
      </c>
      <c r="H1895" s="9">
        <v>54.02</v>
      </c>
      <c r="I1895"/>
    </row>
    <row r="1896" spans="1:9" x14ac:dyDescent="0.3">
      <c r="A1896" t="s">
        <v>2</v>
      </c>
      <c r="B1896" t="s">
        <v>24</v>
      </c>
      <c r="C1896" t="s">
        <v>95</v>
      </c>
      <c r="D1896" s="9" t="s">
        <v>85</v>
      </c>
      <c r="E1896" t="s">
        <v>42</v>
      </c>
      <c r="F1896" t="s">
        <v>81</v>
      </c>
      <c r="G1896">
        <v>245.2</v>
      </c>
      <c r="H1896" s="9">
        <v>70.75</v>
      </c>
      <c r="I1896"/>
    </row>
    <row r="1897" spans="1:9" x14ac:dyDescent="0.3">
      <c r="A1897" t="s">
        <v>2</v>
      </c>
      <c r="B1897" t="s">
        <v>24</v>
      </c>
      <c r="C1897" t="s">
        <v>96</v>
      </c>
      <c r="D1897" s="9" t="s">
        <v>85</v>
      </c>
      <c r="E1897" t="s">
        <v>43</v>
      </c>
      <c r="F1897" t="s">
        <v>83</v>
      </c>
      <c r="G1897">
        <v>308.39999999999998</v>
      </c>
      <c r="H1897" s="9">
        <v>33.33</v>
      </c>
      <c r="I1897"/>
    </row>
    <row r="1898" spans="1:9" x14ac:dyDescent="0.3">
      <c r="A1898" t="s">
        <v>2</v>
      </c>
      <c r="B1898" t="s">
        <v>24</v>
      </c>
      <c r="C1898" t="s">
        <v>97</v>
      </c>
      <c r="D1898" s="9" t="s">
        <v>98</v>
      </c>
      <c r="E1898" t="s">
        <v>32</v>
      </c>
      <c r="F1898" t="s">
        <v>61</v>
      </c>
      <c r="G1898">
        <v>170.2</v>
      </c>
      <c r="H1898" s="9">
        <v>37.81</v>
      </c>
      <c r="I1898"/>
    </row>
    <row r="1899" spans="1:9" x14ac:dyDescent="0.3">
      <c r="A1899" t="s">
        <v>2</v>
      </c>
      <c r="B1899" t="s">
        <v>24</v>
      </c>
      <c r="C1899" t="s">
        <v>99</v>
      </c>
      <c r="D1899" s="9" t="s">
        <v>98</v>
      </c>
      <c r="E1899" t="s">
        <v>33</v>
      </c>
      <c r="F1899" t="s">
        <v>63</v>
      </c>
      <c r="G1899">
        <v>121.1</v>
      </c>
      <c r="H1899" s="9">
        <v>30.64</v>
      </c>
      <c r="I1899"/>
    </row>
    <row r="1900" spans="1:9" x14ac:dyDescent="0.3">
      <c r="A1900" t="s">
        <v>2</v>
      </c>
      <c r="B1900" t="s">
        <v>24</v>
      </c>
      <c r="C1900" t="s">
        <v>100</v>
      </c>
      <c r="D1900" s="9" t="s">
        <v>98</v>
      </c>
      <c r="E1900" t="s">
        <v>34</v>
      </c>
      <c r="F1900" t="s">
        <v>65</v>
      </c>
      <c r="G1900">
        <v>142</v>
      </c>
      <c r="H1900" s="9">
        <v>26.22</v>
      </c>
      <c r="I1900"/>
    </row>
    <row r="1901" spans="1:9" x14ac:dyDescent="0.3">
      <c r="A1901" t="s">
        <v>2</v>
      </c>
      <c r="B1901" t="s">
        <v>24</v>
      </c>
      <c r="C1901" t="s">
        <v>101</v>
      </c>
      <c r="D1901" s="9" t="s">
        <v>98</v>
      </c>
      <c r="E1901" t="s">
        <v>35</v>
      </c>
      <c r="F1901" t="s">
        <v>67</v>
      </c>
      <c r="G1901">
        <v>147.5</v>
      </c>
      <c r="H1901" s="9">
        <v>22.71</v>
      </c>
      <c r="I1901"/>
    </row>
    <row r="1902" spans="1:9" x14ac:dyDescent="0.3">
      <c r="A1902" t="s">
        <v>2</v>
      </c>
      <c r="B1902" t="s">
        <v>24</v>
      </c>
      <c r="C1902" t="s">
        <v>102</v>
      </c>
      <c r="D1902" s="9" t="s">
        <v>98</v>
      </c>
      <c r="E1902" t="s">
        <v>36</v>
      </c>
      <c r="F1902" t="s">
        <v>69</v>
      </c>
      <c r="G1902">
        <v>143.6</v>
      </c>
      <c r="H1902" s="9">
        <v>3.76</v>
      </c>
      <c r="I1902"/>
    </row>
    <row r="1903" spans="1:9" x14ac:dyDescent="0.3">
      <c r="A1903" t="s">
        <v>2</v>
      </c>
      <c r="B1903" t="s">
        <v>24</v>
      </c>
      <c r="C1903" t="s">
        <v>103</v>
      </c>
      <c r="D1903" s="9" t="s">
        <v>98</v>
      </c>
      <c r="E1903" t="s">
        <v>37</v>
      </c>
      <c r="F1903" t="s">
        <v>71</v>
      </c>
      <c r="G1903">
        <v>143</v>
      </c>
      <c r="H1903" s="9">
        <v>-0.49</v>
      </c>
      <c r="I1903"/>
    </row>
    <row r="1904" spans="1:9" x14ac:dyDescent="0.3">
      <c r="A1904" t="s">
        <v>2</v>
      </c>
      <c r="B1904" t="s">
        <v>24</v>
      </c>
      <c r="C1904" t="s">
        <v>104</v>
      </c>
      <c r="D1904" s="9" t="s">
        <v>98</v>
      </c>
      <c r="E1904" t="s">
        <v>38</v>
      </c>
      <c r="F1904" t="s">
        <v>73</v>
      </c>
      <c r="G1904">
        <v>135</v>
      </c>
      <c r="H1904" s="9">
        <v>-22.72</v>
      </c>
      <c r="I1904"/>
    </row>
    <row r="1905" spans="1:9" x14ac:dyDescent="0.3">
      <c r="A1905" t="s">
        <v>2</v>
      </c>
      <c r="B1905" t="s">
        <v>24</v>
      </c>
      <c r="C1905" t="s">
        <v>105</v>
      </c>
      <c r="D1905" s="9" t="s">
        <v>98</v>
      </c>
      <c r="E1905" t="s">
        <v>39</v>
      </c>
      <c r="F1905" t="s">
        <v>75</v>
      </c>
      <c r="G1905">
        <v>128.80000000000001</v>
      </c>
      <c r="H1905" s="9">
        <v>-15.54</v>
      </c>
      <c r="I1905"/>
    </row>
    <row r="1906" spans="1:9" x14ac:dyDescent="0.3">
      <c r="A1906" t="s">
        <v>2</v>
      </c>
      <c r="B1906" t="s">
        <v>24</v>
      </c>
      <c r="C1906" t="s">
        <v>106</v>
      </c>
      <c r="D1906" s="9" t="s">
        <v>98</v>
      </c>
      <c r="E1906" t="s">
        <v>40</v>
      </c>
      <c r="F1906" t="s">
        <v>77</v>
      </c>
      <c r="G1906">
        <v>139</v>
      </c>
      <c r="H1906" s="9">
        <v>-17.7</v>
      </c>
      <c r="I1906"/>
    </row>
    <row r="1907" spans="1:9" x14ac:dyDescent="0.3">
      <c r="A1907" t="s">
        <v>2</v>
      </c>
      <c r="B1907" t="s">
        <v>24</v>
      </c>
      <c r="C1907" t="s">
        <v>107</v>
      </c>
      <c r="D1907" s="9" t="s">
        <v>98</v>
      </c>
      <c r="E1907" t="s">
        <v>41</v>
      </c>
      <c r="F1907" t="s">
        <v>79</v>
      </c>
      <c r="G1907">
        <v>173.2</v>
      </c>
      <c r="H1907" s="9">
        <v>-13.1</v>
      </c>
      <c r="I1907"/>
    </row>
    <row r="1908" spans="1:9" x14ac:dyDescent="0.3">
      <c r="A1908" t="s">
        <v>2</v>
      </c>
      <c r="B1908" t="s">
        <v>24</v>
      </c>
      <c r="C1908" t="s">
        <v>108</v>
      </c>
      <c r="D1908" s="9" t="s">
        <v>98</v>
      </c>
      <c r="E1908" t="s">
        <v>42</v>
      </c>
      <c r="F1908" t="s">
        <v>81</v>
      </c>
      <c r="G1908">
        <v>239.1</v>
      </c>
      <c r="H1908" s="9">
        <v>-2.4900000000000002</v>
      </c>
      <c r="I1908"/>
    </row>
    <row r="1909" spans="1:9" x14ac:dyDescent="0.3">
      <c r="A1909" t="s">
        <v>2</v>
      </c>
      <c r="B1909" t="s">
        <v>24</v>
      </c>
      <c r="C1909" t="s">
        <v>109</v>
      </c>
      <c r="D1909" s="9" t="s">
        <v>98</v>
      </c>
      <c r="E1909" t="s">
        <v>43</v>
      </c>
      <c r="F1909" t="s">
        <v>83</v>
      </c>
      <c r="G1909">
        <v>294.5</v>
      </c>
      <c r="H1909" s="9">
        <v>-4.51</v>
      </c>
      <c r="I1909"/>
    </row>
    <row r="1910" spans="1:9" x14ac:dyDescent="0.3">
      <c r="A1910" t="s">
        <v>2</v>
      </c>
      <c r="B1910" t="s">
        <v>24</v>
      </c>
      <c r="C1910" t="s">
        <v>110</v>
      </c>
      <c r="D1910" s="9" t="s">
        <v>111</v>
      </c>
      <c r="E1910" t="s">
        <v>32</v>
      </c>
      <c r="F1910" t="s">
        <v>61</v>
      </c>
      <c r="G1910">
        <v>191.5</v>
      </c>
      <c r="H1910" s="9">
        <v>12.51</v>
      </c>
      <c r="I1910"/>
    </row>
    <row r="1911" spans="1:9" x14ac:dyDescent="0.3">
      <c r="A1911" t="s">
        <v>2</v>
      </c>
      <c r="B1911" t="s">
        <v>24</v>
      </c>
      <c r="C1911" t="s">
        <v>112</v>
      </c>
      <c r="D1911" s="9" t="s">
        <v>111</v>
      </c>
      <c r="E1911" t="s">
        <v>33</v>
      </c>
      <c r="F1911" t="s">
        <v>63</v>
      </c>
      <c r="G1911">
        <v>135.30000000000001</v>
      </c>
      <c r="H1911" s="9">
        <v>11.73</v>
      </c>
      <c r="I1911"/>
    </row>
    <row r="1912" spans="1:9" x14ac:dyDescent="0.3">
      <c r="A1912" t="s">
        <v>2</v>
      </c>
      <c r="B1912" t="s">
        <v>24</v>
      </c>
      <c r="C1912" t="s">
        <v>113</v>
      </c>
      <c r="D1912" s="9" t="s">
        <v>111</v>
      </c>
      <c r="E1912" t="s">
        <v>34</v>
      </c>
      <c r="F1912" t="s">
        <v>65</v>
      </c>
      <c r="G1912">
        <v>143.4</v>
      </c>
      <c r="H1912" s="9">
        <v>0.99</v>
      </c>
      <c r="I1912"/>
    </row>
    <row r="1913" spans="1:9" x14ac:dyDescent="0.3">
      <c r="A1913" t="s">
        <v>2</v>
      </c>
      <c r="B1913" t="s">
        <v>24</v>
      </c>
      <c r="C1913" t="s">
        <v>114</v>
      </c>
      <c r="D1913" s="9" t="s">
        <v>111</v>
      </c>
      <c r="E1913" t="s">
        <v>35</v>
      </c>
      <c r="F1913" t="s">
        <v>67</v>
      </c>
      <c r="G1913">
        <v>160.5</v>
      </c>
      <c r="H1913" s="9">
        <v>8.81</v>
      </c>
      <c r="I1913"/>
    </row>
    <row r="1914" spans="1:9" x14ac:dyDescent="0.3">
      <c r="A1914" t="s">
        <v>2</v>
      </c>
      <c r="B1914" t="s">
        <v>24</v>
      </c>
      <c r="C1914" t="s">
        <v>115</v>
      </c>
      <c r="D1914" s="9" t="s">
        <v>111</v>
      </c>
      <c r="E1914" t="s">
        <v>36</v>
      </c>
      <c r="F1914" t="s">
        <v>69</v>
      </c>
      <c r="G1914">
        <v>140.30000000000001</v>
      </c>
      <c r="H1914" s="9">
        <v>-2.2999999999999998</v>
      </c>
      <c r="I1914"/>
    </row>
    <row r="1915" spans="1:9" x14ac:dyDescent="0.3">
      <c r="A1915" t="s">
        <v>2</v>
      </c>
      <c r="B1915" t="s">
        <v>24</v>
      </c>
      <c r="C1915" t="s">
        <v>116</v>
      </c>
      <c r="D1915" s="9" t="s">
        <v>111</v>
      </c>
      <c r="E1915" t="s">
        <v>37</v>
      </c>
      <c r="F1915" t="s">
        <v>71</v>
      </c>
      <c r="G1915">
        <v>147.30000000000001</v>
      </c>
      <c r="H1915" s="9">
        <v>3.01</v>
      </c>
      <c r="I1915"/>
    </row>
    <row r="1916" spans="1:9" x14ac:dyDescent="0.3">
      <c r="A1916" t="s">
        <v>2</v>
      </c>
      <c r="B1916" t="s">
        <v>24</v>
      </c>
      <c r="C1916" t="s">
        <v>117</v>
      </c>
      <c r="D1916" s="9" t="s">
        <v>111</v>
      </c>
      <c r="E1916" t="s">
        <v>38</v>
      </c>
      <c r="F1916" t="s">
        <v>73</v>
      </c>
      <c r="G1916">
        <v>152.69999999999999</v>
      </c>
      <c r="H1916" s="9">
        <v>13.11</v>
      </c>
      <c r="I1916"/>
    </row>
    <row r="1917" spans="1:9" x14ac:dyDescent="0.3">
      <c r="A1917" t="s">
        <v>2</v>
      </c>
      <c r="B1917" t="s">
        <v>24</v>
      </c>
      <c r="C1917" t="s">
        <v>118</v>
      </c>
      <c r="D1917" s="9" t="s">
        <v>111</v>
      </c>
      <c r="E1917" t="s">
        <v>39</v>
      </c>
      <c r="F1917" t="s">
        <v>75</v>
      </c>
      <c r="G1917">
        <v>145.69999999999999</v>
      </c>
      <c r="H1917" s="9">
        <v>13.12</v>
      </c>
      <c r="I1917"/>
    </row>
    <row r="1918" spans="1:9" x14ac:dyDescent="0.3">
      <c r="A1918" t="s">
        <v>2</v>
      </c>
      <c r="B1918" t="s">
        <v>24</v>
      </c>
      <c r="C1918" t="s">
        <v>119</v>
      </c>
      <c r="D1918" s="9" t="s">
        <v>111</v>
      </c>
      <c r="E1918" t="s">
        <v>40</v>
      </c>
      <c r="F1918" t="s">
        <v>77</v>
      </c>
      <c r="G1918">
        <v>161.6</v>
      </c>
      <c r="H1918" s="9">
        <v>16.260000000000002</v>
      </c>
      <c r="I1918"/>
    </row>
    <row r="1919" spans="1:9" x14ac:dyDescent="0.3">
      <c r="A1919" t="s">
        <v>2</v>
      </c>
      <c r="B1919" t="s">
        <v>24</v>
      </c>
      <c r="C1919" t="s">
        <v>120</v>
      </c>
      <c r="D1919" s="9" t="s">
        <v>111</v>
      </c>
      <c r="E1919" t="s">
        <v>41</v>
      </c>
      <c r="F1919" t="s">
        <v>79</v>
      </c>
      <c r="G1919">
        <v>159.19999999999999</v>
      </c>
      <c r="H1919" s="9">
        <v>-8.08</v>
      </c>
      <c r="I1919"/>
    </row>
    <row r="1920" spans="1:9" x14ac:dyDescent="0.3">
      <c r="A1920" t="s">
        <v>2</v>
      </c>
      <c r="B1920" t="s">
        <v>24</v>
      </c>
      <c r="C1920" t="s">
        <v>121</v>
      </c>
      <c r="D1920" s="9" t="s">
        <v>111</v>
      </c>
      <c r="E1920" t="s">
        <v>42</v>
      </c>
      <c r="F1920" t="s">
        <v>81</v>
      </c>
      <c r="G1920">
        <v>197.6</v>
      </c>
      <c r="H1920" s="9">
        <v>-17.36</v>
      </c>
      <c r="I1920"/>
    </row>
    <row r="1921" spans="1:9" x14ac:dyDescent="0.3">
      <c r="A1921" t="s">
        <v>2</v>
      </c>
      <c r="B1921" t="s">
        <v>24</v>
      </c>
      <c r="C1921" t="s">
        <v>122</v>
      </c>
      <c r="D1921" s="9" t="s">
        <v>111</v>
      </c>
      <c r="E1921" t="s">
        <v>43</v>
      </c>
      <c r="F1921" t="s">
        <v>83</v>
      </c>
      <c r="G1921">
        <v>275.8</v>
      </c>
      <c r="H1921" s="9">
        <v>-6.35</v>
      </c>
      <c r="I1921"/>
    </row>
    <row r="1922" spans="1:9" x14ac:dyDescent="0.3">
      <c r="A1922" t="s">
        <v>2</v>
      </c>
      <c r="B1922" t="s">
        <v>24</v>
      </c>
      <c r="C1922" t="s">
        <v>123</v>
      </c>
      <c r="D1922" s="9" t="s">
        <v>124</v>
      </c>
      <c r="E1922" t="s">
        <v>32</v>
      </c>
      <c r="F1922" t="s">
        <v>61</v>
      </c>
      <c r="G1922">
        <v>188.4</v>
      </c>
      <c r="H1922" s="9">
        <v>-1.62</v>
      </c>
      <c r="I1922"/>
    </row>
    <row r="1923" spans="1:9" x14ac:dyDescent="0.3">
      <c r="A1923" t="s">
        <v>2</v>
      </c>
      <c r="B1923" t="s">
        <v>24</v>
      </c>
      <c r="C1923" t="s">
        <v>125</v>
      </c>
      <c r="D1923" s="9" t="s">
        <v>124</v>
      </c>
      <c r="E1923" t="s">
        <v>33</v>
      </c>
      <c r="F1923" t="s">
        <v>63</v>
      </c>
      <c r="G1923">
        <v>135.1</v>
      </c>
      <c r="H1923" s="9">
        <v>-0.15</v>
      </c>
      <c r="I1923"/>
    </row>
    <row r="1924" spans="1:9" x14ac:dyDescent="0.3">
      <c r="A1924" t="s">
        <v>2</v>
      </c>
      <c r="B1924" t="s">
        <v>24</v>
      </c>
      <c r="C1924" t="s">
        <v>126</v>
      </c>
      <c r="D1924" s="9" t="s">
        <v>124</v>
      </c>
      <c r="E1924" t="s">
        <v>34</v>
      </c>
      <c r="F1924" t="s">
        <v>65</v>
      </c>
      <c r="G1924">
        <v>154.1</v>
      </c>
      <c r="H1924" s="9">
        <v>7.46</v>
      </c>
      <c r="I1924"/>
    </row>
    <row r="1925" spans="1:9" x14ac:dyDescent="0.3">
      <c r="A1925" t="s">
        <v>2</v>
      </c>
      <c r="B1925" t="s">
        <v>24</v>
      </c>
      <c r="C1925" t="s">
        <v>127</v>
      </c>
      <c r="D1925" s="9" t="s">
        <v>124</v>
      </c>
      <c r="E1925" t="s">
        <v>35</v>
      </c>
      <c r="F1925" t="s">
        <v>67</v>
      </c>
      <c r="G1925">
        <v>150.6</v>
      </c>
      <c r="H1925" s="9">
        <v>-6.17</v>
      </c>
      <c r="I1925"/>
    </row>
    <row r="1926" spans="1:9" x14ac:dyDescent="0.3">
      <c r="A1926" t="s">
        <v>2</v>
      </c>
      <c r="B1926" t="s">
        <v>24</v>
      </c>
      <c r="C1926" t="s">
        <v>128</v>
      </c>
      <c r="D1926" s="9" t="s">
        <v>124</v>
      </c>
      <c r="E1926" t="s">
        <v>36</v>
      </c>
      <c r="F1926" t="s">
        <v>69</v>
      </c>
      <c r="G1926">
        <v>141.30000000000001</v>
      </c>
      <c r="H1926" s="9">
        <v>0.71</v>
      </c>
      <c r="I1926"/>
    </row>
    <row r="1927" spans="1:9" x14ac:dyDescent="0.3">
      <c r="A1927" t="s">
        <v>2</v>
      </c>
      <c r="B1927" t="s">
        <v>24</v>
      </c>
      <c r="C1927" t="s">
        <v>129</v>
      </c>
      <c r="D1927" s="9" t="s">
        <v>124</v>
      </c>
      <c r="E1927" t="s">
        <v>37</v>
      </c>
      <c r="F1927" t="s">
        <v>71</v>
      </c>
      <c r="G1927">
        <v>137.19999999999999</v>
      </c>
      <c r="H1927" s="9">
        <v>-6.86</v>
      </c>
      <c r="I1927"/>
    </row>
    <row r="1928" spans="1:9" x14ac:dyDescent="0.3">
      <c r="A1928" t="s">
        <v>2</v>
      </c>
      <c r="B1928" t="s">
        <v>24</v>
      </c>
      <c r="C1928" t="s">
        <v>130</v>
      </c>
      <c r="D1928" s="9" t="s">
        <v>124</v>
      </c>
      <c r="E1928" t="s">
        <v>38</v>
      </c>
      <c r="F1928" t="s">
        <v>73</v>
      </c>
      <c r="G1928">
        <v>132.4</v>
      </c>
      <c r="H1928" s="9">
        <v>-13.29</v>
      </c>
      <c r="I1928"/>
    </row>
    <row r="1929" spans="1:9" x14ac:dyDescent="0.3">
      <c r="A1929" t="s">
        <v>2</v>
      </c>
      <c r="B1929" t="s">
        <v>24</v>
      </c>
      <c r="C1929" t="s">
        <v>131</v>
      </c>
      <c r="D1929" s="9" t="s">
        <v>124</v>
      </c>
      <c r="E1929" t="s">
        <v>39</v>
      </c>
      <c r="F1929" t="s">
        <v>75</v>
      </c>
      <c r="G1929">
        <v>131.19999999999999</v>
      </c>
      <c r="H1929" s="9">
        <v>-9.9499999999999993</v>
      </c>
      <c r="I1929"/>
    </row>
    <row r="1930" spans="1:9" x14ac:dyDescent="0.3">
      <c r="A1930" t="s">
        <v>2</v>
      </c>
      <c r="B1930" t="s">
        <v>24</v>
      </c>
      <c r="C1930" t="s">
        <v>132</v>
      </c>
      <c r="D1930" s="9" t="s">
        <v>124</v>
      </c>
      <c r="E1930" t="s">
        <v>40</v>
      </c>
      <c r="F1930" t="s">
        <v>77</v>
      </c>
      <c r="G1930">
        <v>148.9</v>
      </c>
      <c r="H1930" s="9">
        <v>-7.86</v>
      </c>
      <c r="I1930"/>
    </row>
    <row r="1931" spans="1:9" x14ac:dyDescent="0.3">
      <c r="A1931" t="s">
        <v>2</v>
      </c>
      <c r="B1931" t="s">
        <v>24</v>
      </c>
      <c r="C1931" t="s">
        <v>133</v>
      </c>
      <c r="D1931" s="9" t="s">
        <v>124</v>
      </c>
      <c r="E1931" t="s">
        <v>41</v>
      </c>
      <c r="F1931" t="s">
        <v>79</v>
      </c>
      <c r="G1931">
        <v>147.19999999999999</v>
      </c>
      <c r="H1931" s="9">
        <v>-7.54</v>
      </c>
      <c r="I1931"/>
    </row>
    <row r="1932" spans="1:9" x14ac:dyDescent="0.3">
      <c r="A1932" t="s">
        <v>2</v>
      </c>
      <c r="B1932" t="s">
        <v>24</v>
      </c>
      <c r="C1932" t="s">
        <v>134</v>
      </c>
      <c r="D1932" s="9" t="s">
        <v>124</v>
      </c>
      <c r="E1932" t="s">
        <v>42</v>
      </c>
      <c r="F1932" t="s">
        <v>81</v>
      </c>
      <c r="G1932">
        <v>183.7</v>
      </c>
      <c r="H1932" s="9">
        <v>-7.03</v>
      </c>
      <c r="I1932"/>
    </row>
    <row r="1933" spans="1:9" x14ac:dyDescent="0.3">
      <c r="A1933" t="s">
        <v>2</v>
      </c>
      <c r="B1933" t="s">
        <v>24</v>
      </c>
      <c r="C1933" t="s">
        <v>135</v>
      </c>
      <c r="D1933" s="9" t="s">
        <v>124</v>
      </c>
      <c r="E1933" t="s">
        <v>43</v>
      </c>
      <c r="F1933" t="s">
        <v>83</v>
      </c>
      <c r="G1933">
        <v>258.10000000000002</v>
      </c>
      <c r="H1933" s="9">
        <v>-6.42</v>
      </c>
      <c r="I1933"/>
    </row>
    <row r="1934" spans="1:9" x14ac:dyDescent="0.3">
      <c r="A1934" t="s">
        <v>2</v>
      </c>
      <c r="B1934" t="s">
        <v>24</v>
      </c>
      <c r="C1934" t="s">
        <v>136</v>
      </c>
      <c r="D1934" s="9" t="s">
        <v>137</v>
      </c>
      <c r="E1934" t="s">
        <v>32</v>
      </c>
      <c r="F1934" t="s">
        <v>61</v>
      </c>
      <c r="G1934">
        <v>168.6</v>
      </c>
      <c r="H1934" s="9">
        <v>-10.51</v>
      </c>
      <c r="I1934"/>
    </row>
    <row r="1935" spans="1:9" x14ac:dyDescent="0.3">
      <c r="A1935" t="s">
        <v>2</v>
      </c>
      <c r="B1935" t="s">
        <v>24</v>
      </c>
      <c r="C1935" t="s">
        <v>138</v>
      </c>
      <c r="D1935" s="9" t="s">
        <v>137</v>
      </c>
      <c r="E1935" t="s">
        <v>33</v>
      </c>
      <c r="F1935" t="s">
        <v>63</v>
      </c>
      <c r="G1935">
        <v>133.1</v>
      </c>
      <c r="H1935" s="9">
        <v>-1.48</v>
      </c>
      <c r="I1935"/>
    </row>
    <row r="1936" spans="1:9" x14ac:dyDescent="0.3">
      <c r="A1936" t="s">
        <v>2</v>
      </c>
      <c r="B1936" t="s">
        <v>24</v>
      </c>
      <c r="C1936" t="s">
        <v>139</v>
      </c>
      <c r="D1936" s="9" t="s">
        <v>137</v>
      </c>
      <c r="E1936" t="s">
        <v>34</v>
      </c>
      <c r="F1936" t="s">
        <v>65</v>
      </c>
      <c r="G1936">
        <v>136.1</v>
      </c>
      <c r="H1936" s="9">
        <v>-11.68</v>
      </c>
      <c r="I1936"/>
    </row>
    <row r="1937" spans="1:9" x14ac:dyDescent="0.3">
      <c r="A1937" t="s">
        <v>2</v>
      </c>
      <c r="B1937" t="s">
        <v>24</v>
      </c>
      <c r="C1937" t="s">
        <v>140</v>
      </c>
      <c r="D1937" s="9" t="s">
        <v>137</v>
      </c>
      <c r="E1937" t="s">
        <v>35</v>
      </c>
      <c r="F1937" t="s">
        <v>67</v>
      </c>
      <c r="G1937">
        <v>151.4</v>
      </c>
      <c r="H1937" s="9">
        <v>0.53</v>
      </c>
      <c r="I1937"/>
    </row>
    <row r="1938" spans="1:9" x14ac:dyDescent="0.3">
      <c r="A1938" t="s">
        <v>2</v>
      </c>
      <c r="B1938" t="s">
        <v>24</v>
      </c>
      <c r="C1938" t="s">
        <v>141</v>
      </c>
      <c r="D1938" s="9" t="s">
        <v>137</v>
      </c>
      <c r="E1938" t="s">
        <v>36</v>
      </c>
      <c r="F1938" t="s">
        <v>69</v>
      </c>
      <c r="G1938">
        <v>134.30000000000001</v>
      </c>
      <c r="H1938" s="9">
        <v>-4.95</v>
      </c>
      <c r="I1938"/>
    </row>
    <row r="1939" spans="1:9" x14ac:dyDescent="0.3">
      <c r="A1939" t="s">
        <v>2</v>
      </c>
      <c r="B1939" t="s">
        <v>24</v>
      </c>
      <c r="C1939" t="s">
        <v>142</v>
      </c>
      <c r="D1939" s="9" t="s">
        <v>137</v>
      </c>
      <c r="E1939" t="s">
        <v>37</v>
      </c>
      <c r="F1939" t="s">
        <v>71</v>
      </c>
      <c r="G1939">
        <v>140.30000000000001</v>
      </c>
      <c r="H1939" s="9">
        <v>2.2599999999999998</v>
      </c>
      <c r="I1939"/>
    </row>
    <row r="1940" spans="1:9" x14ac:dyDescent="0.3">
      <c r="A1940" t="s">
        <v>2</v>
      </c>
      <c r="B1940" t="s">
        <v>24</v>
      </c>
      <c r="C1940" t="s">
        <v>143</v>
      </c>
      <c r="D1940" s="9" t="s">
        <v>137</v>
      </c>
      <c r="E1940" t="s">
        <v>38</v>
      </c>
      <c r="F1940" t="s">
        <v>73</v>
      </c>
      <c r="G1940">
        <v>144.30000000000001</v>
      </c>
      <c r="H1940" s="9">
        <v>8.99</v>
      </c>
      <c r="I1940"/>
    </row>
    <row r="1941" spans="1:9" x14ac:dyDescent="0.3">
      <c r="A1941" t="s">
        <v>2</v>
      </c>
      <c r="B1941" t="s">
        <v>24</v>
      </c>
      <c r="C1941" t="s">
        <v>144</v>
      </c>
      <c r="D1941" s="9" t="s">
        <v>137</v>
      </c>
      <c r="E1941" t="s">
        <v>39</v>
      </c>
      <c r="F1941" t="s">
        <v>75</v>
      </c>
      <c r="G1941">
        <v>138.1</v>
      </c>
      <c r="H1941" s="9">
        <v>5.26</v>
      </c>
      <c r="I1941"/>
    </row>
    <row r="1942" spans="1:9" x14ac:dyDescent="0.3">
      <c r="A1942" t="s">
        <v>2</v>
      </c>
      <c r="B1942" t="s">
        <v>24</v>
      </c>
      <c r="C1942" t="s">
        <v>145</v>
      </c>
      <c r="D1942" s="9" t="s">
        <v>137</v>
      </c>
      <c r="E1942" t="s">
        <v>40</v>
      </c>
      <c r="F1942" t="s">
        <v>77</v>
      </c>
      <c r="G1942">
        <v>147.30000000000001</v>
      </c>
      <c r="H1942" s="9">
        <v>-1.07</v>
      </c>
      <c r="I1942"/>
    </row>
    <row r="1943" spans="1:9" x14ac:dyDescent="0.3">
      <c r="A1943" t="s">
        <v>2</v>
      </c>
      <c r="B1943" t="s">
        <v>24</v>
      </c>
      <c r="C1943" t="s">
        <v>146</v>
      </c>
      <c r="D1943" s="9" t="s">
        <v>137</v>
      </c>
      <c r="E1943" t="s">
        <v>41</v>
      </c>
      <c r="F1943" t="s">
        <v>79</v>
      </c>
      <c r="G1943">
        <v>157.5</v>
      </c>
      <c r="H1943" s="9">
        <v>7</v>
      </c>
      <c r="I1943"/>
    </row>
    <row r="1944" spans="1:9" x14ac:dyDescent="0.3">
      <c r="A1944" t="s">
        <v>2</v>
      </c>
      <c r="B1944" t="s">
        <v>24</v>
      </c>
      <c r="C1944" t="s">
        <v>147</v>
      </c>
      <c r="D1944" s="9" t="s">
        <v>137</v>
      </c>
      <c r="E1944" t="s">
        <v>42</v>
      </c>
      <c r="F1944" t="s">
        <v>81</v>
      </c>
      <c r="G1944">
        <v>187.5</v>
      </c>
      <c r="H1944" s="9">
        <v>2.0699999999999998</v>
      </c>
      <c r="I1944"/>
    </row>
    <row r="1945" spans="1:9" x14ac:dyDescent="0.3">
      <c r="A1945" t="s">
        <v>2</v>
      </c>
      <c r="B1945" t="s">
        <v>24</v>
      </c>
      <c r="C1945" t="s">
        <v>148</v>
      </c>
      <c r="D1945" s="9" t="s">
        <v>137</v>
      </c>
      <c r="E1945" t="s">
        <v>43</v>
      </c>
      <c r="F1945" t="s">
        <v>83</v>
      </c>
      <c r="G1945">
        <v>269.8</v>
      </c>
      <c r="H1945" s="9">
        <v>4.53</v>
      </c>
      <c r="I1945"/>
    </row>
    <row r="1946" spans="1:9" x14ac:dyDescent="0.3">
      <c r="A1946" t="s">
        <v>2</v>
      </c>
      <c r="B1946" t="s">
        <v>24</v>
      </c>
      <c r="C1946" t="s">
        <v>149</v>
      </c>
      <c r="D1946" s="9" t="s">
        <v>150</v>
      </c>
      <c r="E1946" t="s">
        <v>32</v>
      </c>
      <c r="F1946" t="s">
        <v>61</v>
      </c>
      <c r="G1946">
        <v>173.3</v>
      </c>
      <c r="H1946" s="9">
        <v>2.79</v>
      </c>
      <c r="I1946"/>
    </row>
    <row r="1947" spans="1:9" x14ac:dyDescent="0.3">
      <c r="A1947" t="s">
        <v>2</v>
      </c>
      <c r="B1947" t="s">
        <v>24</v>
      </c>
      <c r="C1947" t="s">
        <v>151</v>
      </c>
      <c r="D1947" s="9" t="s">
        <v>150</v>
      </c>
      <c r="E1947" t="s">
        <v>33</v>
      </c>
      <c r="F1947" t="s">
        <v>63</v>
      </c>
      <c r="G1947">
        <v>124.9</v>
      </c>
      <c r="H1947" s="9">
        <v>-6.16</v>
      </c>
      <c r="I1947"/>
    </row>
    <row r="1948" spans="1:9" x14ac:dyDescent="0.3">
      <c r="A1948" t="s">
        <v>2</v>
      </c>
      <c r="B1948" t="s">
        <v>24</v>
      </c>
      <c r="C1948" t="s">
        <v>152</v>
      </c>
      <c r="D1948" s="9" t="s">
        <v>150</v>
      </c>
      <c r="E1948" t="s">
        <v>34</v>
      </c>
      <c r="F1948" t="s">
        <v>65</v>
      </c>
      <c r="G1948">
        <v>141.1</v>
      </c>
      <c r="H1948" s="9">
        <v>3.67</v>
      </c>
      <c r="I1948"/>
    </row>
    <row r="1949" spans="1:9" x14ac:dyDescent="0.3">
      <c r="A1949" t="s">
        <v>2</v>
      </c>
      <c r="B1949" t="s">
        <v>24</v>
      </c>
      <c r="C1949" t="s">
        <v>153</v>
      </c>
      <c r="D1949" s="9" t="s">
        <v>150</v>
      </c>
      <c r="E1949" t="s">
        <v>35</v>
      </c>
      <c r="F1949" t="s">
        <v>67</v>
      </c>
      <c r="G1949">
        <v>142.5</v>
      </c>
      <c r="H1949" s="9">
        <v>-5.88</v>
      </c>
      <c r="I1949"/>
    </row>
    <row r="1950" spans="1:9" x14ac:dyDescent="0.3">
      <c r="A1950" t="s">
        <v>2</v>
      </c>
      <c r="B1950" t="s">
        <v>24</v>
      </c>
      <c r="C1950" t="s">
        <v>154</v>
      </c>
      <c r="D1950" s="9" t="s">
        <v>150</v>
      </c>
      <c r="E1950" t="s">
        <v>36</v>
      </c>
      <c r="F1950" t="s">
        <v>69</v>
      </c>
      <c r="G1950">
        <v>122.4</v>
      </c>
      <c r="H1950" s="9">
        <v>-8.86</v>
      </c>
      <c r="I1950"/>
    </row>
    <row r="1951" spans="1:9" x14ac:dyDescent="0.3">
      <c r="A1951" t="s">
        <v>2</v>
      </c>
      <c r="B1951" t="s">
        <v>24</v>
      </c>
      <c r="C1951" t="s">
        <v>155</v>
      </c>
      <c r="D1951" s="9" t="s">
        <v>150</v>
      </c>
      <c r="E1951" t="s">
        <v>37</v>
      </c>
      <c r="F1951" t="s">
        <v>71</v>
      </c>
      <c r="G1951">
        <v>143.6</v>
      </c>
      <c r="H1951" s="9">
        <v>2.35</v>
      </c>
      <c r="I1951"/>
    </row>
    <row r="1952" spans="1:9" x14ac:dyDescent="0.3">
      <c r="A1952" t="s">
        <v>2</v>
      </c>
      <c r="B1952" t="s">
        <v>14</v>
      </c>
      <c r="C1952" t="s">
        <v>59</v>
      </c>
      <c r="D1952" s="9" t="s">
        <v>60</v>
      </c>
      <c r="E1952" t="s">
        <v>32</v>
      </c>
      <c r="F1952" t="s">
        <v>61</v>
      </c>
      <c r="G1952">
        <v>538.5</v>
      </c>
      <c r="I1952"/>
    </row>
    <row r="1953" spans="1:9" x14ac:dyDescent="0.3">
      <c r="A1953" t="s">
        <v>2</v>
      </c>
      <c r="B1953" t="s">
        <v>14</v>
      </c>
      <c r="C1953" t="s">
        <v>62</v>
      </c>
      <c r="D1953" s="9" t="s">
        <v>60</v>
      </c>
      <c r="E1953" t="s">
        <v>33</v>
      </c>
      <c r="F1953" t="s">
        <v>63</v>
      </c>
      <c r="G1953">
        <v>523.6</v>
      </c>
      <c r="I1953"/>
    </row>
    <row r="1954" spans="1:9" x14ac:dyDescent="0.3">
      <c r="A1954" t="s">
        <v>2</v>
      </c>
      <c r="B1954" t="s">
        <v>14</v>
      </c>
      <c r="C1954" t="s">
        <v>64</v>
      </c>
      <c r="D1954" s="9" t="s">
        <v>60</v>
      </c>
      <c r="E1954" t="s">
        <v>34</v>
      </c>
      <c r="F1954" t="s">
        <v>65</v>
      </c>
      <c r="G1954">
        <v>537.79999999999995</v>
      </c>
      <c r="I1954"/>
    </row>
    <row r="1955" spans="1:9" x14ac:dyDescent="0.3">
      <c r="A1955" t="s">
        <v>2</v>
      </c>
      <c r="B1955" t="s">
        <v>14</v>
      </c>
      <c r="C1955" t="s">
        <v>66</v>
      </c>
      <c r="D1955" s="9" t="s">
        <v>60</v>
      </c>
      <c r="E1955" t="s">
        <v>35</v>
      </c>
      <c r="F1955" t="s">
        <v>67</v>
      </c>
      <c r="G1955">
        <v>524.1</v>
      </c>
      <c r="I1955"/>
    </row>
    <row r="1956" spans="1:9" x14ac:dyDescent="0.3">
      <c r="A1956" t="s">
        <v>2</v>
      </c>
      <c r="B1956" t="s">
        <v>14</v>
      </c>
      <c r="C1956" t="s">
        <v>68</v>
      </c>
      <c r="D1956" s="9" t="s">
        <v>60</v>
      </c>
      <c r="E1956" t="s">
        <v>36</v>
      </c>
      <c r="F1956" t="s">
        <v>69</v>
      </c>
      <c r="G1956">
        <v>563.70000000000005</v>
      </c>
      <c r="I1956"/>
    </row>
    <row r="1957" spans="1:9" x14ac:dyDescent="0.3">
      <c r="A1957" t="s">
        <v>2</v>
      </c>
      <c r="B1957" t="s">
        <v>14</v>
      </c>
      <c r="C1957" t="s">
        <v>70</v>
      </c>
      <c r="D1957" s="9" t="s">
        <v>60</v>
      </c>
      <c r="E1957" t="s">
        <v>37</v>
      </c>
      <c r="F1957" t="s">
        <v>71</v>
      </c>
      <c r="G1957">
        <v>550.5</v>
      </c>
      <c r="I1957"/>
    </row>
    <row r="1958" spans="1:9" x14ac:dyDescent="0.3">
      <c r="A1958" t="s">
        <v>2</v>
      </c>
      <c r="B1958" t="s">
        <v>14</v>
      </c>
      <c r="C1958" t="s">
        <v>72</v>
      </c>
      <c r="D1958" s="9" t="s">
        <v>60</v>
      </c>
      <c r="E1958" t="s">
        <v>38</v>
      </c>
      <c r="F1958" t="s">
        <v>73</v>
      </c>
      <c r="G1958">
        <v>558.79999999999995</v>
      </c>
      <c r="I1958"/>
    </row>
    <row r="1959" spans="1:9" x14ac:dyDescent="0.3">
      <c r="A1959" t="s">
        <v>2</v>
      </c>
      <c r="B1959" t="s">
        <v>14</v>
      </c>
      <c r="C1959" t="s">
        <v>74</v>
      </c>
      <c r="D1959" s="9" t="s">
        <v>60</v>
      </c>
      <c r="E1959" t="s">
        <v>39</v>
      </c>
      <c r="F1959" t="s">
        <v>75</v>
      </c>
      <c r="G1959">
        <v>589.6</v>
      </c>
      <c r="I1959"/>
    </row>
    <row r="1960" spans="1:9" x14ac:dyDescent="0.3">
      <c r="A1960" t="s">
        <v>2</v>
      </c>
      <c r="B1960" t="s">
        <v>14</v>
      </c>
      <c r="C1960" t="s">
        <v>76</v>
      </c>
      <c r="D1960" s="9" t="s">
        <v>60</v>
      </c>
      <c r="E1960" t="s">
        <v>40</v>
      </c>
      <c r="F1960" t="s">
        <v>77</v>
      </c>
      <c r="G1960">
        <v>576.20000000000005</v>
      </c>
      <c r="I1960"/>
    </row>
    <row r="1961" spans="1:9" x14ac:dyDescent="0.3">
      <c r="A1961" t="s">
        <v>2</v>
      </c>
      <c r="B1961" t="s">
        <v>14</v>
      </c>
      <c r="C1961" t="s">
        <v>78</v>
      </c>
      <c r="D1961" s="9" t="s">
        <v>60</v>
      </c>
      <c r="E1961" t="s">
        <v>41</v>
      </c>
      <c r="F1961" t="s">
        <v>79</v>
      </c>
      <c r="G1961">
        <v>628.79999999999995</v>
      </c>
      <c r="I1961"/>
    </row>
    <row r="1962" spans="1:9" x14ac:dyDescent="0.3">
      <c r="A1962" t="s">
        <v>2</v>
      </c>
      <c r="B1962" t="s">
        <v>14</v>
      </c>
      <c r="C1962" t="s">
        <v>80</v>
      </c>
      <c r="D1962" s="9" t="s">
        <v>60</v>
      </c>
      <c r="E1962" t="s">
        <v>42</v>
      </c>
      <c r="F1962" t="s">
        <v>81</v>
      </c>
      <c r="G1962">
        <v>755.2</v>
      </c>
      <c r="I1962"/>
    </row>
    <row r="1963" spans="1:9" x14ac:dyDescent="0.3">
      <c r="A1963" t="s">
        <v>2</v>
      </c>
      <c r="B1963" t="s">
        <v>14</v>
      </c>
      <c r="C1963" t="s">
        <v>82</v>
      </c>
      <c r="D1963" s="9" t="s">
        <v>60</v>
      </c>
      <c r="E1963" t="s">
        <v>43</v>
      </c>
      <c r="F1963" t="s">
        <v>83</v>
      </c>
      <c r="G1963">
        <v>736.8</v>
      </c>
      <c r="I1963"/>
    </row>
    <row r="1964" spans="1:9" x14ac:dyDescent="0.3">
      <c r="A1964" t="s">
        <v>2</v>
      </c>
      <c r="B1964" t="s">
        <v>14</v>
      </c>
      <c r="C1964" t="s">
        <v>84</v>
      </c>
      <c r="D1964" s="9" t="s">
        <v>85</v>
      </c>
      <c r="E1964" t="s">
        <v>32</v>
      </c>
      <c r="F1964" t="s">
        <v>61</v>
      </c>
      <c r="G1964">
        <v>567.5</v>
      </c>
      <c r="H1964" s="9">
        <v>5.39</v>
      </c>
      <c r="I1964"/>
    </row>
    <row r="1965" spans="1:9" x14ac:dyDescent="0.3">
      <c r="A1965" t="s">
        <v>2</v>
      </c>
      <c r="B1965" t="s">
        <v>14</v>
      </c>
      <c r="C1965" t="s">
        <v>86</v>
      </c>
      <c r="D1965" s="9" t="s">
        <v>85</v>
      </c>
      <c r="E1965" t="s">
        <v>33</v>
      </c>
      <c r="F1965" t="s">
        <v>63</v>
      </c>
      <c r="G1965">
        <v>532.70000000000005</v>
      </c>
      <c r="H1965" s="9">
        <v>1.74</v>
      </c>
      <c r="I1965"/>
    </row>
    <row r="1966" spans="1:9" x14ac:dyDescent="0.3">
      <c r="A1966" t="s">
        <v>2</v>
      </c>
      <c r="B1966" t="s">
        <v>14</v>
      </c>
      <c r="C1966" t="s">
        <v>87</v>
      </c>
      <c r="D1966" s="9" t="s">
        <v>85</v>
      </c>
      <c r="E1966" t="s">
        <v>34</v>
      </c>
      <c r="F1966" t="s">
        <v>65</v>
      </c>
      <c r="G1966">
        <v>608</v>
      </c>
      <c r="H1966" s="9">
        <v>13.05</v>
      </c>
      <c r="I1966"/>
    </row>
    <row r="1967" spans="1:9" x14ac:dyDescent="0.3">
      <c r="A1967" t="s">
        <v>2</v>
      </c>
      <c r="B1967" t="s">
        <v>14</v>
      </c>
      <c r="C1967" t="s">
        <v>88</v>
      </c>
      <c r="D1967" s="9" t="s">
        <v>85</v>
      </c>
      <c r="E1967" t="s">
        <v>35</v>
      </c>
      <c r="F1967" t="s">
        <v>67</v>
      </c>
      <c r="G1967">
        <v>564.4</v>
      </c>
      <c r="H1967" s="9">
        <v>7.69</v>
      </c>
      <c r="I1967"/>
    </row>
    <row r="1968" spans="1:9" x14ac:dyDescent="0.3">
      <c r="A1968" t="s">
        <v>2</v>
      </c>
      <c r="B1968" t="s">
        <v>14</v>
      </c>
      <c r="C1968" t="s">
        <v>89</v>
      </c>
      <c r="D1968" s="9" t="s">
        <v>85</v>
      </c>
      <c r="E1968" t="s">
        <v>36</v>
      </c>
      <c r="F1968" t="s">
        <v>69</v>
      </c>
      <c r="G1968">
        <v>598</v>
      </c>
      <c r="H1968" s="9">
        <v>6.08</v>
      </c>
      <c r="I1968"/>
    </row>
    <row r="1969" spans="1:9" x14ac:dyDescent="0.3">
      <c r="A1969" t="s">
        <v>2</v>
      </c>
      <c r="B1969" t="s">
        <v>14</v>
      </c>
      <c r="C1969" t="s">
        <v>90</v>
      </c>
      <c r="D1969" s="9" t="s">
        <v>85</v>
      </c>
      <c r="E1969" t="s">
        <v>37</v>
      </c>
      <c r="F1969" t="s">
        <v>71</v>
      </c>
      <c r="G1969">
        <v>623.6</v>
      </c>
      <c r="H1969" s="9">
        <v>13.28</v>
      </c>
      <c r="I1969"/>
    </row>
    <row r="1970" spans="1:9" x14ac:dyDescent="0.3">
      <c r="A1970" t="s">
        <v>2</v>
      </c>
      <c r="B1970" t="s">
        <v>14</v>
      </c>
      <c r="C1970" t="s">
        <v>91</v>
      </c>
      <c r="D1970" s="9" t="s">
        <v>85</v>
      </c>
      <c r="E1970" t="s">
        <v>38</v>
      </c>
      <c r="F1970" t="s">
        <v>73</v>
      </c>
      <c r="G1970">
        <v>644.4</v>
      </c>
      <c r="H1970" s="9">
        <v>15.32</v>
      </c>
      <c r="I1970"/>
    </row>
    <row r="1971" spans="1:9" x14ac:dyDescent="0.3">
      <c r="A1971" t="s">
        <v>2</v>
      </c>
      <c r="B1971" t="s">
        <v>14</v>
      </c>
      <c r="C1971" t="s">
        <v>92</v>
      </c>
      <c r="D1971" s="9" t="s">
        <v>85</v>
      </c>
      <c r="E1971" t="s">
        <v>39</v>
      </c>
      <c r="F1971" t="s">
        <v>75</v>
      </c>
      <c r="G1971">
        <v>645.79999999999995</v>
      </c>
      <c r="H1971" s="9">
        <v>9.5299999999999994</v>
      </c>
      <c r="I1971"/>
    </row>
    <row r="1972" spans="1:9" x14ac:dyDescent="0.3">
      <c r="A1972" t="s">
        <v>2</v>
      </c>
      <c r="B1972" t="s">
        <v>14</v>
      </c>
      <c r="C1972" t="s">
        <v>93</v>
      </c>
      <c r="D1972" s="9" t="s">
        <v>85</v>
      </c>
      <c r="E1972" t="s">
        <v>40</v>
      </c>
      <c r="F1972" t="s">
        <v>77</v>
      </c>
      <c r="G1972">
        <v>609.79999999999995</v>
      </c>
      <c r="H1972" s="9">
        <v>5.83</v>
      </c>
      <c r="I1972"/>
    </row>
    <row r="1973" spans="1:9" x14ac:dyDescent="0.3">
      <c r="A1973" t="s">
        <v>2</v>
      </c>
      <c r="B1973" t="s">
        <v>14</v>
      </c>
      <c r="C1973" t="s">
        <v>94</v>
      </c>
      <c r="D1973" s="9" t="s">
        <v>85</v>
      </c>
      <c r="E1973" t="s">
        <v>41</v>
      </c>
      <c r="F1973" t="s">
        <v>79</v>
      </c>
      <c r="G1973">
        <v>674.4</v>
      </c>
      <c r="H1973" s="9">
        <v>7.25</v>
      </c>
      <c r="I1973"/>
    </row>
    <row r="1974" spans="1:9" x14ac:dyDescent="0.3">
      <c r="A1974" t="s">
        <v>2</v>
      </c>
      <c r="B1974" t="s">
        <v>14</v>
      </c>
      <c r="C1974" t="s">
        <v>95</v>
      </c>
      <c r="D1974" s="9" t="s">
        <v>85</v>
      </c>
      <c r="E1974" t="s">
        <v>42</v>
      </c>
      <c r="F1974" t="s">
        <v>81</v>
      </c>
      <c r="G1974">
        <v>842.7</v>
      </c>
      <c r="H1974" s="9">
        <v>11.59</v>
      </c>
      <c r="I1974"/>
    </row>
    <row r="1975" spans="1:9" x14ac:dyDescent="0.3">
      <c r="A1975" t="s">
        <v>2</v>
      </c>
      <c r="B1975" t="s">
        <v>14</v>
      </c>
      <c r="C1975" t="s">
        <v>96</v>
      </c>
      <c r="D1975" s="9" t="s">
        <v>85</v>
      </c>
      <c r="E1975" t="s">
        <v>43</v>
      </c>
      <c r="F1975" t="s">
        <v>83</v>
      </c>
      <c r="G1975">
        <v>843.8</v>
      </c>
      <c r="H1975" s="9">
        <v>14.52</v>
      </c>
      <c r="I1975"/>
    </row>
    <row r="1976" spans="1:9" x14ac:dyDescent="0.3">
      <c r="A1976" t="s">
        <v>2</v>
      </c>
      <c r="B1976" t="s">
        <v>14</v>
      </c>
      <c r="C1976" t="s">
        <v>97</v>
      </c>
      <c r="D1976" s="9" t="s">
        <v>98</v>
      </c>
      <c r="E1976" t="s">
        <v>32</v>
      </c>
      <c r="F1976" t="s">
        <v>61</v>
      </c>
      <c r="G1976">
        <v>642.79999999999995</v>
      </c>
      <c r="H1976" s="9">
        <v>13.27</v>
      </c>
      <c r="I1976"/>
    </row>
    <row r="1977" spans="1:9" x14ac:dyDescent="0.3">
      <c r="A1977" t="s">
        <v>2</v>
      </c>
      <c r="B1977" t="s">
        <v>14</v>
      </c>
      <c r="C1977" t="s">
        <v>99</v>
      </c>
      <c r="D1977" s="9" t="s">
        <v>98</v>
      </c>
      <c r="E1977" t="s">
        <v>33</v>
      </c>
      <c r="F1977" t="s">
        <v>63</v>
      </c>
      <c r="G1977">
        <v>596.29999999999995</v>
      </c>
      <c r="H1977" s="9">
        <v>11.94</v>
      </c>
      <c r="I1977"/>
    </row>
    <row r="1978" spans="1:9" x14ac:dyDescent="0.3">
      <c r="A1978" t="s">
        <v>2</v>
      </c>
      <c r="B1978" t="s">
        <v>14</v>
      </c>
      <c r="C1978" t="s">
        <v>100</v>
      </c>
      <c r="D1978" s="9" t="s">
        <v>98</v>
      </c>
      <c r="E1978" t="s">
        <v>34</v>
      </c>
      <c r="F1978" t="s">
        <v>65</v>
      </c>
      <c r="G1978">
        <v>655.1</v>
      </c>
      <c r="H1978" s="9">
        <v>7.75</v>
      </c>
      <c r="I1978"/>
    </row>
    <row r="1979" spans="1:9" x14ac:dyDescent="0.3">
      <c r="A1979" t="s">
        <v>2</v>
      </c>
      <c r="B1979" t="s">
        <v>14</v>
      </c>
      <c r="C1979" t="s">
        <v>101</v>
      </c>
      <c r="D1979" s="9" t="s">
        <v>98</v>
      </c>
      <c r="E1979" t="s">
        <v>35</v>
      </c>
      <c r="F1979" t="s">
        <v>67</v>
      </c>
      <c r="G1979">
        <v>611.79999999999995</v>
      </c>
      <c r="H1979" s="9">
        <v>8.4</v>
      </c>
      <c r="I1979"/>
    </row>
    <row r="1980" spans="1:9" x14ac:dyDescent="0.3">
      <c r="A1980" t="s">
        <v>2</v>
      </c>
      <c r="B1980" t="s">
        <v>14</v>
      </c>
      <c r="C1980" t="s">
        <v>102</v>
      </c>
      <c r="D1980" s="9" t="s">
        <v>98</v>
      </c>
      <c r="E1980" t="s">
        <v>36</v>
      </c>
      <c r="F1980" t="s">
        <v>69</v>
      </c>
      <c r="G1980">
        <v>660.8</v>
      </c>
      <c r="H1980" s="9">
        <v>10.5</v>
      </c>
      <c r="I1980"/>
    </row>
    <row r="1981" spans="1:9" x14ac:dyDescent="0.3">
      <c r="A1981" t="s">
        <v>2</v>
      </c>
      <c r="B1981" t="s">
        <v>14</v>
      </c>
      <c r="C1981" t="s">
        <v>103</v>
      </c>
      <c r="D1981" s="9" t="s">
        <v>98</v>
      </c>
      <c r="E1981" t="s">
        <v>37</v>
      </c>
      <c r="F1981" t="s">
        <v>71</v>
      </c>
      <c r="G1981">
        <v>681.1</v>
      </c>
      <c r="H1981" s="9">
        <v>9.2200000000000006</v>
      </c>
      <c r="I1981"/>
    </row>
    <row r="1982" spans="1:9" x14ac:dyDescent="0.3">
      <c r="A1982" t="s">
        <v>2</v>
      </c>
      <c r="B1982" t="s">
        <v>14</v>
      </c>
      <c r="C1982" t="s">
        <v>104</v>
      </c>
      <c r="D1982" s="9" t="s">
        <v>98</v>
      </c>
      <c r="E1982" t="s">
        <v>38</v>
      </c>
      <c r="F1982" t="s">
        <v>73</v>
      </c>
      <c r="G1982">
        <v>727.1</v>
      </c>
      <c r="H1982" s="9">
        <v>12.83</v>
      </c>
      <c r="I1982"/>
    </row>
    <row r="1983" spans="1:9" x14ac:dyDescent="0.3">
      <c r="A1983" t="s">
        <v>2</v>
      </c>
      <c r="B1983" t="s">
        <v>14</v>
      </c>
      <c r="C1983" t="s">
        <v>105</v>
      </c>
      <c r="D1983" s="9" t="s">
        <v>98</v>
      </c>
      <c r="E1983" t="s">
        <v>39</v>
      </c>
      <c r="F1983" t="s">
        <v>75</v>
      </c>
      <c r="G1983">
        <v>749.2</v>
      </c>
      <c r="H1983" s="9">
        <v>16.010000000000002</v>
      </c>
      <c r="I1983"/>
    </row>
    <row r="1984" spans="1:9" x14ac:dyDescent="0.3">
      <c r="A1984" t="s">
        <v>2</v>
      </c>
      <c r="B1984" t="s">
        <v>14</v>
      </c>
      <c r="C1984" t="s">
        <v>106</v>
      </c>
      <c r="D1984" s="9" t="s">
        <v>98</v>
      </c>
      <c r="E1984" t="s">
        <v>40</v>
      </c>
      <c r="F1984" t="s">
        <v>77</v>
      </c>
      <c r="G1984">
        <v>746.8</v>
      </c>
      <c r="H1984" s="9">
        <v>22.47</v>
      </c>
      <c r="I1984"/>
    </row>
    <row r="1985" spans="1:9" x14ac:dyDescent="0.3">
      <c r="A1985" t="s">
        <v>2</v>
      </c>
      <c r="B1985" t="s">
        <v>14</v>
      </c>
      <c r="C1985" t="s">
        <v>107</v>
      </c>
      <c r="D1985" s="9" t="s">
        <v>98</v>
      </c>
      <c r="E1985" t="s">
        <v>41</v>
      </c>
      <c r="F1985" t="s">
        <v>79</v>
      </c>
      <c r="G1985">
        <v>806.6</v>
      </c>
      <c r="H1985" s="9">
        <v>19.600000000000001</v>
      </c>
      <c r="I1985"/>
    </row>
    <row r="1986" spans="1:9" x14ac:dyDescent="0.3">
      <c r="A1986" t="s">
        <v>2</v>
      </c>
      <c r="B1986" t="s">
        <v>14</v>
      </c>
      <c r="C1986" t="s">
        <v>108</v>
      </c>
      <c r="D1986" s="9" t="s">
        <v>98</v>
      </c>
      <c r="E1986" t="s">
        <v>42</v>
      </c>
      <c r="F1986" t="s">
        <v>81</v>
      </c>
      <c r="G1986">
        <v>1037.8</v>
      </c>
      <c r="H1986" s="9">
        <v>23.15</v>
      </c>
      <c r="I1986"/>
    </row>
    <row r="1987" spans="1:9" x14ac:dyDescent="0.3">
      <c r="A1987" t="s">
        <v>2</v>
      </c>
      <c r="B1987" t="s">
        <v>14</v>
      </c>
      <c r="C1987" t="s">
        <v>109</v>
      </c>
      <c r="D1987" s="9" t="s">
        <v>98</v>
      </c>
      <c r="E1987" t="s">
        <v>43</v>
      </c>
      <c r="F1987" t="s">
        <v>83</v>
      </c>
      <c r="G1987">
        <v>1026.0999999999999</v>
      </c>
      <c r="H1987" s="9">
        <v>21.6</v>
      </c>
      <c r="I1987"/>
    </row>
    <row r="1988" spans="1:9" x14ac:dyDescent="0.3">
      <c r="A1988" t="s">
        <v>2</v>
      </c>
      <c r="B1988" t="s">
        <v>14</v>
      </c>
      <c r="C1988" t="s">
        <v>110</v>
      </c>
      <c r="D1988" s="9" t="s">
        <v>111</v>
      </c>
      <c r="E1988" t="s">
        <v>32</v>
      </c>
      <c r="F1988" t="s">
        <v>61</v>
      </c>
      <c r="G1988">
        <v>778.3</v>
      </c>
      <c r="H1988" s="9">
        <v>21.08</v>
      </c>
      <c r="I1988"/>
    </row>
    <row r="1989" spans="1:9" x14ac:dyDescent="0.3">
      <c r="A1989" t="s">
        <v>2</v>
      </c>
      <c r="B1989" t="s">
        <v>14</v>
      </c>
      <c r="C1989" t="s">
        <v>112</v>
      </c>
      <c r="D1989" s="9" t="s">
        <v>111</v>
      </c>
      <c r="E1989" t="s">
        <v>33</v>
      </c>
      <c r="F1989" t="s">
        <v>63</v>
      </c>
      <c r="G1989">
        <v>772.5</v>
      </c>
      <c r="H1989" s="9">
        <v>29.55</v>
      </c>
      <c r="I1989"/>
    </row>
    <row r="1990" spans="1:9" x14ac:dyDescent="0.3">
      <c r="A1990" t="s">
        <v>2</v>
      </c>
      <c r="B1990" t="s">
        <v>14</v>
      </c>
      <c r="C1990" t="s">
        <v>113</v>
      </c>
      <c r="D1990" s="9" t="s">
        <v>111</v>
      </c>
      <c r="E1990" t="s">
        <v>34</v>
      </c>
      <c r="F1990" t="s">
        <v>65</v>
      </c>
      <c r="G1990">
        <v>864.9</v>
      </c>
      <c r="H1990" s="9">
        <v>32.03</v>
      </c>
      <c r="I1990"/>
    </row>
    <row r="1991" spans="1:9" x14ac:dyDescent="0.3">
      <c r="A1991" t="s">
        <v>2</v>
      </c>
      <c r="B1991" t="s">
        <v>14</v>
      </c>
      <c r="C1991" t="s">
        <v>114</v>
      </c>
      <c r="D1991" s="9" t="s">
        <v>111</v>
      </c>
      <c r="E1991" t="s">
        <v>35</v>
      </c>
      <c r="F1991" t="s">
        <v>67</v>
      </c>
      <c r="G1991">
        <v>782.5</v>
      </c>
      <c r="H1991" s="9">
        <v>27.9</v>
      </c>
      <c r="I1991"/>
    </row>
    <row r="1992" spans="1:9" x14ac:dyDescent="0.3">
      <c r="A1992" t="s">
        <v>2</v>
      </c>
      <c r="B1992" t="s">
        <v>14</v>
      </c>
      <c r="C1992" t="s">
        <v>115</v>
      </c>
      <c r="D1992" s="9" t="s">
        <v>111</v>
      </c>
      <c r="E1992" t="s">
        <v>36</v>
      </c>
      <c r="F1992" t="s">
        <v>69</v>
      </c>
      <c r="G1992">
        <v>860.7</v>
      </c>
      <c r="H1992" s="9">
        <v>30.25</v>
      </c>
      <c r="I1992"/>
    </row>
    <row r="1993" spans="1:9" x14ac:dyDescent="0.3">
      <c r="A1993" t="s">
        <v>2</v>
      </c>
      <c r="B1993" t="s">
        <v>14</v>
      </c>
      <c r="C1993" t="s">
        <v>116</v>
      </c>
      <c r="D1993" s="9" t="s">
        <v>111</v>
      </c>
      <c r="E1993" t="s">
        <v>37</v>
      </c>
      <c r="F1993" t="s">
        <v>71</v>
      </c>
      <c r="G1993">
        <v>847.4</v>
      </c>
      <c r="H1993" s="9">
        <v>24.42</v>
      </c>
      <c r="I1993"/>
    </row>
    <row r="1994" spans="1:9" x14ac:dyDescent="0.3">
      <c r="A1994" t="s">
        <v>2</v>
      </c>
      <c r="B1994" t="s">
        <v>14</v>
      </c>
      <c r="C1994" t="s">
        <v>117</v>
      </c>
      <c r="D1994" s="9" t="s">
        <v>111</v>
      </c>
      <c r="E1994" t="s">
        <v>38</v>
      </c>
      <c r="F1994" t="s">
        <v>73</v>
      </c>
      <c r="G1994">
        <v>864.2</v>
      </c>
      <c r="H1994" s="9">
        <v>18.86</v>
      </c>
      <c r="I1994"/>
    </row>
    <row r="1995" spans="1:9" x14ac:dyDescent="0.3">
      <c r="A1995" t="s">
        <v>2</v>
      </c>
      <c r="B1995" t="s">
        <v>14</v>
      </c>
      <c r="C1995" t="s">
        <v>118</v>
      </c>
      <c r="D1995" s="9" t="s">
        <v>111</v>
      </c>
      <c r="E1995" t="s">
        <v>39</v>
      </c>
      <c r="F1995" t="s">
        <v>75</v>
      </c>
      <c r="G1995">
        <v>859.7</v>
      </c>
      <c r="H1995" s="9">
        <v>14.75</v>
      </c>
      <c r="I1995"/>
    </row>
    <row r="1996" spans="1:9" x14ac:dyDescent="0.3">
      <c r="A1996" t="s">
        <v>2</v>
      </c>
      <c r="B1996" t="s">
        <v>14</v>
      </c>
      <c r="C1996" t="s">
        <v>119</v>
      </c>
      <c r="D1996" s="9" t="s">
        <v>111</v>
      </c>
      <c r="E1996" t="s">
        <v>40</v>
      </c>
      <c r="F1996" t="s">
        <v>77</v>
      </c>
      <c r="G1996">
        <v>850.5</v>
      </c>
      <c r="H1996" s="9">
        <v>13.89</v>
      </c>
      <c r="I1996"/>
    </row>
    <row r="1997" spans="1:9" x14ac:dyDescent="0.3">
      <c r="A1997" t="s">
        <v>2</v>
      </c>
      <c r="B1997" t="s">
        <v>14</v>
      </c>
      <c r="C1997" t="s">
        <v>120</v>
      </c>
      <c r="D1997" s="9" t="s">
        <v>111</v>
      </c>
      <c r="E1997" t="s">
        <v>41</v>
      </c>
      <c r="F1997" t="s">
        <v>79</v>
      </c>
      <c r="G1997">
        <v>909.8</v>
      </c>
      <c r="H1997" s="9">
        <v>12.79</v>
      </c>
      <c r="I1997"/>
    </row>
    <row r="1998" spans="1:9" x14ac:dyDescent="0.3">
      <c r="A1998" t="s">
        <v>2</v>
      </c>
      <c r="B1998" t="s">
        <v>14</v>
      </c>
      <c r="C1998" t="s">
        <v>121</v>
      </c>
      <c r="D1998" s="9" t="s">
        <v>111</v>
      </c>
      <c r="E1998" t="s">
        <v>42</v>
      </c>
      <c r="F1998" t="s">
        <v>81</v>
      </c>
      <c r="G1998">
        <v>1067.5999999999999</v>
      </c>
      <c r="H1998" s="9">
        <v>2.87</v>
      </c>
      <c r="I1998"/>
    </row>
    <row r="1999" spans="1:9" x14ac:dyDescent="0.3">
      <c r="A1999" t="s">
        <v>2</v>
      </c>
      <c r="B1999" t="s">
        <v>14</v>
      </c>
      <c r="C1999" t="s">
        <v>122</v>
      </c>
      <c r="D1999" s="9" t="s">
        <v>111</v>
      </c>
      <c r="E1999" t="s">
        <v>43</v>
      </c>
      <c r="F1999" t="s">
        <v>83</v>
      </c>
      <c r="G1999">
        <v>1069</v>
      </c>
      <c r="H1999" s="9">
        <v>4.18</v>
      </c>
      <c r="I1999"/>
    </row>
    <row r="2000" spans="1:9" x14ac:dyDescent="0.3">
      <c r="A2000" t="s">
        <v>2</v>
      </c>
      <c r="B2000" t="s">
        <v>14</v>
      </c>
      <c r="C2000" t="s">
        <v>123</v>
      </c>
      <c r="D2000" s="9" t="s">
        <v>124</v>
      </c>
      <c r="E2000" t="s">
        <v>32</v>
      </c>
      <c r="F2000" t="s">
        <v>61</v>
      </c>
      <c r="G2000">
        <v>838.7</v>
      </c>
      <c r="H2000" s="9">
        <v>7.76</v>
      </c>
      <c r="I2000"/>
    </row>
    <row r="2001" spans="1:9" x14ac:dyDescent="0.3">
      <c r="A2001" t="s">
        <v>2</v>
      </c>
      <c r="B2001" t="s">
        <v>14</v>
      </c>
      <c r="C2001" t="s">
        <v>125</v>
      </c>
      <c r="D2001" s="9" t="s">
        <v>124</v>
      </c>
      <c r="E2001" t="s">
        <v>33</v>
      </c>
      <c r="F2001" t="s">
        <v>63</v>
      </c>
      <c r="G2001">
        <v>793.9</v>
      </c>
      <c r="H2001" s="9">
        <v>2.77</v>
      </c>
      <c r="I2001"/>
    </row>
    <row r="2002" spans="1:9" x14ac:dyDescent="0.3">
      <c r="A2002" t="s">
        <v>2</v>
      </c>
      <c r="B2002" t="s">
        <v>14</v>
      </c>
      <c r="C2002" t="s">
        <v>126</v>
      </c>
      <c r="D2002" s="9" t="s">
        <v>124</v>
      </c>
      <c r="E2002" t="s">
        <v>34</v>
      </c>
      <c r="F2002" t="s">
        <v>65</v>
      </c>
      <c r="G2002">
        <v>853.8</v>
      </c>
      <c r="H2002" s="9">
        <v>-1.28</v>
      </c>
      <c r="I2002"/>
    </row>
    <row r="2003" spans="1:9" x14ac:dyDescent="0.3">
      <c r="A2003" t="s">
        <v>2</v>
      </c>
      <c r="B2003" t="s">
        <v>14</v>
      </c>
      <c r="C2003" t="s">
        <v>127</v>
      </c>
      <c r="D2003" s="9" t="s">
        <v>124</v>
      </c>
      <c r="E2003" t="s">
        <v>35</v>
      </c>
      <c r="F2003" t="s">
        <v>67</v>
      </c>
      <c r="G2003">
        <v>785.5</v>
      </c>
      <c r="H2003" s="9">
        <v>0.38</v>
      </c>
      <c r="I2003"/>
    </row>
    <row r="2004" spans="1:9" x14ac:dyDescent="0.3">
      <c r="A2004" t="s">
        <v>2</v>
      </c>
      <c r="B2004" t="s">
        <v>14</v>
      </c>
      <c r="C2004" t="s">
        <v>128</v>
      </c>
      <c r="D2004" s="9" t="s">
        <v>124</v>
      </c>
      <c r="E2004" t="s">
        <v>36</v>
      </c>
      <c r="F2004" t="s">
        <v>69</v>
      </c>
      <c r="G2004">
        <v>886.4</v>
      </c>
      <c r="H2004" s="9">
        <v>2.99</v>
      </c>
      <c r="I2004"/>
    </row>
    <row r="2005" spans="1:9" x14ac:dyDescent="0.3">
      <c r="A2005" t="s">
        <v>2</v>
      </c>
      <c r="B2005" t="s">
        <v>14</v>
      </c>
      <c r="C2005" t="s">
        <v>129</v>
      </c>
      <c r="D2005" s="9" t="s">
        <v>124</v>
      </c>
      <c r="E2005" t="s">
        <v>37</v>
      </c>
      <c r="F2005" t="s">
        <v>71</v>
      </c>
      <c r="G2005">
        <v>836.5</v>
      </c>
      <c r="H2005" s="9">
        <v>-1.29</v>
      </c>
      <c r="I2005"/>
    </row>
    <row r="2006" spans="1:9" x14ac:dyDescent="0.3">
      <c r="A2006" t="s">
        <v>2</v>
      </c>
      <c r="B2006" t="s">
        <v>14</v>
      </c>
      <c r="C2006" t="s">
        <v>130</v>
      </c>
      <c r="D2006" s="9" t="s">
        <v>124</v>
      </c>
      <c r="E2006" t="s">
        <v>38</v>
      </c>
      <c r="F2006" t="s">
        <v>73</v>
      </c>
      <c r="G2006">
        <v>835.6</v>
      </c>
      <c r="H2006" s="9">
        <v>-3.31</v>
      </c>
      <c r="I2006"/>
    </row>
    <row r="2007" spans="1:9" x14ac:dyDescent="0.3">
      <c r="A2007" t="s">
        <v>2</v>
      </c>
      <c r="B2007" t="s">
        <v>14</v>
      </c>
      <c r="C2007" t="s">
        <v>131</v>
      </c>
      <c r="D2007" s="9" t="s">
        <v>124</v>
      </c>
      <c r="E2007" t="s">
        <v>39</v>
      </c>
      <c r="F2007" t="s">
        <v>75</v>
      </c>
      <c r="G2007">
        <v>844.3</v>
      </c>
      <c r="H2007" s="9">
        <v>-1.79</v>
      </c>
      <c r="I2007"/>
    </row>
    <row r="2008" spans="1:9" x14ac:dyDescent="0.3">
      <c r="A2008" t="s">
        <v>2</v>
      </c>
      <c r="B2008" t="s">
        <v>14</v>
      </c>
      <c r="C2008" t="s">
        <v>132</v>
      </c>
      <c r="D2008" s="9" t="s">
        <v>124</v>
      </c>
      <c r="E2008" t="s">
        <v>40</v>
      </c>
      <c r="F2008" t="s">
        <v>77</v>
      </c>
      <c r="G2008">
        <v>845.8</v>
      </c>
      <c r="H2008" s="9">
        <v>-0.55000000000000004</v>
      </c>
      <c r="I2008"/>
    </row>
    <row r="2009" spans="1:9" x14ac:dyDescent="0.3">
      <c r="A2009" t="s">
        <v>2</v>
      </c>
      <c r="B2009" t="s">
        <v>14</v>
      </c>
      <c r="C2009" t="s">
        <v>133</v>
      </c>
      <c r="D2009" s="9" t="s">
        <v>124</v>
      </c>
      <c r="E2009" t="s">
        <v>41</v>
      </c>
      <c r="F2009" t="s">
        <v>79</v>
      </c>
      <c r="G2009">
        <v>902</v>
      </c>
      <c r="H2009" s="9">
        <v>-0.86</v>
      </c>
      <c r="I2009"/>
    </row>
    <row r="2010" spans="1:9" x14ac:dyDescent="0.3">
      <c r="A2010" t="s">
        <v>2</v>
      </c>
      <c r="B2010" t="s">
        <v>14</v>
      </c>
      <c r="C2010" t="s">
        <v>134</v>
      </c>
      <c r="D2010" s="9" t="s">
        <v>124</v>
      </c>
      <c r="E2010" t="s">
        <v>42</v>
      </c>
      <c r="F2010" t="s">
        <v>81</v>
      </c>
      <c r="G2010">
        <v>1072.3</v>
      </c>
      <c r="H2010" s="9">
        <v>0.44</v>
      </c>
      <c r="I2010"/>
    </row>
    <row r="2011" spans="1:9" x14ac:dyDescent="0.3">
      <c r="A2011" t="s">
        <v>2</v>
      </c>
      <c r="B2011" t="s">
        <v>14</v>
      </c>
      <c r="C2011" t="s">
        <v>135</v>
      </c>
      <c r="D2011" s="9" t="s">
        <v>124</v>
      </c>
      <c r="E2011" t="s">
        <v>43</v>
      </c>
      <c r="F2011" t="s">
        <v>83</v>
      </c>
      <c r="G2011">
        <v>1056.8</v>
      </c>
      <c r="H2011" s="9">
        <v>-1.1399999999999999</v>
      </c>
      <c r="I2011"/>
    </row>
    <row r="2012" spans="1:9" x14ac:dyDescent="0.3">
      <c r="A2012" t="s">
        <v>2</v>
      </c>
      <c r="B2012" t="s">
        <v>14</v>
      </c>
      <c r="C2012" t="s">
        <v>136</v>
      </c>
      <c r="D2012" s="9" t="s">
        <v>137</v>
      </c>
      <c r="E2012" t="s">
        <v>32</v>
      </c>
      <c r="F2012" t="s">
        <v>61</v>
      </c>
      <c r="G2012">
        <v>858.4</v>
      </c>
      <c r="H2012" s="9">
        <v>2.35</v>
      </c>
      <c r="I2012"/>
    </row>
    <row r="2013" spans="1:9" x14ac:dyDescent="0.3">
      <c r="A2013" t="s">
        <v>2</v>
      </c>
      <c r="B2013" t="s">
        <v>14</v>
      </c>
      <c r="C2013" t="s">
        <v>138</v>
      </c>
      <c r="D2013" s="9" t="s">
        <v>137</v>
      </c>
      <c r="E2013" t="s">
        <v>33</v>
      </c>
      <c r="F2013" t="s">
        <v>63</v>
      </c>
      <c r="G2013">
        <v>858.1</v>
      </c>
      <c r="H2013" s="9">
        <v>8.09</v>
      </c>
      <c r="I2013"/>
    </row>
    <row r="2014" spans="1:9" x14ac:dyDescent="0.3">
      <c r="A2014" t="s">
        <v>2</v>
      </c>
      <c r="B2014" t="s">
        <v>14</v>
      </c>
      <c r="C2014" t="s">
        <v>139</v>
      </c>
      <c r="D2014" s="9" t="s">
        <v>137</v>
      </c>
      <c r="E2014" t="s">
        <v>34</v>
      </c>
      <c r="F2014" t="s">
        <v>65</v>
      </c>
      <c r="G2014">
        <v>851.4</v>
      </c>
      <c r="H2014" s="9">
        <v>-0.28000000000000003</v>
      </c>
      <c r="I2014"/>
    </row>
    <row r="2015" spans="1:9" x14ac:dyDescent="0.3">
      <c r="A2015" t="s">
        <v>2</v>
      </c>
      <c r="B2015" t="s">
        <v>14</v>
      </c>
      <c r="C2015" t="s">
        <v>140</v>
      </c>
      <c r="D2015" s="9" t="s">
        <v>137</v>
      </c>
      <c r="E2015" t="s">
        <v>35</v>
      </c>
      <c r="F2015" t="s">
        <v>67</v>
      </c>
      <c r="G2015">
        <v>845.5</v>
      </c>
      <c r="H2015" s="9">
        <v>7.64</v>
      </c>
      <c r="I2015"/>
    </row>
    <row r="2016" spans="1:9" x14ac:dyDescent="0.3">
      <c r="A2016" t="s">
        <v>2</v>
      </c>
      <c r="B2016" t="s">
        <v>14</v>
      </c>
      <c r="C2016" t="s">
        <v>141</v>
      </c>
      <c r="D2016" s="9" t="s">
        <v>137</v>
      </c>
      <c r="E2016" t="s">
        <v>36</v>
      </c>
      <c r="F2016" t="s">
        <v>69</v>
      </c>
      <c r="G2016">
        <v>889.8</v>
      </c>
      <c r="H2016" s="9">
        <v>0.38</v>
      </c>
      <c r="I2016"/>
    </row>
    <row r="2017" spans="1:9" x14ac:dyDescent="0.3">
      <c r="A2017" t="s">
        <v>2</v>
      </c>
      <c r="B2017" t="s">
        <v>14</v>
      </c>
      <c r="C2017" t="s">
        <v>142</v>
      </c>
      <c r="D2017" s="9" t="s">
        <v>137</v>
      </c>
      <c r="E2017" t="s">
        <v>37</v>
      </c>
      <c r="F2017" t="s">
        <v>71</v>
      </c>
      <c r="G2017">
        <v>854.9</v>
      </c>
      <c r="H2017" s="9">
        <v>2.2000000000000002</v>
      </c>
      <c r="I2017"/>
    </row>
    <row r="2018" spans="1:9" x14ac:dyDescent="0.3">
      <c r="A2018" t="s">
        <v>2</v>
      </c>
      <c r="B2018" t="s">
        <v>14</v>
      </c>
      <c r="C2018" t="s">
        <v>143</v>
      </c>
      <c r="D2018" s="9" t="s">
        <v>137</v>
      </c>
      <c r="E2018" t="s">
        <v>38</v>
      </c>
      <c r="F2018" t="s">
        <v>73</v>
      </c>
      <c r="G2018">
        <v>851.7</v>
      </c>
      <c r="H2018" s="9">
        <v>1.93</v>
      </c>
      <c r="I2018"/>
    </row>
    <row r="2019" spans="1:9" x14ac:dyDescent="0.3">
      <c r="A2019" t="s">
        <v>2</v>
      </c>
      <c r="B2019" t="s">
        <v>14</v>
      </c>
      <c r="C2019" t="s">
        <v>144</v>
      </c>
      <c r="D2019" s="9" t="s">
        <v>137</v>
      </c>
      <c r="E2019" t="s">
        <v>39</v>
      </c>
      <c r="F2019" t="s">
        <v>75</v>
      </c>
      <c r="G2019">
        <v>874.6</v>
      </c>
      <c r="H2019" s="9">
        <v>3.59</v>
      </c>
      <c r="I2019"/>
    </row>
    <row r="2020" spans="1:9" x14ac:dyDescent="0.3">
      <c r="A2020" t="s">
        <v>2</v>
      </c>
      <c r="B2020" t="s">
        <v>14</v>
      </c>
      <c r="C2020" t="s">
        <v>145</v>
      </c>
      <c r="D2020" s="9" t="s">
        <v>137</v>
      </c>
      <c r="E2020" t="s">
        <v>40</v>
      </c>
      <c r="F2020" t="s">
        <v>77</v>
      </c>
      <c r="G2020">
        <v>845.2</v>
      </c>
      <c r="H2020" s="9">
        <v>-7.0000000000000007E-2</v>
      </c>
      <c r="I2020"/>
    </row>
    <row r="2021" spans="1:9" x14ac:dyDescent="0.3">
      <c r="A2021" t="s">
        <v>2</v>
      </c>
      <c r="B2021" t="s">
        <v>14</v>
      </c>
      <c r="C2021" t="s">
        <v>146</v>
      </c>
      <c r="D2021" s="9" t="s">
        <v>137</v>
      </c>
      <c r="E2021" t="s">
        <v>41</v>
      </c>
      <c r="F2021" t="s">
        <v>79</v>
      </c>
      <c r="G2021">
        <v>933.6</v>
      </c>
      <c r="H2021" s="9">
        <v>3.5</v>
      </c>
      <c r="I2021"/>
    </row>
    <row r="2022" spans="1:9" x14ac:dyDescent="0.3">
      <c r="A2022" t="s">
        <v>2</v>
      </c>
      <c r="B2022" t="s">
        <v>14</v>
      </c>
      <c r="C2022" t="s">
        <v>147</v>
      </c>
      <c r="D2022" s="9" t="s">
        <v>137</v>
      </c>
      <c r="E2022" t="s">
        <v>42</v>
      </c>
      <c r="F2022" t="s">
        <v>81</v>
      </c>
      <c r="G2022">
        <v>1058.7</v>
      </c>
      <c r="H2022" s="9">
        <v>-1.27</v>
      </c>
      <c r="I2022"/>
    </row>
    <row r="2023" spans="1:9" x14ac:dyDescent="0.3">
      <c r="A2023" t="s">
        <v>2</v>
      </c>
      <c r="B2023" t="s">
        <v>14</v>
      </c>
      <c r="C2023" t="s">
        <v>148</v>
      </c>
      <c r="D2023" s="9" t="s">
        <v>137</v>
      </c>
      <c r="E2023" t="s">
        <v>43</v>
      </c>
      <c r="F2023" t="s">
        <v>83</v>
      </c>
      <c r="G2023">
        <v>1036.5</v>
      </c>
      <c r="H2023" s="9">
        <v>-1.92</v>
      </c>
      <c r="I2023"/>
    </row>
    <row r="2024" spans="1:9" x14ac:dyDescent="0.3">
      <c r="A2024" t="s">
        <v>2</v>
      </c>
      <c r="B2024" t="s">
        <v>14</v>
      </c>
      <c r="C2024" t="s">
        <v>149</v>
      </c>
      <c r="D2024" s="9" t="s">
        <v>150</v>
      </c>
      <c r="E2024" t="s">
        <v>32</v>
      </c>
      <c r="F2024" t="s">
        <v>61</v>
      </c>
      <c r="G2024">
        <v>845.6</v>
      </c>
      <c r="H2024" s="9">
        <v>-1.49</v>
      </c>
      <c r="I2024"/>
    </row>
    <row r="2025" spans="1:9" x14ac:dyDescent="0.3">
      <c r="A2025" t="s">
        <v>2</v>
      </c>
      <c r="B2025" t="s">
        <v>14</v>
      </c>
      <c r="C2025" t="s">
        <v>151</v>
      </c>
      <c r="D2025" s="9" t="s">
        <v>150</v>
      </c>
      <c r="E2025" t="s">
        <v>33</v>
      </c>
      <c r="F2025" t="s">
        <v>63</v>
      </c>
      <c r="G2025">
        <v>780.8</v>
      </c>
      <c r="H2025" s="9">
        <v>-9.01</v>
      </c>
      <c r="I2025"/>
    </row>
    <row r="2026" spans="1:9" x14ac:dyDescent="0.3">
      <c r="A2026" t="s">
        <v>2</v>
      </c>
      <c r="B2026" t="s">
        <v>14</v>
      </c>
      <c r="C2026" t="s">
        <v>152</v>
      </c>
      <c r="D2026" s="9" t="s">
        <v>150</v>
      </c>
      <c r="E2026" t="s">
        <v>34</v>
      </c>
      <c r="F2026" t="s">
        <v>65</v>
      </c>
      <c r="G2026">
        <v>835.5</v>
      </c>
      <c r="H2026" s="9">
        <v>-1.87</v>
      </c>
      <c r="I2026"/>
    </row>
    <row r="2027" spans="1:9" x14ac:dyDescent="0.3">
      <c r="A2027" t="s">
        <v>2</v>
      </c>
      <c r="B2027" t="s">
        <v>14</v>
      </c>
      <c r="C2027" t="s">
        <v>153</v>
      </c>
      <c r="D2027" s="9" t="s">
        <v>150</v>
      </c>
      <c r="E2027" t="s">
        <v>35</v>
      </c>
      <c r="F2027" t="s">
        <v>67</v>
      </c>
      <c r="G2027">
        <v>781.8</v>
      </c>
      <c r="H2027" s="9">
        <v>-7.53</v>
      </c>
      <c r="I2027"/>
    </row>
    <row r="2028" spans="1:9" x14ac:dyDescent="0.3">
      <c r="A2028" t="s">
        <v>2</v>
      </c>
      <c r="B2028" t="s">
        <v>14</v>
      </c>
      <c r="C2028" t="s">
        <v>154</v>
      </c>
      <c r="D2028" s="9" t="s">
        <v>150</v>
      </c>
      <c r="E2028" t="s">
        <v>36</v>
      </c>
      <c r="F2028" t="s">
        <v>69</v>
      </c>
      <c r="G2028">
        <v>831.4</v>
      </c>
      <c r="H2028" s="9">
        <v>-6.56</v>
      </c>
      <c r="I2028"/>
    </row>
    <row r="2029" spans="1:9" x14ac:dyDescent="0.3">
      <c r="A2029" t="s">
        <v>2</v>
      </c>
      <c r="B2029" t="s">
        <v>14</v>
      </c>
      <c r="C2029" t="s">
        <v>155</v>
      </c>
      <c r="D2029" s="9" t="s">
        <v>150</v>
      </c>
      <c r="E2029" t="s">
        <v>37</v>
      </c>
      <c r="F2029" t="s">
        <v>71</v>
      </c>
      <c r="G2029">
        <v>847.8</v>
      </c>
      <c r="H2029" s="9">
        <v>-0.83</v>
      </c>
      <c r="I2029"/>
    </row>
    <row r="2030" spans="1:9" x14ac:dyDescent="0.3">
      <c r="A2030" t="s">
        <v>2</v>
      </c>
      <c r="B2030" t="s">
        <v>23</v>
      </c>
      <c r="C2030" t="s">
        <v>59</v>
      </c>
      <c r="D2030" s="9" t="s">
        <v>60</v>
      </c>
      <c r="E2030" t="s">
        <v>32</v>
      </c>
      <c r="F2030" t="s">
        <v>61</v>
      </c>
      <c r="G2030">
        <v>263.60000000000002</v>
      </c>
      <c r="I2030"/>
    </row>
    <row r="2031" spans="1:9" x14ac:dyDescent="0.3">
      <c r="A2031" t="s">
        <v>2</v>
      </c>
      <c r="B2031" t="s">
        <v>23</v>
      </c>
      <c r="C2031" t="s">
        <v>62</v>
      </c>
      <c r="D2031" s="9" t="s">
        <v>60</v>
      </c>
      <c r="E2031" t="s">
        <v>33</v>
      </c>
      <c r="F2031" t="s">
        <v>63</v>
      </c>
      <c r="G2031">
        <v>245.3</v>
      </c>
      <c r="I2031"/>
    </row>
    <row r="2032" spans="1:9" x14ac:dyDescent="0.3">
      <c r="A2032" t="s">
        <v>2</v>
      </c>
      <c r="B2032" t="s">
        <v>23</v>
      </c>
      <c r="C2032" t="s">
        <v>64</v>
      </c>
      <c r="D2032" s="9" t="s">
        <v>60</v>
      </c>
      <c r="E2032" t="s">
        <v>34</v>
      </c>
      <c r="F2032" t="s">
        <v>65</v>
      </c>
      <c r="G2032">
        <v>264.3</v>
      </c>
      <c r="I2032"/>
    </row>
    <row r="2033" spans="1:9" x14ac:dyDescent="0.3">
      <c r="A2033" t="s">
        <v>2</v>
      </c>
      <c r="B2033" t="s">
        <v>23</v>
      </c>
      <c r="C2033" t="s">
        <v>66</v>
      </c>
      <c r="D2033" s="9" t="s">
        <v>60</v>
      </c>
      <c r="E2033" t="s">
        <v>35</v>
      </c>
      <c r="F2033" t="s">
        <v>67</v>
      </c>
      <c r="G2033">
        <v>277.3</v>
      </c>
      <c r="I2033"/>
    </row>
    <row r="2034" spans="1:9" x14ac:dyDescent="0.3">
      <c r="A2034" t="s">
        <v>2</v>
      </c>
      <c r="B2034" t="s">
        <v>23</v>
      </c>
      <c r="C2034" t="s">
        <v>68</v>
      </c>
      <c r="D2034" s="9" t="s">
        <v>60</v>
      </c>
      <c r="E2034" t="s">
        <v>36</v>
      </c>
      <c r="F2034" t="s">
        <v>69</v>
      </c>
      <c r="G2034">
        <v>259.5</v>
      </c>
      <c r="I2034"/>
    </row>
    <row r="2035" spans="1:9" x14ac:dyDescent="0.3">
      <c r="A2035" t="s">
        <v>2</v>
      </c>
      <c r="B2035" t="s">
        <v>23</v>
      </c>
      <c r="C2035" t="s">
        <v>70</v>
      </c>
      <c r="D2035" s="9" t="s">
        <v>60</v>
      </c>
      <c r="E2035" t="s">
        <v>37</v>
      </c>
      <c r="F2035" t="s">
        <v>71</v>
      </c>
      <c r="G2035">
        <v>239.9</v>
      </c>
      <c r="I2035"/>
    </row>
    <row r="2036" spans="1:9" x14ac:dyDescent="0.3">
      <c r="A2036" t="s">
        <v>2</v>
      </c>
      <c r="B2036" t="s">
        <v>23</v>
      </c>
      <c r="C2036" t="s">
        <v>72</v>
      </c>
      <c r="D2036" s="9" t="s">
        <v>60</v>
      </c>
      <c r="E2036" t="s">
        <v>38</v>
      </c>
      <c r="F2036" t="s">
        <v>73</v>
      </c>
      <c r="G2036">
        <v>233.3</v>
      </c>
      <c r="I2036"/>
    </row>
    <row r="2037" spans="1:9" x14ac:dyDescent="0.3">
      <c r="A2037" t="s">
        <v>2</v>
      </c>
      <c r="B2037" t="s">
        <v>23</v>
      </c>
      <c r="C2037" t="s">
        <v>74</v>
      </c>
      <c r="D2037" s="9" t="s">
        <v>60</v>
      </c>
      <c r="E2037" t="s">
        <v>39</v>
      </c>
      <c r="F2037" t="s">
        <v>75</v>
      </c>
      <c r="G2037">
        <v>239.9</v>
      </c>
      <c r="I2037"/>
    </row>
    <row r="2038" spans="1:9" x14ac:dyDescent="0.3">
      <c r="A2038" t="s">
        <v>2</v>
      </c>
      <c r="B2038" t="s">
        <v>23</v>
      </c>
      <c r="C2038" t="s">
        <v>76</v>
      </c>
      <c r="D2038" s="9" t="s">
        <v>60</v>
      </c>
      <c r="E2038" t="s">
        <v>40</v>
      </c>
      <c r="F2038" t="s">
        <v>77</v>
      </c>
      <c r="G2038">
        <v>231.4</v>
      </c>
      <c r="I2038"/>
    </row>
    <row r="2039" spans="1:9" x14ac:dyDescent="0.3">
      <c r="A2039" t="s">
        <v>2</v>
      </c>
      <c r="B2039" t="s">
        <v>23</v>
      </c>
      <c r="C2039" t="s">
        <v>78</v>
      </c>
      <c r="D2039" s="9" t="s">
        <v>60</v>
      </c>
      <c r="E2039" t="s">
        <v>41</v>
      </c>
      <c r="F2039" t="s">
        <v>79</v>
      </c>
      <c r="G2039">
        <v>250.6</v>
      </c>
      <c r="I2039"/>
    </row>
    <row r="2040" spans="1:9" x14ac:dyDescent="0.3">
      <c r="A2040" t="s">
        <v>2</v>
      </c>
      <c r="B2040" t="s">
        <v>23</v>
      </c>
      <c r="C2040" t="s">
        <v>80</v>
      </c>
      <c r="D2040" s="9" t="s">
        <v>60</v>
      </c>
      <c r="E2040" t="s">
        <v>42</v>
      </c>
      <c r="F2040" t="s">
        <v>81</v>
      </c>
      <c r="G2040">
        <v>252.7</v>
      </c>
      <c r="I2040"/>
    </row>
    <row r="2041" spans="1:9" x14ac:dyDescent="0.3">
      <c r="A2041" t="s">
        <v>2</v>
      </c>
      <c r="B2041" t="s">
        <v>23</v>
      </c>
      <c r="C2041" t="s">
        <v>82</v>
      </c>
      <c r="D2041" s="9" t="s">
        <v>60</v>
      </c>
      <c r="E2041" t="s">
        <v>43</v>
      </c>
      <c r="F2041" t="s">
        <v>83</v>
      </c>
      <c r="G2041">
        <v>321.60000000000002</v>
      </c>
      <c r="I2041"/>
    </row>
    <row r="2042" spans="1:9" x14ac:dyDescent="0.3">
      <c r="A2042" t="s">
        <v>2</v>
      </c>
      <c r="B2042" t="s">
        <v>23</v>
      </c>
      <c r="C2042" t="s">
        <v>84</v>
      </c>
      <c r="D2042" s="9" t="s">
        <v>85</v>
      </c>
      <c r="E2042" t="s">
        <v>32</v>
      </c>
      <c r="F2042" t="s">
        <v>61</v>
      </c>
      <c r="G2042">
        <v>243.3</v>
      </c>
      <c r="H2042" s="9">
        <v>-7.7</v>
      </c>
      <c r="I2042"/>
    </row>
    <row r="2043" spans="1:9" x14ac:dyDescent="0.3">
      <c r="A2043" t="s">
        <v>2</v>
      </c>
      <c r="B2043" t="s">
        <v>23</v>
      </c>
      <c r="C2043" t="s">
        <v>86</v>
      </c>
      <c r="D2043" s="9" t="s">
        <v>85</v>
      </c>
      <c r="E2043" t="s">
        <v>33</v>
      </c>
      <c r="F2043" t="s">
        <v>63</v>
      </c>
      <c r="G2043">
        <v>225.2</v>
      </c>
      <c r="H2043" s="9">
        <v>-8.19</v>
      </c>
      <c r="I2043"/>
    </row>
    <row r="2044" spans="1:9" x14ac:dyDescent="0.3">
      <c r="A2044" t="s">
        <v>2</v>
      </c>
      <c r="B2044" t="s">
        <v>23</v>
      </c>
      <c r="C2044" t="s">
        <v>87</v>
      </c>
      <c r="D2044" s="9" t="s">
        <v>85</v>
      </c>
      <c r="E2044" t="s">
        <v>34</v>
      </c>
      <c r="F2044" t="s">
        <v>65</v>
      </c>
      <c r="G2044">
        <v>280.7</v>
      </c>
      <c r="H2044" s="9">
        <v>6.21</v>
      </c>
      <c r="I2044"/>
    </row>
    <row r="2045" spans="1:9" x14ac:dyDescent="0.3">
      <c r="A2045" t="s">
        <v>2</v>
      </c>
      <c r="B2045" t="s">
        <v>23</v>
      </c>
      <c r="C2045" t="s">
        <v>88</v>
      </c>
      <c r="D2045" s="9" t="s">
        <v>85</v>
      </c>
      <c r="E2045" t="s">
        <v>35</v>
      </c>
      <c r="F2045" t="s">
        <v>67</v>
      </c>
      <c r="G2045">
        <v>246</v>
      </c>
      <c r="H2045" s="9">
        <v>-11.29</v>
      </c>
      <c r="I2045"/>
    </row>
    <row r="2046" spans="1:9" x14ac:dyDescent="0.3">
      <c r="A2046" t="s">
        <v>2</v>
      </c>
      <c r="B2046" t="s">
        <v>23</v>
      </c>
      <c r="C2046" t="s">
        <v>89</v>
      </c>
      <c r="D2046" s="9" t="s">
        <v>85</v>
      </c>
      <c r="E2046" t="s">
        <v>36</v>
      </c>
      <c r="F2046" t="s">
        <v>69</v>
      </c>
      <c r="G2046">
        <v>258.2</v>
      </c>
      <c r="H2046" s="9">
        <v>-0.5</v>
      </c>
      <c r="I2046"/>
    </row>
    <row r="2047" spans="1:9" x14ac:dyDescent="0.3">
      <c r="A2047" t="s">
        <v>2</v>
      </c>
      <c r="B2047" t="s">
        <v>23</v>
      </c>
      <c r="C2047" t="s">
        <v>90</v>
      </c>
      <c r="D2047" s="9" t="s">
        <v>85</v>
      </c>
      <c r="E2047" t="s">
        <v>37</v>
      </c>
      <c r="F2047" t="s">
        <v>71</v>
      </c>
      <c r="G2047">
        <v>250.3</v>
      </c>
      <c r="H2047" s="9">
        <v>4.34</v>
      </c>
      <c r="I2047"/>
    </row>
    <row r="2048" spans="1:9" x14ac:dyDescent="0.3">
      <c r="A2048" t="s">
        <v>2</v>
      </c>
      <c r="B2048" t="s">
        <v>23</v>
      </c>
      <c r="C2048" t="s">
        <v>91</v>
      </c>
      <c r="D2048" s="9" t="s">
        <v>85</v>
      </c>
      <c r="E2048" t="s">
        <v>38</v>
      </c>
      <c r="F2048" t="s">
        <v>73</v>
      </c>
      <c r="G2048">
        <v>266.8</v>
      </c>
      <c r="H2048" s="9">
        <v>14.36</v>
      </c>
      <c r="I2048"/>
    </row>
    <row r="2049" spans="1:9" x14ac:dyDescent="0.3">
      <c r="A2049" t="s">
        <v>2</v>
      </c>
      <c r="B2049" t="s">
        <v>23</v>
      </c>
      <c r="C2049" t="s">
        <v>92</v>
      </c>
      <c r="D2049" s="9" t="s">
        <v>85</v>
      </c>
      <c r="E2049" t="s">
        <v>39</v>
      </c>
      <c r="F2049" t="s">
        <v>75</v>
      </c>
      <c r="G2049">
        <v>270.60000000000002</v>
      </c>
      <c r="H2049" s="9">
        <v>12.8</v>
      </c>
      <c r="I2049"/>
    </row>
    <row r="2050" spans="1:9" x14ac:dyDescent="0.3">
      <c r="A2050" t="s">
        <v>2</v>
      </c>
      <c r="B2050" t="s">
        <v>23</v>
      </c>
      <c r="C2050" t="s">
        <v>93</v>
      </c>
      <c r="D2050" s="9" t="s">
        <v>85</v>
      </c>
      <c r="E2050" t="s">
        <v>40</v>
      </c>
      <c r="F2050" t="s">
        <v>77</v>
      </c>
      <c r="G2050">
        <v>266.89999999999998</v>
      </c>
      <c r="H2050" s="9">
        <v>15.34</v>
      </c>
      <c r="I2050"/>
    </row>
    <row r="2051" spans="1:9" x14ac:dyDescent="0.3">
      <c r="A2051" t="s">
        <v>2</v>
      </c>
      <c r="B2051" t="s">
        <v>23</v>
      </c>
      <c r="C2051" t="s">
        <v>94</v>
      </c>
      <c r="D2051" s="9" t="s">
        <v>85</v>
      </c>
      <c r="E2051" t="s">
        <v>41</v>
      </c>
      <c r="F2051" t="s">
        <v>79</v>
      </c>
      <c r="G2051">
        <v>273.8</v>
      </c>
      <c r="H2051" s="9">
        <v>9.26</v>
      </c>
      <c r="I2051"/>
    </row>
    <row r="2052" spans="1:9" x14ac:dyDescent="0.3">
      <c r="A2052" t="s">
        <v>2</v>
      </c>
      <c r="B2052" t="s">
        <v>23</v>
      </c>
      <c r="C2052" t="s">
        <v>95</v>
      </c>
      <c r="D2052" s="9" t="s">
        <v>85</v>
      </c>
      <c r="E2052" t="s">
        <v>42</v>
      </c>
      <c r="F2052" t="s">
        <v>81</v>
      </c>
      <c r="G2052">
        <v>283.39999999999998</v>
      </c>
      <c r="H2052" s="9">
        <v>12.15</v>
      </c>
      <c r="I2052"/>
    </row>
    <row r="2053" spans="1:9" x14ac:dyDescent="0.3">
      <c r="A2053" t="s">
        <v>2</v>
      </c>
      <c r="B2053" t="s">
        <v>23</v>
      </c>
      <c r="C2053" t="s">
        <v>96</v>
      </c>
      <c r="D2053" s="9" t="s">
        <v>85</v>
      </c>
      <c r="E2053" t="s">
        <v>43</v>
      </c>
      <c r="F2053" t="s">
        <v>83</v>
      </c>
      <c r="G2053">
        <v>347.4</v>
      </c>
      <c r="H2053" s="9">
        <v>8.02</v>
      </c>
      <c r="I2053"/>
    </row>
    <row r="2054" spans="1:9" x14ac:dyDescent="0.3">
      <c r="A2054" t="s">
        <v>2</v>
      </c>
      <c r="B2054" t="s">
        <v>23</v>
      </c>
      <c r="C2054" t="s">
        <v>97</v>
      </c>
      <c r="D2054" s="9" t="s">
        <v>98</v>
      </c>
      <c r="E2054" t="s">
        <v>32</v>
      </c>
      <c r="F2054" t="s">
        <v>61</v>
      </c>
      <c r="G2054">
        <v>282.60000000000002</v>
      </c>
      <c r="H2054" s="9">
        <v>16.149999999999999</v>
      </c>
      <c r="I2054"/>
    </row>
    <row r="2055" spans="1:9" x14ac:dyDescent="0.3">
      <c r="A2055" t="s">
        <v>2</v>
      </c>
      <c r="B2055" t="s">
        <v>23</v>
      </c>
      <c r="C2055" t="s">
        <v>99</v>
      </c>
      <c r="D2055" s="9" t="s">
        <v>98</v>
      </c>
      <c r="E2055" t="s">
        <v>33</v>
      </c>
      <c r="F2055" t="s">
        <v>63</v>
      </c>
      <c r="G2055">
        <v>263.2</v>
      </c>
      <c r="H2055" s="9">
        <v>16.87</v>
      </c>
      <c r="I2055"/>
    </row>
    <row r="2056" spans="1:9" x14ac:dyDescent="0.3">
      <c r="A2056" t="s">
        <v>2</v>
      </c>
      <c r="B2056" t="s">
        <v>23</v>
      </c>
      <c r="C2056" t="s">
        <v>100</v>
      </c>
      <c r="D2056" s="9" t="s">
        <v>98</v>
      </c>
      <c r="E2056" t="s">
        <v>34</v>
      </c>
      <c r="F2056" t="s">
        <v>65</v>
      </c>
      <c r="G2056">
        <v>285.3</v>
      </c>
      <c r="H2056" s="9">
        <v>1.64</v>
      </c>
      <c r="I2056"/>
    </row>
    <row r="2057" spans="1:9" x14ac:dyDescent="0.3">
      <c r="A2057" t="s">
        <v>2</v>
      </c>
      <c r="B2057" t="s">
        <v>23</v>
      </c>
      <c r="C2057" t="s">
        <v>101</v>
      </c>
      <c r="D2057" s="9" t="s">
        <v>98</v>
      </c>
      <c r="E2057" t="s">
        <v>35</v>
      </c>
      <c r="F2057" t="s">
        <v>67</v>
      </c>
      <c r="G2057">
        <v>299.2</v>
      </c>
      <c r="H2057" s="9">
        <v>21.63</v>
      </c>
      <c r="I2057"/>
    </row>
    <row r="2058" spans="1:9" x14ac:dyDescent="0.3">
      <c r="A2058" t="s">
        <v>2</v>
      </c>
      <c r="B2058" t="s">
        <v>23</v>
      </c>
      <c r="C2058" t="s">
        <v>102</v>
      </c>
      <c r="D2058" s="9" t="s">
        <v>98</v>
      </c>
      <c r="E2058" t="s">
        <v>36</v>
      </c>
      <c r="F2058" t="s">
        <v>69</v>
      </c>
      <c r="G2058">
        <v>296</v>
      </c>
      <c r="H2058" s="9">
        <v>14.64</v>
      </c>
      <c r="I2058"/>
    </row>
    <row r="2059" spans="1:9" x14ac:dyDescent="0.3">
      <c r="A2059" t="s">
        <v>2</v>
      </c>
      <c r="B2059" t="s">
        <v>23</v>
      </c>
      <c r="C2059" t="s">
        <v>103</v>
      </c>
      <c r="D2059" s="9" t="s">
        <v>98</v>
      </c>
      <c r="E2059" t="s">
        <v>37</v>
      </c>
      <c r="F2059" t="s">
        <v>71</v>
      </c>
      <c r="G2059">
        <v>299</v>
      </c>
      <c r="H2059" s="9">
        <v>19.46</v>
      </c>
      <c r="I2059"/>
    </row>
    <row r="2060" spans="1:9" x14ac:dyDescent="0.3">
      <c r="A2060" t="s">
        <v>2</v>
      </c>
      <c r="B2060" t="s">
        <v>23</v>
      </c>
      <c r="C2060" t="s">
        <v>104</v>
      </c>
      <c r="D2060" s="9" t="s">
        <v>98</v>
      </c>
      <c r="E2060" t="s">
        <v>38</v>
      </c>
      <c r="F2060" t="s">
        <v>73</v>
      </c>
      <c r="G2060">
        <v>283.10000000000002</v>
      </c>
      <c r="H2060" s="9">
        <v>6.11</v>
      </c>
      <c r="I2060"/>
    </row>
    <row r="2061" spans="1:9" x14ac:dyDescent="0.3">
      <c r="A2061" t="s">
        <v>2</v>
      </c>
      <c r="B2061" t="s">
        <v>23</v>
      </c>
      <c r="C2061" t="s">
        <v>105</v>
      </c>
      <c r="D2061" s="9" t="s">
        <v>98</v>
      </c>
      <c r="E2061" t="s">
        <v>39</v>
      </c>
      <c r="F2061" t="s">
        <v>75</v>
      </c>
      <c r="G2061">
        <v>299.5</v>
      </c>
      <c r="H2061" s="9">
        <v>10.68</v>
      </c>
      <c r="I2061"/>
    </row>
    <row r="2062" spans="1:9" x14ac:dyDescent="0.3">
      <c r="A2062" t="s">
        <v>2</v>
      </c>
      <c r="B2062" t="s">
        <v>23</v>
      </c>
      <c r="C2062" t="s">
        <v>106</v>
      </c>
      <c r="D2062" s="9" t="s">
        <v>98</v>
      </c>
      <c r="E2062" t="s">
        <v>40</v>
      </c>
      <c r="F2062" t="s">
        <v>77</v>
      </c>
      <c r="G2062">
        <v>308.7</v>
      </c>
      <c r="H2062" s="9">
        <v>15.66</v>
      </c>
      <c r="I2062"/>
    </row>
    <row r="2063" spans="1:9" x14ac:dyDescent="0.3">
      <c r="A2063" t="s">
        <v>2</v>
      </c>
      <c r="B2063" t="s">
        <v>23</v>
      </c>
      <c r="C2063" t="s">
        <v>107</v>
      </c>
      <c r="D2063" s="9" t="s">
        <v>98</v>
      </c>
      <c r="E2063" t="s">
        <v>41</v>
      </c>
      <c r="F2063" t="s">
        <v>79</v>
      </c>
      <c r="G2063">
        <v>313.7</v>
      </c>
      <c r="H2063" s="9">
        <v>14.57</v>
      </c>
      <c r="I2063"/>
    </row>
    <row r="2064" spans="1:9" x14ac:dyDescent="0.3">
      <c r="A2064" t="s">
        <v>2</v>
      </c>
      <c r="B2064" t="s">
        <v>23</v>
      </c>
      <c r="C2064" t="s">
        <v>108</v>
      </c>
      <c r="D2064" s="9" t="s">
        <v>98</v>
      </c>
      <c r="E2064" t="s">
        <v>42</v>
      </c>
      <c r="F2064" t="s">
        <v>81</v>
      </c>
      <c r="G2064">
        <v>314</v>
      </c>
      <c r="H2064" s="9">
        <v>10.8</v>
      </c>
      <c r="I2064"/>
    </row>
    <row r="2065" spans="1:9" x14ac:dyDescent="0.3">
      <c r="A2065" t="s">
        <v>2</v>
      </c>
      <c r="B2065" t="s">
        <v>23</v>
      </c>
      <c r="C2065" t="s">
        <v>109</v>
      </c>
      <c r="D2065" s="9" t="s">
        <v>98</v>
      </c>
      <c r="E2065" t="s">
        <v>43</v>
      </c>
      <c r="F2065" t="s">
        <v>83</v>
      </c>
      <c r="G2065">
        <v>377.1</v>
      </c>
      <c r="H2065" s="9">
        <v>8.5500000000000007</v>
      </c>
      <c r="I2065"/>
    </row>
    <row r="2066" spans="1:9" x14ac:dyDescent="0.3">
      <c r="A2066" t="s">
        <v>2</v>
      </c>
      <c r="B2066" t="s">
        <v>23</v>
      </c>
      <c r="C2066" t="s">
        <v>110</v>
      </c>
      <c r="D2066" s="9" t="s">
        <v>111</v>
      </c>
      <c r="E2066" t="s">
        <v>32</v>
      </c>
      <c r="F2066" t="s">
        <v>61</v>
      </c>
      <c r="G2066">
        <v>308.60000000000002</v>
      </c>
      <c r="H2066" s="9">
        <v>9.1999999999999993</v>
      </c>
      <c r="I2066"/>
    </row>
    <row r="2067" spans="1:9" x14ac:dyDescent="0.3">
      <c r="A2067" t="s">
        <v>2</v>
      </c>
      <c r="B2067" t="s">
        <v>23</v>
      </c>
      <c r="C2067" t="s">
        <v>112</v>
      </c>
      <c r="D2067" s="9" t="s">
        <v>111</v>
      </c>
      <c r="E2067" t="s">
        <v>33</v>
      </c>
      <c r="F2067" t="s">
        <v>63</v>
      </c>
      <c r="G2067">
        <v>276.3</v>
      </c>
      <c r="H2067" s="9">
        <v>4.9800000000000004</v>
      </c>
      <c r="I2067"/>
    </row>
    <row r="2068" spans="1:9" x14ac:dyDescent="0.3">
      <c r="A2068" t="s">
        <v>2</v>
      </c>
      <c r="B2068" t="s">
        <v>23</v>
      </c>
      <c r="C2068" t="s">
        <v>113</v>
      </c>
      <c r="D2068" s="9" t="s">
        <v>111</v>
      </c>
      <c r="E2068" t="s">
        <v>34</v>
      </c>
      <c r="F2068" t="s">
        <v>65</v>
      </c>
      <c r="G2068">
        <v>298.3</v>
      </c>
      <c r="H2068" s="9">
        <v>4.5599999999999996</v>
      </c>
      <c r="I2068"/>
    </row>
    <row r="2069" spans="1:9" x14ac:dyDescent="0.3">
      <c r="A2069" t="s">
        <v>2</v>
      </c>
      <c r="B2069" t="s">
        <v>23</v>
      </c>
      <c r="C2069" t="s">
        <v>114</v>
      </c>
      <c r="D2069" s="9" t="s">
        <v>111</v>
      </c>
      <c r="E2069" t="s">
        <v>35</v>
      </c>
      <c r="F2069" t="s">
        <v>67</v>
      </c>
      <c r="G2069">
        <v>307</v>
      </c>
      <c r="H2069" s="9">
        <v>2.61</v>
      </c>
      <c r="I2069"/>
    </row>
    <row r="2070" spans="1:9" x14ac:dyDescent="0.3">
      <c r="A2070" t="s">
        <v>2</v>
      </c>
      <c r="B2070" t="s">
        <v>23</v>
      </c>
      <c r="C2070" t="s">
        <v>115</v>
      </c>
      <c r="D2070" s="9" t="s">
        <v>111</v>
      </c>
      <c r="E2070" t="s">
        <v>36</v>
      </c>
      <c r="F2070" t="s">
        <v>69</v>
      </c>
      <c r="G2070">
        <v>301.5</v>
      </c>
      <c r="H2070" s="9">
        <v>1.86</v>
      </c>
      <c r="I2070"/>
    </row>
    <row r="2071" spans="1:9" x14ac:dyDescent="0.3">
      <c r="A2071" t="s">
        <v>2</v>
      </c>
      <c r="B2071" t="s">
        <v>23</v>
      </c>
      <c r="C2071" t="s">
        <v>116</v>
      </c>
      <c r="D2071" s="9" t="s">
        <v>111</v>
      </c>
      <c r="E2071" t="s">
        <v>37</v>
      </c>
      <c r="F2071" t="s">
        <v>71</v>
      </c>
      <c r="G2071">
        <v>288.7</v>
      </c>
      <c r="H2071" s="9">
        <v>-3.44</v>
      </c>
      <c r="I2071"/>
    </row>
    <row r="2072" spans="1:9" x14ac:dyDescent="0.3">
      <c r="A2072" t="s">
        <v>2</v>
      </c>
      <c r="B2072" t="s">
        <v>23</v>
      </c>
      <c r="C2072" t="s">
        <v>117</v>
      </c>
      <c r="D2072" s="9" t="s">
        <v>111</v>
      </c>
      <c r="E2072" t="s">
        <v>38</v>
      </c>
      <c r="F2072" t="s">
        <v>73</v>
      </c>
      <c r="G2072">
        <v>304</v>
      </c>
      <c r="H2072" s="9">
        <v>7.38</v>
      </c>
      <c r="I2072"/>
    </row>
    <row r="2073" spans="1:9" x14ac:dyDescent="0.3">
      <c r="A2073" t="s">
        <v>2</v>
      </c>
      <c r="B2073" t="s">
        <v>23</v>
      </c>
      <c r="C2073" t="s">
        <v>118</v>
      </c>
      <c r="D2073" s="9" t="s">
        <v>111</v>
      </c>
      <c r="E2073" t="s">
        <v>39</v>
      </c>
      <c r="F2073" t="s">
        <v>75</v>
      </c>
      <c r="G2073">
        <v>323.7</v>
      </c>
      <c r="H2073" s="9">
        <v>8.08</v>
      </c>
      <c r="I2073"/>
    </row>
    <row r="2074" spans="1:9" x14ac:dyDescent="0.3">
      <c r="A2074" t="s">
        <v>2</v>
      </c>
      <c r="B2074" t="s">
        <v>23</v>
      </c>
      <c r="C2074" t="s">
        <v>119</v>
      </c>
      <c r="D2074" s="9" t="s">
        <v>111</v>
      </c>
      <c r="E2074" t="s">
        <v>40</v>
      </c>
      <c r="F2074" t="s">
        <v>77</v>
      </c>
      <c r="G2074">
        <v>323.89999999999998</v>
      </c>
      <c r="H2074" s="9">
        <v>4.92</v>
      </c>
      <c r="I2074"/>
    </row>
    <row r="2075" spans="1:9" x14ac:dyDescent="0.3">
      <c r="A2075" t="s">
        <v>2</v>
      </c>
      <c r="B2075" t="s">
        <v>23</v>
      </c>
      <c r="C2075" t="s">
        <v>120</v>
      </c>
      <c r="D2075" s="9" t="s">
        <v>111</v>
      </c>
      <c r="E2075" t="s">
        <v>41</v>
      </c>
      <c r="F2075" t="s">
        <v>79</v>
      </c>
      <c r="G2075">
        <v>323.7</v>
      </c>
      <c r="H2075" s="9">
        <v>3.19</v>
      </c>
      <c r="I2075"/>
    </row>
    <row r="2076" spans="1:9" x14ac:dyDescent="0.3">
      <c r="A2076" t="s">
        <v>2</v>
      </c>
      <c r="B2076" t="s">
        <v>23</v>
      </c>
      <c r="C2076" t="s">
        <v>121</v>
      </c>
      <c r="D2076" s="9" t="s">
        <v>111</v>
      </c>
      <c r="E2076" t="s">
        <v>42</v>
      </c>
      <c r="F2076" t="s">
        <v>81</v>
      </c>
      <c r="G2076">
        <v>342.8</v>
      </c>
      <c r="H2076" s="9">
        <v>9.17</v>
      </c>
      <c r="I2076"/>
    </row>
    <row r="2077" spans="1:9" x14ac:dyDescent="0.3">
      <c r="A2077" t="s">
        <v>2</v>
      </c>
      <c r="B2077" t="s">
        <v>23</v>
      </c>
      <c r="C2077" t="s">
        <v>122</v>
      </c>
      <c r="D2077" s="9" t="s">
        <v>111</v>
      </c>
      <c r="E2077" t="s">
        <v>43</v>
      </c>
      <c r="F2077" t="s">
        <v>83</v>
      </c>
      <c r="G2077">
        <v>422</v>
      </c>
      <c r="H2077" s="9">
        <v>11.91</v>
      </c>
      <c r="I2077"/>
    </row>
    <row r="2078" spans="1:9" x14ac:dyDescent="0.3">
      <c r="A2078" t="s">
        <v>2</v>
      </c>
      <c r="B2078" t="s">
        <v>23</v>
      </c>
      <c r="C2078" t="s">
        <v>123</v>
      </c>
      <c r="D2078" s="9" t="s">
        <v>124</v>
      </c>
      <c r="E2078" t="s">
        <v>32</v>
      </c>
      <c r="F2078" t="s">
        <v>61</v>
      </c>
      <c r="G2078">
        <v>325</v>
      </c>
      <c r="H2078" s="9">
        <v>5.31</v>
      </c>
      <c r="I2078"/>
    </row>
    <row r="2079" spans="1:9" x14ac:dyDescent="0.3">
      <c r="A2079" t="s">
        <v>2</v>
      </c>
      <c r="B2079" t="s">
        <v>23</v>
      </c>
      <c r="C2079" t="s">
        <v>125</v>
      </c>
      <c r="D2079" s="9" t="s">
        <v>124</v>
      </c>
      <c r="E2079" t="s">
        <v>33</v>
      </c>
      <c r="F2079" t="s">
        <v>63</v>
      </c>
      <c r="G2079">
        <v>307.2</v>
      </c>
      <c r="H2079" s="9">
        <v>11.18</v>
      </c>
      <c r="I2079"/>
    </row>
    <row r="2080" spans="1:9" x14ac:dyDescent="0.3">
      <c r="A2080" t="s">
        <v>2</v>
      </c>
      <c r="B2080" t="s">
        <v>23</v>
      </c>
      <c r="C2080" t="s">
        <v>126</v>
      </c>
      <c r="D2080" s="9" t="s">
        <v>124</v>
      </c>
      <c r="E2080" t="s">
        <v>34</v>
      </c>
      <c r="F2080" t="s">
        <v>65</v>
      </c>
      <c r="G2080">
        <v>325.89999999999998</v>
      </c>
      <c r="H2080" s="9">
        <v>9.25</v>
      </c>
      <c r="I2080"/>
    </row>
    <row r="2081" spans="1:9" x14ac:dyDescent="0.3">
      <c r="A2081" t="s">
        <v>2</v>
      </c>
      <c r="B2081" t="s">
        <v>23</v>
      </c>
      <c r="C2081" t="s">
        <v>127</v>
      </c>
      <c r="D2081" s="9" t="s">
        <v>124</v>
      </c>
      <c r="E2081" t="s">
        <v>35</v>
      </c>
      <c r="F2081" t="s">
        <v>67</v>
      </c>
      <c r="G2081">
        <v>314.60000000000002</v>
      </c>
      <c r="H2081" s="9">
        <v>2.48</v>
      </c>
      <c r="I2081"/>
    </row>
    <row r="2082" spans="1:9" x14ac:dyDescent="0.3">
      <c r="A2082" t="s">
        <v>2</v>
      </c>
      <c r="B2082" t="s">
        <v>23</v>
      </c>
      <c r="C2082" t="s">
        <v>128</v>
      </c>
      <c r="D2082" s="9" t="s">
        <v>124</v>
      </c>
      <c r="E2082" t="s">
        <v>36</v>
      </c>
      <c r="F2082" t="s">
        <v>69</v>
      </c>
      <c r="G2082">
        <v>311.89999999999998</v>
      </c>
      <c r="H2082" s="9">
        <v>3.45</v>
      </c>
      <c r="I2082"/>
    </row>
    <row r="2083" spans="1:9" x14ac:dyDescent="0.3">
      <c r="A2083" t="s">
        <v>2</v>
      </c>
      <c r="B2083" t="s">
        <v>23</v>
      </c>
      <c r="C2083" t="s">
        <v>129</v>
      </c>
      <c r="D2083" s="9" t="s">
        <v>124</v>
      </c>
      <c r="E2083" t="s">
        <v>37</v>
      </c>
      <c r="F2083" t="s">
        <v>71</v>
      </c>
      <c r="G2083">
        <v>311</v>
      </c>
      <c r="H2083" s="9">
        <v>7.72</v>
      </c>
      <c r="I2083"/>
    </row>
    <row r="2084" spans="1:9" x14ac:dyDescent="0.3">
      <c r="A2084" t="s">
        <v>2</v>
      </c>
      <c r="B2084" t="s">
        <v>23</v>
      </c>
      <c r="C2084" t="s">
        <v>130</v>
      </c>
      <c r="D2084" s="9" t="s">
        <v>124</v>
      </c>
      <c r="E2084" t="s">
        <v>38</v>
      </c>
      <c r="F2084" t="s">
        <v>73</v>
      </c>
      <c r="G2084">
        <v>318.7</v>
      </c>
      <c r="H2084" s="9">
        <v>4.84</v>
      </c>
      <c r="I2084"/>
    </row>
    <row r="2085" spans="1:9" x14ac:dyDescent="0.3">
      <c r="A2085" t="s">
        <v>2</v>
      </c>
      <c r="B2085" t="s">
        <v>23</v>
      </c>
      <c r="C2085" t="s">
        <v>131</v>
      </c>
      <c r="D2085" s="9" t="s">
        <v>124</v>
      </c>
      <c r="E2085" t="s">
        <v>39</v>
      </c>
      <c r="F2085" t="s">
        <v>75</v>
      </c>
      <c r="G2085">
        <v>343.8</v>
      </c>
      <c r="H2085" s="9">
        <v>6.21</v>
      </c>
      <c r="I2085"/>
    </row>
    <row r="2086" spans="1:9" x14ac:dyDescent="0.3">
      <c r="A2086" t="s">
        <v>2</v>
      </c>
      <c r="B2086" t="s">
        <v>23</v>
      </c>
      <c r="C2086" t="s">
        <v>132</v>
      </c>
      <c r="D2086" s="9" t="s">
        <v>124</v>
      </c>
      <c r="E2086" t="s">
        <v>40</v>
      </c>
      <c r="F2086" t="s">
        <v>77</v>
      </c>
      <c r="G2086">
        <v>332.2</v>
      </c>
      <c r="H2086" s="9">
        <v>2.56</v>
      </c>
      <c r="I2086"/>
    </row>
    <row r="2087" spans="1:9" x14ac:dyDescent="0.3">
      <c r="A2087" t="s">
        <v>2</v>
      </c>
      <c r="B2087" t="s">
        <v>23</v>
      </c>
      <c r="C2087" t="s">
        <v>133</v>
      </c>
      <c r="D2087" s="9" t="s">
        <v>124</v>
      </c>
      <c r="E2087" t="s">
        <v>41</v>
      </c>
      <c r="F2087" t="s">
        <v>79</v>
      </c>
      <c r="G2087">
        <v>340.4</v>
      </c>
      <c r="H2087" s="9">
        <v>5.16</v>
      </c>
      <c r="I2087"/>
    </row>
    <row r="2088" spans="1:9" x14ac:dyDescent="0.3">
      <c r="A2088" t="s">
        <v>2</v>
      </c>
      <c r="B2088" t="s">
        <v>23</v>
      </c>
      <c r="C2088" t="s">
        <v>134</v>
      </c>
      <c r="D2088" s="9" t="s">
        <v>124</v>
      </c>
      <c r="E2088" t="s">
        <v>42</v>
      </c>
      <c r="F2088" t="s">
        <v>81</v>
      </c>
      <c r="G2088">
        <v>341.6</v>
      </c>
      <c r="H2088" s="9">
        <v>-0.35</v>
      </c>
      <c r="I2088"/>
    </row>
    <row r="2089" spans="1:9" x14ac:dyDescent="0.3">
      <c r="A2089" t="s">
        <v>2</v>
      </c>
      <c r="B2089" t="s">
        <v>23</v>
      </c>
      <c r="C2089" t="s">
        <v>135</v>
      </c>
      <c r="D2089" s="9" t="s">
        <v>124</v>
      </c>
      <c r="E2089" t="s">
        <v>43</v>
      </c>
      <c r="F2089" t="s">
        <v>83</v>
      </c>
      <c r="G2089">
        <v>392</v>
      </c>
      <c r="H2089" s="9">
        <v>-7.11</v>
      </c>
      <c r="I2089"/>
    </row>
    <row r="2090" spans="1:9" x14ac:dyDescent="0.3">
      <c r="A2090" t="s">
        <v>2</v>
      </c>
      <c r="B2090" t="s">
        <v>23</v>
      </c>
      <c r="C2090" t="s">
        <v>136</v>
      </c>
      <c r="D2090" s="9" t="s">
        <v>137</v>
      </c>
      <c r="E2090" t="s">
        <v>32</v>
      </c>
      <c r="F2090" t="s">
        <v>61</v>
      </c>
      <c r="G2090">
        <v>316.3</v>
      </c>
      <c r="H2090" s="9">
        <v>-2.68</v>
      </c>
      <c r="I2090"/>
    </row>
    <row r="2091" spans="1:9" x14ac:dyDescent="0.3">
      <c r="A2091" t="s">
        <v>2</v>
      </c>
      <c r="B2091" t="s">
        <v>23</v>
      </c>
      <c r="C2091" t="s">
        <v>138</v>
      </c>
      <c r="D2091" s="9" t="s">
        <v>137</v>
      </c>
      <c r="E2091" t="s">
        <v>33</v>
      </c>
      <c r="F2091" t="s">
        <v>63</v>
      </c>
      <c r="G2091">
        <v>316.5</v>
      </c>
      <c r="H2091" s="9">
        <v>3.03</v>
      </c>
      <c r="I2091"/>
    </row>
    <row r="2092" spans="1:9" x14ac:dyDescent="0.3">
      <c r="A2092" t="s">
        <v>2</v>
      </c>
      <c r="B2092" t="s">
        <v>23</v>
      </c>
      <c r="C2092" t="s">
        <v>139</v>
      </c>
      <c r="D2092" s="9" t="s">
        <v>137</v>
      </c>
      <c r="E2092" t="s">
        <v>34</v>
      </c>
      <c r="F2092" t="s">
        <v>65</v>
      </c>
      <c r="G2092">
        <v>349.4</v>
      </c>
      <c r="H2092" s="9">
        <v>7.21</v>
      </c>
      <c r="I2092"/>
    </row>
    <row r="2093" spans="1:9" x14ac:dyDescent="0.3">
      <c r="A2093" t="s">
        <v>2</v>
      </c>
      <c r="B2093" t="s">
        <v>23</v>
      </c>
      <c r="C2093" t="s">
        <v>140</v>
      </c>
      <c r="D2093" s="9" t="s">
        <v>137</v>
      </c>
      <c r="E2093" t="s">
        <v>35</v>
      </c>
      <c r="F2093" t="s">
        <v>67</v>
      </c>
      <c r="G2093">
        <v>350.4</v>
      </c>
      <c r="H2093" s="9">
        <v>11.38</v>
      </c>
      <c r="I2093"/>
    </row>
    <row r="2094" spans="1:9" x14ac:dyDescent="0.3">
      <c r="A2094" t="s">
        <v>2</v>
      </c>
      <c r="B2094" t="s">
        <v>23</v>
      </c>
      <c r="C2094" t="s">
        <v>141</v>
      </c>
      <c r="D2094" s="9" t="s">
        <v>137</v>
      </c>
      <c r="E2094" t="s">
        <v>36</v>
      </c>
      <c r="F2094" t="s">
        <v>69</v>
      </c>
      <c r="G2094">
        <v>358</v>
      </c>
      <c r="H2094" s="9">
        <v>14.78</v>
      </c>
      <c r="I2094"/>
    </row>
    <row r="2095" spans="1:9" x14ac:dyDescent="0.3">
      <c r="A2095" t="s">
        <v>2</v>
      </c>
      <c r="B2095" t="s">
        <v>23</v>
      </c>
      <c r="C2095" t="s">
        <v>142</v>
      </c>
      <c r="D2095" s="9" t="s">
        <v>137</v>
      </c>
      <c r="E2095" t="s">
        <v>37</v>
      </c>
      <c r="F2095" t="s">
        <v>71</v>
      </c>
      <c r="G2095">
        <v>344.9</v>
      </c>
      <c r="H2095" s="9">
        <v>10.9</v>
      </c>
      <c r="I2095"/>
    </row>
    <row r="2096" spans="1:9" x14ac:dyDescent="0.3">
      <c r="A2096" t="s">
        <v>2</v>
      </c>
      <c r="B2096" t="s">
        <v>23</v>
      </c>
      <c r="C2096" t="s">
        <v>143</v>
      </c>
      <c r="D2096" s="9" t="s">
        <v>137</v>
      </c>
      <c r="E2096" t="s">
        <v>38</v>
      </c>
      <c r="F2096" t="s">
        <v>73</v>
      </c>
      <c r="G2096">
        <v>358.7</v>
      </c>
      <c r="H2096" s="9">
        <v>12.55</v>
      </c>
      <c r="I2096"/>
    </row>
    <row r="2097" spans="1:9" x14ac:dyDescent="0.3">
      <c r="A2097" t="s">
        <v>2</v>
      </c>
      <c r="B2097" t="s">
        <v>23</v>
      </c>
      <c r="C2097" t="s">
        <v>144</v>
      </c>
      <c r="D2097" s="9" t="s">
        <v>137</v>
      </c>
      <c r="E2097" t="s">
        <v>39</v>
      </c>
      <c r="F2097" t="s">
        <v>75</v>
      </c>
      <c r="G2097">
        <v>369.4</v>
      </c>
      <c r="H2097" s="9">
        <v>7.45</v>
      </c>
      <c r="I2097"/>
    </row>
    <row r="2098" spans="1:9" x14ac:dyDescent="0.3">
      <c r="A2098" t="s">
        <v>2</v>
      </c>
      <c r="B2098" t="s">
        <v>23</v>
      </c>
      <c r="C2098" t="s">
        <v>145</v>
      </c>
      <c r="D2098" s="9" t="s">
        <v>137</v>
      </c>
      <c r="E2098" t="s">
        <v>40</v>
      </c>
      <c r="F2098" t="s">
        <v>77</v>
      </c>
      <c r="G2098">
        <v>356.8</v>
      </c>
      <c r="H2098" s="9">
        <v>7.41</v>
      </c>
      <c r="I2098"/>
    </row>
    <row r="2099" spans="1:9" x14ac:dyDescent="0.3">
      <c r="A2099" t="s">
        <v>2</v>
      </c>
      <c r="B2099" t="s">
        <v>23</v>
      </c>
      <c r="C2099" t="s">
        <v>146</v>
      </c>
      <c r="D2099" s="9" t="s">
        <v>137</v>
      </c>
      <c r="E2099" t="s">
        <v>41</v>
      </c>
      <c r="F2099" t="s">
        <v>79</v>
      </c>
      <c r="G2099">
        <v>365</v>
      </c>
      <c r="H2099" s="9">
        <v>7.23</v>
      </c>
      <c r="I2099"/>
    </row>
    <row r="2100" spans="1:9" x14ac:dyDescent="0.3">
      <c r="A2100" t="s">
        <v>2</v>
      </c>
      <c r="B2100" t="s">
        <v>23</v>
      </c>
      <c r="C2100" t="s">
        <v>147</v>
      </c>
      <c r="D2100" s="9" t="s">
        <v>137</v>
      </c>
      <c r="E2100" t="s">
        <v>42</v>
      </c>
      <c r="F2100" t="s">
        <v>81</v>
      </c>
      <c r="G2100">
        <v>367.7</v>
      </c>
      <c r="H2100" s="9">
        <v>7.64</v>
      </c>
      <c r="I2100"/>
    </row>
    <row r="2101" spans="1:9" x14ac:dyDescent="0.3">
      <c r="A2101" t="s">
        <v>2</v>
      </c>
      <c r="B2101" t="s">
        <v>23</v>
      </c>
      <c r="C2101" t="s">
        <v>148</v>
      </c>
      <c r="D2101" s="9" t="s">
        <v>137</v>
      </c>
      <c r="E2101" t="s">
        <v>43</v>
      </c>
      <c r="F2101" t="s">
        <v>83</v>
      </c>
      <c r="G2101">
        <v>466.5</v>
      </c>
      <c r="H2101" s="9">
        <v>19.010000000000002</v>
      </c>
      <c r="I2101"/>
    </row>
    <row r="2102" spans="1:9" x14ac:dyDescent="0.3">
      <c r="A2102" t="s">
        <v>2</v>
      </c>
      <c r="B2102" t="s">
        <v>23</v>
      </c>
      <c r="C2102" t="s">
        <v>149</v>
      </c>
      <c r="D2102" s="9" t="s">
        <v>150</v>
      </c>
      <c r="E2102" t="s">
        <v>32</v>
      </c>
      <c r="F2102" t="s">
        <v>61</v>
      </c>
      <c r="G2102">
        <v>360.8</v>
      </c>
      <c r="H2102" s="9">
        <v>14.07</v>
      </c>
      <c r="I2102"/>
    </row>
    <row r="2103" spans="1:9" x14ac:dyDescent="0.3">
      <c r="A2103" t="s">
        <v>2</v>
      </c>
      <c r="B2103" t="s">
        <v>23</v>
      </c>
      <c r="C2103" t="s">
        <v>151</v>
      </c>
      <c r="D2103" s="9" t="s">
        <v>150</v>
      </c>
      <c r="E2103" t="s">
        <v>33</v>
      </c>
      <c r="F2103" t="s">
        <v>63</v>
      </c>
      <c r="G2103">
        <v>348.2</v>
      </c>
      <c r="H2103" s="9">
        <v>10.02</v>
      </c>
      <c r="I2103"/>
    </row>
    <row r="2104" spans="1:9" x14ac:dyDescent="0.3">
      <c r="A2104" t="s">
        <v>2</v>
      </c>
      <c r="B2104" t="s">
        <v>23</v>
      </c>
      <c r="C2104" t="s">
        <v>152</v>
      </c>
      <c r="D2104" s="9" t="s">
        <v>150</v>
      </c>
      <c r="E2104" t="s">
        <v>34</v>
      </c>
      <c r="F2104" t="s">
        <v>65</v>
      </c>
      <c r="G2104">
        <v>381.3</v>
      </c>
      <c r="H2104" s="9">
        <v>9.1300000000000008</v>
      </c>
      <c r="I2104"/>
    </row>
    <row r="2105" spans="1:9" x14ac:dyDescent="0.3">
      <c r="A2105" t="s">
        <v>2</v>
      </c>
      <c r="B2105" t="s">
        <v>23</v>
      </c>
      <c r="C2105" t="s">
        <v>153</v>
      </c>
      <c r="D2105" s="9" t="s">
        <v>150</v>
      </c>
      <c r="E2105" t="s">
        <v>35</v>
      </c>
      <c r="F2105" t="s">
        <v>67</v>
      </c>
      <c r="G2105">
        <v>395.4</v>
      </c>
      <c r="H2105" s="9">
        <v>12.84</v>
      </c>
      <c r="I2105"/>
    </row>
    <row r="2106" spans="1:9" x14ac:dyDescent="0.3">
      <c r="A2106" t="s">
        <v>2</v>
      </c>
      <c r="B2106" t="s">
        <v>23</v>
      </c>
      <c r="C2106" t="s">
        <v>154</v>
      </c>
      <c r="D2106" s="9" t="s">
        <v>150</v>
      </c>
      <c r="E2106" t="s">
        <v>36</v>
      </c>
      <c r="F2106" t="s">
        <v>69</v>
      </c>
      <c r="G2106">
        <v>389.1</v>
      </c>
      <c r="H2106" s="9">
        <v>8.69</v>
      </c>
      <c r="I2106"/>
    </row>
    <row r="2107" spans="1:9" x14ac:dyDescent="0.3">
      <c r="A2107" t="s">
        <v>2</v>
      </c>
      <c r="B2107" t="s">
        <v>23</v>
      </c>
      <c r="C2107" t="s">
        <v>155</v>
      </c>
      <c r="D2107" s="9" t="s">
        <v>150</v>
      </c>
      <c r="E2107" t="s">
        <v>37</v>
      </c>
      <c r="F2107" t="s">
        <v>71</v>
      </c>
      <c r="G2107">
        <v>366</v>
      </c>
      <c r="H2107" s="9">
        <v>6.12</v>
      </c>
      <c r="I2107"/>
    </row>
    <row r="2108" spans="1:9" x14ac:dyDescent="0.3">
      <c r="A2108" t="s">
        <v>2</v>
      </c>
      <c r="B2108" t="s">
        <v>17</v>
      </c>
      <c r="C2108" t="s">
        <v>59</v>
      </c>
      <c r="D2108" s="9" t="s">
        <v>60</v>
      </c>
      <c r="E2108" t="s">
        <v>32</v>
      </c>
      <c r="F2108" t="s">
        <v>61</v>
      </c>
      <c r="G2108">
        <v>355.8</v>
      </c>
      <c r="I2108"/>
    </row>
    <row r="2109" spans="1:9" x14ac:dyDescent="0.3">
      <c r="A2109" t="s">
        <v>2</v>
      </c>
      <c r="B2109" t="s">
        <v>17</v>
      </c>
      <c r="C2109" t="s">
        <v>62</v>
      </c>
      <c r="D2109" s="9" t="s">
        <v>60</v>
      </c>
      <c r="E2109" t="s">
        <v>33</v>
      </c>
      <c r="F2109" t="s">
        <v>63</v>
      </c>
      <c r="G2109">
        <v>344</v>
      </c>
      <c r="I2109"/>
    </row>
    <row r="2110" spans="1:9" x14ac:dyDescent="0.3">
      <c r="A2110" t="s">
        <v>2</v>
      </c>
      <c r="B2110" t="s">
        <v>17</v>
      </c>
      <c r="C2110" t="s">
        <v>64</v>
      </c>
      <c r="D2110" s="9" t="s">
        <v>60</v>
      </c>
      <c r="E2110" t="s">
        <v>34</v>
      </c>
      <c r="F2110" t="s">
        <v>65</v>
      </c>
      <c r="G2110">
        <v>393</v>
      </c>
      <c r="I2110"/>
    </row>
    <row r="2111" spans="1:9" x14ac:dyDescent="0.3">
      <c r="A2111" t="s">
        <v>2</v>
      </c>
      <c r="B2111" t="s">
        <v>17</v>
      </c>
      <c r="C2111" t="s">
        <v>66</v>
      </c>
      <c r="D2111" s="9" t="s">
        <v>60</v>
      </c>
      <c r="E2111" t="s">
        <v>35</v>
      </c>
      <c r="F2111" t="s">
        <v>67</v>
      </c>
      <c r="G2111">
        <v>375.9</v>
      </c>
      <c r="I2111"/>
    </row>
    <row r="2112" spans="1:9" x14ac:dyDescent="0.3">
      <c r="A2112" t="s">
        <v>2</v>
      </c>
      <c r="B2112" t="s">
        <v>17</v>
      </c>
      <c r="C2112" t="s">
        <v>68</v>
      </c>
      <c r="D2112" s="9" t="s">
        <v>60</v>
      </c>
      <c r="E2112" t="s">
        <v>36</v>
      </c>
      <c r="F2112" t="s">
        <v>69</v>
      </c>
      <c r="G2112">
        <v>408.4</v>
      </c>
      <c r="I2112"/>
    </row>
    <row r="2113" spans="1:9" x14ac:dyDescent="0.3">
      <c r="A2113" t="s">
        <v>2</v>
      </c>
      <c r="B2113" t="s">
        <v>17</v>
      </c>
      <c r="C2113" t="s">
        <v>70</v>
      </c>
      <c r="D2113" s="9" t="s">
        <v>60</v>
      </c>
      <c r="E2113" t="s">
        <v>37</v>
      </c>
      <c r="F2113" t="s">
        <v>71</v>
      </c>
      <c r="G2113">
        <v>391.7</v>
      </c>
      <c r="I2113"/>
    </row>
    <row r="2114" spans="1:9" x14ac:dyDescent="0.3">
      <c r="A2114" t="s">
        <v>2</v>
      </c>
      <c r="B2114" t="s">
        <v>17</v>
      </c>
      <c r="C2114" t="s">
        <v>72</v>
      </c>
      <c r="D2114" s="9" t="s">
        <v>60</v>
      </c>
      <c r="E2114" t="s">
        <v>38</v>
      </c>
      <c r="F2114" t="s">
        <v>73</v>
      </c>
      <c r="G2114">
        <v>405.7</v>
      </c>
      <c r="I2114"/>
    </row>
    <row r="2115" spans="1:9" x14ac:dyDescent="0.3">
      <c r="A2115" t="s">
        <v>2</v>
      </c>
      <c r="B2115" t="s">
        <v>17</v>
      </c>
      <c r="C2115" t="s">
        <v>74</v>
      </c>
      <c r="D2115" s="9" t="s">
        <v>60</v>
      </c>
      <c r="E2115" t="s">
        <v>39</v>
      </c>
      <c r="F2115" t="s">
        <v>75</v>
      </c>
      <c r="G2115">
        <v>410.7</v>
      </c>
      <c r="I2115"/>
    </row>
    <row r="2116" spans="1:9" x14ac:dyDescent="0.3">
      <c r="A2116" t="s">
        <v>2</v>
      </c>
      <c r="B2116" t="s">
        <v>17</v>
      </c>
      <c r="C2116" t="s">
        <v>76</v>
      </c>
      <c r="D2116" s="9" t="s">
        <v>60</v>
      </c>
      <c r="E2116" t="s">
        <v>40</v>
      </c>
      <c r="F2116" t="s">
        <v>77</v>
      </c>
      <c r="G2116">
        <v>394.9</v>
      </c>
      <c r="I2116"/>
    </row>
    <row r="2117" spans="1:9" x14ac:dyDescent="0.3">
      <c r="A2117" t="s">
        <v>2</v>
      </c>
      <c r="B2117" t="s">
        <v>17</v>
      </c>
      <c r="C2117" t="s">
        <v>78</v>
      </c>
      <c r="D2117" s="9" t="s">
        <v>60</v>
      </c>
      <c r="E2117" t="s">
        <v>41</v>
      </c>
      <c r="F2117" t="s">
        <v>79</v>
      </c>
      <c r="G2117">
        <v>407.3</v>
      </c>
      <c r="I2117"/>
    </row>
    <row r="2118" spans="1:9" x14ac:dyDescent="0.3">
      <c r="A2118" t="s">
        <v>2</v>
      </c>
      <c r="B2118" t="s">
        <v>17</v>
      </c>
      <c r="C2118" t="s">
        <v>80</v>
      </c>
      <c r="D2118" s="9" t="s">
        <v>60</v>
      </c>
      <c r="E2118" t="s">
        <v>42</v>
      </c>
      <c r="F2118" t="s">
        <v>81</v>
      </c>
      <c r="G2118">
        <v>426.9</v>
      </c>
      <c r="I2118"/>
    </row>
    <row r="2119" spans="1:9" x14ac:dyDescent="0.3">
      <c r="A2119" t="s">
        <v>2</v>
      </c>
      <c r="B2119" t="s">
        <v>17</v>
      </c>
      <c r="C2119" t="s">
        <v>82</v>
      </c>
      <c r="D2119" s="9" t="s">
        <v>60</v>
      </c>
      <c r="E2119" t="s">
        <v>43</v>
      </c>
      <c r="F2119" t="s">
        <v>83</v>
      </c>
      <c r="G2119">
        <v>478.1</v>
      </c>
      <c r="I2119"/>
    </row>
    <row r="2120" spans="1:9" x14ac:dyDescent="0.3">
      <c r="A2120" t="s">
        <v>2</v>
      </c>
      <c r="B2120" t="s">
        <v>17</v>
      </c>
      <c r="C2120" t="s">
        <v>84</v>
      </c>
      <c r="D2120" s="9" t="s">
        <v>85</v>
      </c>
      <c r="E2120" t="s">
        <v>32</v>
      </c>
      <c r="F2120" t="s">
        <v>61</v>
      </c>
      <c r="G2120">
        <v>370.6</v>
      </c>
      <c r="H2120" s="9">
        <v>4.16</v>
      </c>
      <c r="I2120"/>
    </row>
    <row r="2121" spans="1:9" x14ac:dyDescent="0.3">
      <c r="A2121" t="s">
        <v>2</v>
      </c>
      <c r="B2121" t="s">
        <v>17</v>
      </c>
      <c r="C2121" t="s">
        <v>86</v>
      </c>
      <c r="D2121" s="9" t="s">
        <v>85</v>
      </c>
      <c r="E2121" t="s">
        <v>33</v>
      </c>
      <c r="F2121" t="s">
        <v>63</v>
      </c>
      <c r="G2121">
        <v>372.7</v>
      </c>
      <c r="H2121" s="9">
        <v>8.34</v>
      </c>
      <c r="I2121"/>
    </row>
    <row r="2122" spans="1:9" x14ac:dyDescent="0.3">
      <c r="A2122" t="s">
        <v>2</v>
      </c>
      <c r="B2122" t="s">
        <v>17</v>
      </c>
      <c r="C2122" t="s">
        <v>87</v>
      </c>
      <c r="D2122" s="9" t="s">
        <v>85</v>
      </c>
      <c r="E2122" t="s">
        <v>34</v>
      </c>
      <c r="F2122" t="s">
        <v>65</v>
      </c>
      <c r="G2122">
        <v>478.4</v>
      </c>
      <c r="H2122" s="9">
        <v>21.73</v>
      </c>
      <c r="I2122"/>
    </row>
    <row r="2123" spans="1:9" x14ac:dyDescent="0.3">
      <c r="A2123" t="s">
        <v>2</v>
      </c>
      <c r="B2123" t="s">
        <v>17</v>
      </c>
      <c r="C2123" t="s">
        <v>88</v>
      </c>
      <c r="D2123" s="9" t="s">
        <v>85</v>
      </c>
      <c r="E2123" t="s">
        <v>35</v>
      </c>
      <c r="F2123" t="s">
        <v>67</v>
      </c>
      <c r="G2123">
        <v>350.7</v>
      </c>
      <c r="H2123" s="9">
        <v>-6.7</v>
      </c>
      <c r="I2123"/>
    </row>
    <row r="2124" spans="1:9" x14ac:dyDescent="0.3">
      <c r="A2124" t="s">
        <v>2</v>
      </c>
      <c r="B2124" t="s">
        <v>17</v>
      </c>
      <c r="C2124" t="s">
        <v>89</v>
      </c>
      <c r="D2124" s="9" t="s">
        <v>85</v>
      </c>
      <c r="E2124" t="s">
        <v>36</v>
      </c>
      <c r="F2124" t="s">
        <v>69</v>
      </c>
      <c r="G2124">
        <v>418.4</v>
      </c>
      <c r="H2124" s="9">
        <v>2.4500000000000002</v>
      </c>
      <c r="I2124"/>
    </row>
    <row r="2125" spans="1:9" x14ac:dyDescent="0.3">
      <c r="A2125" t="s">
        <v>2</v>
      </c>
      <c r="B2125" t="s">
        <v>17</v>
      </c>
      <c r="C2125" t="s">
        <v>90</v>
      </c>
      <c r="D2125" s="9" t="s">
        <v>85</v>
      </c>
      <c r="E2125" t="s">
        <v>37</v>
      </c>
      <c r="F2125" t="s">
        <v>71</v>
      </c>
      <c r="G2125">
        <v>403.4</v>
      </c>
      <c r="H2125" s="9">
        <v>2.99</v>
      </c>
      <c r="I2125"/>
    </row>
    <row r="2126" spans="1:9" x14ac:dyDescent="0.3">
      <c r="A2126" t="s">
        <v>2</v>
      </c>
      <c r="B2126" t="s">
        <v>17</v>
      </c>
      <c r="C2126" t="s">
        <v>91</v>
      </c>
      <c r="D2126" s="9" t="s">
        <v>85</v>
      </c>
      <c r="E2126" t="s">
        <v>38</v>
      </c>
      <c r="F2126" t="s">
        <v>73</v>
      </c>
      <c r="G2126">
        <v>479.5</v>
      </c>
      <c r="H2126" s="9">
        <v>18.190000000000001</v>
      </c>
      <c r="I2126"/>
    </row>
    <row r="2127" spans="1:9" x14ac:dyDescent="0.3">
      <c r="A2127" t="s">
        <v>2</v>
      </c>
      <c r="B2127" t="s">
        <v>17</v>
      </c>
      <c r="C2127" t="s">
        <v>92</v>
      </c>
      <c r="D2127" s="9" t="s">
        <v>85</v>
      </c>
      <c r="E2127" t="s">
        <v>39</v>
      </c>
      <c r="F2127" t="s">
        <v>75</v>
      </c>
      <c r="G2127">
        <v>437.2</v>
      </c>
      <c r="H2127" s="9">
        <v>6.45</v>
      </c>
      <c r="I2127"/>
    </row>
    <row r="2128" spans="1:9" x14ac:dyDescent="0.3">
      <c r="A2128" t="s">
        <v>2</v>
      </c>
      <c r="B2128" t="s">
        <v>17</v>
      </c>
      <c r="C2128" t="s">
        <v>93</v>
      </c>
      <c r="D2128" s="9" t="s">
        <v>85</v>
      </c>
      <c r="E2128" t="s">
        <v>40</v>
      </c>
      <c r="F2128" t="s">
        <v>77</v>
      </c>
      <c r="G2128">
        <v>448.8</v>
      </c>
      <c r="H2128" s="9">
        <v>13.65</v>
      </c>
      <c r="I2128"/>
    </row>
    <row r="2129" spans="1:9" x14ac:dyDescent="0.3">
      <c r="A2129" t="s">
        <v>2</v>
      </c>
      <c r="B2129" t="s">
        <v>17</v>
      </c>
      <c r="C2129" t="s">
        <v>94</v>
      </c>
      <c r="D2129" s="9" t="s">
        <v>85</v>
      </c>
      <c r="E2129" t="s">
        <v>41</v>
      </c>
      <c r="F2129" t="s">
        <v>79</v>
      </c>
      <c r="G2129">
        <v>459.1</v>
      </c>
      <c r="H2129" s="9">
        <v>12.72</v>
      </c>
      <c r="I2129"/>
    </row>
    <row r="2130" spans="1:9" x14ac:dyDescent="0.3">
      <c r="A2130" t="s">
        <v>2</v>
      </c>
      <c r="B2130" t="s">
        <v>17</v>
      </c>
      <c r="C2130" t="s">
        <v>95</v>
      </c>
      <c r="D2130" s="9" t="s">
        <v>85</v>
      </c>
      <c r="E2130" t="s">
        <v>42</v>
      </c>
      <c r="F2130" t="s">
        <v>81</v>
      </c>
      <c r="G2130">
        <v>463.4</v>
      </c>
      <c r="H2130" s="9">
        <v>8.5500000000000007</v>
      </c>
      <c r="I2130"/>
    </row>
    <row r="2131" spans="1:9" x14ac:dyDescent="0.3">
      <c r="A2131" t="s">
        <v>2</v>
      </c>
      <c r="B2131" t="s">
        <v>17</v>
      </c>
      <c r="C2131" t="s">
        <v>96</v>
      </c>
      <c r="D2131" s="9" t="s">
        <v>85</v>
      </c>
      <c r="E2131" t="s">
        <v>43</v>
      </c>
      <c r="F2131" t="s">
        <v>83</v>
      </c>
      <c r="G2131">
        <v>554.6</v>
      </c>
      <c r="H2131" s="9">
        <v>16</v>
      </c>
      <c r="I2131"/>
    </row>
    <row r="2132" spans="1:9" x14ac:dyDescent="0.3">
      <c r="A2132" t="s">
        <v>2</v>
      </c>
      <c r="B2132" t="s">
        <v>17</v>
      </c>
      <c r="C2132" t="s">
        <v>97</v>
      </c>
      <c r="D2132" s="9" t="s">
        <v>98</v>
      </c>
      <c r="E2132" t="s">
        <v>32</v>
      </c>
      <c r="F2132" t="s">
        <v>61</v>
      </c>
      <c r="G2132">
        <v>415.2</v>
      </c>
      <c r="H2132" s="9">
        <v>12.03</v>
      </c>
      <c r="I2132"/>
    </row>
    <row r="2133" spans="1:9" x14ac:dyDescent="0.3">
      <c r="A2133" t="s">
        <v>2</v>
      </c>
      <c r="B2133" t="s">
        <v>17</v>
      </c>
      <c r="C2133" t="s">
        <v>99</v>
      </c>
      <c r="D2133" s="9" t="s">
        <v>98</v>
      </c>
      <c r="E2133" t="s">
        <v>33</v>
      </c>
      <c r="F2133" t="s">
        <v>63</v>
      </c>
      <c r="G2133">
        <v>418.4</v>
      </c>
      <c r="H2133" s="9">
        <v>12.26</v>
      </c>
      <c r="I2133"/>
    </row>
    <row r="2134" spans="1:9" x14ac:dyDescent="0.3">
      <c r="A2134" t="s">
        <v>2</v>
      </c>
      <c r="B2134" t="s">
        <v>17</v>
      </c>
      <c r="C2134" t="s">
        <v>100</v>
      </c>
      <c r="D2134" s="9" t="s">
        <v>98</v>
      </c>
      <c r="E2134" t="s">
        <v>34</v>
      </c>
      <c r="F2134" t="s">
        <v>65</v>
      </c>
      <c r="G2134">
        <v>481.2</v>
      </c>
      <c r="H2134" s="9">
        <v>0.59</v>
      </c>
      <c r="I2134"/>
    </row>
    <row r="2135" spans="1:9" x14ac:dyDescent="0.3">
      <c r="A2135" t="s">
        <v>2</v>
      </c>
      <c r="B2135" t="s">
        <v>17</v>
      </c>
      <c r="C2135" t="s">
        <v>101</v>
      </c>
      <c r="D2135" s="9" t="s">
        <v>98</v>
      </c>
      <c r="E2135" t="s">
        <v>35</v>
      </c>
      <c r="F2135" t="s">
        <v>67</v>
      </c>
      <c r="G2135">
        <v>467.4</v>
      </c>
      <c r="H2135" s="9">
        <v>33.28</v>
      </c>
      <c r="I2135"/>
    </row>
    <row r="2136" spans="1:9" x14ac:dyDescent="0.3">
      <c r="A2136" t="s">
        <v>2</v>
      </c>
      <c r="B2136" t="s">
        <v>17</v>
      </c>
      <c r="C2136" t="s">
        <v>102</v>
      </c>
      <c r="D2136" s="9" t="s">
        <v>98</v>
      </c>
      <c r="E2136" t="s">
        <v>36</v>
      </c>
      <c r="F2136" t="s">
        <v>69</v>
      </c>
      <c r="G2136">
        <v>489.7</v>
      </c>
      <c r="H2136" s="9">
        <v>17.04</v>
      </c>
      <c r="I2136"/>
    </row>
    <row r="2137" spans="1:9" x14ac:dyDescent="0.3">
      <c r="A2137" t="s">
        <v>2</v>
      </c>
      <c r="B2137" t="s">
        <v>17</v>
      </c>
      <c r="C2137" t="s">
        <v>103</v>
      </c>
      <c r="D2137" s="9" t="s">
        <v>98</v>
      </c>
      <c r="E2137" t="s">
        <v>37</v>
      </c>
      <c r="F2137" t="s">
        <v>71</v>
      </c>
      <c r="G2137">
        <v>458.3</v>
      </c>
      <c r="H2137" s="9">
        <v>13.61</v>
      </c>
      <c r="I2137"/>
    </row>
    <row r="2138" spans="1:9" x14ac:dyDescent="0.3">
      <c r="A2138" t="s">
        <v>2</v>
      </c>
      <c r="B2138" t="s">
        <v>17</v>
      </c>
      <c r="C2138" t="s">
        <v>104</v>
      </c>
      <c r="D2138" s="9" t="s">
        <v>98</v>
      </c>
      <c r="E2138" t="s">
        <v>38</v>
      </c>
      <c r="F2138" t="s">
        <v>73</v>
      </c>
      <c r="G2138">
        <v>488.6</v>
      </c>
      <c r="H2138" s="9">
        <v>1.9</v>
      </c>
      <c r="I2138"/>
    </row>
    <row r="2139" spans="1:9" x14ac:dyDescent="0.3">
      <c r="A2139" t="s">
        <v>2</v>
      </c>
      <c r="B2139" t="s">
        <v>17</v>
      </c>
      <c r="C2139" t="s">
        <v>105</v>
      </c>
      <c r="D2139" s="9" t="s">
        <v>98</v>
      </c>
      <c r="E2139" t="s">
        <v>39</v>
      </c>
      <c r="F2139" t="s">
        <v>75</v>
      </c>
      <c r="G2139">
        <v>484</v>
      </c>
      <c r="H2139" s="9">
        <v>10.7</v>
      </c>
      <c r="I2139"/>
    </row>
    <row r="2140" spans="1:9" x14ac:dyDescent="0.3">
      <c r="A2140" t="s">
        <v>2</v>
      </c>
      <c r="B2140" t="s">
        <v>17</v>
      </c>
      <c r="C2140" t="s">
        <v>106</v>
      </c>
      <c r="D2140" s="9" t="s">
        <v>98</v>
      </c>
      <c r="E2140" t="s">
        <v>40</v>
      </c>
      <c r="F2140" t="s">
        <v>77</v>
      </c>
      <c r="G2140">
        <v>478.9</v>
      </c>
      <c r="H2140" s="9">
        <v>6.71</v>
      </c>
      <c r="I2140"/>
    </row>
    <row r="2141" spans="1:9" x14ac:dyDescent="0.3">
      <c r="A2141" t="s">
        <v>2</v>
      </c>
      <c r="B2141" t="s">
        <v>17</v>
      </c>
      <c r="C2141" t="s">
        <v>107</v>
      </c>
      <c r="D2141" s="9" t="s">
        <v>98</v>
      </c>
      <c r="E2141" t="s">
        <v>41</v>
      </c>
      <c r="F2141" t="s">
        <v>79</v>
      </c>
      <c r="G2141">
        <v>499.8</v>
      </c>
      <c r="H2141" s="9">
        <v>8.8699999999999992</v>
      </c>
      <c r="I2141"/>
    </row>
    <row r="2142" spans="1:9" x14ac:dyDescent="0.3">
      <c r="A2142" t="s">
        <v>2</v>
      </c>
      <c r="B2142" t="s">
        <v>17</v>
      </c>
      <c r="C2142" t="s">
        <v>108</v>
      </c>
      <c r="D2142" s="9" t="s">
        <v>98</v>
      </c>
      <c r="E2142" t="s">
        <v>42</v>
      </c>
      <c r="F2142" t="s">
        <v>81</v>
      </c>
      <c r="G2142">
        <v>533.5</v>
      </c>
      <c r="H2142" s="9">
        <v>15.13</v>
      </c>
      <c r="I2142"/>
    </row>
    <row r="2143" spans="1:9" x14ac:dyDescent="0.3">
      <c r="A2143" t="s">
        <v>2</v>
      </c>
      <c r="B2143" t="s">
        <v>17</v>
      </c>
      <c r="C2143" t="s">
        <v>109</v>
      </c>
      <c r="D2143" s="9" t="s">
        <v>98</v>
      </c>
      <c r="E2143" t="s">
        <v>43</v>
      </c>
      <c r="F2143" t="s">
        <v>83</v>
      </c>
      <c r="G2143">
        <v>655.6</v>
      </c>
      <c r="H2143" s="9">
        <v>18.21</v>
      </c>
      <c r="I2143"/>
    </row>
    <row r="2144" spans="1:9" x14ac:dyDescent="0.3">
      <c r="A2144" t="s">
        <v>2</v>
      </c>
      <c r="B2144" t="s">
        <v>17</v>
      </c>
      <c r="C2144" t="s">
        <v>110</v>
      </c>
      <c r="D2144" s="9" t="s">
        <v>111</v>
      </c>
      <c r="E2144" t="s">
        <v>32</v>
      </c>
      <c r="F2144" t="s">
        <v>61</v>
      </c>
      <c r="G2144">
        <v>500.3</v>
      </c>
      <c r="H2144" s="9">
        <v>20.5</v>
      </c>
      <c r="I2144"/>
    </row>
    <row r="2145" spans="1:9" x14ac:dyDescent="0.3">
      <c r="A2145" t="s">
        <v>2</v>
      </c>
      <c r="B2145" t="s">
        <v>17</v>
      </c>
      <c r="C2145" t="s">
        <v>112</v>
      </c>
      <c r="D2145" s="9" t="s">
        <v>111</v>
      </c>
      <c r="E2145" t="s">
        <v>33</v>
      </c>
      <c r="F2145" t="s">
        <v>63</v>
      </c>
      <c r="G2145">
        <v>474.7</v>
      </c>
      <c r="H2145" s="9">
        <v>13.46</v>
      </c>
      <c r="I2145"/>
    </row>
    <row r="2146" spans="1:9" x14ac:dyDescent="0.3">
      <c r="A2146" t="s">
        <v>2</v>
      </c>
      <c r="B2146" t="s">
        <v>17</v>
      </c>
      <c r="C2146" t="s">
        <v>113</v>
      </c>
      <c r="D2146" s="9" t="s">
        <v>111</v>
      </c>
      <c r="E2146" t="s">
        <v>34</v>
      </c>
      <c r="F2146" t="s">
        <v>65</v>
      </c>
      <c r="G2146">
        <v>538.79999999999995</v>
      </c>
      <c r="H2146" s="9">
        <v>11.97</v>
      </c>
      <c r="I2146"/>
    </row>
    <row r="2147" spans="1:9" x14ac:dyDescent="0.3">
      <c r="A2147" t="s">
        <v>2</v>
      </c>
      <c r="B2147" t="s">
        <v>17</v>
      </c>
      <c r="C2147" t="s">
        <v>114</v>
      </c>
      <c r="D2147" s="9" t="s">
        <v>111</v>
      </c>
      <c r="E2147" t="s">
        <v>35</v>
      </c>
      <c r="F2147" t="s">
        <v>67</v>
      </c>
      <c r="G2147">
        <v>525.29999999999995</v>
      </c>
      <c r="H2147" s="9">
        <v>12.39</v>
      </c>
      <c r="I2147"/>
    </row>
    <row r="2148" spans="1:9" x14ac:dyDescent="0.3">
      <c r="A2148" t="s">
        <v>2</v>
      </c>
      <c r="B2148" t="s">
        <v>17</v>
      </c>
      <c r="C2148" t="s">
        <v>115</v>
      </c>
      <c r="D2148" s="9" t="s">
        <v>111</v>
      </c>
      <c r="E2148" t="s">
        <v>36</v>
      </c>
      <c r="F2148" t="s">
        <v>69</v>
      </c>
      <c r="G2148">
        <v>562</v>
      </c>
      <c r="H2148" s="9">
        <v>14.76</v>
      </c>
      <c r="I2148"/>
    </row>
    <row r="2149" spans="1:9" x14ac:dyDescent="0.3">
      <c r="A2149" t="s">
        <v>2</v>
      </c>
      <c r="B2149" t="s">
        <v>17</v>
      </c>
      <c r="C2149" t="s">
        <v>116</v>
      </c>
      <c r="D2149" s="9" t="s">
        <v>111</v>
      </c>
      <c r="E2149" t="s">
        <v>37</v>
      </c>
      <c r="F2149" t="s">
        <v>71</v>
      </c>
      <c r="G2149">
        <v>555.5</v>
      </c>
      <c r="H2149" s="9">
        <v>21.21</v>
      </c>
      <c r="I2149"/>
    </row>
    <row r="2150" spans="1:9" x14ac:dyDescent="0.3">
      <c r="A2150" t="s">
        <v>2</v>
      </c>
      <c r="B2150" t="s">
        <v>17</v>
      </c>
      <c r="C2150" t="s">
        <v>117</v>
      </c>
      <c r="D2150" s="9" t="s">
        <v>111</v>
      </c>
      <c r="E2150" t="s">
        <v>38</v>
      </c>
      <c r="F2150" t="s">
        <v>73</v>
      </c>
      <c r="G2150">
        <v>554.70000000000005</v>
      </c>
      <c r="H2150" s="9">
        <v>13.53</v>
      </c>
      <c r="I2150"/>
    </row>
    <row r="2151" spans="1:9" x14ac:dyDescent="0.3">
      <c r="A2151" t="s">
        <v>2</v>
      </c>
      <c r="B2151" t="s">
        <v>17</v>
      </c>
      <c r="C2151" t="s">
        <v>118</v>
      </c>
      <c r="D2151" s="9" t="s">
        <v>111</v>
      </c>
      <c r="E2151" t="s">
        <v>39</v>
      </c>
      <c r="F2151" t="s">
        <v>75</v>
      </c>
      <c r="G2151">
        <v>570</v>
      </c>
      <c r="H2151" s="9">
        <v>17.77</v>
      </c>
      <c r="I2151"/>
    </row>
    <row r="2152" spans="1:9" x14ac:dyDescent="0.3">
      <c r="A2152" t="s">
        <v>2</v>
      </c>
      <c r="B2152" t="s">
        <v>17</v>
      </c>
      <c r="C2152" t="s">
        <v>119</v>
      </c>
      <c r="D2152" s="9" t="s">
        <v>111</v>
      </c>
      <c r="E2152" t="s">
        <v>40</v>
      </c>
      <c r="F2152" t="s">
        <v>77</v>
      </c>
      <c r="G2152">
        <v>565.4</v>
      </c>
      <c r="H2152" s="9">
        <v>18.059999999999999</v>
      </c>
      <c r="I2152"/>
    </row>
    <row r="2153" spans="1:9" x14ac:dyDescent="0.3">
      <c r="A2153" t="s">
        <v>2</v>
      </c>
      <c r="B2153" t="s">
        <v>17</v>
      </c>
      <c r="C2153" t="s">
        <v>120</v>
      </c>
      <c r="D2153" s="9" t="s">
        <v>111</v>
      </c>
      <c r="E2153" t="s">
        <v>41</v>
      </c>
      <c r="F2153" t="s">
        <v>79</v>
      </c>
      <c r="G2153">
        <v>548.5</v>
      </c>
      <c r="H2153" s="9">
        <v>9.74</v>
      </c>
      <c r="I2153"/>
    </row>
    <row r="2154" spans="1:9" x14ac:dyDescent="0.3">
      <c r="A2154" t="s">
        <v>2</v>
      </c>
      <c r="B2154" t="s">
        <v>17</v>
      </c>
      <c r="C2154" t="s">
        <v>121</v>
      </c>
      <c r="D2154" s="9" t="s">
        <v>111</v>
      </c>
      <c r="E2154" t="s">
        <v>42</v>
      </c>
      <c r="F2154" t="s">
        <v>81</v>
      </c>
      <c r="G2154">
        <v>589.1</v>
      </c>
      <c r="H2154" s="9">
        <v>10.42</v>
      </c>
      <c r="I2154"/>
    </row>
    <row r="2155" spans="1:9" x14ac:dyDescent="0.3">
      <c r="A2155" t="s">
        <v>2</v>
      </c>
      <c r="B2155" t="s">
        <v>17</v>
      </c>
      <c r="C2155" t="s">
        <v>122</v>
      </c>
      <c r="D2155" s="9" t="s">
        <v>111</v>
      </c>
      <c r="E2155" t="s">
        <v>43</v>
      </c>
      <c r="F2155" t="s">
        <v>83</v>
      </c>
      <c r="G2155">
        <v>679.8</v>
      </c>
      <c r="H2155" s="9">
        <v>3.69</v>
      </c>
      <c r="I2155"/>
    </row>
    <row r="2156" spans="1:9" x14ac:dyDescent="0.3">
      <c r="A2156" t="s">
        <v>2</v>
      </c>
      <c r="B2156" t="s">
        <v>17</v>
      </c>
      <c r="C2156" t="s">
        <v>123</v>
      </c>
      <c r="D2156" s="9" t="s">
        <v>124</v>
      </c>
      <c r="E2156" t="s">
        <v>32</v>
      </c>
      <c r="F2156" t="s">
        <v>61</v>
      </c>
      <c r="G2156">
        <v>506.7</v>
      </c>
      <c r="H2156" s="9">
        <v>1.28</v>
      </c>
      <c r="I2156"/>
    </row>
    <row r="2157" spans="1:9" x14ac:dyDescent="0.3">
      <c r="A2157" t="s">
        <v>2</v>
      </c>
      <c r="B2157" t="s">
        <v>17</v>
      </c>
      <c r="C2157" t="s">
        <v>125</v>
      </c>
      <c r="D2157" s="9" t="s">
        <v>124</v>
      </c>
      <c r="E2157" t="s">
        <v>33</v>
      </c>
      <c r="F2157" t="s">
        <v>63</v>
      </c>
      <c r="G2157">
        <v>496.7</v>
      </c>
      <c r="H2157" s="9">
        <v>4.63</v>
      </c>
      <c r="I2157"/>
    </row>
    <row r="2158" spans="1:9" x14ac:dyDescent="0.3">
      <c r="A2158" t="s">
        <v>2</v>
      </c>
      <c r="B2158" t="s">
        <v>17</v>
      </c>
      <c r="C2158" t="s">
        <v>126</v>
      </c>
      <c r="D2158" s="9" t="s">
        <v>124</v>
      </c>
      <c r="E2158" t="s">
        <v>34</v>
      </c>
      <c r="F2158" t="s">
        <v>65</v>
      </c>
      <c r="G2158">
        <v>559.79999999999995</v>
      </c>
      <c r="H2158" s="9">
        <v>3.9</v>
      </c>
      <c r="I2158"/>
    </row>
    <row r="2159" spans="1:9" x14ac:dyDescent="0.3">
      <c r="A2159" t="s">
        <v>2</v>
      </c>
      <c r="B2159" t="s">
        <v>17</v>
      </c>
      <c r="C2159" t="s">
        <v>127</v>
      </c>
      <c r="D2159" s="9" t="s">
        <v>124</v>
      </c>
      <c r="E2159" t="s">
        <v>35</v>
      </c>
      <c r="F2159" t="s">
        <v>67</v>
      </c>
      <c r="G2159">
        <v>534.5</v>
      </c>
      <c r="H2159" s="9">
        <v>1.75</v>
      </c>
      <c r="I2159"/>
    </row>
    <row r="2160" spans="1:9" x14ac:dyDescent="0.3">
      <c r="A2160" t="s">
        <v>2</v>
      </c>
      <c r="B2160" t="s">
        <v>17</v>
      </c>
      <c r="C2160" t="s">
        <v>128</v>
      </c>
      <c r="D2160" s="9" t="s">
        <v>124</v>
      </c>
      <c r="E2160" t="s">
        <v>36</v>
      </c>
      <c r="F2160" t="s">
        <v>69</v>
      </c>
      <c r="G2160">
        <v>598</v>
      </c>
      <c r="H2160" s="9">
        <v>6.41</v>
      </c>
      <c r="I2160"/>
    </row>
    <row r="2161" spans="1:9" x14ac:dyDescent="0.3">
      <c r="A2161" t="s">
        <v>2</v>
      </c>
      <c r="B2161" t="s">
        <v>17</v>
      </c>
      <c r="C2161" t="s">
        <v>129</v>
      </c>
      <c r="D2161" s="9" t="s">
        <v>124</v>
      </c>
      <c r="E2161" t="s">
        <v>37</v>
      </c>
      <c r="F2161" t="s">
        <v>71</v>
      </c>
      <c r="G2161">
        <v>559</v>
      </c>
      <c r="H2161" s="9">
        <v>0.63</v>
      </c>
      <c r="I2161"/>
    </row>
    <row r="2162" spans="1:9" x14ac:dyDescent="0.3">
      <c r="A2162" t="s">
        <v>2</v>
      </c>
      <c r="B2162" t="s">
        <v>17</v>
      </c>
      <c r="C2162" t="s">
        <v>130</v>
      </c>
      <c r="D2162" s="9" t="s">
        <v>124</v>
      </c>
      <c r="E2162" t="s">
        <v>38</v>
      </c>
      <c r="F2162" t="s">
        <v>73</v>
      </c>
      <c r="G2162">
        <v>574</v>
      </c>
      <c r="H2162" s="9">
        <v>3.48</v>
      </c>
      <c r="I2162"/>
    </row>
    <row r="2163" spans="1:9" x14ac:dyDescent="0.3">
      <c r="A2163" t="s">
        <v>2</v>
      </c>
      <c r="B2163" t="s">
        <v>17</v>
      </c>
      <c r="C2163" t="s">
        <v>131</v>
      </c>
      <c r="D2163" s="9" t="s">
        <v>124</v>
      </c>
      <c r="E2163" t="s">
        <v>39</v>
      </c>
      <c r="F2163" t="s">
        <v>75</v>
      </c>
      <c r="G2163">
        <v>590.9</v>
      </c>
      <c r="H2163" s="9">
        <v>3.67</v>
      </c>
      <c r="I2163"/>
    </row>
    <row r="2164" spans="1:9" x14ac:dyDescent="0.3">
      <c r="A2164" t="s">
        <v>2</v>
      </c>
      <c r="B2164" t="s">
        <v>17</v>
      </c>
      <c r="C2164" t="s">
        <v>132</v>
      </c>
      <c r="D2164" s="9" t="s">
        <v>124</v>
      </c>
      <c r="E2164" t="s">
        <v>40</v>
      </c>
      <c r="F2164" t="s">
        <v>77</v>
      </c>
      <c r="G2164">
        <v>610.1</v>
      </c>
      <c r="H2164" s="9">
        <v>7.91</v>
      </c>
      <c r="I2164"/>
    </row>
    <row r="2165" spans="1:9" x14ac:dyDescent="0.3">
      <c r="A2165" t="s">
        <v>2</v>
      </c>
      <c r="B2165" t="s">
        <v>17</v>
      </c>
      <c r="C2165" t="s">
        <v>133</v>
      </c>
      <c r="D2165" s="9" t="s">
        <v>124</v>
      </c>
      <c r="E2165" t="s">
        <v>41</v>
      </c>
      <c r="F2165" t="s">
        <v>79</v>
      </c>
      <c r="G2165">
        <v>599.79999999999995</v>
      </c>
      <c r="H2165" s="9">
        <v>9.35</v>
      </c>
      <c r="I2165"/>
    </row>
    <row r="2166" spans="1:9" x14ac:dyDescent="0.3">
      <c r="A2166" t="s">
        <v>2</v>
      </c>
      <c r="B2166" t="s">
        <v>17</v>
      </c>
      <c r="C2166" t="s">
        <v>134</v>
      </c>
      <c r="D2166" s="9" t="s">
        <v>124</v>
      </c>
      <c r="E2166" t="s">
        <v>42</v>
      </c>
      <c r="F2166" t="s">
        <v>81</v>
      </c>
      <c r="G2166">
        <v>631.79999999999995</v>
      </c>
      <c r="H2166" s="9">
        <v>7.25</v>
      </c>
      <c r="I2166"/>
    </row>
    <row r="2167" spans="1:9" x14ac:dyDescent="0.3">
      <c r="A2167" t="s">
        <v>2</v>
      </c>
      <c r="B2167" t="s">
        <v>17</v>
      </c>
      <c r="C2167" t="s">
        <v>135</v>
      </c>
      <c r="D2167" s="9" t="s">
        <v>124</v>
      </c>
      <c r="E2167" t="s">
        <v>43</v>
      </c>
      <c r="F2167" t="s">
        <v>83</v>
      </c>
      <c r="G2167">
        <v>698.3</v>
      </c>
      <c r="H2167" s="9">
        <v>2.72</v>
      </c>
      <c r="I2167"/>
    </row>
    <row r="2168" spans="1:9" x14ac:dyDescent="0.3">
      <c r="A2168" t="s">
        <v>2</v>
      </c>
      <c r="B2168" t="s">
        <v>17</v>
      </c>
      <c r="C2168" t="s">
        <v>136</v>
      </c>
      <c r="D2168" s="9" t="s">
        <v>137</v>
      </c>
      <c r="E2168" t="s">
        <v>32</v>
      </c>
      <c r="F2168" t="s">
        <v>61</v>
      </c>
      <c r="G2168">
        <v>553.29999999999995</v>
      </c>
      <c r="H2168" s="9">
        <v>9.1999999999999993</v>
      </c>
      <c r="I2168"/>
    </row>
    <row r="2169" spans="1:9" x14ac:dyDescent="0.3">
      <c r="A2169" t="s">
        <v>2</v>
      </c>
      <c r="B2169" t="s">
        <v>17</v>
      </c>
      <c r="C2169" t="s">
        <v>138</v>
      </c>
      <c r="D2169" s="9" t="s">
        <v>137</v>
      </c>
      <c r="E2169" t="s">
        <v>33</v>
      </c>
      <c r="F2169" t="s">
        <v>63</v>
      </c>
      <c r="G2169">
        <v>537.20000000000005</v>
      </c>
      <c r="H2169" s="9">
        <v>8.15</v>
      </c>
      <c r="I2169"/>
    </row>
    <row r="2170" spans="1:9" x14ac:dyDescent="0.3">
      <c r="A2170" t="s">
        <v>2</v>
      </c>
      <c r="B2170" t="s">
        <v>17</v>
      </c>
      <c r="C2170" t="s">
        <v>139</v>
      </c>
      <c r="D2170" s="9" t="s">
        <v>137</v>
      </c>
      <c r="E2170" t="s">
        <v>34</v>
      </c>
      <c r="F2170" t="s">
        <v>65</v>
      </c>
      <c r="G2170">
        <v>574.6</v>
      </c>
      <c r="H2170" s="9">
        <v>2.64</v>
      </c>
      <c r="I2170"/>
    </row>
    <row r="2171" spans="1:9" x14ac:dyDescent="0.3">
      <c r="A2171" t="s">
        <v>2</v>
      </c>
      <c r="B2171" t="s">
        <v>17</v>
      </c>
      <c r="C2171" t="s">
        <v>140</v>
      </c>
      <c r="D2171" s="9" t="s">
        <v>137</v>
      </c>
      <c r="E2171" t="s">
        <v>35</v>
      </c>
      <c r="F2171" t="s">
        <v>67</v>
      </c>
      <c r="G2171">
        <v>568.79999999999995</v>
      </c>
      <c r="H2171" s="9">
        <v>6.42</v>
      </c>
      <c r="I2171"/>
    </row>
    <row r="2172" spans="1:9" x14ac:dyDescent="0.3">
      <c r="A2172" t="s">
        <v>2</v>
      </c>
      <c r="B2172" t="s">
        <v>17</v>
      </c>
      <c r="C2172" t="s">
        <v>141</v>
      </c>
      <c r="D2172" s="9" t="s">
        <v>137</v>
      </c>
      <c r="E2172" t="s">
        <v>36</v>
      </c>
      <c r="F2172" t="s">
        <v>69</v>
      </c>
      <c r="G2172">
        <v>621.20000000000005</v>
      </c>
      <c r="H2172" s="9">
        <v>3.88</v>
      </c>
      <c r="I2172"/>
    </row>
    <row r="2173" spans="1:9" x14ac:dyDescent="0.3">
      <c r="A2173" t="s">
        <v>2</v>
      </c>
      <c r="B2173" t="s">
        <v>17</v>
      </c>
      <c r="C2173" t="s">
        <v>142</v>
      </c>
      <c r="D2173" s="9" t="s">
        <v>137</v>
      </c>
      <c r="E2173" t="s">
        <v>37</v>
      </c>
      <c r="F2173" t="s">
        <v>71</v>
      </c>
      <c r="G2173">
        <v>569.5</v>
      </c>
      <c r="H2173" s="9">
        <v>1.88</v>
      </c>
      <c r="I2173"/>
    </row>
    <row r="2174" spans="1:9" x14ac:dyDescent="0.3">
      <c r="A2174" t="s">
        <v>2</v>
      </c>
      <c r="B2174" t="s">
        <v>17</v>
      </c>
      <c r="C2174" t="s">
        <v>143</v>
      </c>
      <c r="D2174" s="9" t="s">
        <v>137</v>
      </c>
      <c r="E2174" t="s">
        <v>38</v>
      </c>
      <c r="F2174" t="s">
        <v>73</v>
      </c>
      <c r="G2174">
        <v>610.79999999999995</v>
      </c>
      <c r="H2174" s="9">
        <v>6.41</v>
      </c>
      <c r="I2174"/>
    </row>
    <row r="2175" spans="1:9" x14ac:dyDescent="0.3">
      <c r="A2175" t="s">
        <v>2</v>
      </c>
      <c r="B2175" t="s">
        <v>17</v>
      </c>
      <c r="C2175" t="s">
        <v>144</v>
      </c>
      <c r="D2175" s="9" t="s">
        <v>137</v>
      </c>
      <c r="E2175" t="s">
        <v>39</v>
      </c>
      <c r="F2175" t="s">
        <v>75</v>
      </c>
      <c r="G2175">
        <v>641</v>
      </c>
      <c r="H2175" s="9">
        <v>8.48</v>
      </c>
      <c r="I2175"/>
    </row>
    <row r="2176" spans="1:9" x14ac:dyDescent="0.3">
      <c r="A2176" t="s">
        <v>2</v>
      </c>
      <c r="B2176" t="s">
        <v>17</v>
      </c>
      <c r="C2176" t="s">
        <v>145</v>
      </c>
      <c r="D2176" s="9" t="s">
        <v>137</v>
      </c>
      <c r="E2176" t="s">
        <v>40</v>
      </c>
      <c r="F2176" t="s">
        <v>77</v>
      </c>
      <c r="G2176">
        <v>627</v>
      </c>
      <c r="H2176" s="9">
        <v>2.77</v>
      </c>
      <c r="I2176"/>
    </row>
    <row r="2177" spans="1:9" x14ac:dyDescent="0.3">
      <c r="A2177" t="s">
        <v>2</v>
      </c>
      <c r="B2177" t="s">
        <v>17</v>
      </c>
      <c r="C2177" t="s">
        <v>146</v>
      </c>
      <c r="D2177" s="9" t="s">
        <v>137</v>
      </c>
      <c r="E2177" t="s">
        <v>41</v>
      </c>
      <c r="F2177" t="s">
        <v>79</v>
      </c>
      <c r="G2177">
        <v>644.29999999999995</v>
      </c>
      <c r="H2177" s="9">
        <v>7.42</v>
      </c>
      <c r="I2177"/>
    </row>
    <row r="2178" spans="1:9" x14ac:dyDescent="0.3">
      <c r="A2178" t="s">
        <v>2</v>
      </c>
      <c r="B2178" t="s">
        <v>17</v>
      </c>
      <c r="C2178" t="s">
        <v>147</v>
      </c>
      <c r="D2178" s="9" t="s">
        <v>137</v>
      </c>
      <c r="E2178" t="s">
        <v>42</v>
      </c>
      <c r="F2178" t="s">
        <v>81</v>
      </c>
      <c r="G2178">
        <v>668.2</v>
      </c>
      <c r="H2178" s="9">
        <v>5.76</v>
      </c>
      <c r="I2178"/>
    </row>
    <row r="2179" spans="1:9" x14ac:dyDescent="0.3">
      <c r="A2179" t="s">
        <v>2</v>
      </c>
      <c r="B2179" t="s">
        <v>17</v>
      </c>
      <c r="C2179" t="s">
        <v>148</v>
      </c>
      <c r="D2179" s="9" t="s">
        <v>137</v>
      </c>
      <c r="E2179" t="s">
        <v>43</v>
      </c>
      <c r="F2179" t="s">
        <v>83</v>
      </c>
      <c r="G2179">
        <v>758.3</v>
      </c>
      <c r="H2179" s="9">
        <v>8.59</v>
      </c>
      <c r="I2179"/>
    </row>
    <row r="2180" spans="1:9" x14ac:dyDescent="0.3">
      <c r="A2180" t="s">
        <v>2</v>
      </c>
      <c r="B2180" t="s">
        <v>17</v>
      </c>
      <c r="C2180" t="s">
        <v>149</v>
      </c>
      <c r="D2180" s="9" t="s">
        <v>150</v>
      </c>
      <c r="E2180" t="s">
        <v>32</v>
      </c>
      <c r="F2180" t="s">
        <v>61</v>
      </c>
      <c r="G2180">
        <v>596.4</v>
      </c>
      <c r="H2180" s="9">
        <v>7.79</v>
      </c>
      <c r="I2180"/>
    </row>
    <row r="2181" spans="1:9" x14ac:dyDescent="0.3">
      <c r="A2181" t="s">
        <v>2</v>
      </c>
      <c r="B2181" t="s">
        <v>17</v>
      </c>
      <c r="C2181" t="s">
        <v>151</v>
      </c>
      <c r="D2181" s="9" t="s">
        <v>150</v>
      </c>
      <c r="E2181" t="s">
        <v>33</v>
      </c>
      <c r="F2181" t="s">
        <v>63</v>
      </c>
      <c r="G2181">
        <v>581.1</v>
      </c>
      <c r="H2181" s="9">
        <v>8.17</v>
      </c>
      <c r="I2181"/>
    </row>
    <row r="2182" spans="1:9" x14ac:dyDescent="0.3">
      <c r="A2182" t="s">
        <v>2</v>
      </c>
      <c r="B2182" t="s">
        <v>17</v>
      </c>
      <c r="C2182" t="s">
        <v>152</v>
      </c>
      <c r="D2182" s="9" t="s">
        <v>150</v>
      </c>
      <c r="E2182" t="s">
        <v>34</v>
      </c>
      <c r="F2182" t="s">
        <v>65</v>
      </c>
      <c r="G2182">
        <v>629.6</v>
      </c>
      <c r="H2182" s="9">
        <v>9.57</v>
      </c>
      <c r="I2182"/>
    </row>
    <row r="2183" spans="1:9" x14ac:dyDescent="0.3">
      <c r="A2183" t="s">
        <v>2</v>
      </c>
      <c r="B2183" t="s">
        <v>17</v>
      </c>
      <c r="C2183" t="s">
        <v>153</v>
      </c>
      <c r="D2183" s="9" t="s">
        <v>150</v>
      </c>
      <c r="E2183" t="s">
        <v>35</v>
      </c>
      <c r="F2183" t="s">
        <v>67</v>
      </c>
      <c r="G2183">
        <v>627.9</v>
      </c>
      <c r="H2183" s="9">
        <v>10.39</v>
      </c>
      <c r="I2183"/>
    </row>
    <row r="2184" spans="1:9" x14ac:dyDescent="0.3">
      <c r="A2184" t="s">
        <v>2</v>
      </c>
      <c r="B2184" t="s">
        <v>17</v>
      </c>
      <c r="C2184" t="s">
        <v>154</v>
      </c>
      <c r="D2184" s="9" t="s">
        <v>150</v>
      </c>
      <c r="E2184" t="s">
        <v>36</v>
      </c>
      <c r="F2184" t="s">
        <v>69</v>
      </c>
      <c r="G2184">
        <v>675.7</v>
      </c>
      <c r="H2184" s="9">
        <v>8.77</v>
      </c>
      <c r="I2184"/>
    </row>
    <row r="2185" spans="1:9" x14ac:dyDescent="0.3">
      <c r="A2185" t="s">
        <v>2</v>
      </c>
      <c r="B2185" t="s">
        <v>17</v>
      </c>
      <c r="C2185" t="s">
        <v>155</v>
      </c>
      <c r="D2185" s="9" t="s">
        <v>150</v>
      </c>
      <c r="E2185" t="s">
        <v>37</v>
      </c>
      <c r="F2185" t="s">
        <v>71</v>
      </c>
      <c r="G2185">
        <v>634.5</v>
      </c>
      <c r="H2185" s="9">
        <v>11.41</v>
      </c>
      <c r="I2185"/>
    </row>
    <row r="2186" spans="1:9" x14ac:dyDescent="0.3">
      <c r="A2186" t="s">
        <v>2</v>
      </c>
      <c r="B2186" t="s">
        <v>11</v>
      </c>
      <c r="C2186" t="s">
        <v>59</v>
      </c>
      <c r="D2186" s="9" t="s">
        <v>60</v>
      </c>
      <c r="E2186" t="s">
        <v>32</v>
      </c>
      <c r="F2186" t="s">
        <v>61</v>
      </c>
      <c r="G2186">
        <v>2936.7</v>
      </c>
      <c r="I2186"/>
    </row>
    <row r="2187" spans="1:9" x14ac:dyDescent="0.3">
      <c r="A2187" t="s">
        <v>2</v>
      </c>
      <c r="B2187" t="s">
        <v>11</v>
      </c>
      <c r="C2187" t="s">
        <v>62</v>
      </c>
      <c r="D2187" s="9" t="s">
        <v>60</v>
      </c>
      <c r="E2187" t="s">
        <v>33</v>
      </c>
      <c r="F2187" t="s">
        <v>63</v>
      </c>
      <c r="G2187">
        <v>2690.9</v>
      </c>
      <c r="I2187"/>
    </row>
    <row r="2188" spans="1:9" x14ac:dyDescent="0.3">
      <c r="A2188" t="s">
        <v>2</v>
      </c>
      <c r="B2188" t="s">
        <v>11</v>
      </c>
      <c r="C2188" t="s">
        <v>64</v>
      </c>
      <c r="D2188" s="9" t="s">
        <v>60</v>
      </c>
      <c r="E2188" t="s">
        <v>34</v>
      </c>
      <c r="F2188" t="s">
        <v>65</v>
      </c>
      <c r="G2188">
        <v>2951.9</v>
      </c>
      <c r="I2188"/>
    </row>
    <row r="2189" spans="1:9" x14ac:dyDescent="0.3">
      <c r="A2189" t="s">
        <v>2</v>
      </c>
      <c r="B2189" t="s">
        <v>11</v>
      </c>
      <c r="C2189" t="s">
        <v>66</v>
      </c>
      <c r="D2189" s="9" t="s">
        <v>60</v>
      </c>
      <c r="E2189" t="s">
        <v>35</v>
      </c>
      <c r="F2189" t="s">
        <v>67</v>
      </c>
      <c r="G2189">
        <v>2796.5</v>
      </c>
      <c r="I2189"/>
    </row>
    <row r="2190" spans="1:9" x14ac:dyDescent="0.3">
      <c r="A2190" t="s">
        <v>2</v>
      </c>
      <c r="B2190" t="s">
        <v>11</v>
      </c>
      <c r="C2190" t="s">
        <v>68</v>
      </c>
      <c r="D2190" s="9" t="s">
        <v>60</v>
      </c>
      <c r="E2190" t="s">
        <v>36</v>
      </c>
      <c r="F2190" t="s">
        <v>69</v>
      </c>
      <c r="G2190">
        <v>2835.7</v>
      </c>
      <c r="I2190"/>
    </row>
    <row r="2191" spans="1:9" x14ac:dyDescent="0.3">
      <c r="A2191" t="s">
        <v>2</v>
      </c>
      <c r="B2191" t="s">
        <v>11</v>
      </c>
      <c r="C2191" t="s">
        <v>70</v>
      </c>
      <c r="D2191" s="9" t="s">
        <v>60</v>
      </c>
      <c r="E2191" t="s">
        <v>37</v>
      </c>
      <c r="F2191" t="s">
        <v>71</v>
      </c>
      <c r="G2191">
        <v>2744.9</v>
      </c>
      <c r="I2191"/>
    </row>
    <row r="2192" spans="1:9" x14ac:dyDescent="0.3">
      <c r="A2192" t="s">
        <v>2</v>
      </c>
      <c r="B2192" t="s">
        <v>11</v>
      </c>
      <c r="C2192" t="s">
        <v>72</v>
      </c>
      <c r="D2192" s="9" t="s">
        <v>60</v>
      </c>
      <c r="E2192" t="s">
        <v>38</v>
      </c>
      <c r="F2192" t="s">
        <v>73</v>
      </c>
      <c r="G2192">
        <v>2783.1</v>
      </c>
      <c r="I2192"/>
    </row>
    <row r="2193" spans="1:9" x14ac:dyDescent="0.3">
      <c r="A2193" t="s">
        <v>2</v>
      </c>
      <c r="B2193" t="s">
        <v>11</v>
      </c>
      <c r="C2193" t="s">
        <v>74</v>
      </c>
      <c r="D2193" s="9" t="s">
        <v>60</v>
      </c>
      <c r="E2193" t="s">
        <v>39</v>
      </c>
      <c r="F2193" t="s">
        <v>75</v>
      </c>
      <c r="G2193">
        <v>2885.2</v>
      </c>
      <c r="I2193"/>
    </row>
    <row r="2194" spans="1:9" x14ac:dyDescent="0.3">
      <c r="A2194" t="s">
        <v>2</v>
      </c>
      <c r="B2194" t="s">
        <v>11</v>
      </c>
      <c r="C2194" t="s">
        <v>76</v>
      </c>
      <c r="D2194" s="9" t="s">
        <v>60</v>
      </c>
      <c r="E2194" t="s">
        <v>40</v>
      </c>
      <c r="F2194" t="s">
        <v>77</v>
      </c>
      <c r="G2194">
        <v>2792.8</v>
      </c>
      <c r="I2194"/>
    </row>
    <row r="2195" spans="1:9" x14ac:dyDescent="0.3">
      <c r="A2195" t="s">
        <v>2</v>
      </c>
      <c r="B2195" t="s">
        <v>11</v>
      </c>
      <c r="C2195" t="s">
        <v>78</v>
      </c>
      <c r="D2195" s="9" t="s">
        <v>60</v>
      </c>
      <c r="E2195" t="s">
        <v>41</v>
      </c>
      <c r="F2195" t="s">
        <v>79</v>
      </c>
      <c r="G2195">
        <v>2949.6</v>
      </c>
      <c r="I2195"/>
    </row>
    <row r="2196" spans="1:9" x14ac:dyDescent="0.3">
      <c r="A2196" t="s">
        <v>2</v>
      </c>
      <c r="B2196" t="s">
        <v>11</v>
      </c>
      <c r="C2196" t="s">
        <v>80</v>
      </c>
      <c r="D2196" s="9" t="s">
        <v>60</v>
      </c>
      <c r="E2196" t="s">
        <v>42</v>
      </c>
      <c r="F2196" t="s">
        <v>81</v>
      </c>
      <c r="G2196">
        <v>2947.9</v>
      </c>
      <c r="I2196"/>
    </row>
    <row r="2197" spans="1:9" x14ac:dyDescent="0.3">
      <c r="A2197" t="s">
        <v>2</v>
      </c>
      <c r="B2197" t="s">
        <v>11</v>
      </c>
      <c r="C2197" t="s">
        <v>82</v>
      </c>
      <c r="D2197" s="9" t="s">
        <v>60</v>
      </c>
      <c r="E2197" t="s">
        <v>43</v>
      </c>
      <c r="F2197" t="s">
        <v>83</v>
      </c>
      <c r="G2197">
        <v>3259.7</v>
      </c>
      <c r="I2197"/>
    </row>
    <row r="2198" spans="1:9" x14ac:dyDescent="0.3">
      <c r="A2198" t="s">
        <v>2</v>
      </c>
      <c r="B2198" t="s">
        <v>11</v>
      </c>
      <c r="C2198" t="s">
        <v>84</v>
      </c>
      <c r="D2198" s="9" t="s">
        <v>85</v>
      </c>
      <c r="E2198" t="s">
        <v>32</v>
      </c>
      <c r="F2198" t="s">
        <v>61</v>
      </c>
      <c r="G2198">
        <v>2951.3</v>
      </c>
      <c r="H2198" s="9">
        <v>0.5</v>
      </c>
      <c r="I2198"/>
    </row>
    <row r="2199" spans="1:9" x14ac:dyDescent="0.3">
      <c r="A2199" t="s">
        <v>2</v>
      </c>
      <c r="B2199" t="s">
        <v>11</v>
      </c>
      <c r="C2199" t="s">
        <v>86</v>
      </c>
      <c r="D2199" s="9" t="s">
        <v>85</v>
      </c>
      <c r="E2199" t="s">
        <v>33</v>
      </c>
      <c r="F2199" t="s">
        <v>63</v>
      </c>
      <c r="G2199">
        <v>2840.4</v>
      </c>
      <c r="H2199" s="9">
        <v>5.56</v>
      </c>
      <c r="I2199"/>
    </row>
    <row r="2200" spans="1:9" x14ac:dyDescent="0.3">
      <c r="A2200" t="s">
        <v>2</v>
      </c>
      <c r="B2200" t="s">
        <v>11</v>
      </c>
      <c r="C2200" t="s">
        <v>87</v>
      </c>
      <c r="D2200" s="9" t="s">
        <v>85</v>
      </c>
      <c r="E2200" t="s">
        <v>34</v>
      </c>
      <c r="F2200" t="s">
        <v>65</v>
      </c>
      <c r="G2200">
        <v>3623.5</v>
      </c>
      <c r="H2200" s="9">
        <v>22.75</v>
      </c>
      <c r="I2200"/>
    </row>
    <row r="2201" spans="1:9" x14ac:dyDescent="0.3">
      <c r="A2201" t="s">
        <v>2</v>
      </c>
      <c r="B2201" t="s">
        <v>11</v>
      </c>
      <c r="C2201" t="s">
        <v>88</v>
      </c>
      <c r="D2201" s="9" t="s">
        <v>85</v>
      </c>
      <c r="E2201" t="s">
        <v>35</v>
      </c>
      <c r="F2201" t="s">
        <v>67</v>
      </c>
      <c r="G2201">
        <v>2938.2</v>
      </c>
      <c r="H2201" s="9">
        <v>5.07</v>
      </c>
      <c r="I2201"/>
    </row>
    <row r="2202" spans="1:9" x14ac:dyDescent="0.3">
      <c r="A2202" t="s">
        <v>2</v>
      </c>
      <c r="B2202" t="s">
        <v>11</v>
      </c>
      <c r="C2202" t="s">
        <v>89</v>
      </c>
      <c r="D2202" s="9" t="s">
        <v>85</v>
      </c>
      <c r="E2202" t="s">
        <v>36</v>
      </c>
      <c r="F2202" t="s">
        <v>69</v>
      </c>
      <c r="G2202">
        <v>3073.8</v>
      </c>
      <c r="H2202" s="9">
        <v>8.4</v>
      </c>
      <c r="I2202"/>
    </row>
    <row r="2203" spans="1:9" x14ac:dyDescent="0.3">
      <c r="A2203" t="s">
        <v>2</v>
      </c>
      <c r="B2203" t="s">
        <v>11</v>
      </c>
      <c r="C2203" t="s">
        <v>90</v>
      </c>
      <c r="D2203" s="9" t="s">
        <v>85</v>
      </c>
      <c r="E2203" t="s">
        <v>37</v>
      </c>
      <c r="F2203" t="s">
        <v>71</v>
      </c>
      <c r="G2203">
        <v>2934.8</v>
      </c>
      <c r="H2203" s="9">
        <v>6.92</v>
      </c>
      <c r="I2203"/>
    </row>
    <row r="2204" spans="1:9" x14ac:dyDescent="0.3">
      <c r="A2204" t="s">
        <v>2</v>
      </c>
      <c r="B2204" t="s">
        <v>11</v>
      </c>
      <c r="C2204" t="s">
        <v>91</v>
      </c>
      <c r="D2204" s="9" t="s">
        <v>85</v>
      </c>
      <c r="E2204" t="s">
        <v>38</v>
      </c>
      <c r="F2204" t="s">
        <v>73</v>
      </c>
      <c r="G2204">
        <v>3110.2</v>
      </c>
      <c r="H2204" s="9">
        <v>11.75</v>
      </c>
      <c r="I2204"/>
    </row>
    <row r="2205" spans="1:9" x14ac:dyDescent="0.3">
      <c r="A2205" t="s">
        <v>2</v>
      </c>
      <c r="B2205" t="s">
        <v>11</v>
      </c>
      <c r="C2205" t="s">
        <v>92</v>
      </c>
      <c r="D2205" s="9" t="s">
        <v>85</v>
      </c>
      <c r="E2205" t="s">
        <v>39</v>
      </c>
      <c r="F2205" t="s">
        <v>75</v>
      </c>
      <c r="G2205">
        <v>3147.3</v>
      </c>
      <c r="H2205" s="9">
        <v>9.08</v>
      </c>
      <c r="I2205"/>
    </row>
    <row r="2206" spans="1:9" x14ac:dyDescent="0.3">
      <c r="A2206" t="s">
        <v>2</v>
      </c>
      <c r="B2206" t="s">
        <v>11</v>
      </c>
      <c r="C2206" t="s">
        <v>93</v>
      </c>
      <c r="D2206" s="9" t="s">
        <v>85</v>
      </c>
      <c r="E2206" t="s">
        <v>40</v>
      </c>
      <c r="F2206" t="s">
        <v>77</v>
      </c>
      <c r="G2206">
        <v>3037</v>
      </c>
      <c r="H2206" s="9">
        <v>8.74</v>
      </c>
      <c r="I2206"/>
    </row>
    <row r="2207" spans="1:9" x14ac:dyDescent="0.3">
      <c r="A2207" t="s">
        <v>2</v>
      </c>
      <c r="B2207" t="s">
        <v>11</v>
      </c>
      <c r="C2207" t="s">
        <v>94</v>
      </c>
      <c r="D2207" s="9" t="s">
        <v>85</v>
      </c>
      <c r="E2207" t="s">
        <v>41</v>
      </c>
      <c r="F2207" t="s">
        <v>79</v>
      </c>
      <c r="G2207">
        <v>3194.9</v>
      </c>
      <c r="H2207" s="9">
        <v>8.32</v>
      </c>
      <c r="I2207"/>
    </row>
    <row r="2208" spans="1:9" x14ac:dyDescent="0.3">
      <c r="A2208" t="s">
        <v>2</v>
      </c>
      <c r="B2208" t="s">
        <v>11</v>
      </c>
      <c r="C2208" t="s">
        <v>95</v>
      </c>
      <c r="D2208" s="9" t="s">
        <v>85</v>
      </c>
      <c r="E2208" t="s">
        <v>42</v>
      </c>
      <c r="F2208" t="s">
        <v>81</v>
      </c>
      <c r="G2208">
        <v>3141.5</v>
      </c>
      <c r="H2208" s="9">
        <v>6.57</v>
      </c>
      <c r="I2208"/>
    </row>
    <row r="2209" spans="1:9" x14ac:dyDescent="0.3">
      <c r="A2209" t="s">
        <v>2</v>
      </c>
      <c r="B2209" t="s">
        <v>11</v>
      </c>
      <c r="C2209" t="s">
        <v>96</v>
      </c>
      <c r="D2209" s="9" t="s">
        <v>85</v>
      </c>
      <c r="E2209" t="s">
        <v>43</v>
      </c>
      <c r="F2209" t="s">
        <v>83</v>
      </c>
      <c r="G2209">
        <v>3477.9</v>
      </c>
      <c r="H2209" s="9">
        <v>6.69</v>
      </c>
      <c r="I2209"/>
    </row>
    <row r="2210" spans="1:9" x14ac:dyDescent="0.3">
      <c r="A2210" t="s">
        <v>2</v>
      </c>
      <c r="B2210" t="s">
        <v>11</v>
      </c>
      <c r="C2210" t="s">
        <v>97</v>
      </c>
      <c r="D2210" s="9" t="s">
        <v>98</v>
      </c>
      <c r="E2210" t="s">
        <v>32</v>
      </c>
      <c r="F2210" t="s">
        <v>61</v>
      </c>
      <c r="G2210">
        <v>3172.8</v>
      </c>
      <c r="H2210" s="9">
        <v>7.51</v>
      </c>
      <c r="I2210"/>
    </row>
    <row r="2211" spans="1:9" x14ac:dyDescent="0.3">
      <c r="A2211" t="s">
        <v>2</v>
      </c>
      <c r="B2211" t="s">
        <v>11</v>
      </c>
      <c r="C2211" t="s">
        <v>99</v>
      </c>
      <c r="D2211" s="9" t="s">
        <v>98</v>
      </c>
      <c r="E2211" t="s">
        <v>33</v>
      </c>
      <c r="F2211" t="s">
        <v>63</v>
      </c>
      <c r="G2211">
        <v>2798.3</v>
      </c>
      <c r="H2211" s="9">
        <v>-1.48</v>
      </c>
      <c r="I2211"/>
    </row>
    <row r="2212" spans="1:9" x14ac:dyDescent="0.3">
      <c r="A2212" t="s">
        <v>2</v>
      </c>
      <c r="B2212" t="s">
        <v>11</v>
      </c>
      <c r="C2212" t="s">
        <v>100</v>
      </c>
      <c r="D2212" s="9" t="s">
        <v>98</v>
      </c>
      <c r="E2212" t="s">
        <v>34</v>
      </c>
      <c r="F2212" t="s">
        <v>65</v>
      </c>
      <c r="G2212">
        <v>3070.8</v>
      </c>
      <c r="H2212" s="9">
        <v>-15.25</v>
      </c>
      <c r="I2212"/>
    </row>
    <row r="2213" spans="1:9" x14ac:dyDescent="0.3">
      <c r="A2213" t="s">
        <v>2</v>
      </c>
      <c r="B2213" t="s">
        <v>11</v>
      </c>
      <c r="C2213" t="s">
        <v>101</v>
      </c>
      <c r="D2213" s="9" t="s">
        <v>98</v>
      </c>
      <c r="E2213" t="s">
        <v>35</v>
      </c>
      <c r="F2213" t="s">
        <v>67</v>
      </c>
      <c r="G2213">
        <v>2907.4</v>
      </c>
      <c r="H2213" s="9">
        <v>-1.05</v>
      </c>
      <c r="I2213"/>
    </row>
    <row r="2214" spans="1:9" x14ac:dyDescent="0.3">
      <c r="A2214" t="s">
        <v>2</v>
      </c>
      <c r="B2214" t="s">
        <v>11</v>
      </c>
      <c r="C2214" t="s">
        <v>102</v>
      </c>
      <c r="D2214" s="9" t="s">
        <v>98</v>
      </c>
      <c r="E2214" t="s">
        <v>36</v>
      </c>
      <c r="F2214" t="s">
        <v>69</v>
      </c>
      <c r="G2214">
        <v>3006.1</v>
      </c>
      <c r="H2214" s="9">
        <v>-2.2000000000000002</v>
      </c>
      <c r="I2214"/>
    </row>
    <row r="2215" spans="1:9" x14ac:dyDescent="0.3">
      <c r="A2215" t="s">
        <v>2</v>
      </c>
      <c r="B2215" t="s">
        <v>11</v>
      </c>
      <c r="C2215" t="s">
        <v>103</v>
      </c>
      <c r="D2215" s="9" t="s">
        <v>98</v>
      </c>
      <c r="E2215" t="s">
        <v>37</v>
      </c>
      <c r="F2215" t="s">
        <v>71</v>
      </c>
      <c r="G2215">
        <v>2945.4</v>
      </c>
      <c r="H2215" s="9">
        <v>0.36</v>
      </c>
      <c r="I2215"/>
    </row>
    <row r="2216" spans="1:9" x14ac:dyDescent="0.3">
      <c r="A2216" t="s">
        <v>2</v>
      </c>
      <c r="B2216" t="s">
        <v>11</v>
      </c>
      <c r="C2216" t="s">
        <v>104</v>
      </c>
      <c r="D2216" s="9" t="s">
        <v>98</v>
      </c>
      <c r="E2216" t="s">
        <v>38</v>
      </c>
      <c r="F2216" t="s">
        <v>73</v>
      </c>
      <c r="G2216">
        <v>3204.7</v>
      </c>
      <c r="H2216" s="9">
        <v>3.04</v>
      </c>
      <c r="I2216"/>
    </row>
    <row r="2217" spans="1:9" x14ac:dyDescent="0.3">
      <c r="A2217" t="s">
        <v>2</v>
      </c>
      <c r="B2217" t="s">
        <v>11</v>
      </c>
      <c r="C2217" t="s">
        <v>105</v>
      </c>
      <c r="D2217" s="9" t="s">
        <v>98</v>
      </c>
      <c r="E2217" t="s">
        <v>39</v>
      </c>
      <c r="F2217" t="s">
        <v>75</v>
      </c>
      <c r="G2217">
        <v>3271.1</v>
      </c>
      <c r="H2217" s="9">
        <v>3.93</v>
      </c>
      <c r="I2217"/>
    </row>
    <row r="2218" spans="1:9" x14ac:dyDescent="0.3">
      <c r="A2218" t="s">
        <v>2</v>
      </c>
      <c r="B2218" t="s">
        <v>11</v>
      </c>
      <c r="C2218" t="s">
        <v>106</v>
      </c>
      <c r="D2218" s="9" t="s">
        <v>98</v>
      </c>
      <c r="E2218" t="s">
        <v>40</v>
      </c>
      <c r="F2218" t="s">
        <v>77</v>
      </c>
      <c r="G2218">
        <v>3173</v>
      </c>
      <c r="H2218" s="9">
        <v>4.4800000000000004</v>
      </c>
      <c r="I2218"/>
    </row>
    <row r="2219" spans="1:9" x14ac:dyDescent="0.3">
      <c r="A2219" t="s">
        <v>2</v>
      </c>
      <c r="B2219" t="s">
        <v>11</v>
      </c>
      <c r="C2219" t="s">
        <v>107</v>
      </c>
      <c r="D2219" s="9" t="s">
        <v>98</v>
      </c>
      <c r="E2219" t="s">
        <v>41</v>
      </c>
      <c r="F2219" t="s">
        <v>79</v>
      </c>
      <c r="G2219">
        <v>3250.5</v>
      </c>
      <c r="H2219" s="9">
        <v>1.74</v>
      </c>
      <c r="I2219"/>
    </row>
    <row r="2220" spans="1:9" x14ac:dyDescent="0.3">
      <c r="A2220" t="s">
        <v>2</v>
      </c>
      <c r="B2220" t="s">
        <v>11</v>
      </c>
      <c r="C2220" t="s">
        <v>108</v>
      </c>
      <c r="D2220" s="9" t="s">
        <v>98</v>
      </c>
      <c r="E2220" t="s">
        <v>42</v>
      </c>
      <c r="F2220" t="s">
        <v>81</v>
      </c>
      <c r="G2220">
        <v>3076.8</v>
      </c>
      <c r="H2220" s="9">
        <v>-2.06</v>
      </c>
      <c r="I2220"/>
    </row>
    <row r="2221" spans="1:9" x14ac:dyDescent="0.3">
      <c r="A2221" t="s">
        <v>2</v>
      </c>
      <c r="B2221" t="s">
        <v>11</v>
      </c>
      <c r="C2221" t="s">
        <v>109</v>
      </c>
      <c r="D2221" s="9" t="s">
        <v>98</v>
      </c>
      <c r="E2221" t="s">
        <v>43</v>
      </c>
      <c r="F2221" t="s">
        <v>83</v>
      </c>
      <c r="G2221">
        <v>3495.2</v>
      </c>
      <c r="H2221" s="9">
        <v>0.5</v>
      </c>
      <c r="I2221"/>
    </row>
    <row r="2222" spans="1:9" x14ac:dyDescent="0.3">
      <c r="A2222" t="s">
        <v>2</v>
      </c>
      <c r="B2222" t="s">
        <v>11</v>
      </c>
      <c r="C2222" t="s">
        <v>110</v>
      </c>
      <c r="D2222" s="9" t="s">
        <v>111</v>
      </c>
      <c r="E2222" t="s">
        <v>32</v>
      </c>
      <c r="F2222" t="s">
        <v>61</v>
      </c>
      <c r="G2222">
        <v>3263.7</v>
      </c>
      <c r="H2222" s="9">
        <v>2.86</v>
      </c>
      <c r="I2222"/>
    </row>
    <row r="2223" spans="1:9" x14ac:dyDescent="0.3">
      <c r="A2223" t="s">
        <v>2</v>
      </c>
      <c r="B2223" t="s">
        <v>11</v>
      </c>
      <c r="C2223" t="s">
        <v>112</v>
      </c>
      <c r="D2223" s="9" t="s">
        <v>111</v>
      </c>
      <c r="E2223" t="s">
        <v>33</v>
      </c>
      <c r="F2223" t="s">
        <v>63</v>
      </c>
      <c r="G2223">
        <v>2909.4</v>
      </c>
      <c r="H2223" s="9">
        <v>3.97</v>
      </c>
      <c r="I2223"/>
    </row>
    <row r="2224" spans="1:9" x14ac:dyDescent="0.3">
      <c r="A2224" t="s">
        <v>2</v>
      </c>
      <c r="B2224" t="s">
        <v>11</v>
      </c>
      <c r="C2224" t="s">
        <v>113</v>
      </c>
      <c r="D2224" s="9" t="s">
        <v>111</v>
      </c>
      <c r="E2224" t="s">
        <v>34</v>
      </c>
      <c r="F2224" t="s">
        <v>65</v>
      </c>
      <c r="G2224">
        <v>3176.3</v>
      </c>
      <c r="H2224" s="9">
        <v>3.44</v>
      </c>
      <c r="I2224"/>
    </row>
    <row r="2225" spans="1:9" x14ac:dyDescent="0.3">
      <c r="A2225" t="s">
        <v>2</v>
      </c>
      <c r="B2225" t="s">
        <v>11</v>
      </c>
      <c r="C2225" t="s">
        <v>114</v>
      </c>
      <c r="D2225" s="9" t="s">
        <v>111</v>
      </c>
      <c r="E2225" t="s">
        <v>35</v>
      </c>
      <c r="F2225" t="s">
        <v>67</v>
      </c>
      <c r="G2225">
        <v>3141.5</v>
      </c>
      <c r="H2225" s="9">
        <v>8.0500000000000007</v>
      </c>
      <c r="I2225"/>
    </row>
    <row r="2226" spans="1:9" x14ac:dyDescent="0.3">
      <c r="A2226" t="s">
        <v>2</v>
      </c>
      <c r="B2226" t="s">
        <v>11</v>
      </c>
      <c r="C2226" t="s">
        <v>115</v>
      </c>
      <c r="D2226" s="9" t="s">
        <v>111</v>
      </c>
      <c r="E2226" t="s">
        <v>36</v>
      </c>
      <c r="F2226" t="s">
        <v>69</v>
      </c>
      <c r="G2226">
        <v>3162.7</v>
      </c>
      <c r="H2226" s="9">
        <v>5.21</v>
      </c>
      <c r="I2226"/>
    </row>
    <row r="2227" spans="1:9" x14ac:dyDescent="0.3">
      <c r="A2227" t="s">
        <v>2</v>
      </c>
      <c r="B2227" t="s">
        <v>11</v>
      </c>
      <c r="C2227" t="s">
        <v>116</v>
      </c>
      <c r="D2227" s="9" t="s">
        <v>111</v>
      </c>
      <c r="E2227" t="s">
        <v>37</v>
      </c>
      <c r="F2227" t="s">
        <v>71</v>
      </c>
      <c r="G2227">
        <v>3054.5</v>
      </c>
      <c r="H2227" s="9">
        <v>3.7</v>
      </c>
      <c r="I2227"/>
    </row>
    <row r="2228" spans="1:9" x14ac:dyDescent="0.3">
      <c r="A2228" t="s">
        <v>2</v>
      </c>
      <c r="B2228" t="s">
        <v>11</v>
      </c>
      <c r="C2228" t="s">
        <v>117</v>
      </c>
      <c r="D2228" s="9" t="s">
        <v>111</v>
      </c>
      <c r="E2228" t="s">
        <v>38</v>
      </c>
      <c r="F2228" t="s">
        <v>73</v>
      </c>
      <c r="G2228">
        <v>3229</v>
      </c>
      <c r="H2228" s="9">
        <v>0.76</v>
      </c>
      <c r="I2228"/>
    </row>
    <row r="2229" spans="1:9" x14ac:dyDescent="0.3">
      <c r="A2229" t="s">
        <v>2</v>
      </c>
      <c r="B2229" t="s">
        <v>11</v>
      </c>
      <c r="C2229" t="s">
        <v>118</v>
      </c>
      <c r="D2229" s="9" t="s">
        <v>111</v>
      </c>
      <c r="E2229" t="s">
        <v>39</v>
      </c>
      <c r="F2229" t="s">
        <v>75</v>
      </c>
      <c r="G2229">
        <v>3265.3</v>
      </c>
      <c r="H2229" s="9">
        <v>-0.18</v>
      </c>
      <c r="I2229"/>
    </row>
    <row r="2230" spans="1:9" x14ac:dyDescent="0.3">
      <c r="A2230" t="s">
        <v>2</v>
      </c>
      <c r="B2230" t="s">
        <v>11</v>
      </c>
      <c r="C2230" t="s">
        <v>119</v>
      </c>
      <c r="D2230" s="9" t="s">
        <v>111</v>
      </c>
      <c r="E2230" t="s">
        <v>40</v>
      </c>
      <c r="F2230" t="s">
        <v>77</v>
      </c>
      <c r="G2230">
        <v>3228.5</v>
      </c>
      <c r="H2230" s="9">
        <v>1.75</v>
      </c>
      <c r="I2230"/>
    </row>
    <row r="2231" spans="1:9" x14ac:dyDescent="0.3">
      <c r="A2231" t="s">
        <v>2</v>
      </c>
      <c r="B2231" t="s">
        <v>11</v>
      </c>
      <c r="C2231" t="s">
        <v>120</v>
      </c>
      <c r="D2231" s="9" t="s">
        <v>111</v>
      </c>
      <c r="E2231" t="s">
        <v>41</v>
      </c>
      <c r="F2231" t="s">
        <v>79</v>
      </c>
      <c r="G2231">
        <v>3423.6</v>
      </c>
      <c r="H2231" s="9">
        <v>5.33</v>
      </c>
      <c r="I2231"/>
    </row>
    <row r="2232" spans="1:9" x14ac:dyDescent="0.3">
      <c r="A2232" t="s">
        <v>2</v>
      </c>
      <c r="B2232" t="s">
        <v>11</v>
      </c>
      <c r="C2232" t="s">
        <v>121</v>
      </c>
      <c r="D2232" s="9" t="s">
        <v>111</v>
      </c>
      <c r="E2232" t="s">
        <v>42</v>
      </c>
      <c r="F2232" t="s">
        <v>81</v>
      </c>
      <c r="G2232">
        <v>3368.3</v>
      </c>
      <c r="H2232" s="9">
        <v>9.4700000000000006</v>
      </c>
      <c r="I2232"/>
    </row>
    <row r="2233" spans="1:9" x14ac:dyDescent="0.3">
      <c r="A2233" t="s">
        <v>2</v>
      </c>
      <c r="B2233" t="s">
        <v>11</v>
      </c>
      <c r="C2233" t="s">
        <v>122</v>
      </c>
      <c r="D2233" s="9" t="s">
        <v>111</v>
      </c>
      <c r="E2233" t="s">
        <v>43</v>
      </c>
      <c r="F2233" t="s">
        <v>83</v>
      </c>
      <c r="G2233">
        <v>3842.2</v>
      </c>
      <c r="H2233" s="9">
        <v>9.93</v>
      </c>
      <c r="I2233"/>
    </row>
    <row r="2234" spans="1:9" x14ac:dyDescent="0.3">
      <c r="A2234" t="s">
        <v>2</v>
      </c>
      <c r="B2234" t="s">
        <v>11</v>
      </c>
      <c r="C2234" t="s">
        <v>123</v>
      </c>
      <c r="D2234" s="9" t="s">
        <v>124</v>
      </c>
      <c r="E2234" t="s">
        <v>32</v>
      </c>
      <c r="F2234" t="s">
        <v>61</v>
      </c>
      <c r="G2234">
        <v>3456.6</v>
      </c>
      <c r="H2234" s="9">
        <v>5.91</v>
      </c>
      <c r="I2234"/>
    </row>
    <row r="2235" spans="1:9" x14ac:dyDescent="0.3">
      <c r="A2235" t="s">
        <v>2</v>
      </c>
      <c r="B2235" t="s">
        <v>11</v>
      </c>
      <c r="C2235" t="s">
        <v>125</v>
      </c>
      <c r="D2235" s="9" t="s">
        <v>124</v>
      </c>
      <c r="E2235" t="s">
        <v>33</v>
      </c>
      <c r="F2235" t="s">
        <v>63</v>
      </c>
      <c r="G2235">
        <v>3198.9</v>
      </c>
      <c r="H2235" s="9">
        <v>9.9499999999999993</v>
      </c>
      <c r="I2235"/>
    </row>
    <row r="2236" spans="1:9" x14ac:dyDescent="0.3">
      <c r="A2236" t="s">
        <v>2</v>
      </c>
      <c r="B2236" t="s">
        <v>11</v>
      </c>
      <c r="C2236" t="s">
        <v>126</v>
      </c>
      <c r="D2236" s="9" t="s">
        <v>124</v>
      </c>
      <c r="E2236" t="s">
        <v>34</v>
      </c>
      <c r="F2236" t="s">
        <v>65</v>
      </c>
      <c r="G2236">
        <v>3560.4</v>
      </c>
      <c r="H2236" s="9">
        <v>12.09</v>
      </c>
      <c r="I2236"/>
    </row>
    <row r="2237" spans="1:9" x14ac:dyDescent="0.3">
      <c r="A2237" t="s">
        <v>2</v>
      </c>
      <c r="B2237" t="s">
        <v>11</v>
      </c>
      <c r="C2237" t="s">
        <v>127</v>
      </c>
      <c r="D2237" s="9" t="s">
        <v>124</v>
      </c>
      <c r="E2237" t="s">
        <v>35</v>
      </c>
      <c r="F2237" t="s">
        <v>67</v>
      </c>
      <c r="G2237">
        <v>3440.5</v>
      </c>
      <c r="H2237" s="9">
        <v>9.52</v>
      </c>
      <c r="I2237"/>
    </row>
    <row r="2238" spans="1:9" x14ac:dyDescent="0.3">
      <c r="A2238" t="s">
        <v>2</v>
      </c>
      <c r="B2238" t="s">
        <v>11</v>
      </c>
      <c r="C2238" t="s">
        <v>128</v>
      </c>
      <c r="D2238" s="9" t="s">
        <v>124</v>
      </c>
      <c r="E2238" t="s">
        <v>36</v>
      </c>
      <c r="F2238" t="s">
        <v>69</v>
      </c>
      <c r="G2238">
        <v>3444.2</v>
      </c>
      <c r="H2238" s="9">
        <v>8.9</v>
      </c>
      <c r="I2238"/>
    </row>
    <row r="2239" spans="1:9" x14ac:dyDescent="0.3">
      <c r="A2239" t="s">
        <v>2</v>
      </c>
      <c r="B2239" t="s">
        <v>11</v>
      </c>
      <c r="C2239" t="s">
        <v>129</v>
      </c>
      <c r="D2239" s="9" t="s">
        <v>124</v>
      </c>
      <c r="E2239" t="s">
        <v>37</v>
      </c>
      <c r="F2239" t="s">
        <v>71</v>
      </c>
      <c r="G2239">
        <v>3323</v>
      </c>
      <c r="H2239" s="9">
        <v>8.7899999999999991</v>
      </c>
      <c r="I2239"/>
    </row>
    <row r="2240" spans="1:9" x14ac:dyDescent="0.3">
      <c r="A2240" t="s">
        <v>2</v>
      </c>
      <c r="B2240" t="s">
        <v>11</v>
      </c>
      <c r="C2240" t="s">
        <v>130</v>
      </c>
      <c r="D2240" s="9" t="s">
        <v>124</v>
      </c>
      <c r="E2240" t="s">
        <v>38</v>
      </c>
      <c r="F2240" t="s">
        <v>73</v>
      </c>
      <c r="G2240">
        <v>3433.2</v>
      </c>
      <c r="H2240" s="9">
        <v>6.32</v>
      </c>
      <c r="I2240"/>
    </row>
    <row r="2241" spans="1:9" x14ac:dyDescent="0.3">
      <c r="A2241" t="s">
        <v>2</v>
      </c>
      <c r="B2241" t="s">
        <v>11</v>
      </c>
      <c r="C2241" t="s">
        <v>131</v>
      </c>
      <c r="D2241" s="9" t="s">
        <v>124</v>
      </c>
      <c r="E2241" t="s">
        <v>39</v>
      </c>
      <c r="F2241" t="s">
        <v>75</v>
      </c>
      <c r="G2241">
        <v>3462.1</v>
      </c>
      <c r="H2241" s="9">
        <v>6.03</v>
      </c>
      <c r="I2241"/>
    </row>
    <row r="2242" spans="1:9" x14ac:dyDescent="0.3">
      <c r="A2242" t="s">
        <v>2</v>
      </c>
      <c r="B2242" t="s">
        <v>11</v>
      </c>
      <c r="C2242" t="s">
        <v>132</v>
      </c>
      <c r="D2242" s="9" t="s">
        <v>124</v>
      </c>
      <c r="E2242" t="s">
        <v>40</v>
      </c>
      <c r="F2242" t="s">
        <v>77</v>
      </c>
      <c r="G2242">
        <v>3449.1</v>
      </c>
      <c r="H2242" s="9">
        <v>6.83</v>
      </c>
      <c r="I2242"/>
    </row>
    <row r="2243" spans="1:9" x14ac:dyDescent="0.3">
      <c r="A2243" t="s">
        <v>2</v>
      </c>
      <c r="B2243" t="s">
        <v>11</v>
      </c>
      <c r="C2243" t="s">
        <v>133</v>
      </c>
      <c r="D2243" s="9" t="s">
        <v>124</v>
      </c>
      <c r="E2243" t="s">
        <v>41</v>
      </c>
      <c r="F2243" t="s">
        <v>79</v>
      </c>
      <c r="G2243">
        <v>3567</v>
      </c>
      <c r="H2243" s="9">
        <v>4.1900000000000004</v>
      </c>
      <c r="I2243"/>
    </row>
    <row r="2244" spans="1:9" x14ac:dyDescent="0.3">
      <c r="A2244" t="s">
        <v>2</v>
      </c>
      <c r="B2244" t="s">
        <v>11</v>
      </c>
      <c r="C2244" t="s">
        <v>134</v>
      </c>
      <c r="D2244" s="9" t="s">
        <v>124</v>
      </c>
      <c r="E2244" t="s">
        <v>42</v>
      </c>
      <c r="F2244" t="s">
        <v>81</v>
      </c>
      <c r="G2244">
        <v>3542.8</v>
      </c>
      <c r="H2244" s="9">
        <v>5.18</v>
      </c>
      <c r="I2244"/>
    </row>
    <row r="2245" spans="1:9" x14ac:dyDescent="0.3">
      <c r="A2245" t="s">
        <v>2</v>
      </c>
      <c r="B2245" t="s">
        <v>11</v>
      </c>
      <c r="C2245" t="s">
        <v>135</v>
      </c>
      <c r="D2245" s="9" t="s">
        <v>124</v>
      </c>
      <c r="E2245" t="s">
        <v>43</v>
      </c>
      <c r="F2245" t="s">
        <v>83</v>
      </c>
      <c r="G2245">
        <v>3988.9</v>
      </c>
      <c r="H2245" s="9">
        <v>3.82</v>
      </c>
      <c r="I2245"/>
    </row>
    <row r="2246" spans="1:9" x14ac:dyDescent="0.3">
      <c r="A2246" t="s">
        <v>2</v>
      </c>
      <c r="B2246" t="s">
        <v>11</v>
      </c>
      <c r="C2246" t="s">
        <v>136</v>
      </c>
      <c r="D2246" s="9" t="s">
        <v>137</v>
      </c>
      <c r="E2246" t="s">
        <v>32</v>
      </c>
      <c r="F2246" t="s">
        <v>61</v>
      </c>
      <c r="G2246">
        <v>3571.7</v>
      </c>
      <c r="H2246" s="9">
        <v>3.33</v>
      </c>
      <c r="I2246"/>
    </row>
    <row r="2247" spans="1:9" x14ac:dyDescent="0.3">
      <c r="A2247" t="s">
        <v>2</v>
      </c>
      <c r="B2247" t="s">
        <v>11</v>
      </c>
      <c r="C2247" t="s">
        <v>138</v>
      </c>
      <c r="D2247" s="9" t="s">
        <v>137</v>
      </c>
      <c r="E2247" t="s">
        <v>33</v>
      </c>
      <c r="F2247" t="s">
        <v>63</v>
      </c>
      <c r="G2247">
        <v>3405.9</v>
      </c>
      <c r="H2247" s="9">
        <v>6.47</v>
      </c>
      <c r="I2247"/>
    </row>
    <row r="2248" spans="1:9" x14ac:dyDescent="0.3">
      <c r="A2248" t="s">
        <v>2</v>
      </c>
      <c r="B2248" t="s">
        <v>11</v>
      </c>
      <c r="C2248" t="s">
        <v>139</v>
      </c>
      <c r="D2248" s="9" t="s">
        <v>137</v>
      </c>
      <c r="E2248" t="s">
        <v>34</v>
      </c>
      <c r="F2248" t="s">
        <v>65</v>
      </c>
      <c r="G2248">
        <v>3677.2</v>
      </c>
      <c r="H2248" s="9">
        <v>3.28</v>
      </c>
      <c r="I2248"/>
    </row>
    <row r="2249" spans="1:9" x14ac:dyDescent="0.3">
      <c r="A2249" t="s">
        <v>2</v>
      </c>
      <c r="B2249" t="s">
        <v>11</v>
      </c>
      <c r="C2249" t="s">
        <v>140</v>
      </c>
      <c r="D2249" s="9" t="s">
        <v>137</v>
      </c>
      <c r="E2249" t="s">
        <v>35</v>
      </c>
      <c r="F2249" t="s">
        <v>67</v>
      </c>
      <c r="G2249">
        <v>3458.7</v>
      </c>
      <c r="H2249" s="9">
        <v>0.53</v>
      </c>
      <c r="I2249"/>
    </row>
    <row r="2250" spans="1:9" x14ac:dyDescent="0.3">
      <c r="A2250" t="s">
        <v>2</v>
      </c>
      <c r="B2250" t="s">
        <v>11</v>
      </c>
      <c r="C2250" t="s">
        <v>141</v>
      </c>
      <c r="D2250" s="9" t="s">
        <v>137</v>
      </c>
      <c r="E2250" t="s">
        <v>36</v>
      </c>
      <c r="F2250" t="s">
        <v>69</v>
      </c>
      <c r="G2250">
        <v>3532.5</v>
      </c>
      <c r="H2250" s="9">
        <v>2.56</v>
      </c>
      <c r="I2250"/>
    </row>
    <row r="2251" spans="1:9" x14ac:dyDescent="0.3">
      <c r="A2251" t="s">
        <v>2</v>
      </c>
      <c r="B2251" t="s">
        <v>11</v>
      </c>
      <c r="C2251" t="s">
        <v>142</v>
      </c>
      <c r="D2251" s="9" t="s">
        <v>137</v>
      </c>
      <c r="E2251" t="s">
        <v>37</v>
      </c>
      <c r="F2251" t="s">
        <v>71</v>
      </c>
      <c r="G2251">
        <v>3425</v>
      </c>
      <c r="H2251" s="9">
        <v>3.07</v>
      </c>
      <c r="I2251"/>
    </row>
    <row r="2252" spans="1:9" x14ac:dyDescent="0.3">
      <c r="A2252" t="s">
        <v>2</v>
      </c>
      <c r="B2252" t="s">
        <v>11</v>
      </c>
      <c r="C2252" t="s">
        <v>143</v>
      </c>
      <c r="D2252" s="9" t="s">
        <v>137</v>
      </c>
      <c r="E2252" t="s">
        <v>38</v>
      </c>
      <c r="F2252" t="s">
        <v>73</v>
      </c>
      <c r="G2252">
        <v>3491.4</v>
      </c>
      <c r="H2252" s="9">
        <v>1.7</v>
      </c>
      <c r="I2252"/>
    </row>
    <row r="2253" spans="1:9" x14ac:dyDescent="0.3">
      <c r="A2253" t="s">
        <v>2</v>
      </c>
      <c r="B2253" t="s">
        <v>11</v>
      </c>
      <c r="C2253" t="s">
        <v>144</v>
      </c>
      <c r="D2253" s="9" t="s">
        <v>137</v>
      </c>
      <c r="E2253" t="s">
        <v>39</v>
      </c>
      <c r="F2253" t="s">
        <v>75</v>
      </c>
      <c r="G2253">
        <v>3623.1</v>
      </c>
      <c r="H2253" s="9">
        <v>4.6500000000000004</v>
      </c>
      <c r="I2253"/>
    </row>
    <row r="2254" spans="1:9" x14ac:dyDescent="0.3">
      <c r="A2254" t="s">
        <v>2</v>
      </c>
      <c r="B2254" t="s">
        <v>11</v>
      </c>
      <c r="C2254" t="s">
        <v>145</v>
      </c>
      <c r="D2254" s="9" t="s">
        <v>137</v>
      </c>
      <c r="E2254" t="s">
        <v>40</v>
      </c>
      <c r="F2254" t="s">
        <v>77</v>
      </c>
      <c r="G2254">
        <v>3524.6</v>
      </c>
      <c r="H2254" s="9">
        <v>2.19</v>
      </c>
      <c r="I2254"/>
    </row>
    <row r="2255" spans="1:9" x14ac:dyDescent="0.3">
      <c r="A2255" t="s">
        <v>2</v>
      </c>
      <c r="B2255" t="s">
        <v>11</v>
      </c>
      <c r="C2255" t="s">
        <v>146</v>
      </c>
      <c r="D2255" s="9" t="s">
        <v>137</v>
      </c>
      <c r="E2255" t="s">
        <v>41</v>
      </c>
      <c r="F2255" t="s">
        <v>79</v>
      </c>
      <c r="G2255">
        <v>3655</v>
      </c>
      <c r="H2255" s="9">
        <v>2.4700000000000002</v>
      </c>
      <c r="I2255"/>
    </row>
    <row r="2256" spans="1:9" x14ac:dyDescent="0.3">
      <c r="A2256" t="s">
        <v>2</v>
      </c>
      <c r="B2256" t="s">
        <v>11</v>
      </c>
      <c r="C2256" t="s">
        <v>147</v>
      </c>
      <c r="D2256" s="9" t="s">
        <v>137</v>
      </c>
      <c r="E2256" t="s">
        <v>42</v>
      </c>
      <c r="F2256" t="s">
        <v>81</v>
      </c>
      <c r="G2256">
        <v>3666.7</v>
      </c>
      <c r="H2256" s="9">
        <v>3.5</v>
      </c>
      <c r="I2256"/>
    </row>
    <row r="2257" spans="1:9" x14ac:dyDescent="0.3">
      <c r="A2257" t="s">
        <v>2</v>
      </c>
      <c r="B2257" t="s">
        <v>11</v>
      </c>
      <c r="C2257" t="s">
        <v>148</v>
      </c>
      <c r="D2257" s="9" t="s">
        <v>137</v>
      </c>
      <c r="E2257" t="s">
        <v>43</v>
      </c>
      <c r="F2257" t="s">
        <v>83</v>
      </c>
      <c r="G2257">
        <v>4053.8</v>
      </c>
      <c r="H2257" s="9">
        <v>1.63</v>
      </c>
      <c r="I2257"/>
    </row>
    <row r="2258" spans="1:9" x14ac:dyDescent="0.3">
      <c r="A2258" t="s">
        <v>2</v>
      </c>
      <c r="B2258" t="s">
        <v>11</v>
      </c>
      <c r="C2258" t="s">
        <v>149</v>
      </c>
      <c r="D2258" s="9" t="s">
        <v>150</v>
      </c>
      <c r="E2258" t="s">
        <v>32</v>
      </c>
      <c r="F2258" t="s">
        <v>61</v>
      </c>
      <c r="G2258">
        <v>3639.2</v>
      </c>
      <c r="H2258" s="9">
        <v>1.89</v>
      </c>
      <c r="I2258"/>
    </row>
    <row r="2259" spans="1:9" x14ac:dyDescent="0.3">
      <c r="A2259" t="s">
        <v>2</v>
      </c>
      <c r="B2259" t="s">
        <v>11</v>
      </c>
      <c r="C2259" t="s">
        <v>151</v>
      </c>
      <c r="D2259" s="9" t="s">
        <v>150</v>
      </c>
      <c r="E2259" t="s">
        <v>33</v>
      </c>
      <c r="F2259" t="s">
        <v>63</v>
      </c>
      <c r="G2259">
        <v>3393</v>
      </c>
      <c r="H2259" s="9">
        <v>-0.38</v>
      </c>
      <c r="I2259"/>
    </row>
    <row r="2260" spans="1:9" x14ac:dyDescent="0.3">
      <c r="A2260" t="s">
        <v>2</v>
      </c>
      <c r="B2260" t="s">
        <v>11</v>
      </c>
      <c r="C2260" t="s">
        <v>152</v>
      </c>
      <c r="D2260" s="9" t="s">
        <v>150</v>
      </c>
      <c r="E2260" t="s">
        <v>34</v>
      </c>
      <c r="F2260" t="s">
        <v>65</v>
      </c>
      <c r="G2260">
        <v>3790</v>
      </c>
      <c r="H2260" s="9">
        <v>3.07</v>
      </c>
      <c r="I2260"/>
    </row>
    <row r="2261" spans="1:9" x14ac:dyDescent="0.3">
      <c r="A2261" t="s">
        <v>2</v>
      </c>
      <c r="B2261" t="s">
        <v>11</v>
      </c>
      <c r="C2261" t="s">
        <v>153</v>
      </c>
      <c r="D2261" s="9" t="s">
        <v>150</v>
      </c>
      <c r="E2261" t="s">
        <v>35</v>
      </c>
      <c r="F2261" t="s">
        <v>67</v>
      </c>
      <c r="G2261">
        <v>3572.7</v>
      </c>
      <c r="H2261" s="9">
        <v>3.3</v>
      </c>
      <c r="I2261"/>
    </row>
    <row r="2262" spans="1:9" x14ac:dyDescent="0.3">
      <c r="A2262" t="s">
        <v>2</v>
      </c>
      <c r="B2262" t="s">
        <v>11</v>
      </c>
      <c r="C2262" t="s">
        <v>154</v>
      </c>
      <c r="D2262" s="9" t="s">
        <v>150</v>
      </c>
      <c r="E2262" t="s">
        <v>36</v>
      </c>
      <c r="F2262" t="s">
        <v>69</v>
      </c>
      <c r="G2262">
        <v>3636.5</v>
      </c>
      <c r="H2262" s="9">
        <v>2.94</v>
      </c>
      <c r="I2262"/>
    </row>
    <row r="2263" spans="1:9" x14ac:dyDescent="0.3">
      <c r="A2263" t="s">
        <v>2</v>
      </c>
      <c r="B2263" t="s">
        <v>11</v>
      </c>
      <c r="C2263" t="s">
        <v>155</v>
      </c>
      <c r="D2263" s="9" t="s">
        <v>150</v>
      </c>
      <c r="E2263" t="s">
        <v>37</v>
      </c>
      <c r="F2263" t="s">
        <v>71</v>
      </c>
      <c r="G2263">
        <v>3521</v>
      </c>
      <c r="H2263" s="9">
        <v>2.8</v>
      </c>
      <c r="I2263"/>
    </row>
    <row r="2264" spans="1:9" x14ac:dyDescent="0.3">
      <c r="A2264" t="s">
        <v>2</v>
      </c>
      <c r="B2264" t="s">
        <v>18</v>
      </c>
      <c r="C2264" t="s">
        <v>59</v>
      </c>
      <c r="D2264" s="9" t="s">
        <v>60</v>
      </c>
      <c r="E2264" t="s">
        <v>32</v>
      </c>
      <c r="F2264" t="s">
        <v>61</v>
      </c>
      <c r="G2264">
        <v>578.79999999999995</v>
      </c>
      <c r="I2264"/>
    </row>
    <row r="2265" spans="1:9" x14ac:dyDescent="0.3">
      <c r="A2265" t="s">
        <v>2</v>
      </c>
      <c r="B2265" t="s">
        <v>18</v>
      </c>
      <c r="C2265" t="s">
        <v>62</v>
      </c>
      <c r="D2265" s="9" t="s">
        <v>60</v>
      </c>
      <c r="E2265" t="s">
        <v>33</v>
      </c>
      <c r="F2265" t="s">
        <v>63</v>
      </c>
      <c r="G2265">
        <v>495.4</v>
      </c>
      <c r="I2265"/>
    </row>
    <row r="2266" spans="1:9" x14ac:dyDescent="0.3">
      <c r="A2266" t="s">
        <v>2</v>
      </c>
      <c r="B2266" t="s">
        <v>18</v>
      </c>
      <c r="C2266" t="s">
        <v>64</v>
      </c>
      <c r="D2266" s="9" t="s">
        <v>60</v>
      </c>
      <c r="E2266" t="s">
        <v>34</v>
      </c>
      <c r="F2266" t="s">
        <v>65</v>
      </c>
      <c r="G2266">
        <v>571.1</v>
      </c>
      <c r="I2266"/>
    </row>
    <row r="2267" spans="1:9" x14ac:dyDescent="0.3">
      <c r="A2267" t="s">
        <v>2</v>
      </c>
      <c r="B2267" t="s">
        <v>18</v>
      </c>
      <c r="C2267" t="s">
        <v>66</v>
      </c>
      <c r="D2267" s="9" t="s">
        <v>60</v>
      </c>
      <c r="E2267" t="s">
        <v>35</v>
      </c>
      <c r="F2267" t="s">
        <v>67</v>
      </c>
      <c r="G2267">
        <v>581</v>
      </c>
      <c r="I2267"/>
    </row>
    <row r="2268" spans="1:9" x14ac:dyDescent="0.3">
      <c r="A2268" t="s">
        <v>2</v>
      </c>
      <c r="B2268" t="s">
        <v>18</v>
      </c>
      <c r="C2268" t="s">
        <v>68</v>
      </c>
      <c r="D2268" s="9" t="s">
        <v>60</v>
      </c>
      <c r="E2268" t="s">
        <v>36</v>
      </c>
      <c r="F2268" t="s">
        <v>69</v>
      </c>
      <c r="G2268">
        <v>568.1</v>
      </c>
      <c r="I2268"/>
    </row>
    <row r="2269" spans="1:9" x14ac:dyDescent="0.3">
      <c r="A2269" t="s">
        <v>2</v>
      </c>
      <c r="B2269" t="s">
        <v>18</v>
      </c>
      <c r="C2269" t="s">
        <v>70</v>
      </c>
      <c r="D2269" s="9" t="s">
        <v>60</v>
      </c>
      <c r="E2269" t="s">
        <v>37</v>
      </c>
      <c r="F2269" t="s">
        <v>71</v>
      </c>
      <c r="G2269">
        <v>558.6</v>
      </c>
      <c r="I2269"/>
    </row>
    <row r="2270" spans="1:9" x14ac:dyDescent="0.3">
      <c r="A2270" t="s">
        <v>2</v>
      </c>
      <c r="B2270" t="s">
        <v>18</v>
      </c>
      <c r="C2270" t="s">
        <v>72</v>
      </c>
      <c r="D2270" s="9" t="s">
        <v>60</v>
      </c>
      <c r="E2270" t="s">
        <v>38</v>
      </c>
      <c r="F2270" t="s">
        <v>73</v>
      </c>
      <c r="G2270">
        <v>599.70000000000005</v>
      </c>
      <c r="I2270"/>
    </row>
    <row r="2271" spans="1:9" x14ac:dyDescent="0.3">
      <c r="A2271" t="s">
        <v>2</v>
      </c>
      <c r="B2271" t="s">
        <v>18</v>
      </c>
      <c r="C2271" t="s">
        <v>74</v>
      </c>
      <c r="D2271" s="9" t="s">
        <v>60</v>
      </c>
      <c r="E2271" t="s">
        <v>39</v>
      </c>
      <c r="F2271" t="s">
        <v>75</v>
      </c>
      <c r="G2271">
        <v>588.1</v>
      </c>
      <c r="I2271"/>
    </row>
    <row r="2272" spans="1:9" x14ac:dyDescent="0.3">
      <c r="A2272" t="s">
        <v>2</v>
      </c>
      <c r="B2272" t="s">
        <v>18</v>
      </c>
      <c r="C2272" t="s">
        <v>76</v>
      </c>
      <c r="D2272" s="9" t="s">
        <v>60</v>
      </c>
      <c r="E2272" t="s">
        <v>40</v>
      </c>
      <c r="F2272" t="s">
        <v>77</v>
      </c>
      <c r="G2272">
        <v>571.4</v>
      </c>
      <c r="I2272"/>
    </row>
    <row r="2273" spans="1:9" x14ac:dyDescent="0.3">
      <c r="A2273" t="s">
        <v>2</v>
      </c>
      <c r="B2273" t="s">
        <v>18</v>
      </c>
      <c r="C2273" t="s">
        <v>78</v>
      </c>
      <c r="D2273" s="9" t="s">
        <v>60</v>
      </c>
      <c r="E2273" t="s">
        <v>41</v>
      </c>
      <c r="F2273" t="s">
        <v>79</v>
      </c>
      <c r="G2273">
        <v>582.4</v>
      </c>
      <c r="I2273"/>
    </row>
    <row r="2274" spans="1:9" x14ac:dyDescent="0.3">
      <c r="A2274" t="s">
        <v>2</v>
      </c>
      <c r="B2274" t="s">
        <v>18</v>
      </c>
      <c r="C2274" t="s">
        <v>80</v>
      </c>
      <c r="D2274" s="9" t="s">
        <v>60</v>
      </c>
      <c r="E2274" t="s">
        <v>42</v>
      </c>
      <c r="F2274" t="s">
        <v>81</v>
      </c>
      <c r="G2274">
        <v>599.79999999999995</v>
      </c>
      <c r="I2274"/>
    </row>
    <row r="2275" spans="1:9" x14ac:dyDescent="0.3">
      <c r="A2275" t="s">
        <v>2</v>
      </c>
      <c r="B2275" t="s">
        <v>18</v>
      </c>
      <c r="C2275" t="s">
        <v>82</v>
      </c>
      <c r="D2275" s="9" t="s">
        <v>60</v>
      </c>
      <c r="E2275" t="s">
        <v>43</v>
      </c>
      <c r="F2275" t="s">
        <v>83</v>
      </c>
      <c r="G2275">
        <v>669.6</v>
      </c>
      <c r="I2275"/>
    </row>
    <row r="2276" spans="1:9" x14ac:dyDescent="0.3">
      <c r="A2276" t="s">
        <v>2</v>
      </c>
      <c r="B2276" t="s">
        <v>18</v>
      </c>
      <c r="C2276" t="s">
        <v>84</v>
      </c>
      <c r="D2276" s="9" t="s">
        <v>85</v>
      </c>
      <c r="E2276" t="s">
        <v>32</v>
      </c>
      <c r="F2276" t="s">
        <v>61</v>
      </c>
      <c r="G2276">
        <v>606.4</v>
      </c>
      <c r="H2276" s="9">
        <v>4.7699999999999996</v>
      </c>
      <c r="I2276"/>
    </row>
    <row r="2277" spans="1:9" x14ac:dyDescent="0.3">
      <c r="A2277" t="s">
        <v>2</v>
      </c>
      <c r="B2277" t="s">
        <v>18</v>
      </c>
      <c r="C2277" t="s">
        <v>86</v>
      </c>
      <c r="D2277" s="9" t="s">
        <v>85</v>
      </c>
      <c r="E2277" t="s">
        <v>33</v>
      </c>
      <c r="F2277" t="s">
        <v>63</v>
      </c>
      <c r="G2277">
        <v>536.79999999999995</v>
      </c>
      <c r="H2277" s="9">
        <v>8.36</v>
      </c>
      <c r="I2277"/>
    </row>
    <row r="2278" spans="1:9" x14ac:dyDescent="0.3">
      <c r="A2278" t="s">
        <v>2</v>
      </c>
      <c r="B2278" t="s">
        <v>18</v>
      </c>
      <c r="C2278" t="s">
        <v>87</v>
      </c>
      <c r="D2278" s="9" t="s">
        <v>85</v>
      </c>
      <c r="E2278" t="s">
        <v>34</v>
      </c>
      <c r="F2278" t="s">
        <v>65</v>
      </c>
      <c r="G2278">
        <v>477.5</v>
      </c>
      <c r="H2278" s="9">
        <v>-16.39</v>
      </c>
      <c r="I2278"/>
    </row>
    <row r="2279" spans="1:9" x14ac:dyDescent="0.3">
      <c r="A2279" t="s">
        <v>2</v>
      </c>
      <c r="B2279" t="s">
        <v>18</v>
      </c>
      <c r="C2279" t="s">
        <v>88</v>
      </c>
      <c r="D2279" s="9" t="s">
        <v>85</v>
      </c>
      <c r="E2279" t="s">
        <v>35</v>
      </c>
      <c r="F2279" t="s">
        <v>67</v>
      </c>
      <c r="G2279">
        <v>356.5</v>
      </c>
      <c r="H2279" s="9">
        <v>-38.64</v>
      </c>
      <c r="I2279"/>
    </row>
    <row r="2280" spans="1:9" x14ac:dyDescent="0.3">
      <c r="A2280" t="s">
        <v>2</v>
      </c>
      <c r="B2280" t="s">
        <v>18</v>
      </c>
      <c r="C2280" t="s">
        <v>89</v>
      </c>
      <c r="D2280" s="9" t="s">
        <v>85</v>
      </c>
      <c r="E2280" t="s">
        <v>36</v>
      </c>
      <c r="F2280" t="s">
        <v>69</v>
      </c>
      <c r="G2280">
        <v>470.1</v>
      </c>
      <c r="H2280" s="9">
        <v>-17.25</v>
      </c>
      <c r="I2280"/>
    </row>
    <row r="2281" spans="1:9" x14ac:dyDescent="0.3">
      <c r="A2281" t="s">
        <v>2</v>
      </c>
      <c r="B2281" t="s">
        <v>18</v>
      </c>
      <c r="C2281" t="s">
        <v>90</v>
      </c>
      <c r="D2281" s="9" t="s">
        <v>85</v>
      </c>
      <c r="E2281" t="s">
        <v>37</v>
      </c>
      <c r="F2281" t="s">
        <v>71</v>
      </c>
      <c r="G2281">
        <v>507.8</v>
      </c>
      <c r="H2281" s="9">
        <v>-9.09</v>
      </c>
      <c r="I2281"/>
    </row>
    <row r="2282" spans="1:9" x14ac:dyDescent="0.3">
      <c r="A2282" t="s">
        <v>2</v>
      </c>
      <c r="B2282" t="s">
        <v>18</v>
      </c>
      <c r="C2282" t="s">
        <v>91</v>
      </c>
      <c r="D2282" s="9" t="s">
        <v>85</v>
      </c>
      <c r="E2282" t="s">
        <v>38</v>
      </c>
      <c r="F2282" t="s">
        <v>73</v>
      </c>
      <c r="G2282">
        <v>575.9</v>
      </c>
      <c r="H2282" s="9">
        <v>-3.97</v>
      </c>
      <c r="I2282"/>
    </row>
    <row r="2283" spans="1:9" x14ac:dyDescent="0.3">
      <c r="A2283" t="s">
        <v>2</v>
      </c>
      <c r="B2283" t="s">
        <v>18</v>
      </c>
      <c r="C2283" t="s">
        <v>92</v>
      </c>
      <c r="D2283" s="9" t="s">
        <v>85</v>
      </c>
      <c r="E2283" t="s">
        <v>39</v>
      </c>
      <c r="F2283" t="s">
        <v>75</v>
      </c>
      <c r="G2283">
        <v>540.79999999999995</v>
      </c>
      <c r="H2283" s="9">
        <v>-8.0399999999999991</v>
      </c>
      <c r="I2283"/>
    </row>
    <row r="2284" spans="1:9" x14ac:dyDescent="0.3">
      <c r="A2284" t="s">
        <v>2</v>
      </c>
      <c r="B2284" t="s">
        <v>18</v>
      </c>
      <c r="C2284" t="s">
        <v>93</v>
      </c>
      <c r="D2284" s="9" t="s">
        <v>85</v>
      </c>
      <c r="E2284" t="s">
        <v>40</v>
      </c>
      <c r="F2284" t="s">
        <v>77</v>
      </c>
      <c r="G2284">
        <v>559.70000000000005</v>
      </c>
      <c r="H2284" s="9">
        <v>-2.0499999999999998</v>
      </c>
      <c r="I2284"/>
    </row>
    <row r="2285" spans="1:9" x14ac:dyDescent="0.3">
      <c r="A2285" t="s">
        <v>2</v>
      </c>
      <c r="B2285" t="s">
        <v>18</v>
      </c>
      <c r="C2285" t="s">
        <v>94</v>
      </c>
      <c r="D2285" s="9" t="s">
        <v>85</v>
      </c>
      <c r="E2285" t="s">
        <v>41</v>
      </c>
      <c r="F2285" t="s">
        <v>79</v>
      </c>
      <c r="G2285">
        <v>585.29999999999995</v>
      </c>
      <c r="H2285" s="9">
        <v>0.5</v>
      </c>
      <c r="I2285"/>
    </row>
    <row r="2286" spans="1:9" x14ac:dyDescent="0.3">
      <c r="A2286" t="s">
        <v>2</v>
      </c>
      <c r="B2286" t="s">
        <v>18</v>
      </c>
      <c r="C2286" t="s">
        <v>95</v>
      </c>
      <c r="D2286" s="9" t="s">
        <v>85</v>
      </c>
      <c r="E2286" t="s">
        <v>42</v>
      </c>
      <c r="F2286" t="s">
        <v>81</v>
      </c>
      <c r="G2286">
        <v>572.79999999999995</v>
      </c>
      <c r="H2286" s="9">
        <v>-4.5</v>
      </c>
      <c r="I2286"/>
    </row>
    <row r="2287" spans="1:9" x14ac:dyDescent="0.3">
      <c r="A2287" t="s">
        <v>2</v>
      </c>
      <c r="B2287" t="s">
        <v>18</v>
      </c>
      <c r="C2287" t="s">
        <v>96</v>
      </c>
      <c r="D2287" s="9" t="s">
        <v>85</v>
      </c>
      <c r="E2287" t="s">
        <v>43</v>
      </c>
      <c r="F2287" t="s">
        <v>83</v>
      </c>
      <c r="G2287">
        <v>623</v>
      </c>
      <c r="H2287" s="9">
        <v>-6.96</v>
      </c>
      <c r="I2287"/>
    </row>
    <row r="2288" spans="1:9" x14ac:dyDescent="0.3">
      <c r="A2288" t="s">
        <v>2</v>
      </c>
      <c r="B2288" t="s">
        <v>18</v>
      </c>
      <c r="C2288" t="s">
        <v>97</v>
      </c>
      <c r="D2288" s="9" t="s">
        <v>98</v>
      </c>
      <c r="E2288" t="s">
        <v>32</v>
      </c>
      <c r="F2288" t="s">
        <v>61</v>
      </c>
      <c r="G2288">
        <v>550.6</v>
      </c>
      <c r="H2288" s="9">
        <v>-9.1999999999999993</v>
      </c>
      <c r="I2288"/>
    </row>
    <row r="2289" spans="1:9" x14ac:dyDescent="0.3">
      <c r="A2289" t="s">
        <v>2</v>
      </c>
      <c r="B2289" t="s">
        <v>18</v>
      </c>
      <c r="C2289" t="s">
        <v>99</v>
      </c>
      <c r="D2289" s="9" t="s">
        <v>98</v>
      </c>
      <c r="E2289" t="s">
        <v>33</v>
      </c>
      <c r="F2289" t="s">
        <v>63</v>
      </c>
      <c r="G2289">
        <v>484.3</v>
      </c>
      <c r="H2289" s="9">
        <v>-9.7799999999999994</v>
      </c>
      <c r="I2289"/>
    </row>
    <row r="2290" spans="1:9" x14ac:dyDescent="0.3">
      <c r="A2290" t="s">
        <v>2</v>
      </c>
      <c r="B2290" t="s">
        <v>18</v>
      </c>
      <c r="C2290" t="s">
        <v>100</v>
      </c>
      <c r="D2290" s="9" t="s">
        <v>98</v>
      </c>
      <c r="E2290" t="s">
        <v>34</v>
      </c>
      <c r="F2290" t="s">
        <v>65</v>
      </c>
      <c r="G2290">
        <v>552.79999999999995</v>
      </c>
      <c r="H2290" s="9">
        <v>15.77</v>
      </c>
      <c r="I2290"/>
    </row>
    <row r="2291" spans="1:9" x14ac:dyDescent="0.3">
      <c r="A2291" t="s">
        <v>2</v>
      </c>
      <c r="B2291" t="s">
        <v>18</v>
      </c>
      <c r="C2291" t="s">
        <v>101</v>
      </c>
      <c r="D2291" s="9" t="s">
        <v>98</v>
      </c>
      <c r="E2291" t="s">
        <v>35</v>
      </c>
      <c r="F2291" t="s">
        <v>67</v>
      </c>
      <c r="G2291">
        <v>582</v>
      </c>
      <c r="H2291" s="9">
        <v>63.25</v>
      </c>
      <c r="I2291"/>
    </row>
    <row r="2292" spans="1:9" x14ac:dyDescent="0.3">
      <c r="A2292" t="s">
        <v>2</v>
      </c>
      <c r="B2292" t="s">
        <v>18</v>
      </c>
      <c r="C2292" t="s">
        <v>102</v>
      </c>
      <c r="D2292" s="9" t="s">
        <v>98</v>
      </c>
      <c r="E2292" t="s">
        <v>36</v>
      </c>
      <c r="F2292" t="s">
        <v>69</v>
      </c>
      <c r="G2292">
        <v>570.29999999999995</v>
      </c>
      <c r="H2292" s="9">
        <v>21.31</v>
      </c>
      <c r="I2292"/>
    </row>
    <row r="2293" spans="1:9" x14ac:dyDescent="0.3">
      <c r="A2293" t="s">
        <v>2</v>
      </c>
      <c r="B2293" t="s">
        <v>18</v>
      </c>
      <c r="C2293" t="s">
        <v>103</v>
      </c>
      <c r="D2293" s="9" t="s">
        <v>98</v>
      </c>
      <c r="E2293" t="s">
        <v>37</v>
      </c>
      <c r="F2293" t="s">
        <v>71</v>
      </c>
      <c r="G2293">
        <v>559.79999999999995</v>
      </c>
      <c r="H2293" s="9">
        <v>10.24</v>
      </c>
      <c r="I2293"/>
    </row>
    <row r="2294" spans="1:9" x14ac:dyDescent="0.3">
      <c r="A2294" t="s">
        <v>2</v>
      </c>
      <c r="B2294" t="s">
        <v>18</v>
      </c>
      <c r="C2294" t="s">
        <v>104</v>
      </c>
      <c r="D2294" s="9" t="s">
        <v>98</v>
      </c>
      <c r="E2294" t="s">
        <v>38</v>
      </c>
      <c r="F2294" t="s">
        <v>73</v>
      </c>
      <c r="G2294">
        <v>427</v>
      </c>
      <c r="H2294" s="9">
        <v>-25.86</v>
      </c>
      <c r="I2294"/>
    </row>
    <row r="2295" spans="1:9" x14ac:dyDescent="0.3">
      <c r="A2295" t="s">
        <v>2</v>
      </c>
      <c r="B2295" t="s">
        <v>18</v>
      </c>
      <c r="C2295" t="s">
        <v>105</v>
      </c>
      <c r="D2295" s="9" t="s">
        <v>98</v>
      </c>
      <c r="E2295" t="s">
        <v>39</v>
      </c>
      <c r="F2295" t="s">
        <v>75</v>
      </c>
      <c r="G2295">
        <v>384.4</v>
      </c>
      <c r="H2295" s="9">
        <v>-28.92</v>
      </c>
      <c r="I2295"/>
    </row>
    <row r="2296" spans="1:9" x14ac:dyDescent="0.3">
      <c r="A2296" t="s">
        <v>2</v>
      </c>
      <c r="B2296" t="s">
        <v>18</v>
      </c>
      <c r="C2296" t="s">
        <v>106</v>
      </c>
      <c r="D2296" s="9" t="s">
        <v>98</v>
      </c>
      <c r="E2296" t="s">
        <v>40</v>
      </c>
      <c r="F2296" t="s">
        <v>77</v>
      </c>
      <c r="G2296">
        <v>417.3</v>
      </c>
      <c r="H2296" s="9">
        <v>-25.44</v>
      </c>
      <c r="I2296"/>
    </row>
    <row r="2297" spans="1:9" x14ac:dyDescent="0.3">
      <c r="A2297" t="s">
        <v>2</v>
      </c>
      <c r="B2297" t="s">
        <v>18</v>
      </c>
      <c r="C2297" t="s">
        <v>107</v>
      </c>
      <c r="D2297" s="9" t="s">
        <v>98</v>
      </c>
      <c r="E2297" t="s">
        <v>41</v>
      </c>
      <c r="F2297" t="s">
        <v>79</v>
      </c>
      <c r="G2297">
        <v>481.3</v>
      </c>
      <c r="H2297" s="9">
        <v>-17.77</v>
      </c>
      <c r="I2297"/>
    </row>
    <row r="2298" spans="1:9" x14ac:dyDescent="0.3">
      <c r="A2298" t="s">
        <v>2</v>
      </c>
      <c r="B2298" t="s">
        <v>18</v>
      </c>
      <c r="C2298" t="s">
        <v>108</v>
      </c>
      <c r="D2298" s="9" t="s">
        <v>98</v>
      </c>
      <c r="E2298" t="s">
        <v>42</v>
      </c>
      <c r="F2298" t="s">
        <v>81</v>
      </c>
      <c r="G2298">
        <v>476.2</v>
      </c>
      <c r="H2298" s="9">
        <v>-16.86</v>
      </c>
      <c r="I2298"/>
    </row>
    <row r="2299" spans="1:9" x14ac:dyDescent="0.3">
      <c r="A2299" t="s">
        <v>2</v>
      </c>
      <c r="B2299" t="s">
        <v>18</v>
      </c>
      <c r="C2299" t="s">
        <v>109</v>
      </c>
      <c r="D2299" s="9" t="s">
        <v>98</v>
      </c>
      <c r="E2299" t="s">
        <v>43</v>
      </c>
      <c r="F2299" t="s">
        <v>83</v>
      </c>
      <c r="G2299">
        <v>550.70000000000005</v>
      </c>
      <c r="H2299" s="9">
        <v>-11.61</v>
      </c>
      <c r="I2299"/>
    </row>
    <row r="2300" spans="1:9" x14ac:dyDescent="0.3">
      <c r="A2300" t="s">
        <v>2</v>
      </c>
      <c r="B2300" t="s">
        <v>18</v>
      </c>
      <c r="C2300" t="s">
        <v>110</v>
      </c>
      <c r="D2300" s="9" t="s">
        <v>111</v>
      </c>
      <c r="E2300" t="s">
        <v>32</v>
      </c>
      <c r="F2300" t="s">
        <v>61</v>
      </c>
      <c r="G2300">
        <v>504.3</v>
      </c>
      <c r="H2300" s="9">
        <v>-8.41</v>
      </c>
      <c r="I2300"/>
    </row>
    <row r="2301" spans="1:9" x14ac:dyDescent="0.3">
      <c r="A2301" t="s">
        <v>2</v>
      </c>
      <c r="B2301" t="s">
        <v>18</v>
      </c>
      <c r="C2301" t="s">
        <v>112</v>
      </c>
      <c r="D2301" s="9" t="s">
        <v>111</v>
      </c>
      <c r="E2301" t="s">
        <v>33</v>
      </c>
      <c r="F2301" t="s">
        <v>63</v>
      </c>
      <c r="G2301">
        <v>456.3</v>
      </c>
      <c r="H2301" s="9">
        <v>-5.78</v>
      </c>
      <c r="I2301"/>
    </row>
    <row r="2302" spans="1:9" x14ac:dyDescent="0.3">
      <c r="A2302" t="s">
        <v>2</v>
      </c>
      <c r="B2302" t="s">
        <v>18</v>
      </c>
      <c r="C2302" t="s">
        <v>113</v>
      </c>
      <c r="D2302" s="9" t="s">
        <v>111</v>
      </c>
      <c r="E2302" t="s">
        <v>34</v>
      </c>
      <c r="F2302" t="s">
        <v>65</v>
      </c>
      <c r="G2302">
        <v>516</v>
      </c>
      <c r="H2302" s="9">
        <v>-6.66</v>
      </c>
      <c r="I2302"/>
    </row>
    <row r="2303" spans="1:9" x14ac:dyDescent="0.3">
      <c r="A2303" t="s">
        <v>2</v>
      </c>
      <c r="B2303" t="s">
        <v>18</v>
      </c>
      <c r="C2303" t="s">
        <v>114</v>
      </c>
      <c r="D2303" s="9" t="s">
        <v>111</v>
      </c>
      <c r="E2303" t="s">
        <v>35</v>
      </c>
      <c r="F2303" t="s">
        <v>67</v>
      </c>
      <c r="G2303">
        <v>534.6</v>
      </c>
      <c r="H2303" s="9">
        <v>-8.14</v>
      </c>
      <c r="I2303"/>
    </row>
    <row r="2304" spans="1:9" x14ac:dyDescent="0.3">
      <c r="A2304" t="s">
        <v>2</v>
      </c>
      <c r="B2304" t="s">
        <v>18</v>
      </c>
      <c r="C2304" t="s">
        <v>115</v>
      </c>
      <c r="D2304" s="9" t="s">
        <v>111</v>
      </c>
      <c r="E2304" t="s">
        <v>36</v>
      </c>
      <c r="F2304" t="s">
        <v>69</v>
      </c>
      <c r="G2304">
        <v>528.1</v>
      </c>
      <c r="H2304" s="9">
        <v>-7.4</v>
      </c>
      <c r="I2304"/>
    </row>
    <row r="2305" spans="1:9" x14ac:dyDescent="0.3">
      <c r="A2305" t="s">
        <v>2</v>
      </c>
      <c r="B2305" t="s">
        <v>18</v>
      </c>
      <c r="C2305" t="s">
        <v>116</v>
      </c>
      <c r="D2305" s="9" t="s">
        <v>111</v>
      </c>
      <c r="E2305" t="s">
        <v>37</v>
      </c>
      <c r="F2305" t="s">
        <v>71</v>
      </c>
      <c r="G2305">
        <v>527.5</v>
      </c>
      <c r="H2305" s="9">
        <v>-5.77</v>
      </c>
      <c r="I2305"/>
    </row>
    <row r="2306" spans="1:9" x14ac:dyDescent="0.3">
      <c r="A2306" t="s">
        <v>2</v>
      </c>
      <c r="B2306" t="s">
        <v>18</v>
      </c>
      <c r="C2306" t="s">
        <v>117</v>
      </c>
      <c r="D2306" s="9" t="s">
        <v>111</v>
      </c>
      <c r="E2306" t="s">
        <v>38</v>
      </c>
      <c r="F2306" t="s">
        <v>73</v>
      </c>
      <c r="G2306">
        <v>567.79999999999995</v>
      </c>
      <c r="H2306" s="9">
        <v>32.97</v>
      </c>
      <c r="I2306"/>
    </row>
    <row r="2307" spans="1:9" x14ac:dyDescent="0.3">
      <c r="A2307" t="s">
        <v>2</v>
      </c>
      <c r="B2307" t="s">
        <v>18</v>
      </c>
      <c r="C2307" t="s">
        <v>118</v>
      </c>
      <c r="D2307" s="9" t="s">
        <v>111</v>
      </c>
      <c r="E2307" t="s">
        <v>39</v>
      </c>
      <c r="F2307" t="s">
        <v>75</v>
      </c>
      <c r="G2307">
        <v>554.70000000000005</v>
      </c>
      <c r="H2307" s="9">
        <v>44.3</v>
      </c>
      <c r="I2307"/>
    </row>
    <row r="2308" spans="1:9" x14ac:dyDescent="0.3">
      <c r="A2308" t="s">
        <v>2</v>
      </c>
      <c r="B2308" t="s">
        <v>18</v>
      </c>
      <c r="C2308" t="s">
        <v>119</v>
      </c>
      <c r="D2308" s="9" t="s">
        <v>111</v>
      </c>
      <c r="E2308" t="s">
        <v>40</v>
      </c>
      <c r="F2308" t="s">
        <v>77</v>
      </c>
      <c r="G2308">
        <v>566.29999999999995</v>
      </c>
      <c r="H2308" s="9">
        <v>35.71</v>
      </c>
      <c r="I2308"/>
    </row>
    <row r="2309" spans="1:9" x14ac:dyDescent="0.3">
      <c r="A2309" t="s">
        <v>2</v>
      </c>
      <c r="B2309" t="s">
        <v>18</v>
      </c>
      <c r="C2309" t="s">
        <v>120</v>
      </c>
      <c r="D2309" s="9" t="s">
        <v>111</v>
      </c>
      <c r="E2309" t="s">
        <v>41</v>
      </c>
      <c r="F2309" t="s">
        <v>79</v>
      </c>
      <c r="G2309">
        <v>560.70000000000005</v>
      </c>
      <c r="H2309" s="9">
        <v>16.5</v>
      </c>
      <c r="I2309"/>
    </row>
    <row r="2310" spans="1:9" x14ac:dyDescent="0.3">
      <c r="A2310" t="s">
        <v>2</v>
      </c>
      <c r="B2310" t="s">
        <v>18</v>
      </c>
      <c r="C2310" t="s">
        <v>121</v>
      </c>
      <c r="D2310" s="9" t="s">
        <v>111</v>
      </c>
      <c r="E2310" t="s">
        <v>42</v>
      </c>
      <c r="F2310" t="s">
        <v>81</v>
      </c>
      <c r="G2310">
        <v>540.9</v>
      </c>
      <c r="H2310" s="9">
        <v>13.59</v>
      </c>
      <c r="I2310"/>
    </row>
    <row r="2311" spans="1:9" x14ac:dyDescent="0.3">
      <c r="A2311" t="s">
        <v>2</v>
      </c>
      <c r="B2311" t="s">
        <v>18</v>
      </c>
      <c r="C2311" t="s">
        <v>122</v>
      </c>
      <c r="D2311" s="9" t="s">
        <v>111</v>
      </c>
      <c r="E2311" t="s">
        <v>43</v>
      </c>
      <c r="F2311" t="s">
        <v>83</v>
      </c>
      <c r="G2311">
        <v>597</v>
      </c>
      <c r="H2311" s="9">
        <v>8.41</v>
      </c>
      <c r="I2311"/>
    </row>
    <row r="2312" spans="1:9" x14ac:dyDescent="0.3">
      <c r="A2312" t="s">
        <v>2</v>
      </c>
      <c r="B2312" t="s">
        <v>18</v>
      </c>
      <c r="C2312" t="s">
        <v>123</v>
      </c>
      <c r="D2312" s="9" t="s">
        <v>124</v>
      </c>
      <c r="E2312" t="s">
        <v>32</v>
      </c>
      <c r="F2312" t="s">
        <v>61</v>
      </c>
      <c r="G2312">
        <v>535</v>
      </c>
      <c r="H2312" s="9">
        <v>6.09</v>
      </c>
      <c r="I2312"/>
    </row>
    <row r="2313" spans="1:9" x14ac:dyDescent="0.3">
      <c r="A2313" t="s">
        <v>2</v>
      </c>
      <c r="B2313" t="s">
        <v>18</v>
      </c>
      <c r="C2313" t="s">
        <v>125</v>
      </c>
      <c r="D2313" s="9" t="s">
        <v>124</v>
      </c>
      <c r="E2313" t="s">
        <v>33</v>
      </c>
      <c r="F2313" t="s">
        <v>63</v>
      </c>
      <c r="G2313">
        <v>471.7</v>
      </c>
      <c r="H2313" s="9">
        <v>3.37</v>
      </c>
      <c r="I2313"/>
    </row>
    <row r="2314" spans="1:9" x14ac:dyDescent="0.3">
      <c r="A2314" t="s">
        <v>2</v>
      </c>
      <c r="B2314" t="s">
        <v>18</v>
      </c>
      <c r="C2314" t="s">
        <v>126</v>
      </c>
      <c r="D2314" s="9" t="s">
        <v>124</v>
      </c>
      <c r="E2314" t="s">
        <v>34</v>
      </c>
      <c r="F2314" t="s">
        <v>65</v>
      </c>
      <c r="G2314">
        <v>542.1</v>
      </c>
      <c r="H2314" s="9">
        <v>5.0599999999999996</v>
      </c>
      <c r="I2314"/>
    </row>
    <row r="2315" spans="1:9" x14ac:dyDescent="0.3">
      <c r="A2315" t="s">
        <v>2</v>
      </c>
      <c r="B2315" t="s">
        <v>18</v>
      </c>
      <c r="C2315" t="s">
        <v>127</v>
      </c>
      <c r="D2315" s="9" t="s">
        <v>124</v>
      </c>
      <c r="E2315" t="s">
        <v>35</v>
      </c>
      <c r="F2315" t="s">
        <v>67</v>
      </c>
      <c r="G2315">
        <v>528.29999999999995</v>
      </c>
      <c r="H2315" s="9">
        <v>-1.18</v>
      </c>
      <c r="I2315"/>
    </row>
    <row r="2316" spans="1:9" x14ac:dyDescent="0.3">
      <c r="A2316" t="s">
        <v>2</v>
      </c>
      <c r="B2316" t="s">
        <v>18</v>
      </c>
      <c r="C2316" t="s">
        <v>128</v>
      </c>
      <c r="D2316" s="9" t="s">
        <v>124</v>
      </c>
      <c r="E2316" t="s">
        <v>36</v>
      </c>
      <c r="F2316" t="s">
        <v>69</v>
      </c>
      <c r="G2316">
        <v>537.5</v>
      </c>
      <c r="H2316" s="9">
        <v>1.78</v>
      </c>
      <c r="I2316"/>
    </row>
    <row r="2317" spans="1:9" x14ac:dyDescent="0.3">
      <c r="A2317" t="s">
        <v>2</v>
      </c>
      <c r="B2317" t="s">
        <v>18</v>
      </c>
      <c r="C2317" t="s">
        <v>129</v>
      </c>
      <c r="D2317" s="9" t="s">
        <v>124</v>
      </c>
      <c r="E2317" t="s">
        <v>37</v>
      </c>
      <c r="F2317" t="s">
        <v>71</v>
      </c>
      <c r="G2317">
        <v>536.20000000000005</v>
      </c>
      <c r="H2317" s="9">
        <v>1.65</v>
      </c>
      <c r="I2317"/>
    </row>
    <row r="2318" spans="1:9" x14ac:dyDescent="0.3">
      <c r="A2318" t="s">
        <v>2</v>
      </c>
      <c r="B2318" t="s">
        <v>18</v>
      </c>
      <c r="C2318" t="s">
        <v>130</v>
      </c>
      <c r="D2318" s="9" t="s">
        <v>124</v>
      </c>
      <c r="E2318" t="s">
        <v>38</v>
      </c>
      <c r="F2318" t="s">
        <v>73</v>
      </c>
      <c r="G2318">
        <v>554</v>
      </c>
      <c r="H2318" s="9">
        <v>-2.4300000000000002</v>
      </c>
      <c r="I2318"/>
    </row>
    <row r="2319" spans="1:9" x14ac:dyDescent="0.3">
      <c r="A2319" t="s">
        <v>2</v>
      </c>
      <c r="B2319" t="s">
        <v>18</v>
      </c>
      <c r="C2319" t="s">
        <v>131</v>
      </c>
      <c r="D2319" s="9" t="s">
        <v>124</v>
      </c>
      <c r="E2319" t="s">
        <v>39</v>
      </c>
      <c r="F2319" t="s">
        <v>75</v>
      </c>
      <c r="G2319">
        <v>562.20000000000005</v>
      </c>
      <c r="H2319" s="9">
        <v>1.35</v>
      </c>
      <c r="I2319"/>
    </row>
    <row r="2320" spans="1:9" x14ac:dyDescent="0.3">
      <c r="A2320" t="s">
        <v>2</v>
      </c>
      <c r="B2320" t="s">
        <v>18</v>
      </c>
      <c r="C2320" t="s">
        <v>132</v>
      </c>
      <c r="D2320" s="9" t="s">
        <v>124</v>
      </c>
      <c r="E2320" t="s">
        <v>40</v>
      </c>
      <c r="F2320" t="s">
        <v>77</v>
      </c>
      <c r="G2320">
        <v>571.9</v>
      </c>
      <c r="H2320" s="9">
        <v>0.99</v>
      </c>
      <c r="I2320"/>
    </row>
    <row r="2321" spans="1:9" x14ac:dyDescent="0.3">
      <c r="A2321" t="s">
        <v>2</v>
      </c>
      <c r="B2321" t="s">
        <v>18</v>
      </c>
      <c r="C2321" t="s">
        <v>133</v>
      </c>
      <c r="D2321" s="9" t="s">
        <v>124</v>
      </c>
      <c r="E2321" t="s">
        <v>41</v>
      </c>
      <c r="F2321" t="s">
        <v>79</v>
      </c>
      <c r="G2321">
        <v>567.29999999999995</v>
      </c>
      <c r="H2321" s="9">
        <v>1.18</v>
      </c>
      <c r="I2321"/>
    </row>
    <row r="2322" spans="1:9" x14ac:dyDescent="0.3">
      <c r="A2322" t="s">
        <v>2</v>
      </c>
      <c r="B2322" t="s">
        <v>18</v>
      </c>
      <c r="C2322" t="s">
        <v>134</v>
      </c>
      <c r="D2322" s="9" t="s">
        <v>124</v>
      </c>
      <c r="E2322" t="s">
        <v>42</v>
      </c>
      <c r="F2322" t="s">
        <v>81</v>
      </c>
      <c r="G2322">
        <v>558.20000000000005</v>
      </c>
      <c r="H2322" s="9">
        <v>3.2</v>
      </c>
      <c r="I2322"/>
    </row>
    <row r="2323" spans="1:9" x14ac:dyDescent="0.3">
      <c r="A2323" t="s">
        <v>2</v>
      </c>
      <c r="B2323" t="s">
        <v>18</v>
      </c>
      <c r="C2323" t="s">
        <v>135</v>
      </c>
      <c r="D2323" s="9" t="s">
        <v>124</v>
      </c>
      <c r="E2323" t="s">
        <v>43</v>
      </c>
      <c r="F2323" t="s">
        <v>83</v>
      </c>
      <c r="G2323">
        <v>625</v>
      </c>
      <c r="H2323" s="9">
        <v>4.6900000000000004</v>
      </c>
      <c r="I2323"/>
    </row>
    <row r="2324" spans="1:9" x14ac:dyDescent="0.3">
      <c r="A2324" t="s">
        <v>2</v>
      </c>
      <c r="B2324" t="s">
        <v>18</v>
      </c>
      <c r="C2324" t="s">
        <v>136</v>
      </c>
      <c r="D2324" s="9" t="s">
        <v>137</v>
      </c>
      <c r="E2324" t="s">
        <v>32</v>
      </c>
      <c r="F2324" t="s">
        <v>61</v>
      </c>
      <c r="G2324">
        <v>565.29999999999995</v>
      </c>
      <c r="H2324" s="9">
        <v>5.66</v>
      </c>
      <c r="I2324"/>
    </row>
    <row r="2325" spans="1:9" x14ac:dyDescent="0.3">
      <c r="A2325" t="s">
        <v>2</v>
      </c>
      <c r="B2325" t="s">
        <v>18</v>
      </c>
      <c r="C2325" t="s">
        <v>138</v>
      </c>
      <c r="D2325" s="9" t="s">
        <v>137</v>
      </c>
      <c r="E2325" t="s">
        <v>33</v>
      </c>
      <c r="F2325" t="s">
        <v>63</v>
      </c>
      <c r="G2325">
        <v>520.29999999999995</v>
      </c>
      <c r="H2325" s="9">
        <v>10.3</v>
      </c>
      <c r="I2325"/>
    </row>
    <row r="2326" spans="1:9" x14ac:dyDescent="0.3">
      <c r="A2326" t="s">
        <v>2</v>
      </c>
      <c r="B2326" t="s">
        <v>18</v>
      </c>
      <c r="C2326" t="s">
        <v>139</v>
      </c>
      <c r="D2326" s="9" t="s">
        <v>137</v>
      </c>
      <c r="E2326" t="s">
        <v>34</v>
      </c>
      <c r="F2326" t="s">
        <v>65</v>
      </c>
      <c r="G2326">
        <v>565.9</v>
      </c>
      <c r="H2326" s="9">
        <v>4.3899999999999997</v>
      </c>
      <c r="I2326"/>
    </row>
    <row r="2327" spans="1:9" x14ac:dyDescent="0.3">
      <c r="A2327" t="s">
        <v>2</v>
      </c>
      <c r="B2327" t="s">
        <v>18</v>
      </c>
      <c r="C2327" t="s">
        <v>140</v>
      </c>
      <c r="D2327" s="9" t="s">
        <v>137</v>
      </c>
      <c r="E2327" t="s">
        <v>35</v>
      </c>
      <c r="F2327" t="s">
        <v>67</v>
      </c>
      <c r="G2327">
        <v>564.6</v>
      </c>
      <c r="H2327" s="9">
        <v>6.87</v>
      </c>
      <c r="I2327"/>
    </row>
    <row r="2328" spans="1:9" x14ac:dyDescent="0.3">
      <c r="A2328" t="s">
        <v>2</v>
      </c>
      <c r="B2328" t="s">
        <v>18</v>
      </c>
      <c r="C2328" t="s">
        <v>141</v>
      </c>
      <c r="D2328" s="9" t="s">
        <v>137</v>
      </c>
      <c r="E2328" t="s">
        <v>36</v>
      </c>
      <c r="F2328" t="s">
        <v>69</v>
      </c>
      <c r="G2328">
        <v>550.29999999999995</v>
      </c>
      <c r="H2328" s="9">
        <v>2.38</v>
      </c>
      <c r="I2328"/>
    </row>
    <row r="2329" spans="1:9" x14ac:dyDescent="0.3">
      <c r="A2329" t="s">
        <v>2</v>
      </c>
      <c r="B2329" t="s">
        <v>18</v>
      </c>
      <c r="C2329" t="s">
        <v>142</v>
      </c>
      <c r="D2329" s="9" t="s">
        <v>137</v>
      </c>
      <c r="E2329" t="s">
        <v>37</v>
      </c>
      <c r="F2329" t="s">
        <v>71</v>
      </c>
      <c r="G2329">
        <v>541.70000000000005</v>
      </c>
      <c r="H2329" s="9">
        <v>1.03</v>
      </c>
      <c r="I2329"/>
    </row>
    <row r="2330" spans="1:9" x14ac:dyDescent="0.3">
      <c r="A2330" t="s">
        <v>2</v>
      </c>
      <c r="B2330" t="s">
        <v>18</v>
      </c>
      <c r="C2330" t="s">
        <v>143</v>
      </c>
      <c r="D2330" s="9" t="s">
        <v>137</v>
      </c>
      <c r="E2330" t="s">
        <v>38</v>
      </c>
      <c r="F2330" t="s">
        <v>73</v>
      </c>
      <c r="G2330">
        <v>567.9</v>
      </c>
      <c r="H2330" s="9">
        <v>2.5099999999999998</v>
      </c>
      <c r="I2330"/>
    </row>
    <row r="2331" spans="1:9" x14ac:dyDescent="0.3">
      <c r="A2331" t="s">
        <v>2</v>
      </c>
      <c r="B2331" t="s">
        <v>18</v>
      </c>
      <c r="C2331" t="s">
        <v>144</v>
      </c>
      <c r="D2331" s="9" t="s">
        <v>137</v>
      </c>
      <c r="E2331" t="s">
        <v>39</v>
      </c>
      <c r="F2331" t="s">
        <v>75</v>
      </c>
      <c r="G2331">
        <v>582.9</v>
      </c>
      <c r="H2331" s="9">
        <v>3.68</v>
      </c>
      <c r="I2331"/>
    </row>
    <row r="2332" spans="1:9" x14ac:dyDescent="0.3">
      <c r="A2332" t="s">
        <v>2</v>
      </c>
      <c r="B2332" t="s">
        <v>18</v>
      </c>
      <c r="C2332" t="s">
        <v>145</v>
      </c>
      <c r="D2332" s="9" t="s">
        <v>137</v>
      </c>
      <c r="E2332" t="s">
        <v>40</v>
      </c>
      <c r="F2332" t="s">
        <v>77</v>
      </c>
      <c r="G2332">
        <v>577.79999999999995</v>
      </c>
      <c r="H2332" s="9">
        <v>1.03</v>
      </c>
      <c r="I2332"/>
    </row>
    <row r="2333" spans="1:9" x14ac:dyDescent="0.3">
      <c r="A2333" t="s">
        <v>2</v>
      </c>
      <c r="B2333" t="s">
        <v>18</v>
      </c>
      <c r="C2333" t="s">
        <v>146</v>
      </c>
      <c r="D2333" s="9" t="s">
        <v>137</v>
      </c>
      <c r="E2333" t="s">
        <v>41</v>
      </c>
      <c r="F2333" t="s">
        <v>79</v>
      </c>
      <c r="G2333">
        <v>618.20000000000005</v>
      </c>
      <c r="H2333" s="9">
        <v>8.9700000000000006</v>
      </c>
      <c r="I2333"/>
    </row>
    <row r="2334" spans="1:9" x14ac:dyDescent="0.3">
      <c r="A2334" t="s">
        <v>2</v>
      </c>
      <c r="B2334" t="s">
        <v>18</v>
      </c>
      <c r="C2334" t="s">
        <v>147</v>
      </c>
      <c r="D2334" s="9" t="s">
        <v>137</v>
      </c>
      <c r="E2334" t="s">
        <v>42</v>
      </c>
      <c r="F2334" t="s">
        <v>81</v>
      </c>
      <c r="G2334">
        <v>618.79999999999995</v>
      </c>
      <c r="H2334" s="9">
        <v>10.86</v>
      </c>
      <c r="I2334"/>
    </row>
    <row r="2335" spans="1:9" x14ac:dyDescent="0.3">
      <c r="A2335" t="s">
        <v>2</v>
      </c>
      <c r="B2335" t="s">
        <v>18</v>
      </c>
      <c r="C2335" t="s">
        <v>148</v>
      </c>
      <c r="D2335" s="9" t="s">
        <v>137</v>
      </c>
      <c r="E2335" t="s">
        <v>43</v>
      </c>
      <c r="F2335" t="s">
        <v>83</v>
      </c>
      <c r="G2335">
        <v>650.9</v>
      </c>
      <c r="H2335" s="9">
        <v>4.1399999999999997</v>
      </c>
      <c r="I2335"/>
    </row>
    <row r="2336" spans="1:9" x14ac:dyDescent="0.3">
      <c r="A2336" t="s">
        <v>2</v>
      </c>
      <c r="B2336" t="s">
        <v>18</v>
      </c>
      <c r="C2336" t="s">
        <v>149</v>
      </c>
      <c r="D2336" s="9" t="s">
        <v>150</v>
      </c>
      <c r="E2336" t="s">
        <v>32</v>
      </c>
      <c r="F2336" t="s">
        <v>61</v>
      </c>
      <c r="G2336">
        <v>589.9</v>
      </c>
      <c r="H2336" s="9">
        <v>4.3499999999999996</v>
      </c>
      <c r="I2336"/>
    </row>
    <row r="2337" spans="1:9" x14ac:dyDescent="0.3">
      <c r="A2337" t="s">
        <v>2</v>
      </c>
      <c r="B2337" t="s">
        <v>18</v>
      </c>
      <c r="C2337" t="s">
        <v>151</v>
      </c>
      <c r="D2337" s="9" t="s">
        <v>150</v>
      </c>
      <c r="E2337" t="s">
        <v>33</v>
      </c>
      <c r="F2337" t="s">
        <v>63</v>
      </c>
      <c r="G2337">
        <v>530.20000000000005</v>
      </c>
      <c r="H2337" s="9">
        <v>1.9</v>
      </c>
      <c r="I2337"/>
    </row>
    <row r="2338" spans="1:9" x14ac:dyDescent="0.3">
      <c r="A2338" t="s">
        <v>2</v>
      </c>
      <c r="B2338" t="s">
        <v>18</v>
      </c>
      <c r="C2338" t="s">
        <v>152</v>
      </c>
      <c r="D2338" s="9" t="s">
        <v>150</v>
      </c>
      <c r="E2338" t="s">
        <v>34</v>
      </c>
      <c r="F2338" t="s">
        <v>65</v>
      </c>
      <c r="G2338">
        <v>593</v>
      </c>
      <c r="H2338" s="9">
        <v>4.79</v>
      </c>
      <c r="I2338"/>
    </row>
    <row r="2339" spans="1:9" x14ac:dyDescent="0.3">
      <c r="A2339" t="s">
        <v>2</v>
      </c>
      <c r="B2339" t="s">
        <v>18</v>
      </c>
      <c r="C2339" t="s">
        <v>153</v>
      </c>
      <c r="D2339" s="9" t="s">
        <v>150</v>
      </c>
      <c r="E2339" t="s">
        <v>35</v>
      </c>
      <c r="F2339" t="s">
        <v>67</v>
      </c>
      <c r="G2339">
        <v>611.29999999999995</v>
      </c>
      <c r="H2339" s="9">
        <v>8.27</v>
      </c>
      <c r="I2339"/>
    </row>
    <row r="2340" spans="1:9" x14ac:dyDescent="0.3">
      <c r="A2340" t="s">
        <v>2</v>
      </c>
      <c r="B2340" t="s">
        <v>18</v>
      </c>
      <c r="C2340" t="s">
        <v>154</v>
      </c>
      <c r="D2340" s="9" t="s">
        <v>150</v>
      </c>
      <c r="E2340" t="s">
        <v>36</v>
      </c>
      <c r="F2340" t="s">
        <v>69</v>
      </c>
      <c r="G2340">
        <v>613.29999999999995</v>
      </c>
      <c r="H2340" s="9">
        <v>11.45</v>
      </c>
      <c r="I2340"/>
    </row>
    <row r="2341" spans="1:9" x14ac:dyDescent="0.3">
      <c r="A2341" t="s">
        <v>2</v>
      </c>
      <c r="B2341" t="s">
        <v>18</v>
      </c>
      <c r="C2341" t="s">
        <v>155</v>
      </c>
      <c r="D2341" s="9" t="s">
        <v>150</v>
      </c>
      <c r="E2341" t="s">
        <v>37</v>
      </c>
      <c r="F2341" t="s">
        <v>71</v>
      </c>
      <c r="G2341">
        <v>596.5</v>
      </c>
      <c r="H2341" s="9">
        <v>10.119999999999999</v>
      </c>
      <c r="I2341"/>
    </row>
    <row r="2342" spans="1:9" x14ac:dyDescent="0.3">
      <c r="A2342" t="s">
        <v>9</v>
      </c>
      <c r="B2342" t="s">
        <v>12</v>
      </c>
      <c r="C2342" t="s">
        <v>59</v>
      </c>
      <c r="D2342" s="9" t="s">
        <v>60</v>
      </c>
      <c r="E2342" t="s">
        <v>32</v>
      </c>
      <c r="F2342" t="s">
        <v>61</v>
      </c>
      <c r="G2342">
        <v>12.8</v>
      </c>
      <c r="I2342"/>
    </row>
    <row r="2343" spans="1:9" x14ac:dyDescent="0.3">
      <c r="A2343" t="s">
        <v>9</v>
      </c>
      <c r="B2343" t="s">
        <v>12</v>
      </c>
      <c r="C2343" t="s">
        <v>62</v>
      </c>
      <c r="D2343" s="9" t="s">
        <v>60</v>
      </c>
      <c r="E2343" t="s">
        <v>33</v>
      </c>
      <c r="F2343" t="s">
        <v>63</v>
      </c>
      <c r="G2343">
        <v>13.7</v>
      </c>
      <c r="I2343"/>
    </row>
    <row r="2344" spans="1:9" x14ac:dyDescent="0.3">
      <c r="A2344" t="s">
        <v>9</v>
      </c>
      <c r="B2344" t="s">
        <v>12</v>
      </c>
      <c r="C2344" t="s">
        <v>64</v>
      </c>
      <c r="D2344" s="9" t="s">
        <v>60</v>
      </c>
      <c r="E2344" t="s">
        <v>34</v>
      </c>
      <c r="F2344" t="s">
        <v>65</v>
      </c>
      <c r="G2344">
        <v>16.3</v>
      </c>
      <c r="I2344"/>
    </row>
    <row r="2345" spans="1:9" x14ac:dyDescent="0.3">
      <c r="A2345" t="s">
        <v>9</v>
      </c>
      <c r="B2345" t="s">
        <v>12</v>
      </c>
      <c r="C2345" t="s">
        <v>66</v>
      </c>
      <c r="D2345" s="9" t="s">
        <v>60</v>
      </c>
      <c r="E2345" t="s">
        <v>35</v>
      </c>
      <c r="F2345" t="s">
        <v>67</v>
      </c>
      <c r="G2345">
        <v>16.7</v>
      </c>
      <c r="I2345"/>
    </row>
    <row r="2346" spans="1:9" x14ac:dyDescent="0.3">
      <c r="A2346" t="s">
        <v>9</v>
      </c>
      <c r="B2346" t="s">
        <v>12</v>
      </c>
      <c r="C2346" t="s">
        <v>68</v>
      </c>
      <c r="D2346" s="9" t="s">
        <v>60</v>
      </c>
      <c r="E2346" t="s">
        <v>36</v>
      </c>
      <c r="F2346" t="s">
        <v>69</v>
      </c>
      <c r="G2346">
        <v>17.7</v>
      </c>
      <c r="I2346"/>
    </row>
    <row r="2347" spans="1:9" x14ac:dyDescent="0.3">
      <c r="A2347" t="s">
        <v>9</v>
      </c>
      <c r="B2347" t="s">
        <v>12</v>
      </c>
      <c r="C2347" t="s">
        <v>70</v>
      </c>
      <c r="D2347" s="9" t="s">
        <v>60</v>
      </c>
      <c r="E2347" t="s">
        <v>37</v>
      </c>
      <c r="F2347" t="s">
        <v>71</v>
      </c>
      <c r="G2347">
        <v>19.5</v>
      </c>
      <c r="I2347"/>
    </row>
    <row r="2348" spans="1:9" x14ac:dyDescent="0.3">
      <c r="A2348" t="s">
        <v>9</v>
      </c>
      <c r="B2348" t="s">
        <v>12</v>
      </c>
      <c r="C2348" t="s">
        <v>72</v>
      </c>
      <c r="D2348" s="9" t="s">
        <v>60</v>
      </c>
      <c r="E2348" t="s">
        <v>38</v>
      </c>
      <c r="F2348" t="s">
        <v>73</v>
      </c>
      <c r="G2348">
        <v>21.3</v>
      </c>
      <c r="I2348"/>
    </row>
    <row r="2349" spans="1:9" x14ac:dyDescent="0.3">
      <c r="A2349" t="s">
        <v>9</v>
      </c>
      <c r="B2349" t="s">
        <v>12</v>
      </c>
      <c r="C2349" t="s">
        <v>74</v>
      </c>
      <c r="D2349" s="9" t="s">
        <v>60</v>
      </c>
      <c r="E2349" t="s">
        <v>39</v>
      </c>
      <c r="F2349" t="s">
        <v>75</v>
      </c>
      <c r="G2349">
        <v>21.8</v>
      </c>
      <c r="I2349"/>
    </row>
    <row r="2350" spans="1:9" x14ac:dyDescent="0.3">
      <c r="A2350" t="s">
        <v>9</v>
      </c>
      <c r="B2350" t="s">
        <v>12</v>
      </c>
      <c r="C2350" t="s">
        <v>76</v>
      </c>
      <c r="D2350" s="9" t="s">
        <v>60</v>
      </c>
      <c r="E2350" t="s">
        <v>40</v>
      </c>
      <c r="F2350" t="s">
        <v>77</v>
      </c>
      <c r="G2350">
        <v>17.899999999999999</v>
      </c>
      <c r="I2350"/>
    </row>
    <row r="2351" spans="1:9" x14ac:dyDescent="0.3">
      <c r="A2351" t="s">
        <v>9</v>
      </c>
      <c r="B2351" t="s">
        <v>12</v>
      </c>
      <c r="C2351" t="s">
        <v>78</v>
      </c>
      <c r="D2351" s="9" t="s">
        <v>60</v>
      </c>
      <c r="E2351" t="s">
        <v>41</v>
      </c>
      <c r="F2351" t="s">
        <v>79</v>
      </c>
      <c r="G2351">
        <v>17.100000000000001</v>
      </c>
      <c r="I2351"/>
    </row>
    <row r="2352" spans="1:9" x14ac:dyDescent="0.3">
      <c r="A2352" t="s">
        <v>9</v>
      </c>
      <c r="B2352" t="s">
        <v>12</v>
      </c>
      <c r="C2352" t="s">
        <v>80</v>
      </c>
      <c r="D2352" s="9" t="s">
        <v>60</v>
      </c>
      <c r="E2352" t="s">
        <v>42</v>
      </c>
      <c r="F2352" t="s">
        <v>81</v>
      </c>
      <c r="G2352">
        <v>16.399999999999999</v>
      </c>
      <c r="I2352"/>
    </row>
    <row r="2353" spans="1:9" x14ac:dyDescent="0.3">
      <c r="A2353" t="s">
        <v>9</v>
      </c>
      <c r="B2353" t="s">
        <v>12</v>
      </c>
      <c r="C2353" t="s">
        <v>82</v>
      </c>
      <c r="D2353" s="9" t="s">
        <v>60</v>
      </c>
      <c r="E2353" t="s">
        <v>43</v>
      </c>
      <c r="F2353" t="s">
        <v>83</v>
      </c>
      <c r="G2353">
        <v>15.4</v>
      </c>
      <c r="I2353"/>
    </row>
    <row r="2354" spans="1:9" x14ac:dyDescent="0.3">
      <c r="A2354" t="s">
        <v>9</v>
      </c>
      <c r="B2354" t="s">
        <v>12</v>
      </c>
      <c r="C2354" t="s">
        <v>84</v>
      </c>
      <c r="D2354" s="9" t="s">
        <v>85</v>
      </c>
      <c r="E2354" t="s">
        <v>32</v>
      </c>
      <c r="F2354" t="s">
        <v>61</v>
      </c>
      <c r="G2354">
        <v>13.1</v>
      </c>
      <c r="H2354" s="9">
        <v>2.34</v>
      </c>
      <c r="I2354"/>
    </row>
    <row r="2355" spans="1:9" x14ac:dyDescent="0.3">
      <c r="A2355" t="s">
        <v>9</v>
      </c>
      <c r="B2355" t="s">
        <v>12</v>
      </c>
      <c r="C2355" t="s">
        <v>86</v>
      </c>
      <c r="D2355" s="9" t="s">
        <v>85</v>
      </c>
      <c r="E2355" t="s">
        <v>33</v>
      </c>
      <c r="F2355" t="s">
        <v>63</v>
      </c>
      <c r="G2355">
        <v>15</v>
      </c>
      <c r="H2355" s="9">
        <v>9.49</v>
      </c>
      <c r="I2355"/>
    </row>
    <row r="2356" spans="1:9" x14ac:dyDescent="0.3">
      <c r="A2356" t="s">
        <v>9</v>
      </c>
      <c r="B2356" t="s">
        <v>12</v>
      </c>
      <c r="C2356" t="s">
        <v>87</v>
      </c>
      <c r="D2356" s="9" t="s">
        <v>85</v>
      </c>
      <c r="E2356" t="s">
        <v>34</v>
      </c>
      <c r="F2356" t="s">
        <v>65</v>
      </c>
      <c r="G2356">
        <v>14</v>
      </c>
      <c r="H2356" s="9">
        <v>-14.11</v>
      </c>
      <c r="I2356"/>
    </row>
    <row r="2357" spans="1:9" x14ac:dyDescent="0.3">
      <c r="A2357" t="s">
        <v>9</v>
      </c>
      <c r="B2357" t="s">
        <v>12</v>
      </c>
      <c r="C2357" t="s">
        <v>88</v>
      </c>
      <c r="D2357" s="9" t="s">
        <v>85</v>
      </c>
      <c r="E2357" t="s">
        <v>35</v>
      </c>
      <c r="F2357" t="s">
        <v>67</v>
      </c>
      <c r="G2357">
        <v>8.9</v>
      </c>
      <c r="H2357" s="9">
        <v>-46.71</v>
      </c>
      <c r="I2357"/>
    </row>
    <row r="2358" spans="1:9" x14ac:dyDescent="0.3">
      <c r="A2358" t="s">
        <v>9</v>
      </c>
      <c r="B2358" t="s">
        <v>12</v>
      </c>
      <c r="C2358" t="s">
        <v>89</v>
      </c>
      <c r="D2358" s="9" t="s">
        <v>85</v>
      </c>
      <c r="E2358" t="s">
        <v>36</v>
      </c>
      <c r="F2358" t="s">
        <v>69</v>
      </c>
      <c r="G2358">
        <v>11.7</v>
      </c>
      <c r="H2358" s="9">
        <v>-33.9</v>
      </c>
      <c r="I2358"/>
    </row>
    <row r="2359" spans="1:9" x14ac:dyDescent="0.3">
      <c r="A2359" t="s">
        <v>9</v>
      </c>
      <c r="B2359" t="s">
        <v>12</v>
      </c>
      <c r="C2359" t="s">
        <v>90</v>
      </c>
      <c r="D2359" s="9" t="s">
        <v>85</v>
      </c>
      <c r="E2359" t="s">
        <v>37</v>
      </c>
      <c r="F2359" t="s">
        <v>71</v>
      </c>
      <c r="G2359">
        <v>13</v>
      </c>
      <c r="H2359" s="9">
        <v>-33.33</v>
      </c>
      <c r="I2359"/>
    </row>
    <row r="2360" spans="1:9" x14ac:dyDescent="0.3">
      <c r="A2360" t="s">
        <v>9</v>
      </c>
      <c r="B2360" t="s">
        <v>12</v>
      </c>
      <c r="C2360" t="s">
        <v>91</v>
      </c>
      <c r="D2360" s="9" t="s">
        <v>85</v>
      </c>
      <c r="E2360" t="s">
        <v>38</v>
      </c>
      <c r="F2360" t="s">
        <v>73</v>
      </c>
      <c r="G2360">
        <v>16.100000000000001</v>
      </c>
      <c r="H2360" s="9">
        <v>-24.41</v>
      </c>
      <c r="I2360"/>
    </row>
    <row r="2361" spans="1:9" x14ac:dyDescent="0.3">
      <c r="A2361" t="s">
        <v>9</v>
      </c>
      <c r="B2361" t="s">
        <v>12</v>
      </c>
      <c r="C2361" t="s">
        <v>92</v>
      </c>
      <c r="D2361" s="9" t="s">
        <v>85</v>
      </c>
      <c r="E2361" t="s">
        <v>39</v>
      </c>
      <c r="F2361" t="s">
        <v>75</v>
      </c>
      <c r="G2361">
        <v>17.600000000000001</v>
      </c>
      <c r="H2361" s="9">
        <v>-19.27</v>
      </c>
      <c r="I2361"/>
    </row>
    <row r="2362" spans="1:9" x14ac:dyDescent="0.3">
      <c r="A2362" t="s">
        <v>9</v>
      </c>
      <c r="B2362" t="s">
        <v>12</v>
      </c>
      <c r="C2362" t="s">
        <v>93</v>
      </c>
      <c r="D2362" s="9" t="s">
        <v>85</v>
      </c>
      <c r="E2362" t="s">
        <v>40</v>
      </c>
      <c r="F2362" t="s">
        <v>77</v>
      </c>
      <c r="G2362">
        <v>17.399999999999999</v>
      </c>
      <c r="H2362" s="9">
        <v>-2.79</v>
      </c>
      <c r="I2362"/>
    </row>
    <row r="2363" spans="1:9" x14ac:dyDescent="0.3">
      <c r="A2363" t="s">
        <v>9</v>
      </c>
      <c r="B2363" t="s">
        <v>12</v>
      </c>
      <c r="C2363" t="s">
        <v>94</v>
      </c>
      <c r="D2363" s="9" t="s">
        <v>85</v>
      </c>
      <c r="E2363" t="s">
        <v>41</v>
      </c>
      <c r="F2363" t="s">
        <v>79</v>
      </c>
      <c r="G2363">
        <v>19.100000000000001</v>
      </c>
      <c r="H2363" s="9">
        <v>11.7</v>
      </c>
      <c r="I2363"/>
    </row>
    <row r="2364" spans="1:9" x14ac:dyDescent="0.3">
      <c r="A2364" t="s">
        <v>9</v>
      </c>
      <c r="B2364" t="s">
        <v>12</v>
      </c>
      <c r="C2364" t="s">
        <v>95</v>
      </c>
      <c r="D2364" s="9" t="s">
        <v>85</v>
      </c>
      <c r="E2364" t="s">
        <v>42</v>
      </c>
      <c r="F2364" t="s">
        <v>81</v>
      </c>
      <c r="G2364">
        <v>18.7</v>
      </c>
      <c r="H2364" s="9">
        <v>14.02</v>
      </c>
      <c r="I2364"/>
    </row>
    <row r="2365" spans="1:9" x14ac:dyDescent="0.3">
      <c r="A2365" t="s">
        <v>9</v>
      </c>
      <c r="B2365" t="s">
        <v>12</v>
      </c>
      <c r="C2365" t="s">
        <v>96</v>
      </c>
      <c r="D2365" s="9" t="s">
        <v>85</v>
      </c>
      <c r="E2365" t="s">
        <v>43</v>
      </c>
      <c r="F2365" t="s">
        <v>83</v>
      </c>
      <c r="G2365">
        <v>18.3</v>
      </c>
      <c r="H2365" s="9">
        <v>18.829999999999998</v>
      </c>
      <c r="I2365"/>
    </row>
    <row r="2366" spans="1:9" x14ac:dyDescent="0.3">
      <c r="A2366" t="s">
        <v>9</v>
      </c>
      <c r="B2366" t="s">
        <v>12</v>
      </c>
      <c r="C2366" t="s">
        <v>97</v>
      </c>
      <c r="D2366" s="9" t="s">
        <v>98</v>
      </c>
      <c r="E2366" t="s">
        <v>32</v>
      </c>
      <c r="F2366" t="s">
        <v>61</v>
      </c>
      <c r="G2366">
        <v>15.8</v>
      </c>
      <c r="H2366" s="9">
        <v>20.61</v>
      </c>
      <c r="I2366"/>
    </row>
    <row r="2367" spans="1:9" x14ac:dyDescent="0.3">
      <c r="A2367" t="s">
        <v>9</v>
      </c>
      <c r="B2367" t="s">
        <v>12</v>
      </c>
      <c r="C2367" t="s">
        <v>99</v>
      </c>
      <c r="D2367" s="9" t="s">
        <v>98</v>
      </c>
      <c r="E2367" t="s">
        <v>33</v>
      </c>
      <c r="F2367" t="s">
        <v>63</v>
      </c>
      <c r="G2367">
        <v>14.4</v>
      </c>
      <c r="H2367" s="9">
        <v>-4</v>
      </c>
      <c r="I2367"/>
    </row>
    <row r="2368" spans="1:9" x14ac:dyDescent="0.3">
      <c r="A2368" t="s">
        <v>9</v>
      </c>
      <c r="B2368" t="s">
        <v>12</v>
      </c>
      <c r="C2368" t="s">
        <v>100</v>
      </c>
      <c r="D2368" s="9" t="s">
        <v>98</v>
      </c>
      <c r="E2368" t="s">
        <v>34</v>
      </c>
      <c r="F2368" t="s">
        <v>65</v>
      </c>
      <c r="G2368">
        <v>17.399999999999999</v>
      </c>
      <c r="H2368" s="9">
        <v>24.29</v>
      </c>
      <c r="I2368"/>
    </row>
    <row r="2369" spans="1:9" x14ac:dyDescent="0.3">
      <c r="A2369" t="s">
        <v>9</v>
      </c>
      <c r="B2369" t="s">
        <v>12</v>
      </c>
      <c r="C2369" t="s">
        <v>101</v>
      </c>
      <c r="D2369" s="9" t="s">
        <v>98</v>
      </c>
      <c r="E2369" t="s">
        <v>35</v>
      </c>
      <c r="F2369" t="s">
        <v>67</v>
      </c>
      <c r="G2369">
        <v>16.600000000000001</v>
      </c>
      <c r="H2369" s="9">
        <v>86.52</v>
      </c>
      <c r="I2369"/>
    </row>
    <row r="2370" spans="1:9" x14ac:dyDescent="0.3">
      <c r="A2370" t="s">
        <v>9</v>
      </c>
      <c r="B2370" t="s">
        <v>12</v>
      </c>
      <c r="C2370" t="s">
        <v>102</v>
      </c>
      <c r="D2370" s="9" t="s">
        <v>98</v>
      </c>
      <c r="E2370" t="s">
        <v>36</v>
      </c>
      <c r="F2370" t="s">
        <v>69</v>
      </c>
      <c r="G2370">
        <v>17.2</v>
      </c>
      <c r="H2370" s="9">
        <v>47.01</v>
      </c>
      <c r="I2370"/>
    </row>
    <row r="2371" spans="1:9" x14ac:dyDescent="0.3">
      <c r="A2371" t="s">
        <v>9</v>
      </c>
      <c r="B2371" t="s">
        <v>12</v>
      </c>
      <c r="C2371" t="s">
        <v>103</v>
      </c>
      <c r="D2371" s="9" t="s">
        <v>98</v>
      </c>
      <c r="E2371" t="s">
        <v>37</v>
      </c>
      <c r="F2371" t="s">
        <v>71</v>
      </c>
      <c r="G2371">
        <v>18.7</v>
      </c>
      <c r="H2371" s="9">
        <v>43.85</v>
      </c>
      <c r="I2371"/>
    </row>
    <row r="2372" spans="1:9" x14ac:dyDescent="0.3">
      <c r="A2372" t="s">
        <v>9</v>
      </c>
      <c r="B2372" t="s">
        <v>12</v>
      </c>
      <c r="C2372" t="s">
        <v>104</v>
      </c>
      <c r="D2372" s="9" t="s">
        <v>98</v>
      </c>
      <c r="E2372" t="s">
        <v>38</v>
      </c>
      <c r="F2372" t="s">
        <v>73</v>
      </c>
      <c r="G2372">
        <v>22.3</v>
      </c>
      <c r="H2372" s="9">
        <v>38.51</v>
      </c>
      <c r="I2372"/>
    </row>
    <row r="2373" spans="1:9" x14ac:dyDescent="0.3">
      <c r="A2373" t="s">
        <v>9</v>
      </c>
      <c r="B2373" t="s">
        <v>12</v>
      </c>
      <c r="C2373" t="s">
        <v>105</v>
      </c>
      <c r="D2373" s="9" t="s">
        <v>98</v>
      </c>
      <c r="E2373" t="s">
        <v>39</v>
      </c>
      <c r="F2373" t="s">
        <v>75</v>
      </c>
      <c r="G2373">
        <v>20.100000000000001</v>
      </c>
      <c r="H2373" s="9">
        <v>14.2</v>
      </c>
      <c r="I2373"/>
    </row>
    <row r="2374" spans="1:9" x14ac:dyDescent="0.3">
      <c r="A2374" t="s">
        <v>9</v>
      </c>
      <c r="B2374" t="s">
        <v>12</v>
      </c>
      <c r="C2374" t="s">
        <v>106</v>
      </c>
      <c r="D2374" s="9" t="s">
        <v>98</v>
      </c>
      <c r="E2374" t="s">
        <v>40</v>
      </c>
      <c r="F2374" t="s">
        <v>77</v>
      </c>
      <c r="G2374">
        <v>20.7</v>
      </c>
      <c r="H2374" s="9">
        <v>18.97</v>
      </c>
      <c r="I2374"/>
    </row>
    <row r="2375" spans="1:9" x14ac:dyDescent="0.3">
      <c r="A2375" t="s">
        <v>9</v>
      </c>
      <c r="B2375" t="s">
        <v>12</v>
      </c>
      <c r="C2375" t="s">
        <v>107</v>
      </c>
      <c r="D2375" s="9" t="s">
        <v>98</v>
      </c>
      <c r="E2375" t="s">
        <v>41</v>
      </c>
      <c r="F2375" t="s">
        <v>79</v>
      </c>
      <c r="G2375">
        <v>19.5</v>
      </c>
      <c r="H2375" s="9">
        <v>2.09</v>
      </c>
      <c r="I2375"/>
    </row>
    <row r="2376" spans="1:9" x14ac:dyDescent="0.3">
      <c r="A2376" t="s">
        <v>9</v>
      </c>
      <c r="B2376" t="s">
        <v>12</v>
      </c>
      <c r="C2376" t="s">
        <v>108</v>
      </c>
      <c r="D2376" s="9" t="s">
        <v>98</v>
      </c>
      <c r="E2376" t="s">
        <v>42</v>
      </c>
      <c r="F2376" t="s">
        <v>81</v>
      </c>
      <c r="G2376">
        <v>19.600000000000001</v>
      </c>
      <c r="H2376" s="9">
        <v>4.8099999999999996</v>
      </c>
      <c r="I2376"/>
    </row>
    <row r="2377" spans="1:9" x14ac:dyDescent="0.3">
      <c r="A2377" t="s">
        <v>9</v>
      </c>
      <c r="B2377" t="s">
        <v>12</v>
      </c>
      <c r="C2377" t="s">
        <v>109</v>
      </c>
      <c r="D2377" s="9" t="s">
        <v>98</v>
      </c>
      <c r="E2377" t="s">
        <v>43</v>
      </c>
      <c r="F2377" t="s">
        <v>83</v>
      </c>
      <c r="G2377">
        <v>18.5</v>
      </c>
      <c r="H2377" s="9">
        <v>1.0900000000000001</v>
      </c>
      <c r="I2377"/>
    </row>
    <row r="2378" spans="1:9" x14ac:dyDescent="0.3">
      <c r="A2378" t="s">
        <v>9</v>
      </c>
      <c r="B2378" t="s">
        <v>12</v>
      </c>
      <c r="C2378" t="s">
        <v>110</v>
      </c>
      <c r="D2378" s="9" t="s">
        <v>111</v>
      </c>
      <c r="E2378" t="s">
        <v>32</v>
      </c>
      <c r="F2378" t="s">
        <v>61</v>
      </c>
      <c r="G2378">
        <v>17.899999999999999</v>
      </c>
      <c r="H2378" s="9">
        <v>13.29</v>
      </c>
      <c r="I2378"/>
    </row>
    <row r="2379" spans="1:9" x14ac:dyDescent="0.3">
      <c r="A2379" t="s">
        <v>9</v>
      </c>
      <c r="B2379" t="s">
        <v>12</v>
      </c>
      <c r="C2379" t="s">
        <v>112</v>
      </c>
      <c r="D2379" s="9" t="s">
        <v>111</v>
      </c>
      <c r="E2379" t="s">
        <v>33</v>
      </c>
      <c r="F2379" t="s">
        <v>63</v>
      </c>
      <c r="G2379">
        <v>16.100000000000001</v>
      </c>
      <c r="H2379" s="9">
        <v>11.81</v>
      </c>
      <c r="I2379"/>
    </row>
    <row r="2380" spans="1:9" x14ac:dyDescent="0.3">
      <c r="A2380" t="s">
        <v>9</v>
      </c>
      <c r="B2380" t="s">
        <v>12</v>
      </c>
      <c r="C2380" t="s">
        <v>113</v>
      </c>
      <c r="D2380" s="9" t="s">
        <v>111</v>
      </c>
      <c r="E2380" t="s">
        <v>34</v>
      </c>
      <c r="F2380" t="s">
        <v>65</v>
      </c>
      <c r="G2380">
        <v>17.8</v>
      </c>
      <c r="H2380" s="9">
        <v>2.2999999999999998</v>
      </c>
      <c r="I2380"/>
    </row>
    <row r="2381" spans="1:9" x14ac:dyDescent="0.3">
      <c r="A2381" t="s">
        <v>9</v>
      </c>
      <c r="B2381" t="s">
        <v>12</v>
      </c>
      <c r="C2381" t="s">
        <v>114</v>
      </c>
      <c r="D2381" s="9" t="s">
        <v>111</v>
      </c>
      <c r="E2381" t="s">
        <v>35</v>
      </c>
      <c r="F2381" t="s">
        <v>67</v>
      </c>
      <c r="G2381">
        <v>19.7</v>
      </c>
      <c r="H2381" s="9">
        <v>18.670000000000002</v>
      </c>
      <c r="I2381"/>
    </row>
    <row r="2382" spans="1:9" x14ac:dyDescent="0.3">
      <c r="A2382" t="s">
        <v>9</v>
      </c>
      <c r="B2382" t="s">
        <v>12</v>
      </c>
      <c r="C2382" t="s">
        <v>115</v>
      </c>
      <c r="D2382" s="9" t="s">
        <v>111</v>
      </c>
      <c r="E2382" t="s">
        <v>36</v>
      </c>
      <c r="F2382" t="s">
        <v>69</v>
      </c>
      <c r="G2382">
        <v>20.399999999999999</v>
      </c>
      <c r="H2382" s="9">
        <v>18.600000000000001</v>
      </c>
      <c r="I2382"/>
    </row>
    <row r="2383" spans="1:9" x14ac:dyDescent="0.3">
      <c r="A2383" t="s">
        <v>9</v>
      </c>
      <c r="B2383" t="s">
        <v>12</v>
      </c>
      <c r="C2383" t="s">
        <v>116</v>
      </c>
      <c r="D2383" s="9" t="s">
        <v>111</v>
      </c>
      <c r="E2383" t="s">
        <v>37</v>
      </c>
      <c r="F2383" t="s">
        <v>71</v>
      </c>
      <c r="G2383">
        <v>24.4</v>
      </c>
      <c r="H2383" s="9">
        <v>30.48</v>
      </c>
      <c r="I2383"/>
    </row>
    <row r="2384" spans="1:9" x14ac:dyDescent="0.3">
      <c r="A2384" t="s">
        <v>9</v>
      </c>
      <c r="B2384" t="s">
        <v>12</v>
      </c>
      <c r="C2384" t="s">
        <v>117</v>
      </c>
      <c r="D2384" s="9" t="s">
        <v>111</v>
      </c>
      <c r="E2384" t="s">
        <v>38</v>
      </c>
      <c r="F2384" t="s">
        <v>73</v>
      </c>
      <c r="G2384">
        <v>29.3</v>
      </c>
      <c r="H2384" s="9">
        <v>31.39</v>
      </c>
      <c r="I2384"/>
    </row>
    <row r="2385" spans="1:9" x14ac:dyDescent="0.3">
      <c r="A2385" t="s">
        <v>9</v>
      </c>
      <c r="B2385" t="s">
        <v>12</v>
      </c>
      <c r="C2385" t="s">
        <v>118</v>
      </c>
      <c r="D2385" s="9" t="s">
        <v>111</v>
      </c>
      <c r="E2385" t="s">
        <v>39</v>
      </c>
      <c r="F2385" t="s">
        <v>75</v>
      </c>
      <c r="G2385">
        <v>31</v>
      </c>
      <c r="H2385" s="9">
        <v>54.23</v>
      </c>
      <c r="I2385"/>
    </row>
    <row r="2386" spans="1:9" x14ac:dyDescent="0.3">
      <c r="A2386" t="s">
        <v>9</v>
      </c>
      <c r="B2386" t="s">
        <v>12</v>
      </c>
      <c r="C2386" t="s">
        <v>119</v>
      </c>
      <c r="D2386" s="9" t="s">
        <v>111</v>
      </c>
      <c r="E2386" t="s">
        <v>40</v>
      </c>
      <c r="F2386" t="s">
        <v>77</v>
      </c>
      <c r="G2386">
        <v>28.9</v>
      </c>
      <c r="H2386" s="9">
        <v>39.61</v>
      </c>
      <c r="I2386"/>
    </row>
    <row r="2387" spans="1:9" x14ac:dyDescent="0.3">
      <c r="A2387" t="s">
        <v>9</v>
      </c>
      <c r="B2387" t="s">
        <v>12</v>
      </c>
      <c r="C2387" t="s">
        <v>120</v>
      </c>
      <c r="D2387" s="9" t="s">
        <v>111</v>
      </c>
      <c r="E2387" t="s">
        <v>41</v>
      </c>
      <c r="F2387" t="s">
        <v>79</v>
      </c>
      <c r="G2387">
        <v>27.7</v>
      </c>
      <c r="H2387" s="9">
        <v>42.05</v>
      </c>
      <c r="I2387"/>
    </row>
    <row r="2388" spans="1:9" x14ac:dyDescent="0.3">
      <c r="A2388" t="s">
        <v>9</v>
      </c>
      <c r="B2388" t="s">
        <v>12</v>
      </c>
      <c r="C2388" t="s">
        <v>121</v>
      </c>
      <c r="D2388" s="9" t="s">
        <v>111</v>
      </c>
      <c r="E2388" t="s">
        <v>42</v>
      </c>
      <c r="F2388" t="s">
        <v>81</v>
      </c>
      <c r="G2388">
        <v>25</v>
      </c>
      <c r="H2388" s="9">
        <v>27.55</v>
      </c>
      <c r="I2388"/>
    </row>
    <row r="2389" spans="1:9" x14ac:dyDescent="0.3">
      <c r="A2389" t="s">
        <v>9</v>
      </c>
      <c r="B2389" t="s">
        <v>12</v>
      </c>
      <c r="C2389" t="s">
        <v>122</v>
      </c>
      <c r="D2389" s="9" t="s">
        <v>111</v>
      </c>
      <c r="E2389" t="s">
        <v>43</v>
      </c>
      <c r="F2389" t="s">
        <v>83</v>
      </c>
      <c r="G2389">
        <v>25.2</v>
      </c>
      <c r="H2389" s="9">
        <v>36.22</v>
      </c>
      <c r="I2389"/>
    </row>
    <row r="2390" spans="1:9" x14ac:dyDescent="0.3">
      <c r="A2390" t="s">
        <v>9</v>
      </c>
      <c r="B2390" t="s">
        <v>12</v>
      </c>
      <c r="C2390" t="s">
        <v>123</v>
      </c>
      <c r="D2390" s="9" t="s">
        <v>124</v>
      </c>
      <c r="E2390" t="s">
        <v>32</v>
      </c>
      <c r="F2390" t="s">
        <v>61</v>
      </c>
      <c r="G2390">
        <v>20.8</v>
      </c>
      <c r="H2390" s="9">
        <v>16.2</v>
      </c>
      <c r="I2390"/>
    </row>
    <row r="2391" spans="1:9" x14ac:dyDescent="0.3">
      <c r="A2391" t="s">
        <v>9</v>
      </c>
      <c r="B2391" t="s">
        <v>12</v>
      </c>
      <c r="C2391" t="s">
        <v>125</v>
      </c>
      <c r="D2391" s="9" t="s">
        <v>124</v>
      </c>
      <c r="E2391" t="s">
        <v>33</v>
      </c>
      <c r="F2391" t="s">
        <v>63</v>
      </c>
      <c r="G2391">
        <v>21.3</v>
      </c>
      <c r="H2391" s="9">
        <v>32.299999999999997</v>
      </c>
      <c r="I2391"/>
    </row>
    <row r="2392" spans="1:9" x14ac:dyDescent="0.3">
      <c r="A2392" t="s">
        <v>9</v>
      </c>
      <c r="B2392" t="s">
        <v>12</v>
      </c>
      <c r="C2392" t="s">
        <v>126</v>
      </c>
      <c r="D2392" s="9" t="s">
        <v>124</v>
      </c>
      <c r="E2392" t="s">
        <v>34</v>
      </c>
      <c r="F2392" t="s">
        <v>65</v>
      </c>
      <c r="G2392">
        <v>25.4</v>
      </c>
      <c r="H2392" s="9">
        <v>42.7</v>
      </c>
      <c r="I2392"/>
    </row>
    <row r="2393" spans="1:9" x14ac:dyDescent="0.3">
      <c r="A2393" t="s">
        <v>9</v>
      </c>
      <c r="B2393" t="s">
        <v>12</v>
      </c>
      <c r="C2393" t="s">
        <v>127</v>
      </c>
      <c r="D2393" s="9" t="s">
        <v>124</v>
      </c>
      <c r="E2393" t="s">
        <v>35</v>
      </c>
      <c r="F2393" t="s">
        <v>67</v>
      </c>
      <c r="G2393">
        <v>25.6</v>
      </c>
      <c r="H2393" s="9">
        <v>29.95</v>
      </c>
      <c r="I2393"/>
    </row>
    <row r="2394" spans="1:9" x14ac:dyDescent="0.3">
      <c r="A2394" t="s">
        <v>9</v>
      </c>
      <c r="B2394" t="s">
        <v>12</v>
      </c>
      <c r="C2394" t="s">
        <v>128</v>
      </c>
      <c r="D2394" s="9" t="s">
        <v>124</v>
      </c>
      <c r="E2394" t="s">
        <v>36</v>
      </c>
      <c r="F2394" t="s">
        <v>69</v>
      </c>
      <c r="G2394">
        <v>27.3</v>
      </c>
      <c r="H2394" s="9">
        <v>33.82</v>
      </c>
      <c r="I2394"/>
    </row>
    <row r="2395" spans="1:9" x14ac:dyDescent="0.3">
      <c r="A2395" t="s">
        <v>9</v>
      </c>
      <c r="B2395" t="s">
        <v>12</v>
      </c>
      <c r="C2395" t="s">
        <v>129</v>
      </c>
      <c r="D2395" s="9" t="s">
        <v>124</v>
      </c>
      <c r="E2395" t="s">
        <v>37</v>
      </c>
      <c r="F2395" t="s">
        <v>71</v>
      </c>
      <c r="G2395">
        <v>31.8</v>
      </c>
      <c r="H2395" s="9">
        <v>30.33</v>
      </c>
      <c r="I2395"/>
    </row>
    <row r="2396" spans="1:9" x14ac:dyDescent="0.3">
      <c r="A2396" t="s">
        <v>9</v>
      </c>
      <c r="B2396" t="s">
        <v>12</v>
      </c>
      <c r="C2396" t="s">
        <v>130</v>
      </c>
      <c r="D2396" s="9" t="s">
        <v>124</v>
      </c>
      <c r="E2396" t="s">
        <v>38</v>
      </c>
      <c r="F2396" t="s">
        <v>73</v>
      </c>
      <c r="G2396">
        <v>32.700000000000003</v>
      </c>
      <c r="H2396" s="9">
        <v>11.6</v>
      </c>
      <c r="I2396"/>
    </row>
    <row r="2397" spans="1:9" x14ac:dyDescent="0.3">
      <c r="A2397" t="s">
        <v>9</v>
      </c>
      <c r="B2397" t="s">
        <v>12</v>
      </c>
      <c r="C2397" t="s">
        <v>131</v>
      </c>
      <c r="D2397" s="9" t="s">
        <v>124</v>
      </c>
      <c r="E2397" t="s">
        <v>39</v>
      </c>
      <c r="F2397" t="s">
        <v>75</v>
      </c>
      <c r="G2397">
        <v>34.1</v>
      </c>
      <c r="H2397" s="9">
        <v>10</v>
      </c>
      <c r="I2397"/>
    </row>
    <row r="2398" spans="1:9" x14ac:dyDescent="0.3">
      <c r="A2398" t="s">
        <v>9</v>
      </c>
      <c r="B2398" t="s">
        <v>12</v>
      </c>
      <c r="C2398" t="s">
        <v>132</v>
      </c>
      <c r="D2398" s="9" t="s">
        <v>124</v>
      </c>
      <c r="E2398" t="s">
        <v>40</v>
      </c>
      <c r="F2398" t="s">
        <v>77</v>
      </c>
      <c r="G2398">
        <v>33.1</v>
      </c>
      <c r="H2398" s="9">
        <v>14.53</v>
      </c>
      <c r="I2398"/>
    </row>
    <row r="2399" spans="1:9" x14ac:dyDescent="0.3">
      <c r="A2399" t="s">
        <v>9</v>
      </c>
      <c r="B2399" t="s">
        <v>12</v>
      </c>
      <c r="C2399" t="s">
        <v>133</v>
      </c>
      <c r="D2399" s="9" t="s">
        <v>124</v>
      </c>
      <c r="E2399" t="s">
        <v>41</v>
      </c>
      <c r="F2399" t="s">
        <v>79</v>
      </c>
      <c r="G2399">
        <v>28.8</v>
      </c>
      <c r="H2399" s="9">
        <v>3.97</v>
      </c>
      <c r="I2399"/>
    </row>
    <row r="2400" spans="1:9" x14ac:dyDescent="0.3">
      <c r="A2400" t="s">
        <v>9</v>
      </c>
      <c r="B2400" t="s">
        <v>12</v>
      </c>
      <c r="C2400" t="s">
        <v>134</v>
      </c>
      <c r="D2400" s="9" t="s">
        <v>124</v>
      </c>
      <c r="E2400" t="s">
        <v>42</v>
      </c>
      <c r="F2400" t="s">
        <v>81</v>
      </c>
      <c r="G2400">
        <v>27.9</v>
      </c>
      <c r="H2400" s="9">
        <v>11.6</v>
      </c>
      <c r="I2400"/>
    </row>
    <row r="2401" spans="1:9" x14ac:dyDescent="0.3">
      <c r="A2401" t="s">
        <v>9</v>
      </c>
      <c r="B2401" t="s">
        <v>12</v>
      </c>
      <c r="C2401" t="s">
        <v>135</v>
      </c>
      <c r="D2401" s="9" t="s">
        <v>124</v>
      </c>
      <c r="E2401" t="s">
        <v>43</v>
      </c>
      <c r="F2401" t="s">
        <v>83</v>
      </c>
      <c r="G2401">
        <v>24.1</v>
      </c>
      <c r="H2401" s="9">
        <v>-4.37</v>
      </c>
      <c r="I2401"/>
    </row>
    <row r="2402" spans="1:9" x14ac:dyDescent="0.3">
      <c r="A2402" t="s">
        <v>9</v>
      </c>
      <c r="B2402" t="s">
        <v>12</v>
      </c>
      <c r="C2402" t="s">
        <v>136</v>
      </c>
      <c r="D2402" s="9" t="s">
        <v>137</v>
      </c>
      <c r="E2402" t="s">
        <v>32</v>
      </c>
      <c r="F2402" t="s">
        <v>61</v>
      </c>
      <c r="G2402">
        <v>21.9</v>
      </c>
      <c r="H2402" s="9">
        <v>5.29</v>
      </c>
      <c r="I2402"/>
    </row>
    <row r="2403" spans="1:9" x14ac:dyDescent="0.3">
      <c r="A2403" t="s">
        <v>9</v>
      </c>
      <c r="B2403" t="s">
        <v>12</v>
      </c>
      <c r="C2403" t="s">
        <v>138</v>
      </c>
      <c r="D2403" s="9" t="s">
        <v>137</v>
      </c>
      <c r="E2403" t="s">
        <v>33</v>
      </c>
      <c r="F2403" t="s">
        <v>63</v>
      </c>
      <c r="G2403">
        <v>21.6</v>
      </c>
      <c r="H2403" s="9">
        <v>1.41</v>
      </c>
      <c r="I2403"/>
    </row>
    <row r="2404" spans="1:9" x14ac:dyDescent="0.3">
      <c r="A2404" t="s">
        <v>9</v>
      </c>
      <c r="B2404" t="s">
        <v>12</v>
      </c>
      <c r="C2404" t="s">
        <v>139</v>
      </c>
      <c r="D2404" s="9" t="s">
        <v>137</v>
      </c>
      <c r="E2404" t="s">
        <v>34</v>
      </c>
      <c r="F2404" t="s">
        <v>65</v>
      </c>
      <c r="G2404">
        <v>24.6</v>
      </c>
      <c r="H2404" s="9">
        <v>-3.15</v>
      </c>
      <c r="I2404"/>
    </row>
    <row r="2405" spans="1:9" x14ac:dyDescent="0.3">
      <c r="A2405" t="s">
        <v>9</v>
      </c>
      <c r="B2405" t="s">
        <v>12</v>
      </c>
      <c r="C2405" t="s">
        <v>140</v>
      </c>
      <c r="D2405" s="9" t="s">
        <v>137</v>
      </c>
      <c r="E2405" t="s">
        <v>35</v>
      </c>
      <c r="F2405" t="s">
        <v>67</v>
      </c>
      <c r="G2405">
        <v>25.3</v>
      </c>
      <c r="H2405" s="9">
        <v>-1.17</v>
      </c>
      <c r="I2405"/>
    </row>
    <row r="2406" spans="1:9" x14ac:dyDescent="0.3">
      <c r="A2406" t="s">
        <v>9</v>
      </c>
      <c r="B2406" t="s">
        <v>12</v>
      </c>
      <c r="C2406" t="s">
        <v>141</v>
      </c>
      <c r="D2406" s="9" t="s">
        <v>137</v>
      </c>
      <c r="E2406" t="s">
        <v>36</v>
      </c>
      <c r="F2406" t="s">
        <v>69</v>
      </c>
      <c r="G2406">
        <v>27.2</v>
      </c>
      <c r="H2406" s="9">
        <v>-0.37</v>
      </c>
      <c r="I2406"/>
    </row>
    <row r="2407" spans="1:9" x14ac:dyDescent="0.3">
      <c r="A2407" t="s">
        <v>9</v>
      </c>
      <c r="B2407" t="s">
        <v>12</v>
      </c>
      <c r="C2407" t="s">
        <v>142</v>
      </c>
      <c r="D2407" s="9" t="s">
        <v>137</v>
      </c>
      <c r="E2407" t="s">
        <v>37</v>
      </c>
      <c r="F2407" t="s">
        <v>71</v>
      </c>
      <c r="G2407">
        <v>30.7</v>
      </c>
      <c r="H2407" s="9">
        <v>-3.46</v>
      </c>
      <c r="I2407"/>
    </row>
    <row r="2408" spans="1:9" x14ac:dyDescent="0.3">
      <c r="A2408" t="s">
        <v>9</v>
      </c>
      <c r="B2408" t="s">
        <v>12</v>
      </c>
      <c r="C2408" t="s">
        <v>143</v>
      </c>
      <c r="D2408" s="9" t="s">
        <v>137</v>
      </c>
      <c r="E2408" t="s">
        <v>38</v>
      </c>
      <c r="F2408" t="s">
        <v>73</v>
      </c>
      <c r="G2408">
        <v>32.6</v>
      </c>
      <c r="H2408" s="9">
        <v>-0.31</v>
      </c>
      <c r="I2408"/>
    </row>
    <row r="2409" spans="1:9" x14ac:dyDescent="0.3">
      <c r="A2409" t="s">
        <v>9</v>
      </c>
      <c r="B2409" t="s">
        <v>12</v>
      </c>
      <c r="C2409" t="s">
        <v>144</v>
      </c>
      <c r="D2409" s="9" t="s">
        <v>137</v>
      </c>
      <c r="E2409" t="s">
        <v>39</v>
      </c>
      <c r="F2409" t="s">
        <v>75</v>
      </c>
      <c r="G2409">
        <v>34.799999999999997</v>
      </c>
      <c r="H2409" s="9">
        <v>2.0499999999999998</v>
      </c>
      <c r="I2409"/>
    </row>
    <row r="2410" spans="1:9" x14ac:dyDescent="0.3">
      <c r="A2410" t="s">
        <v>9</v>
      </c>
      <c r="B2410" t="s">
        <v>12</v>
      </c>
      <c r="C2410" t="s">
        <v>145</v>
      </c>
      <c r="D2410" s="9" t="s">
        <v>137</v>
      </c>
      <c r="E2410" t="s">
        <v>40</v>
      </c>
      <c r="F2410" t="s">
        <v>77</v>
      </c>
      <c r="G2410">
        <v>30.2</v>
      </c>
      <c r="H2410" s="9">
        <v>-8.76</v>
      </c>
      <c r="I2410"/>
    </row>
    <row r="2411" spans="1:9" x14ac:dyDescent="0.3">
      <c r="A2411" t="s">
        <v>9</v>
      </c>
      <c r="B2411" t="s">
        <v>12</v>
      </c>
      <c r="C2411" t="s">
        <v>146</v>
      </c>
      <c r="D2411" s="9" t="s">
        <v>137</v>
      </c>
      <c r="E2411" t="s">
        <v>41</v>
      </c>
      <c r="F2411" t="s">
        <v>79</v>
      </c>
      <c r="G2411">
        <v>29.7</v>
      </c>
      <c r="H2411" s="9">
        <v>3.13</v>
      </c>
      <c r="I2411"/>
    </row>
    <row r="2412" spans="1:9" x14ac:dyDescent="0.3">
      <c r="A2412" t="s">
        <v>9</v>
      </c>
      <c r="B2412" t="s">
        <v>12</v>
      </c>
      <c r="C2412" t="s">
        <v>147</v>
      </c>
      <c r="D2412" s="9" t="s">
        <v>137</v>
      </c>
      <c r="E2412" t="s">
        <v>42</v>
      </c>
      <c r="F2412" t="s">
        <v>81</v>
      </c>
      <c r="G2412">
        <v>28.6</v>
      </c>
      <c r="H2412" s="9">
        <v>2.5099999999999998</v>
      </c>
      <c r="I2412"/>
    </row>
    <row r="2413" spans="1:9" x14ac:dyDescent="0.3">
      <c r="A2413" t="s">
        <v>9</v>
      </c>
      <c r="B2413" t="s">
        <v>12</v>
      </c>
      <c r="C2413" t="s">
        <v>148</v>
      </c>
      <c r="D2413" s="9" t="s">
        <v>137</v>
      </c>
      <c r="E2413" t="s">
        <v>43</v>
      </c>
      <c r="F2413" t="s">
        <v>83</v>
      </c>
      <c r="G2413">
        <v>23.9</v>
      </c>
      <c r="H2413" s="9">
        <v>-0.83</v>
      </c>
      <c r="I2413"/>
    </row>
    <row r="2414" spans="1:9" x14ac:dyDescent="0.3">
      <c r="A2414" t="s">
        <v>9</v>
      </c>
      <c r="B2414" t="s">
        <v>12</v>
      </c>
      <c r="C2414" t="s">
        <v>149</v>
      </c>
      <c r="D2414" s="9" t="s">
        <v>150</v>
      </c>
      <c r="E2414" t="s">
        <v>32</v>
      </c>
      <c r="F2414" t="s">
        <v>61</v>
      </c>
      <c r="G2414">
        <v>20.9</v>
      </c>
      <c r="H2414" s="9">
        <v>-4.57</v>
      </c>
      <c r="I2414"/>
    </row>
    <row r="2415" spans="1:9" x14ac:dyDescent="0.3">
      <c r="A2415" t="s">
        <v>9</v>
      </c>
      <c r="B2415" t="s">
        <v>12</v>
      </c>
      <c r="C2415" t="s">
        <v>151</v>
      </c>
      <c r="D2415" s="9" t="s">
        <v>150</v>
      </c>
      <c r="E2415" t="s">
        <v>33</v>
      </c>
      <c r="F2415" t="s">
        <v>63</v>
      </c>
      <c r="G2415">
        <v>20.8</v>
      </c>
      <c r="H2415" s="9">
        <v>-3.7</v>
      </c>
      <c r="I2415"/>
    </row>
    <row r="2416" spans="1:9" x14ac:dyDescent="0.3">
      <c r="A2416" t="s">
        <v>9</v>
      </c>
      <c r="B2416" t="s">
        <v>12</v>
      </c>
      <c r="C2416" t="s">
        <v>152</v>
      </c>
      <c r="D2416" s="9" t="s">
        <v>150</v>
      </c>
      <c r="E2416" t="s">
        <v>34</v>
      </c>
      <c r="F2416" t="s">
        <v>65</v>
      </c>
      <c r="G2416">
        <v>23.9</v>
      </c>
      <c r="H2416" s="9">
        <v>-2.85</v>
      </c>
      <c r="I2416"/>
    </row>
    <row r="2417" spans="1:9" x14ac:dyDescent="0.3">
      <c r="A2417" t="s">
        <v>9</v>
      </c>
      <c r="B2417" t="s">
        <v>12</v>
      </c>
      <c r="C2417" t="s">
        <v>153</v>
      </c>
      <c r="D2417" s="9" t="s">
        <v>150</v>
      </c>
      <c r="E2417" t="s">
        <v>35</v>
      </c>
      <c r="F2417" t="s">
        <v>67</v>
      </c>
      <c r="G2417">
        <v>24.9</v>
      </c>
      <c r="H2417" s="9">
        <v>-1.58</v>
      </c>
      <c r="I2417"/>
    </row>
    <row r="2418" spans="1:9" x14ac:dyDescent="0.3">
      <c r="A2418" t="s">
        <v>9</v>
      </c>
      <c r="B2418" t="s">
        <v>12</v>
      </c>
      <c r="C2418" t="s">
        <v>154</v>
      </c>
      <c r="D2418" s="9" t="s">
        <v>150</v>
      </c>
      <c r="E2418" t="s">
        <v>36</v>
      </c>
      <c r="F2418" t="s">
        <v>69</v>
      </c>
      <c r="G2418">
        <v>26.9</v>
      </c>
      <c r="H2418" s="9">
        <v>-1.1000000000000001</v>
      </c>
      <c r="I2418"/>
    </row>
    <row r="2419" spans="1:9" x14ac:dyDescent="0.3">
      <c r="A2419" t="s">
        <v>9</v>
      </c>
      <c r="B2419" t="s">
        <v>12</v>
      </c>
      <c r="C2419" t="s">
        <v>155</v>
      </c>
      <c r="D2419" s="9" t="s">
        <v>150</v>
      </c>
      <c r="E2419" t="s">
        <v>37</v>
      </c>
      <c r="F2419" t="s">
        <v>71</v>
      </c>
      <c r="G2419">
        <v>30</v>
      </c>
      <c r="H2419" s="9">
        <v>-2.2799999999999998</v>
      </c>
      <c r="I2419"/>
    </row>
    <row r="2420" spans="1:9" x14ac:dyDescent="0.3">
      <c r="A2420" t="s">
        <v>9</v>
      </c>
      <c r="B2420" t="s">
        <v>19</v>
      </c>
      <c r="C2420" t="s">
        <v>59</v>
      </c>
      <c r="D2420" s="9" t="s">
        <v>60</v>
      </c>
      <c r="E2420" t="s">
        <v>32</v>
      </c>
      <c r="F2420" t="s">
        <v>61</v>
      </c>
      <c r="G2420">
        <v>7.2</v>
      </c>
      <c r="I2420"/>
    </row>
    <row r="2421" spans="1:9" x14ac:dyDescent="0.3">
      <c r="A2421" t="s">
        <v>9</v>
      </c>
      <c r="B2421" t="s">
        <v>19</v>
      </c>
      <c r="C2421" t="s">
        <v>62</v>
      </c>
      <c r="D2421" s="9" t="s">
        <v>60</v>
      </c>
      <c r="E2421" t="s">
        <v>33</v>
      </c>
      <c r="F2421" t="s">
        <v>63</v>
      </c>
      <c r="G2421">
        <v>6.5</v>
      </c>
      <c r="I2421"/>
    </row>
    <row r="2422" spans="1:9" x14ac:dyDescent="0.3">
      <c r="A2422" t="s">
        <v>9</v>
      </c>
      <c r="B2422" t="s">
        <v>19</v>
      </c>
      <c r="C2422" t="s">
        <v>64</v>
      </c>
      <c r="D2422" s="9" t="s">
        <v>60</v>
      </c>
      <c r="E2422" t="s">
        <v>34</v>
      </c>
      <c r="F2422" t="s">
        <v>65</v>
      </c>
      <c r="G2422">
        <v>7.6</v>
      </c>
      <c r="I2422"/>
    </row>
    <row r="2423" spans="1:9" x14ac:dyDescent="0.3">
      <c r="A2423" t="s">
        <v>9</v>
      </c>
      <c r="B2423" t="s">
        <v>19</v>
      </c>
      <c r="C2423" t="s">
        <v>66</v>
      </c>
      <c r="D2423" s="9" t="s">
        <v>60</v>
      </c>
      <c r="E2423" t="s">
        <v>35</v>
      </c>
      <c r="F2423" t="s">
        <v>67</v>
      </c>
      <c r="G2423">
        <v>7.8</v>
      </c>
      <c r="I2423"/>
    </row>
    <row r="2424" spans="1:9" x14ac:dyDescent="0.3">
      <c r="A2424" t="s">
        <v>9</v>
      </c>
      <c r="B2424" t="s">
        <v>19</v>
      </c>
      <c r="C2424" t="s">
        <v>68</v>
      </c>
      <c r="D2424" s="9" t="s">
        <v>60</v>
      </c>
      <c r="E2424" t="s">
        <v>36</v>
      </c>
      <c r="F2424" t="s">
        <v>69</v>
      </c>
      <c r="G2424">
        <v>8.5</v>
      </c>
      <c r="I2424"/>
    </row>
    <row r="2425" spans="1:9" x14ac:dyDescent="0.3">
      <c r="A2425" t="s">
        <v>9</v>
      </c>
      <c r="B2425" t="s">
        <v>19</v>
      </c>
      <c r="C2425" t="s">
        <v>70</v>
      </c>
      <c r="D2425" s="9" t="s">
        <v>60</v>
      </c>
      <c r="E2425" t="s">
        <v>37</v>
      </c>
      <c r="F2425" t="s">
        <v>71</v>
      </c>
      <c r="G2425">
        <v>8.9</v>
      </c>
      <c r="I2425"/>
    </row>
    <row r="2426" spans="1:9" x14ac:dyDescent="0.3">
      <c r="A2426" t="s">
        <v>9</v>
      </c>
      <c r="B2426" t="s">
        <v>19</v>
      </c>
      <c r="C2426" t="s">
        <v>72</v>
      </c>
      <c r="D2426" s="9" t="s">
        <v>60</v>
      </c>
      <c r="E2426" t="s">
        <v>38</v>
      </c>
      <c r="F2426" t="s">
        <v>73</v>
      </c>
      <c r="G2426">
        <v>10.1</v>
      </c>
      <c r="I2426"/>
    </row>
    <row r="2427" spans="1:9" x14ac:dyDescent="0.3">
      <c r="A2427" t="s">
        <v>9</v>
      </c>
      <c r="B2427" t="s">
        <v>19</v>
      </c>
      <c r="C2427" t="s">
        <v>74</v>
      </c>
      <c r="D2427" s="9" t="s">
        <v>60</v>
      </c>
      <c r="E2427" t="s">
        <v>39</v>
      </c>
      <c r="F2427" t="s">
        <v>75</v>
      </c>
      <c r="G2427">
        <v>9.6999999999999993</v>
      </c>
      <c r="I2427"/>
    </row>
    <row r="2428" spans="1:9" x14ac:dyDescent="0.3">
      <c r="A2428" t="s">
        <v>9</v>
      </c>
      <c r="B2428" t="s">
        <v>19</v>
      </c>
      <c r="C2428" t="s">
        <v>76</v>
      </c>
      <c r="D2428" s="9" t="s">
        <v>60</v>
      </c>
      <c r="E2428" t="s">
        <v>40</v>
      </c>
      <c r="F2428" t="s">
        <v>77</v>
      </c>
      <c r="G2428">
        <v>8.3000000000000007</v>
      </c>
      <c r="I2428"/>
    </row>
    <row r="2429" spans="1:9" x14ac:dyDescent="0.3">
      <c r="A2429" t="s">
        <v>9</v>
      </c>
      <c r="B2429" t="s">
        <v>19</v>
      </c>
      <c r="C2429" t="s">
        <v>78</v>
      </c>
      <c r="D2429" s="9" t="s">
        <v>60</v>
      </c>
      <c r="E2429" t="s">
        <v>41</v>
      </c>
      <c r="F2429" t="s">
        <v>79</v>
      </c>
      <c r="G2429">
        <v>8.3000000000000007</v>
      </c>
      <c r="I2429"/>
    </row>
    <row r="2430" spans="1:9" x14ac:dyDescent="0.3">
      <c r="A2430" t="s">
        <v>9</v>
      </c>
      <c r="B2430" t="s">
        <v>19</v>
      </c>
      <c r="C2430" t="s">
        <v>80</v>
      </c>
      <c r="D2430" s="9" t="s">
        <v>60</v>
      </c>
      <c r="E2430" t="s">
        <v>42</v>
      </c>
      <c r="F2430" t="s">
        <v>81</v>
      </c>
      <c r="G2430">
        <v>8.8000000000000007</v>
      </c>
      <c r="I2430"/>
    </row>
    <row r="2431" spans="1:9" x14ac:dyDescent="0.3">
      <c r="A2431" t="s">
        <v>9</v>
      </c>
      <c r="B2431" t="s">
        <v>19</v>
      </c>
      <c r="C2431" t="s">
        <v>82</v>
      </c>
      <c r="D2431" s="9" t="s">
        <v>60</v>
      </c>
      <c r="E2431" t="s">
        <v>43</v>
      </c>
      <c r="F2431" t="s">
        <v>83</v>
      </c>
      <c r="G2431">
        <v>11.5</v>
      </c>
      <c r="I2431"/>
    </row>
    <row r="2432" spans="1:9" x14ac:dyDescent="0.3">
      <c r="A2432" t="s">
        <v>9</v>
      </c>
      <c r="B2432" t="s">
        <v>19</v>
      </c>
      <c r="C2432" t="s">
        <v>84</v>
      </c>
      <c r="D2432" s="9" t="s">
        <v>85</v>
      </c>
      <c r="E2432" t="s">
        <v>32</v>
      </c>
      <c r="F2432" t="s">
        <v>61</v>
      </c>
      <c r="G2432">
        <v>6.7</v>
      </c>
      <c r="H2432" s="9">
        <v>-6.94</v>
      </c>
      <c r="I2432"/>
    </row>
    <row r="2433" spans="1:9" x14ac:dyDescent="0.3">
      <c r="A2433" t="s">
        <v>9</v>
      </c>
      <c r="B2433" t="s">
        <v>19</v>
      </c>
      <c r="C2433" t="s">
        <v>86</v>
      </c>
      <c r="D2433" s="9" t="s">
        <v>85</v>
      </c>
      <c r="E2433" t="s">
        <v>33</v>
      </c>
      <c r="F2433" t="s">
        <v>63</v>
      </c>
      <c r="G2433">
        <v>5.6</v>
      </c>
      <c r="H2433" s="9">
        <v>-13.85</v>
      </c>
      <c r="I2433"/>
    </row>
    <row r="2434" spans="1:9" x14ac:dyDescent="0.3">
      <c r="A2434" t="s">
        <v>9</v>
      </c>
      <c r="B2434" t="s">
        <v>19</v>
      </c>
      <c r="C2434" t="s">
        <v>87</v>
      </c>
      <c r="D2434" s="9" t="s">
        <v>85</v>
      </c>
      <c r="E2434" t="s">
        <v>34</v>
      </c>
      <c r="F2434" t="s">
        <v>65</v>
      </c>
      <c r="G2434">
        <v>5.0999999999999996</v>
      </c>
      <c r="H2434" s="9">
        <v>-32.89</v>
      </c>
      <c r="I2434"/>
    </row>
    <row r="2435" spans="1:9" x14ac:dyDescent="0.3">
      <c r="A2435" t="s">
        <v>9</v>
      </c>
      <c r="B2435" t="s">
        <v>19</v>
      </c>
      <c r="C2435" t="s">
        <v>88</v>
      </c>
      <c r="D2435" s="9" t="s">
        <v>85</v>
      </c>
      <c r="E2435" t="s">
        <v>35</v>
      </c>
      <c r="F2435" t="s">
        <v>67</v>
      </c>
      <c r="G2435">
        <v>3.3</v>
      </c>
      <c r="H2435" s="9">
        <v>-57.69</v>
      </c>
      <c r="I2435"/>
    </row>
    <row r="2436" spans="1:9" x14ac:dyDescent="0.3">
      <c r="A2436" t="s">
        <v>9</v>
      </c>
      <c r="B2436" t="s">
        <v>19</v>
      </c>
      <c r="C2436" t="s">
        <v>89</v>
      </c>
      <c r="D2436" s="9" t="s">
        <v>85</v>
      </c>
      <c r="E2436" t="s">
        <v>36</v>
      </c>
      <c r="F2436" t="s">
        <v>69</v>
      </c>
      <c r="G2436">
        <v>6.8</v>
      </c>
      <c r="H2436" s="9">
        <v>-20</v>
      </c>
      <c r="I2436"/>
    </row>
    <row r="2437" spans="1:9" x14ac:dyDescent="0.3">
      <c r="A2437" t="s">
        <v>9</v>
      </c>
      <c r="B2437" t="s">
        <v>19</v>
      </c>
      <c r="C2437" t="s">
        <v>90</v>
      </c>
      <c r="D2437" s="9" t="s">
        <v>85</v>
      </c>
      <c r="E2437" t="s">
        <v>37</v>
      </c>
      <c r="F2437" t="s">
        <v>71</v>
      </c>
      <c r="G2437">
        <v>9.1</v>
      </c>
      <c r="H2437" s="9">
        <v>2.25</v>
      </c>
      <c r="I2437"/>
    </row>
    <row r="2438" spans="1:9" x14ac:dyDescent="0.3">
      <c r="A2438" t="s">
        <v>9</v>
      </c>
      <c r="B2438" t="s">
        <v>19</v>
      </c>
      <c r="C2438" t="s">
        <v>91</v>
      </c>
      <c r="D2438" s="9" t="s">
        <v>85</v>
      </c>
      <c r="E2438" t="s">
        <v>38</v>
      </c>
      <c r="F2438" t="s">
        <v>73</v>
      </c>
      <c r="G2438">
        <v>12.1</v>
      </c>
      <c r="H2438" s="9">
        <v>19.8</v>
      </c>
      <c r="I2438"/>
    </row>
    <row r="2439" spans="1:9" x14ac:dyDescent="0.3">
      <c r="A2439" t="s">
        <v>9</v>
      </c>
      <c r="B2439" t="s">
        <v>19</v>
      </c>
      <c r="C2439" t="s">
        <v>92</v>
      </c>
      <c r="D2439" s="9" t="s">
        <v>85</v>
      </c>
      <c r="E2439" t="s">
        <v>39</v>
      </c>
      <c r="F2439" t="s">
        <v>75</v>
      </c>
      <c r="G2439">
        <v>9.9</v>
      </c>
      <c r="H2439" s="9">
        <v>2.06</v>
      </c>
      <c r="I2439"/>
    </row>
    <row r="2440" spans="1:9" x14ac:dyDescent="0.3">
      <c r="A2440" t="s">
        <v>9</v>
      </c>
      <c r="B2440" t="s">
        <v>19</v>
      </c>
      <c r="C2440" t="s">
        <v>93</v>
      </c>
      <c r="D2440" s="9" t="s">
        <v>85</v>
      </c>
      <c r="E2440" t="s">
        <v>40</v>
      </c>
      <c r="F2440" t="s">
        <v>77</v>
      </c>
      <c r="G2440">
        <v>9.9</v>
      </c>
      <c r="H2440" s="9">
        <v>19.28</v>
      </c>
      <c r="I2440"/>
    </row>
    <row r="2441" spans="1:9" x14ac:dyDescent="0.3">
      <c r="A2441" t="s">
        <v>9</v>
      </c>
      <c r="B2441" t="s">
        <v>19</v>
      </c>
      <c r="C2441" t="s">
        <v>94</v>
      </c>
      <c r="D2441" s="9" t="s">
        <v>85</v>
      </c>
      <c r="E2441" t="s">
        <v>41</v>
      </c>
      <c r="F2441" t="s">
        <v>79</v>
      </c>
      <c r="G2441">
        <v>10.1</v>
      </c>
      <c r="H2441" s="9">
        <v>21.69</v>
      </c>
      <c r="I2441"/>
    </row>
    <row r="2442" spans="1:9" x14ac:dyDescent="0.3">
      <c r="A2442" t="s">
        <v>9</v>
      </c>
      <c r="B2442" t="s">
        <v>19</v>
      </c>
      <c r="C2442" t="s">
        <v>95</v>
      </c>
      <c r="D2442" s="9" t="s">
        <v>85</v>
      </c>
      <c r="E2442" t="s">
        <v>42</v>
      </c>
      <c r="F2442" t="s">
        <v>81</v>
      </c>
      <c r="G2442">
        <v>9.8000000000000007</v>
      </c>
      <c r="H2442" s="9">
        <v>11.36</v>
      </c>
      <c r="I2442"/>
    </row>
    <row r="2443" spans="1:9" x14ac:dyDescent="0.3">
      <c r="A2443" t="s">
        <v>9</v>
      </c>
      <c r="B2443" t="s">
        <v>19</v>
      </c>
      <c r="C2443" t="s">
        <v>96</v>
      </c>
      <c r="D2443" s="9" t="s">
        <v>85</v>
      </c>
      <c r="E2443" t="s">
        <v>43</v>
      </c>
      <c r="F2443" t="s">
        <v>83</v>
      </c>
      <c r="G2443">
        <v>13.8</v>
      </c>
      <c r="H2443" s="9">
        <v>20</v>
      </c>
      <c r="I2443"/>
    </row>
    <row r="2444" spans="1:9" x14ac:dyDescent="0.3">
      <c r="A2444" t="s">
        <v>9</v>
      </c>
      <c r="B2444" t="s">
        <v>19</v>
      </c>
      <c r="C2444" t="s">
        <v>97</v>
      </c>
      <c r="D2444" s="9" t="s">
        <v>98</v>
      </c>
      <c r="E2444" t="s">
        <v>32</v>
      </c>
      <c r="F2444" t="s">
        <v>61</v>
      </c>
      <c r="G2444">
        <v>7.9</v>
      </c>
      <c r="H2444" s="9">
        <v>17.91</v>
      </c>
      <c r="I2444"/>
    </row>
    <row r="2445" spans="1:9" x14ac:dyDescent="0.3">
      <c r="A2445" t="s">
        <v>9</v>
      </c>
      <c r="B2445" t="s">
        <v>19</v>
      </c>
      <c r="C2445" t="s">
        <v>99</v>
      </c>
      <c r="D2445" s="9" t="s">
        <v>98</v>
      </c>
      <c r="E2445" t="s">
        <v>33</v>
      </c>
      <c r="F2445" t="s">
        <v>63</v>
      </c>
      <c r="G2445">
        <v>6.3</v>
      </c>
      <c r="H2445" s="9">
        <v>12.5</v>
      </c>
      <c r="I2445"/>
    </row>
    <row r="2446" spans="1:9" x14ac:dyDescent="0.3">
      <c r="A2446" t="s">
        <v>9</v>
      </c>
      <c r="B2446" t="s">
        <v>19</v>
      </c>
      <c r="C2446" t="s">
        <v>100</v>
      </c>
      <c r="D2446" s="9" t="s">
        <v>98</v>
      </c>
      <c r="E2446" t="s">
        <v>34</v>
      </c>
      <c r="F2446" t="s">
        <v>65</v>
      </c>
      <c r="G2446">
        <v>7.5</v>
      </c>
      <c r="H2446" s="9">
        <v>47.06</v>
      </c>
      <c r="I2446"/>
    </row>
    <row r="2447" spans="1:9" x14ac:dyDescent="0.3">
      <c r="A2447" t="s">
        <v>9</v>
      </c>
      <c r="B2447" t="s">
        <v>19</v>
      </c>
      <c r="C2447" t="s">
        <v>101</v>
      </c>
      <c r="D2447" s="9" t="s">
        <v>98</v>
      </c>
      <c r="E2447" t="s">
        <v>35</v>
      </c>
      <c r="F2447" t="s">
        <v>67</v>
      </c>
      <c r="G2447">
        <v>8.3000000000000007</v>
      </c>
      <c r="H2447" s="9">
        <v>151.52000000000001</v>
      </c>
      <c r="I2447"/>
    </row>
    <row r="2448" spans="1:9" x14ac:dyDescent="0.3">
      <c r="A2448" t="s">
        <v>9</v>
      </c>
      <c r="B2448" t="s">
        <v>19</v>
      </c>
      <c r="C2448" t="s">
        <v>102</v>
      </c>
      <c r="D2448" s="9" t="s">
        <v>98</v>
      </c>
      <c r="E2448" t="s">
        <v>36</v>
      </c>
      <c r="F2448" t="s">
        <v>69</v>
      </c>
      <c r="G2448">
        <v>8.8000000000000007</v>
      </c>
      <c r="H2448" s="9">
        <v>29.41</v>
      </c>
      <c r="I2448"/>
    </row>
    <row r="2449" spans="1:9" x14ac:dyDescent="0.3">
      <c r="A2449" t="s">
        <v>9</v>
      </c>
      <c r="B2449" t="s">
        <v>19</v>
      </c>
      <c r="C2449" t="s">
        <v>103</v>
      </c>
      <c r="D2449" s="9" t="s">
        <v>98</v>
      </c>
      <c r="E2449" t="s">
        <v>37</v>
      </c>
      <c r="F2449" t="s">
        <v>71</v>
      </c>
      <c r="G2449">
        <v>8.6</v>
      </c>
      <c r="H2449" s="9">
        <v>-5.49</v>
      </c>
      <c r="I2449"/>
    </row>
    <row r="2450" spans="1:9" x14ac:dyDescent="0.3">
      <c r="A2450" t="s">
        <v>9</v>
      </c>
      <c r="B2450" t="s">
        <v>19</v>
      </c>
      <c r="C2450" t="s">
        <v>104</v>
      </c>
      <c r="D2450" s="9" t="s">
        <v>98</v>
      </c>
      <c r="E2450" t="s">
        <v>38</v>
      </c>
      <c r="F2450" t="s">
        <v>73</v>
      </c>
      <c r="G2450">
        <v>9.5</v>
      </c>
      <c r="H2450" s="9">
        <v>-21.49</v>
      </c>
      <c r="I2450"/>
    </row>
    <row r="2451" spans="1:9" x14ac:dyDescent="0.3">
      <c r="A2451" t="s">
        <v>9</v>
      </c>
      <c r="B2451" t="s">
        <v>19</v>
      </c>
      <c r="C2451" t="s">
        <v>105</v>
      </c>
      <c r="D2451" s="9" t="s">
        <v>98</v>
      </c>
      <c r="E2451" t="s">
        <v>39</v>
      </c>
      <c r="F2451" t="s">
        <v>75</v>
      </c>
      <c r="G2451">
        <v>9.4</v>
      </c>
      <c r="H2451" s="9">
        <v>-5.05</v>
      </c>
      <c r="I2451"/>
    </row>
    <row r="2452" spans="1:9" x14ac:dyDescent="0.3">
      <c r="A2452" t="s">
        <v>9</v>
      </c>
      <c r="B2452" t="s">
        <v>19</v>
      </c>
      <c r="C2452" t="s">
        <v>106</v>
      </c>
      <c r="D2452" s="9" t="s">
        <v>98</v>
      </c>
      <c r="E2452" t="s">
        <v>40</v>
      </c>
      <c r="F2452" t="s">
        <v>77</v>
      </c>
      <c r="G2452">
        <v>10</v>
      </c>
      <c r="H2452" s="9">
        <v>1.01</v>
      </c>
      <c r="I2452"/>
    </row>
    <row r="2453" spans="1:9" x14ac:dyDescent="0.3">
      <c r="A2453" t="s">
        <v>9</v>
      </c>
      <c r="B2453" t="s">
        <v>19</v>
      </c>
      <c r="C2453" t="s">
        <v>107</v>
      </c>
      <c r="D2453" s="9" t="s">
        <v>98</v>
      </c>
      <c r="E2453" t="s">
        <v>41</v>
      </c>
      <c r="F2453" t="s">
        <v>79</v>
      </c>
      <c r="G2453">
        <v>10.5</v>
      </c>
      <c r="H2453" s="9">
        <v>3.96</v>
      </c>
      <c r="I2453"/>
    </row>
    <row r="2454" spans="1:9" x14ac:dyDescent="0.3">
      <c r="A2454" t="s">
        <v>9</v>
      </c>
      <c r="B2454" t="s">
        <v>19</v>
      </c>
      <c r="C2454" t="s">
        <v>108</v>
      </c>
      <c r="D2454" s="9" t="s">
        <v>98</v>
      </c>
      <c r="E2454" t="s">
        <v>42</v>
      </c>
      <c r="F2454" t="s">
        <v>81</v>
      </c>
      <c r="G2454">
        <v>9.1999999999999993</v>
      </c>
      <c r="H2454" s="9">
        <v>-6.12</v>
      </c>
      <c r="I2454"/>
    </row>
    <row r="2455" spans="1:9" x14ac:dyDescent="0.3">
      <c r="A2455" t="s">
        <v>9</v>
      </c>
      <c r="B2455" t="s">
        <v>19</v>
      </c>
      <c r="C2455" t="s">
        <v>109</v>
      </c>
      <c r="D2455" s="9" t="s">
        <v>98</v>
      </c>
      <c r="E2455" t="s">
        <v>43</v>
      </c>
      <c r="F2455" t="s">
        <v>83</v>
      </c>
      <c r="G2455">
        <v>14.1</v>
      </c>
      <c r="H2455" s="9">
        <v>2.17</v>
      </c>
      <c r="I2455"/>
    </row>
    <row r="2456" spans="1:9" x14ac:dyDescent="0.3">
      <c r="A2456" t="s">
        <v>9</v>
      </c>
      <c r="B2456" t="s">
        <v>19</v>
      </c>
      <c r="C2456" t="s">
        <v>110</v>
      </c>
      <c r="D2456" s="9" t="s">
        <v>111</v>
      </c>
      <c r="E2456" t="s">
        <v>32</v>
      </c>
      <c r="F2456" t="s">
        <v>61</v>
      </c>
      <c r="G2456">
        <v>7.4</v>
      </c>
      <c r="H2456" s="9">
        <v>-6.33</v>
      </c>
      <c r="I2456"/>
    </row>
    <row r="2457" spans="1:9" x14ac:dyDescent="0.3">
      <c r="A2457" t="s">
        <v>9</v>
      </c>
      <c r="B2457" t="s">
        <v>19</v>
      </c>
      <c r="C2457" t="s">
        <v>112</v>
      </c>
      <c r="D2457" s="9" t="s">
        <v>111</v>
      </c>
      <c r="E2457" t="s">
        <v>33</v>
      </c>
      <c r="F2457" t="s">
        <v>63</v>
      </c>
      <c r="G2457">
        <v>6.8</v>
      </c>
      <c r="H2457" s="9">
        <v>7.94</v>
      </c>
      <c r="I2457"/>
    </row>
    <row r="2458" spans="1:9" x14ac:dyDescent="0.3">
      <c r="A2458" t="s">
        <v>9</v>
      </c>
      <c r="B2458" t="s">
        <v>19</v>
      </c>
      <c r="C2458" t="s">
        <v>113</v>
      </c>
      <c r="D2458" s="9" t="s">
        <v>111</v>
      </c>
      <c r="E2458" t="s">
        <v>34</v>
      </c>
      <c r="F2458" t="s">
        <v>65</v>
      </c>
      <c r="G2458">
        <v>8.6999999999999993</v>
      </c>
      <c r="H2458" s="9">
        <v>16</v>
      </c>
      <c r="I2458"/>
    </row>
    <row r="2459" spans="1:9" x14ac:dyDescent="0.3">
      <c r="A2459" t="s">
        <v>9</v>
      </c>
      <c r="B2459" t="s">
        <v>19</v>
      </c>
      <c r="C2459" t="s">
        <v>114</v>
      </c>
      <c r="D2459" s="9" t="s">
        <v>111</v>
      </c>
      <c r="E2459" t="s">
        <v>35</v>
      </c>
      <c r="F2459" t="s">
        <v>67</v>
      </c>
      <c r="G2459">
        <v>9.9</v>
      </c>
      <c r="H2459" s="9">
        <v>19.28</v>
      </c>
      <c r="I2459"/>
    </row>
    <row r="2460" spans="1:9" x14ac:dyDescent="0.3">
      <c r="A2460" t="s">
        <v>9</v>
      </c>
      <c r="B2460" t="s">
        <v>19</v>
      </c>
      <c r="C2460" t="s">
        <v>115</v>
      </c>
      <c r="D2460" s="9" t="s">
        <v>111</v>
      </c>
      <c r="E2460" t="s">
        <v>36</v>
      </c>
      <c r="F2460" t="s">
        <v>69</v>
      </c>
      <c r="G2460">
        <v>9.9</v>
      </c>
      <c r="H2460" s="9">
        <v>12.5</v>
      </c>
      <c r="I2460"/>
    </row>
    <row r="2461" spans="1:9" x14ac:dyDescent="0.3">
      <c r="A2461" t="s">
        <v>9</v>
      </c>
      <c r="B2461" t="s">
        <v>19</v>
      </c>
      <c r="C2461" t="s">
        <v>116</v>
      </c>
      <c r="D2461" s="9" t="s">
        <v>111</v>
      </c>
      <c r="E2461" t="s">
        <v>37</v>
      </c>
      <c r="F2461" t="s">
        <v>71</v>
      </c>
      <c r="G2461">
        <v>10.1</v>
      </c>
      <c r="H2461" s="9">
        <v>17.440000000000001</v>
      </c>
      <c r="I2461"/>
    </row>
    <row r="2462" spans="1:9" x14ac:dyDescent="0.3">
      <c r="A2462" t="s">
        <v>9</v>
      </c>
      <c r="B2462" t="s">
        <v>19</v>
      </c>
      <c r="C2462" t="s">
        <v>117</v>
      </c>
      <c r="D2462" s="9" t="s">
        <v>111</v>
      </c>
      <c r="E2462" t="s">
        <v>38</v>
      </c>
      <c r="F2462" t="s">
        <v>73</v>
      </c>
      <c r="G2462">
        <v>12.5</v>
      </c>
      <c r="H2462" s="9">
        <v>31.58</v>
      </c>
      <c r="I2462"/>
    </row>
    <row r="2463" spans="1:9" x14ac:dyDescent="0.3">
      <c r="A2463" t="s">
        <v>9</v>
      </c>
      <c r="B2463" t="s">
        <v>19</v>
      </c>
      <c r="C2463" t="s">
        <v>118</v>
      </c>
      <c r="D2463" s="9" t="s">
        <v>111</v>
      </c>
      <c r="E2463" t="s">
        <v>39</v>
      </c>
      <c r="F2463" t="s">
        <v>75</v>
      </c>
      <c r="G2463">
        <v>10.7</v>
      </c>
      <c r="H2463" s="9">
        <v>13.83</v>
      </c>
      <c r="I2463"/>
    </row>
    <row r="2464" spans="1:9" x14ac:dyDescent="0.3">
      <c r="A2464" t="s">
        <v>9</v>
      </c>
      <c r="B2464" t="s">
        <v>19</v>
      </c>
      <c r="C2464" t="s">
        <v>119</v>
      </c>
      <c r="D2464" s="9" t="s">
        <v>111</v>
      </c>
      <c r="E2464" t="s">
        <v>40</v>
      </c>
      <c r="F2464" t="s">
        <v>77</v>
      </c>
      <c r="G2464">
        <v>10.6</v>
      </c>
      <c r="H2464" s="9">
        <v>6</v>
      </c>
      <c r="I2464"/>
    </row>
    <row r="2465" spans="1:9" x14ac:dyDescent="0.3">
      <c r="A2465" t="s">
        <v>9</v>
      </c>
      <c r="B2465" t="s">
        <v>19</v>
      </c>
      <c r="C2465" t="s">
        <v>120</v>
      </c>
      <c r="D2465" s="9" t="s">
        <v>111</v>
      </c>
      <c r="E2465" t="s">
        <v>41</v>
      </c>
      <c r="F2465" t="s">
        <v>79</v>
      </c>
      <c r="G2465">
        <v>10.8</v>
      </c>
      <c r="H2465" s="9">
        <v>2.86</v>
      </c>
      <c r="I2465"/>
    </row>
    <row r="2466" spans="1:9" x14ac:dyDescent="0.3">
      <c r="A2466" t="s">
        <v>9</v>
      </c>
      <c r="B2466" t="s">
        <v>19</v>
      </c>
      <c r="C2466" t="s">
        <v>121</v>
      </c>
      <c r="D2466" s="9" t="s">
        <v>111</v>
      </c>
      <c r="E2466" t="s">
        <v>42</v>
      </c>
      <c r="F2466" t="s">
        <v>81</v>
      </c>
      <c r="G2466">
        <v>11.9</v>
      </c>
      <c r="H2466" s="9">
        <v>29.35</v>
      </c>
      <c r="I2466"/>
    </row>
    <row r="2467" spans="1:9" x14ac:dyDescent="0.3">
      <c r="A2467" t="s">
        <v>9</v>
      </c>
      <c r="B2467" t="s">
        <v>19</v>
      </c>
      <c r="C2467" t="s">
        <v>122</v>
      </c>
      <c r="D2467" s="9" t="s">
        <v>111</v>
      </c>
      <c r="E2467" t="s">
        <v>43</v>
      </c>
      <c r="F2467" t="s">
        <v>83</v>
      </c>
      <c r="G2467">
        <v>14.1</v>
      </c>
      <c r="H2467" s="9">
        <v>0</v>
      </c>
      <c r="I2467"/>
    </row>
    <row r="2468" spans="1:9" x14ac:dyDescent="0.3">
      <c r="A2468" t="s">
        <v>9</v>
      </c>
      <c r="B2468" t="s">
        <v>19</v>
      </c>
      <c r="C2468" t="s">
        <v>123</v>
      </c>
      <c r="D2468" s="9" t="s">
        <v>124</v>
      </c>
      <c r="E2468" t="s">
        <v>32</v>
      </c>
      <c r="F2468" t="s">
        <v>61</v>
      </c>
      <c r="G2468">
        <v>7.7</v>
      </c>
      <c r="H2468" s="9">
        <v>4.05</v>
      </c>
      <c r="I2468"/>
    </row>
    <row r="2469" spans="1:9" x14ac:dyDescent="0.3">
      <c r="A2469" t="s">
        <v>9</v>
      </c>
      <c r="B2469" t="s">
        <v>19</v>
      </c>
      <c r="C2469" t="s">
        <v>125</v>
      </c>
      <c r="D2469" s="9" t="s">
        <v>124</v>
      </c>
      <c r="E2469" t="s">
        <v>33</v>
      </c>
      <c r="F2469" t="s">
        <v>63</v>
      </c>
      <c r="G2469">
        <v>7</v>
      </c>
      <c r="H2469" s="9">
        <v>2.94</v>
      </c>
      <c r="I2469"/>
    </row>
    <row r="2470" spans="1:9" x14ac:dyDescent="0.3">
      <c r="A2470" t="s">
        <v>9</v>
      </c>
      <c r="B2470" t="s">
        <v>19</v>
      </c>
      <c r="C2470" t="s">
        <v>126</v>
      </c>
      <c r="D2470" s="9" t="s">
        <v>124</v>
      </c>
      <c r="E2470" t="s">
        <v>34</v>
      </c>
      <c r="F2470" t="s">
        <v>65</v>
      </c>
      <c r="G2470">
        <v>8.3000000000000007</v>
      </c>
      <c r="H2470" s="9">
        <v>-4.5999999999999996</v>
      </c>
      <c r="I2470"/>
    </row>
    <row r="2471" spans="1:9" x14ac:dyDescent="0.3">
      <c r="A2471" t="s">
        <v>9</v>
      </c>
      <c r="B2471" t="s">
        <v>19</v>
      </c>
      <c r="C2471" t="s">
        <v>127</v>
      </c>
      <c r="D2471" s="9" t="s">
        <v>124</v>
      </c>
      <c r="E2471" t="s">
        <v>35</v>
      </c>
      <c r="F2471" t="s">
        <v>67</v>
      </c>
      <c r="G2471">
        <v>8.4</v>
      </c>
      <c r="H2471" s="9">
        <v>-15.15</v>
      </c>
      <c r="I2471"/>
    </row>
    <row r="2472" spans="1:9" x14ac:dyDescent="0.3">
      <c r="A2472" t="s">
        <v>9</v>
      </c>
      <c r="B2472" t="s">
        <v>19</v>
      </c>
      <c r="C2472" t="s">
        <v>128</v>
      </c>
      <c r="D2472" s="9" t="s">
        <v>124</v>
      </c>
      <c r="E2472" t="s">
        <v>36</v>
      </c>
      <c r="F2472" t="s">
        <v>69</v>
      </c>
      <c r="G2472">
        <v>9.6</v>
      </c>
      <c r="H2472" s="9">
        <v>-3.03</v>
      </c>
      <c r="I2472"/>
    </row>
    <row r="2473" spans="1:9" x14ac:dyDescent="0.3">
      <c r="A2473" t="s">
        <v>9</v>
      </c>
      <c r="B2473" t="s">
        <v>19</v>
      </c>
      <c r="C2473" t="s">
        <v>129</v>
      </c>
      <c r="D2473" s="9" t="s">
        <v>124</v>
      </c>
      <c r="E2473" t="s">
        <v>37</v>
      </c>
      <c r="F2473" t="s">
        <v>71</v>
      </c>
      <c r="G2473">
        <v>9.6</v>
      </c>
      <c r="H2473" s="9">
        <v>-4.95</v>
      </c>
      <c r="I2473"/>
    </row>
    <row r="2474" spans="1:9" x14ac:dyDescent="0.3">
      <c r="A2474" t="s">
        <v>9</v>
      </c>
      <c r="B2474" t="s">
        <v>19</v>
      </c>
      <c r="C2474" t="s">
        <v>130</v>
      </c>
      <c r="D2474" s="9" t="s">
        <v>124</v>
      </c>
      <c r="E2474" t="s">
        <v>38</v>
      </c>
      <c r="F2474" t="s">
        <v>73</v>
      </c>
      <c r="G2474">
        <v>11.7</v>
      </c>
      <c r="H2474" s="9">
        <v>-6.4</v>
      </c>
      <c r="I2474"/>
    </row>
    <row r="2475" spans="1:9" x14ac:dyDescent="0.3">
      <c r="A2475" t="s">
        <v>9</v>
      </c>
      <c r="B2475" t="s">
        <v>19</v>
      </c>
      <c r="C2475" t="s">
        <v>131</v>
      </c>
      <c r="D2475" s="9" t="s">
        <v>124</v>
      </c>
      <c r="E2475" t="s">
        <v>39</v>
      </c>
      <c r="F2475" t="s">
        <v>75</v>
      </c>
      <c r="G2475">
        <v>11.9</v>
      </c>
      <c r="H2475" s="9">
        <v>11.21</v>
      </c>
      <c r="I2475"/>
    </row>
    <row r="2476" spans="1:9" x14ac:dyDescent="0.3">
      <c r="A2476" t="s">
        <v>9</v>
      </c>
      <c r="B2476" t="s">
        <v>19</v>
      </c>
      <c r="C2476" t="s">
        <v>132</v>
      </c>
      <c r="D2476" s="9" t="s">
        <v>124</v>
      </c>
      <c r="E2476" t="s">
        <v>40</v>
      </c>
      <c r="F2476" t="s">
        <v>77</v>
      </c>
      <c r="G2476">
        <v>10.199999999999999</v>
      </c>
      <c r="H2476" s="9">
        <v>-3.77</v>
      </c>
      <c r="I2476"/>
    </row>
    <row r="2477" spans="1:9" x14ac:dyDescent="0.3">
      <c r="A2477" t="s">
        <v>9</v>
      </c>
      <c r="B2477" t="s">
        <v>19</v>
      </c>
      <c r="C2477" t="s">
        <v>133</v>
      </c>
      <c r="D2477" s="9" t="s">
        <v>124</v>
      </c>
      <c r="E2477" t="s">
        <v>41</v>
      </c>
      <c r="F2477" t="s">
        <v>79</v>
      </c>
      <c r="G2477">
        <v>10.3</v>
      </c>
      <c r="H2477" s="9">
        <v>-4.63</v>
      </c>
      <c r="I2477"/>
    </row>
    <row r="2478" spans="1:9" x14ac:dyDescent="0.3">
      <c r="A2478" t="s">
        <v>9</v>
      </c>
      <c r="B2478" t="s">
        <v>19</v>
      </c>
      <c r="C2478" t="s">
        <v>134</v>
      </c>
      <c r="D2478" s="9" t="s">
        <v>124</v>
      </c>
      <c r="E2478" t="s">
        <v>42</v>
      </c>
      <c r="F2478" t="s">
        <v>81</v>
      </c>
      <c r="G2478">
        <v>12.5</v>
      </c>
      <c r="H2478" s="9">
        <v>5.04</v>
      </c>
      <c r="I2478"/>
    </row>
    <row r="2479" spans="1:9" x14ac:dyDescent="0.3">
      <c r="A2479" t="s">
        <v>9</v>
      </c>
      <c r="B2479" t="s">
        <v>19</v>
      </c>
      <c r="C2479" t="s">
        <v>135</v>
      </c>
      <c r="D2479" s="9" t="s">
        <v>124</v>
      </c>
      <c r="E2479" t="s">
        <v>43</v>
      </c>
      <c r="F2479" t="s">
        <v>83</v>
      </c>
      <c r="G2479">
        <v>14.1</v>
      </c>
      <c r="H2479" s="9">
        <v>0</v>
      </c>
      <c r="I2479"/>
    </row>
    <row r="2480" spans="1:9" x14ac:dyDescent="0.3">
      <c r="A2480" t="s">
        <v>9</v>
      </c>
      <c r="B2480" t="s">
        <v>19</v>
      </c>
      <c r="C2480" t="s">
        <v>136</v>
      </c>
      <c r="D2480" s="9" t="s">
        <v>137</v>
      </c>
      <c r="E2480" t="s">
        <v>32</v>
      </c>
      <c r="F2480" t="s">
        <v>61</v>
      </c>
      <c r="G2480">
        <v>8.1999999999999993</v>
      </c>
      <c r="H2480" s="9">
        <v>6.49</v>
      </c>
      <c r="I2480"/>
    </row>
    <row r="2481" spans="1:9" x14ac:dyDescent="0.3">
      <c r="A2481" t="s">
        <v>9</v>
      </c>
      <c r="B2481" t="s">
        <v>19</v>
      </c>
      <c r="C2481" t="s">
        <v>138</v>
      </c>
      <c r="D2481" s="9" t="s">
        <v>137</v>
      </c>
      <c r="E2481" t="s">
        <v>33</v>
      </c>
      <c r="F2481" t="s">
        <v>63</v>
      </c>
      <c r="G2481">
        <v>7.5</v>
      </c>
      <c r="H2481" s="9">
        <v>7.14</v>
      </c>
      <c r="I2481"/>
    </row>
    <row r="2482" spans="1:9" x14ac:dyDescent="0.3">
      <c r="A2482" t="s">
        <v>9</v>
      </c>
      <c r="B2482" t="s">
        <v>19</v>
      </c>
      <c r="C2482" t="s">
        <v>139</v>
      </c>
      <c r="D2482" s="9" t="s">
        <v>137</v>
      </c>
      <c r="E2482" t="s">
        <v>34</v>
      </c>
      <c r="F2482" t="s">
        <v>65</v>
      </c>
      <c r="G2482">
        <v>8.6</v>
      </c>
      <c r="H2482" s="9">
        <v>3.61</v>
      </c>
      <c r="I2482"/>
    </row>
    <row r="2483" spans="1:9" x14ac:dyDescent="0.3">
      <c r="A2483" t="s">
        <v>9</v>
      </c>
      <c r="B2483" t="s">
        <v>19</v>
      </c>
      <c r="C2483" t="s">
        <v>140</v>
      </c>
      <c r="D2483" s="9" t="s">
        <v>137</v>
      </c>
      <c r="E2483" t="s">
        <v>35</v>
      </c>
      <c r="F2483" t="s">
        <v>67</v>
      </c>
      <c r="G2483">
        <v>8.6</v>
      </c>
      <c r="H2483" s="9">
        <v>2.38</v>
      </c>
      <c r="I2483"/>
    </row>
    <row r="2484" spans="1:9" x14ac:dyDescent="0.3">
      <c r="A2484" t="s">
        <v>9</v>
      </c>
      <c r="B2484" t="s">
        <v>19</v>
      </c>
      <c r="C2484" t="s">
        <v>141</v>
      </c>
      <c r="D2484" s="9" t="s">
        <v>137</v>
      </c>
      <c r="E2484" t="s">
        <v>36</v>
      </c>
      <c r="F2484" t="s">
        <v>69</v>
      </c>
      <c r="G2484">
        <v>9.6999999999999993</v>
      </c>
      <c r="H2484" s="9">
        <v>1.04</v>
      </c>
      <c r="I2484"/>
    </row>
    <row r="2485" spans="1:9" x14ac:dyDescent="0.3">
      <c r="A2485" t="s">
        <v>9</v>
      </c>
      <c r="B2485" t="s">
        <v>19</v>
      </c>
      <c r="C2485" t="s">
        <v>142</v>
      </c>
      <c r="D2485" s="9" t="s">
        <v>137</v>
      </c>
      <c r="E2485" t="s">
        <v>37</v>
      </c>
      <c r="F2485" t="s">
        <v>71</v>
      </c>
      <c r="G2485">
        <v>9.9</v>
      </c>
      <c r="H2485" s="9">
        <v>3.13</v>
      </c>
      <c r="I2485"/>
    </row>
    <row r="2486" spans="1:9" x14ac:dyDescent="0.3">
      <c r="A2486" t="s">
        <v>9</v>
      </c>
      <c r="B2486" t="s">
        <v>19</v>
      </c>
      <c r="C2486" t="s">
        <v>143</v>
      </c>
      <c r="D2486" s="9" t="s">
        <v>137</v>
      </c>
      <c r="E2486" t="s">
        <v>38</v>
      </c>
      <c r="F2486" t="s">
        <v>73</v>
      </c>
      <c r="G2486">
        <v>12.5</v>
      </c>
      <c r="H2486" s="9">
        <v>6.84</v>
      </c>
      <c r="I2486"/>
    </row>
    <row r="2487" spans="1:9" x14ac:dyDescent="0.3">
      <c r="A2487" t="s">
        <v>9</v>
      </c>
      <c r="B2487" t="s">
        <v>19</v>
      </c>
      <c r="C2487" t="s">
        <v>144</v>
      </c>
      <c r="D2487" s="9" t="s">
        <v>137</v>
      </c>
      <c r="E2487" t="s">
        <v>39</v>
      </c>
      <c r="F2487" t="s">
        <v>75</v>
      </c>
      <c r="G2487">
        <v>12.1</v>
      </c>
      <c r="H2487" s="9">
        <v>1.68</v>
      </c>
      <c r="I2487"/>
    </row>
    <row r="2488" spans="1:9" x14ac:dyDescent="0.3">
      <c r="A2488" t="s">
        <v>9</v>
      </c>
      <c r="B2488" t="s">
        <v>19</v>
      </c>
      <c r="C2488" t="s">
        <v>145</v>
      </c>
      <c r="D2488" s="9" t="s">
        <v>137</v>
      </c>
      <c r="E2488" t="s">
        <v>40</v>
      </c>
      <c r="F2488" t="s">
        <v>77</v>
      </c>
      <c r="G2488">
        <v>10.7</v>
      </c>
      <c r="H2488" s="9">
        <v>4.9000000000000004</v>
      </c>
      <c r="I2488"/>
    </row>
    <row r="2489" spans="1:9" x14ac:dyDescent="0.3">
      <c r="A2489" t="s">
        <v>9</v>
      </c>
      <c r="B2489" t="s">
        <v>19</v>
      </c>
      <c r="C2489" t="s">
        <v>146</v>
      </c>
      <c r="D2489" s="9" t="s">
        <v>137</v>
      </c>
      <c r="E2489" t="s">
        <v>41</v>
      </c>
      <c r="F2489" t="s">
        <v>79</v>
      </c>
      <c r="G2489">
        <v>10.4</v>
      </c>
      <c r="H2489" s="9">
        <v>0.97</v>
      </c>
      <c r="I2489"/>
    </row>
    <row r="2490" spans="1:9" x14ac:dyDescent="0.3">
      <c r="A2490" t="s">
        <v>9</v>
      </c>
      <c r="B2490" t="s">
        <v>19</v>
      </c>
      <c r="C2490" t="s">
        <v>147</v>
      </c>
      <c r="D2490" s="9" t="s">
        <v>137</v>
      </c>
      <c r="E2490" t="s">
        <v>42</v>
      </c>
      <c r="F2490" t="s">
        <v>81</v>
      </c>
      <c r="G2490">
        <v>12</v>
      </c>
      <c r="H2490" s="9">
        <v>-4</v>
      </c>
      <c r="I2490"/>
    </row>
    <row r="2491" spans="1:9" x14ac:dyDescent="0.3">
      <c r="A2491" t="s">
        <v>9</v>
      </c>
      <c r="B2491" t="s">
        <v>19</v>
      </c>
      <c r="C2491" t="s">
        <v>148</v>
      </c>
      <c r="D2491" s="9" t="s">
        <v>137</v>
      </c>
      <c r="E2491" t="s">
        <v>43</v>
      </c>
      <c r="F2491" t="s">
        <v>83</v>
      </c>
      <c r="G2491">
        <v>14.1</v>
      </c>
      <c r="H2491" s="9">
        <v>0</v>
      </c>
      <c r="I2491"/>
    </row>
    <row r="2492" spans="1:9" x14ac:dyDescent="0.3">
      <c r="A2492" t="s">
        <v>9</v>
      </c>
      <c r="B2492" t="s">
        <v>19</v>
      </c>
      <c r="C2492" t="s">
        <v>149</v>
      </c>
      <c r="D2492" s="9" t="s">
        <v>150</v>
      </c>
      <c r="E2492" t="s">
        <v>32</v>
      </c>
      <c r="F2492" t="s">
        <v>61</v>
      </c>
      <c r="G2492">
        <v>8.6</v>
      </c>
      <c r="H2492" s="9">
        <v>4.88</v>
      </c>
      <c r="I2492"/>
    </row>
    <row r="2493" spans="1:9" x14ac:dyDescent="0.3">
      <c r="A2493" t="s">
        <v>9</v>
      </c>
      <c r="B2493" t="s">
        <v>19</v>
      </c>
      <c r="C2493" t="s">
        <v>151</v>
      </c>
      <c r="D2493" s="9" t="s">
        <v>150</v>
      </c>
      <c r="E2493" t="s">
        <v>33</v>
      </c>
      <c r="F2493" t="s">
        <v>63</v>
      </c>
      <c r="G2493">
        <v>7.3</v>
      </c>
      <c r="H2493" s="9">
        <v>-2.67</v>
      </c>
      <c r="I2493"/>
    </row>
    <row r="2494" spans="1:9" x14ac:dyDescent="0.3">
      <c r="A2494" t="s">
        <v>9</v>
      </c>
      <c r="B2494" t="s">
        <v>19</v>
      </c>
      <c r="C2494" t="s">
        <v>152</v>
      </c>
      <c r="D2494" s="9" t="s">
        <v>150</v>
      </c>
      <c r="E2494" t="s">
        <v>34</v>
      </c>
      <c r="F2494" t="s">
        <v>65</v>
      </c>
      <c r="G2494">
        <v>9.1</v>
      </c>
      <c r="H2494" s="9">
        <v>5.81</v>
      </c>
      <c r="I2494"/>
    </row>
    <row r="2495" spans="1:9" x14ac:dyDescent="0.3">
      <c r="A2495" t="s">
        <v>9</v>
      </c>
      <c r="B2495" t="s">
        <v>19</v>
      </c>
      <c r="C2495" t="s">
        <v>153</v>
      </c>
      <c r="D2495" s="9" t="s">
        <v>150</v>
      </c>
      <c r="E2495" t="s">
        <v>35</v>
      </c>
      <c r="F2495" t="s">
        <v>67</v>
      </c>
      <c r="G2495">
        <v>9.3000000000000007</v>
      </c>
      <c r="H2495" s="9">
        <v>8.14</v>
      </c>
      <c r="I2495"/>
    </row>
    <row r="2496" spans="1:9" x14ac:dyDescent="0.3">
      <c r="A2496" t="s">
        <v>9</v>
      </c>
      <c r="B2496" t="s">
        <v>19</v>
      </c>
      <c r="C2496" t="s">
        <v>154</v>
      </c>
      <c r="D2496" s="9" t="s">
        <v>150</v>
      </c>
      <c r="E2496" t="s">
        <v>36</v>
      </c>
      <c r="F2496" t="s">
        <v>69</v>
      </c>
      <c r="G2496">
        <v>10.5</v>
      </c>
      <c r="H2496" s="9">
        <v>8.25</v>
      </c>
      <c r="I2496"/>
    </row>
    <row r="2497" spans="1:9" x14ac:dyDescent="0.3">
      <c r="A2497" t="s">
        <v>9</v>
      </c>
      <c r="B2497" t="s">
        <v>19</v>
      </c>
      <c r="C2497" t="s">
        <v>155</v>
      </c>
      <c r="D2497" s="9" t="s">
        <v>150</v>
      </c>
      <c r="E2497" t="s">
        <v>37</v>
      </c>
      <c r="F2497" t="s">
        <v>71</v>
      </c>
      <c r="G2497">
        <v>11</v>
      </c>
      <c r="H2497" s="9">
        <v>11.11</v>
      </c>
      <c r="I2497"/>
    </row>
    <row r="2498" spans="1:9" x14ac:dyDescent="0.3">
      <c r="A2498" t="s">
        <v>9</v>
      </c>
      <c r="B2498" t="s">
        <v>13</v>
      </c>
      <c r="C2498" t="s">
        <v>59</v>
      </c>
      <c r="D2498" s="9" t="s">
        <v>60</v>
      </c>
      <c r="E2498" t="s">
        <v>32</v>
      </c>
      <c r="F2498" t="s">
        <v>61</v>
      </c>
      <c r="G2498">
        <v>10.5</v>
      </c>
      <c r="I2498"/>
    </row>
    <row r="2499" spans="1:9" x14ac:dyDescent="0.3">
      <c r="A2499" t="s">
        <v>9</v>
      </c>
      <c r="B2499" t="s">
        <v>13</v>
      </c>
      <c r="C2499" t="s">
        <v>62</v>
      </c>
      <c r="D2499" s="9" t="s">
        <v>60</v>
      </c>
      <c r="E2499" t="s">
        <v>33</v>
      </c>
      <c r="F2499" t="s">
        <v>63</v>
      </c>
      <c r="G2499">
        <v>9.9</v>
      </c>
      <c r="I2499"/>
    </row>
    <row r="2500" spans="1:9" x14ac:dyDescent="0.3">
      <c r="A2500" t="s">
        <v>9</v>
      </c>
      <c r="B2500" t="s">
        <v>13</v>
      </c>
      <c r="C2500" t="s">
        <v>64</v>
      </c>
      <c r="D2500" s="9" t="s">
        <v>60</v>
      </c>
      <c r="E2500" t="s">
        <v>34</v>
      </c>
      <c r="F2500" t="s">
        <v>65</v>
      </c>
      <c r="G2500">
        <v>10.4</v>
      </c>
      <c r="I2500"/>
    </row>
    <row r="2501" spans="1:9" x14ac:dyDescent="0.3">
      <c r="A2501" t="s">
        <v>9</v>
      </c>
      <c r="B2501" t="s">
        <v>13</v>
      </c>
      <c r="C2501" t="s">
        <v>66</v>
      </c>
      <c r="D2501" s="9" t="s">
        <v>60</v>
      </c>
      <c r="E2501" t="s">
        <v>35</v>
      </c>
      <c r="F2501" t="s">
        <v>67</v>
      </c>
      <c r="G2501">
        <v>8.6999999999999993</v>
      </c>
      <c r="I2501"/>
    </row>
    <row r="2502" spans="1:9" x14ac:dyDescent="0.3">
      <c r="A2502" t="s">
        <v>9</v>
      </c>
      <c r="B2502" t="s">
        <v>13</v>
      </c>
      <c r="C2502" t="s">
        <v>68</v>
      </c>
      <c r="D2502" s="9" t="s">
        <v>60</v>
      </c>
      <c r="E2502" t="s">
        <v>36</v>
      </c>
      <c r="F2502" t="s">
        <v>69</v>
      </c>
      <c r="G2502">
        <v>9.4</v>
      </c>
      <c r="I2502"/>
    </row>
    <row r="2503" spans="1:9" x14ac:dyDescent="0.3">
      <c r="A2503" t="s">
        <v>9</v>
      </c>
      <c r="B2503" t="s">
        <v>13</v>
      </c>
      <c r="C2503" t="s">
        <v>70</v>
      </c>
      <c r="D2503" s="9" t="s">
        <v>60</v>
      </c>
      <c r="E2503" t="s">
        <v>37</v>
      </c>
      <c r="F2503" t="s">
        <v>71</v>
      </c>
      <c r="G2503">
        <v>11.7</v>
      </c>
      <c r="I2503"/>
    </row>
    <row r="2504" spans="1:9" x14ac:dyDescent="0.3">
      <c r="A2504" t="s">
        <v>9</v>
      </c>
      <c r="B2504" t="s">
        <v>13</v>
      </c>
      <c r="C2504" t="s">
        <v>72</v>
      </c>
      <c r="D2504" s="9" t="s">
        <v>60</v>
      </c>
      <c r="E2504" t="s">
        <v>38</v>
      </c>
      <c r="F2504" t="s">
        <v>73</v>
      </c>
      <c r="G2504">
        <v>10.199999999999999</v>
      </c>
      <c r="I2504"/>
    </row>
    <row r="2505" spans="1:9" x14ac:dyDescent="0.3">
      <c r="A2505" t="s">
        <v>9</v>
      </c>
      <c r="B2505" t="s">
        <v>13</v>
      </c>
      <c r="C2505" t="s">
        <v>74</v>
      </c>
      <c r="D2505" s="9" t="s">
        <v>60</v>
      </c>
      <c r="E2505" t="s">
        <v>39</v>
      </c>
      <c r="F2505" t="s">
        <v>75</v>
      </c>
      <c r="G2505">
        <v>11.3</v>
      </c>
      <c r="I2505"/>
    </row>
    <row r="2506" spans="1:9" x14ac:dyDescent="0.3">
      <c r="A2506" t="s">
        <v>9</v>
      </c>
      <c r="B2506" t="s">
        <v>13</v>
      </c>
      <c r="C2506" t="s">
        <v>76</v>
      </c>
      <c r="D2506" s="9" t="s">
        <v>60</v>
      </c>
      <c r="E2506" t="s">
        <v>40</v>
      </c>
      <c r="F2506" t="s">
        <v>77</v>
      </c>
      <c r="G2506">
        <v>10.199999999999999</v>
      </c>
      <c r="I2506"/>
    </row>
    <row r="2507" spans="1:9" x14ac:dyDescent="0.3">
      <c r="A2507" t="s">
        <v>9</v>
      </c>
      <c r="B2507" t="s">
        <v>13</v>
      </c>
      <c r="C2507" t="s">
        <v>78</v>
      </c>
      <c r="D2507" s="9" t="s">
        <v>60</v>
      </c>
      <c r="E2507" t="s">
        <v>41</v>
      </c>
      <c r="F2507" t="s">
        <v>79</v>
      </c>
      <c r="G2507">
        <v>12.4</v>
      </c>
      <c r="I2507"/>
    </row>
    <row r="2508" spans="1:9" x14ac:dyDescent="0.3">
      <c r="A2508" t="s">
        <v>9</v>
      </c>
      <c r="B2508" t="s">
        <v>13</v>
      </c>
      <c r="C2508" t="s">
        <v>80</v>
      </c>
      <c r="D2508" s="9" t="s">
        <v>60</v>
      </c>
      <c r="E2508" t="s">
        <v>42</v>
      </c>
      <c r="F2508" t="s">
        <v>81</v>
      </c>
      <c r="G2508">
        <v>13.3</v>
      </c>
      <c r="I2508"/>
    </row>
    <row r="2509" spans="1:9" x14ac:dyDescent="0.3">
      <c r="A2509" t="s">
        <v>9</v>
      </c>
      <c r="B2509" t="s">
        <v>13</v>
      </c>
      <c r="C2509" t="s">
        <v>82</v>
      </c>
      <c r="D2509" s="9" t="s">
        <v>60</v>
      </c>
      <c r="E2509" t="s">
        <v>43</v>
      </c>
      <c r="F2509" t="s">
        <v>83</v>
      </c>
      <c r="G2509">
        <v>17.399999999999999</v>
      </c>
      <c r="I2509"/>
    </row>
    <row r="2510" spans="1:9" x14ac:dyDescent="0.3">
      <c r="A2510" t="s">
        <v>9</v>
      </c>
      <c r="B2510" t="s">
        <v>13</v>
      </c>
      <c r="C2510" t="s">
        <v>84</v>
      </c>
      <c r="D2510" s="9" t="s">
        <v>85</v>
      </c>
      <c r="E2510" t="s">
        <v>32</v>
      </c>
      <c r="F2510" t="s">
        <v>61</v>
      </c>
      <c r="G2510">
        <v>10.9</v>
      </c>
      <c r="H2510" s="9">
        <v>3.81</v>
      </c>
      <c r="I2510"/>
    </row>
    <row r="2511" spans="1:9" x14ac:dyDescent="0.3">
      <c r="A2511" t="s">
        <v>9</v>
      </c>
      <c r="B2511" t="s">
        <v>13</v>
      </c>
      <c r="C2511" t="s">
        <v>86</v>
      </c>
      <c r="D2511" s="9" t="s">
        <v>85</v>
      </c>
      <c r="E2511" t="s">
        <v>33</v>
      </c>
      <c r="F2511" t="s">
        <v>63</v>
      </c>
      <c r="G2511">
        <v>11.3</v>
      </c>
      <c r="H2511" s="9">
        <v>14.14</v>
      </c>
      <c r="I2511"/>
    </row>
    <row r="2512" spans="1:9" x14ac:dyDescent="0.3">
      <c r="A2512" t="s">
        <v>9</v>
      </c>
      <c r="B2512" t="s">
        <v>13</v>
      </c>
      <c r="C2512" t="s">
        <v>87</v>
      </c>
      <c r="D2512" s="9" t="s">
        <v>85</v>
      </c>
      <c r="E2512" t="s">
        <v>34</v>
      </c>
      <c r="F2512" t="s">
        <v>65</v>
      </c>
      <c r="G2512">
        <v>14.5</v>
      </c>
      <c r="H2512" s="9">
        <v>39.42</v>
      </c>
      <c r="I2512"/>
    </row>
    <row r="2513" spans="1:9" x14ac:dyDescent="0.3">
      <c r="A2513" t="s">
        <v>9</v>
      </c>
      <c r="B2513" t="s">
        <v>13</v>
      </c>
      <c r="C2513" t="s">
        <v>88</v>
      </c>
      <c r="D2513" s="9" t="s">
        <v>85</v>
      </c>
      <c r="E2513" t="s">
        <v>35</v>
      </c>
      <c r="F2513" t="s">
        <v>67</v>
      </c>
      <c r="G2513">
        <v>15</v>
      </c>
      <c r="H2513" s="9">
        <v>72.41</v>
      </c>
      <c r="I2513"/>
    </row>
    <row r="2514" spans="1:9" x14ac:dyDescent="0.3">
      <c r="A2514" t="s">
        <v>9</v>
      </c>
      <c r="B2514" t="s">
        <v>13</v>
      </c>
      <c r="C2514" t="s">
        <v>89</v>
      </c>
      <c r="D2514" s="9" t="s">
        <v>85</v>
      </c>
      <c r="E2514" t="s">
        <v>36</v>
      </c>
      <c r="F2514" t="s">
        <v>69</v>
      </c>
      <c r="G2514">
        <v>15.6</v>
      </c>
      <c r="H2514" s="9">
        <v>65.959999999999994</v>
      </c>
      <c r="I2514"/>
    </row>
    <row r="2515" spans="1:9" x14ac:dyDescent="0.3">
      <c r="A2515" t="s">
        <v>9</v>
      </c>
      <c r="B2515" t="s">
        <v>13</v>
      </c>
      <c r="C2515" t="s">
        <v>90</v>
      </c>
      <c r="D2515" s="9" t="s">
        <v>85</v>
      </c>
      <c r="E2515" t="s">
        <v>37</v>
      </c>
      <c r="F2515" t="s">
        <v>71</v>
      </c>
      <c r="G2515">
        <v>16</v>
      </c>
      <c r="H2515" s="9">
        <v>36.75</v>
      </c>
      <c r="I2515"/>
    </row>
    <row r="2516" spans="1:9" x14ac:dyDescent="0.3">
      <c r="A2516" t="s">
        <v>9</v>
      </c>
      <c r="B2516" t="s">
        <v>13</v>
      </c>
      <c r="C2516" t="s">
        <v>91</v>
      </c>
      <c r="D2516" s="9" t="s">
        <v>85</v>
      </c>
      <c r="E2516" t="s">
        <v>38</v>
      </c>
      <c r="F2516" t="s">
        <v>73</v>
      </c>
      <c r="G2516">
        <v>16.3</v>
      </c>
      <c r="H2516" s="9">
        <v>59.8</v>
      </c>
      <c r="I2516"/>
    </row>
    <row r="2517" spans="1:9" x14ac:dyDescent="0.3">
      <c r="A2517" t="s">
        <v>9</v>
      </c>
      <c r="B2517" t="s">
        <v>13</v>
      </c>
      <c r="C2517" t="s">
        <v>92</v>
      </c>
      <c r="D2517" s="9" t="s">
        <v>85</v>
      </c>
      <c r="E2517" t="s">
        <v>39</v>
      </c>
      <c r="F2517" t="s">
        <v>75</v>
      </c>
      <c r="G2517">
        <v>16.3</v>
      </c>
      <c r="H2517" s="9">
        <v>44.25</v>
      </c>
      <c r="I2517"/>
    </row>
    <row r="2518" spans="1:9" x14ac:dyDescent="0.3">
      <c r="A2518" t="s">
        <v>9</v>
      </c>
      <c r="B2518" t="s">
        <v>13</v>
      </c>
      <c r="C2518" t="s">
        <v>93</v>
      </c>
      <c r="D2518" s="9" t="s">
        <v>85</v>
      </c>
      <c r="E2518" t="s">
        <v>40</v>
      </c>
      <c r="F2518" t="s">
        <v>77</v>
      </c>
      <c r="G2518">
        <v>15.8</v>
      </c>
      <c r="H2518" s="9">
        <v>54.9</v>
      </c>
      <c r="I2518"/>
    </row>
    <row r="2519" spans="1:9" x14ac:dyDescent="0.3">
      <c r="A2519" t="s">
        <v>9</v>
      </c>
      <c r="B2519" t="s">
        <v>13</v>
      </c>
      <c r="C2519" t="s">
        <v>94</v>
      </c>
      <c r="D2519" s="9" t="s">
        <v>85</v>
      </c>
      <c r="E2519" t="s">
        <v>41</v>
      </c>
      <c r="F2519" t="s">
        <v>79</v>
      </c>
      <c r="G2519">
        <v>15.6</v>
      </c>
      <c r="H2519" s="9">
        <v>25.81</v>
      </c>
      <c r="I2519"/>
    </row>
    <row r="2520" spans="1:9" x14ac:dyDescent="0.3">
      <c r="A2520" t="s">
        <v>9</v>
      </c>
      <c r="B2520" t="s">
        <v>13</v>
      </c>
      <c r="C2520" t="s">
        <v>95</v>
      </c>
      <c r="D2520" s="9" t="s">
        <v>85</v>
      </c>
      <c r="E2520" t="s">
        <v>42</v>
      </c>
      <c r="F2520" t="s">
        <v>81</v>
      </c>
      <c r="G2520">
        <v>17.899999999999999</v>
      </c>
      <c r="H2520" s="9">
        <v>34.590000000000003</v>
      </c>
      <c r="I2520"/>
    </row>
    <row r="2521" spans="1:9" x14ac:dyDescent="0.3">
      <c r="A2521" t="s">
        <v>9</v>
      </c>
      <c r="B2521" t="s">
        <v>13</v>
      </c>
      <c r="C2521" t="s">
        <v>96</v>
      </c>
      <c r="D2521" s="9" t="s">
        <v>85</v>
      </c>
      <c r="E2521" t="s">
        <v>43</v>
      </c>
      <c r="F2521" t="s">
        <v>83</v>
      </c>
      <c r="G2521">
        <v>21.6</v>
      </c>
      <c r="H2521" s="9">
        <v>24.14</v>
      </c>
      <c r="I2521"/>
    </row>
    <row r="2522" spans="1:9" x14ac:dyDescent="0.3">
      <c r="A2522" t="s">
        <v>9</v>
      </c>
      <c r="B2522" t="s">
        <v>13</v>
      </c>
      <c r="C2522" t="s">
        <v>97</v>
      </c>
      <c r="D2522" s="9" t="s">
        <v>98</v>
      </c>
      <c r="E2522" t="s">
        <v>32</v>
      </c>
      <c r="F2522" t="s">
        <v>61</v>
      </c>
      <c r="G2522">
        <v>13.5</v>
      </c>
      <c r="H2522" s="9">
        <v>23.85</v>
      </c>
      <c r="I2522"/>
    </row>
    <row r="2523" spans="1:9" x14ac:dyDescent="0.3">
      <c r="A2523" t="s">
        <v>9</v>
      </c>
      <c r="B2523" t="s">
        <v>13</v>
      </c>
      <c r="C2523" t="s">
        <v>99</v>
      </c>
      <c r="D2523" s="9" t="s">
        <v>98</v>
      </c>
      <c r="E2523" t="s">
        <v>33</v>
      </c>
      <c r="F2523" t="s">
        <v>63</v>
      </c>
      <c r="G2523">
        <v>13.5</v>
      </c>
      <c r="H2523" s="9">
        <v>19.47</v>
      </c>
      <c r="I2523"/>
    </row>
    <row r="2524" spans="1:9" x14ac:dyDescent="0.3">
      <c r="A2524" t="s">
        <v>9</v>
      </c>
      <c r="B2524" t="s">
        <v>13</v>
      </c>
      <c r="C2524" t="s">
        <v>100</v>
      </c>
      <c r="D2524" s="9" t="s">
        <v>98</v>
      </c>
      <c r="E2524" t="s">
        <v>34</v>
      </c>
      <c r="F2524" t="s">
        <v>65</v>
      </c>
      <c r="G2524">
        <v>13.4</v>
      </c>
      <c r="H2524" s="9">
        <v>-7.59</v>
      </c>
      <c r="I2524"/>
    </row>
    <row r="2525" spans="1:9" x14ac:dyDescent="0.3">
      <c r="A2525" t="s">
        <v>9</v>
      </c>
      <c r="B2525" t="s">
        <v>13</v>
      </c>
      <c r="C2525" t="s">
        <v>101</v>
      </c>
      <c r="D2525" s="9" t="s">
        <v>98</v>
      </c>
      <c r="E2525" t="s">
        <v>35</v>
      </c>
      <c r="F2525" t="s">
        <v>67</v>
      </c>
      <c r="G2525">
        <v>12.6</v>
      </c>
      <c r="H2525" s="9">
        <v>-16</v>
      </c>
      <c r="I2525"/>
    </row>
    <row r="2526" spans="1:9" x14ac:dyDescent="0.3">
      <c r="A2526" t="s">
        <v>9</v>
      </c>
      <c r="B2526" t="s">
        <v>13</v>
      </c>
      <c r="C2526" t="s">
        <v>102</v>
      </c>
      <c r="D2526" s="9" t="s">
        <v>98</v>
      </c>
      <c r="E2526" t="s">
        <v>36</v>
      </c>
      <c r="F2526" t="s">
        <v>69</v>
      </c>
      <c r="G2526">
        <v>13.4</v>
      </c>
      <c r="H2526" s="9">
        <v>-14.1</v>
      </c>
      <c r="I2526"/>
    </row>
    <row r="2527" spans="1:9" x14ac:dyDescent="0.3">
      <c r="A2527" t="s">
        <v>9</v>
      </c>
      <c r="B2527" t="s">
        <v>13</v>
      </c>
      <c r="C2527" t="s">
        <v>103</v>
      </c>
      <c r="D2527" s="9" t="s">
        <v>98</v>
      </c>
      <c r="E2527" t="s">
        <v>37</v>
      </c>
      <c r="F2527" t="s">
        <v>71</v>
      </c>
      <c r="G2527">
        <v>14.1</v>
      </c>
      <c r="H2527" s="9">
        <v>-11.88</v>
      </c>
      <c r="I2527"/>
    </row>
    <row r="2528" spans="1:9" x14ac:dyDescent="0.3">
      <c r="A2528" t="s">
        <v>9</v>
      </c>
      <c r="B2528" t="s">
        <v>13</v>
      </c>
      <c r="C2528" t="s">
        <v>104</v>
      </c>
      <c r="D2528" s="9" t="s">
        <v>98</v>
      </c>
      <c r="E2528" t="s">
        <v>38</v>
      </c>
      <c r="F2528" t="s">
        <v>73</v>
      </c>
      <c r="G2528">
        <v>15.6</v>
      </c>
      <c r="H2528" s="9">
        <v>-4.29</v>
      </c>
      <c r="I2528"/>
    </row>
    <row r="2529" spans="1:9" x14ac:dyDescent="0.3">
      <c r="A2529" t="s">
        <v>9</v>
      </c>
      <c r="B2529" t="s">
        <v>13</v>
      </c>
      <c r="C2529" t="s">
        <v>105</v>
      </c>
      <c r="D2529" s="9" t="s">
        <v>98</v>
      </c>
      <c r="E2529" t="s">
        <v>39</v>
      </c>
      <c r="F2529" t="s">
        <v>75</v>
      </c>
      <c r="G2529">
        <v>15.7</v>
      </c>
      <c r="H2529" s="9">
        <v>-3.68</v>
      </c>
      <c r="I2529"/>
    </row>
    <row r="2530" spans="1:9" x14ac:dyDescent="0.3">
      <c r="A2530" t="s">
        <v>9</v>
      </c>
      <c r="B2530" t="s">
        <v>13</v>
      </c>
      <c r="C2530" t="s">
        <v>106</v>
      </c>
      <c r="D2530" s="9" t="s">
        <v>98</v>
      </c>
      <c r="E2530" t="s">
        <v>40</v>
      </c>
      <c r="F2530" t="s">
        <v>77</v>
      </c>
      <c r="G2530">
        <v>15.8</v>
      </c>
      <c r="H2530" s="9">
        <v>0</v>
      </c>
      <c r="I2530"/>
    </row>
    <row r="2531" spans="1:9" x14ac:dyDescent="0.3">
      <c r="A2531" t="s">
        <v>9</v>
      </c>
      <c r="B2531" t="s">
        <v>13</v>
      </c>
      <c r="C2531" t="s">
        <v>107</v>
      </c>
      <c r="D2531" s="9" t="s">
        <v>98</v>
      </c>
      <c r="E2531" t="s">
        <v>41</v>
      </c>
      <c r="F2531" t="s">
        <v>79</v>
      </c>
      <c r="G2531">
        <v>18.3</v>
      </c>
      <c r="H2531" s="9">
        <v>17.309999999999999</v>
      </c>
      <c r="I2531"/>
    </row>
    <row r="2532" spans="1:9" x14ac:dyDescent="0.3">
      <c r="A2532" t="s">
        <v>9</v>
      </c>
      <c r="B2532" t="s">
        <v>13</v>
      </c>
      <c r="C2532" t="s">
        <v>108</v>
      </c>
      <c r="D2532" s="9" t="s">
        <v>98</v>
      </c>
      <c r="E2532" t="s">
        <v>42</v>
      </c>
      <c r="F2532" t="s">
        <v>81</v>
      </c>
      <c r="G2532">
        <v>19.100000000000001</v>
      </c>
      <c r="H2532" s="9">
        <v>6.7</v>
      </c>
      <c r="I2532"/>
    </row>
    <row r="2533" spans="1:9" x14ac:dyDescent="0.3">
      <c r="A2533" t="s">
        <v>9</v>
      </c>
      <c r="B2533" t="s">
        <v>13</v>
      </c>
      <c r="C2533" t="s">
        <v>109</v>
      </c>
      <c r="D2533" s="9" t="s">
        <v>98</v>
      </c>
      <c r="E2533" t="s">
        <v>43</v>
      </c>
      <c r="F2533" t="s">
        <v>83</v>
      </c>
      <c r="G2533">
        <v>23.8</v>
      </c>
      <c r="H2533" s="9">
        <v>10.19</v>
      </c>
      <c r="I2533"/>
    </row>
    <row r="2534" spans="1:9" x14ac:dyDescent="0.3">
      <c r="A2534" t="s">
        <v>9</v>
      </c>
      <c r="B2534" t="s">
        <v>13</v>
      </c>
      <c r="C2534" t="s">
        <v>110</v>
      </c>
      <c r="D2534" s="9" t="s">
        <v>111</v>
      </c>
      <c r="E2534" t="s">
        <v>32</v>
      </c>
      <c r="F2534" t="s">
        <v>61</v>
      </c>
      <c r="G2534">
        <v>16.5</v>
      </c>
      <c r="H2534" s="9">
        <v>22.22</v>
      </c>
      <c r="I2534"/>
    </row>
    <row r="2535" spans="1:9" x14ac:dyDescent="0.3">
      <c r="A2535" t="s">
        <v>9</v>
      </c>
      <c r="B2535" t="s">
        <v>13</v>
      </c>
      <c r="C2535" t="s">
        <v>112</v>
      </c>
      <c r="D2535" s="9" t="s">
        <v>111</v>
      </c>
      <c r="E2535" t="s">
        <v>33</v>
      </c>
      <c r="F2535" t="s">
        <v>63</v>
      </c>
      <c r="G2535">
        <v>14.7</v>
      </c>
      <c r="H2535" s="9">
        <v>8.89</v>
      </c>
      <c r="I2535"/>
    </row>
    <row r="2536" spans="1:9" x14ac:dyDescent="0.3">
      <c r="A2536" t="s">
        <v>9</v>
      </c>
      <c r="B2536" t="s">
        <v>13</v>
      </c>
      <c r="C2536" t="s">
        <v>113</v>
      </c>
      <c r="D2536" s="9" t="s">
        <v>111</v>
      </c>
      <c r="E2536" t="s">
        <v>34</v>
      </c>
      <c r="F2536" t="s">
        <v>65</v>
      </c>
      <c r="G2536">
        <v>16.3</v>
      </c>
      <c r="H2536" s="9">
        <v>21.64</v>
      </c>
      <c r="I2536"/>
    </row>
    <row r="2537" spans="1:9" x14ac:dyDescent="0.3">
      <c r="A2537" t="s">
        <v>9</v>
      </c>
      <c r="B2537" t="s">
        <v>13</v>
      </c>
      <c r="C2537" t="s">
        <v>114</v>
      </c>
      <c r="D2537" s="9" t="s">
        <v>111</v>
      </c>
      <c r="E2537" t="s">
        <v>35</v>
      </c>
      <c r="F2537" t="s">
        <v>67</v>
      </c>
      <c r="G2537">
        <v>14.6</v>
      </c>
      <c r="H2537" s="9">
        <v>15.87</v>
      </c>
      <c r="I2537"/>
    </row>
    <row r="2538" spans="1:9" x14ac:dyDescent="0.3">
      <c r="A2538" t="s">
        <v>9</v>
      </c>
      <c r="B2538" t="s">
        <v>13</v>
      </c>
      <c r="C2538" t="s">
        <v>115</v>
      </c>
      <c r="D2538" s="9" t="s">
        <v>111</v>
      </c>
      <c r="E2538" t="s">
        <v>36</v>
      </c>
      <c r="F2538" t="s">
        <v>69</v>
      </c>
      <c r="G2538">
        <v>15.5</v>
      </c>
      <c r="H2538" s="9">
        <v>15.67</v>
      </c>
      <c r="I2538"/>
    </row>
    <row r="2539" spans="1:9" x14ac:dyDescent="0.3">
      <c r="A2539" t="s">
        <v>9</v>
      </c>
      <c r="B2539" t="s">
        <v>13</v>
      </c>
      <c r="C2539" t="s">
        <v>116</v>
      </c>
      <c r="D2539" s="9" t="s">
        <v>111</v>
      </c>
      <c r="E2539" t="s">
        <v>37</v>
      </c>
      <c r="F2539" t="s">
        <v>71</v>
      </c>
      <c r="G2539">
        <v>18.100000000000001</v>
      </c>
      <c r="H2539" s="9">
        <v>28.37</v>
      </c>
      <c r="I2539"/>
    </row>
    <row r="2540" spans="1:9" x14ac:dyDescent="0.3">
      <c r="A2540" t="s">
        <v>9</v>
      </c>
      <c r="B2540" t="s">
        <v>13</v>
      </c>
      <c r="C2540" t="s">
        <v>117</v>
      </c>
      <c r="D2540" s="9" t="s">
        <v>111</v>
      </c>
      <c r="E2540" t="s">
        <v>38</v>
      </c>
      <c r="F2540" t="s">
        <v>73</v>
      </c>
      <c r="G2540">
        <v>16.2</v>
      </c>
      <c r="H2540" s="9">
        <v>3.85</v>
      </c>
      <c r="I2540"/>
    </row>
    <row r="2541" spans="1:9" x14ac:dyDescent="0.3">
      <c r="A2541" t="s">
        <v>9</v>
      </c>
      <c r="B2541" t="s">
        <v>13</v>
      </c>
      <c r="C2541" t="s">
        <v>118</v>
      </c>
      <c r="D2541" s="9" t="s">
        <v>111</v>
      </c>
      <c r="E2541" t="s">
        <v>39</v>
      </c>
      <c r="F2541" t="s">
        <v>75</v>
      </c>
      <c r="G2541">
        <v>15.7</v>
      </c>
      <c r="H2541" s="9">
        <v>0</v>
      </c>
      <c r="I2541"/>
    </row>
    <row r="2542" spans="1:9" x14ac:dyDescent="0.3">
      <c r="A2542" t="s">
        <v>9</v>
      </c>
      <c r="B2542" t="s">
        <v>13</v>
      </c>
      <c r="C2542" t="s">
        <v>119</v>
      </c>
      <c r="D2542" s="9" t="s">
        <v>111</v>
      </c>
      <c r="E2542" t="s">
        <v>40</v>
      </c>
      <c r="F2542" t="s">
        <v>77</v>
      </c>
      <c r="G2542">
        <v>16.5</v>
      </c>
      <c r="H2542" s="9">
        <v>4.43</v>
      </c>
      <c r="I2542"/>
    </row>
    <row r="2543" spans="1:9" x14ac:dyDescent="0.3">
      <c r="A2543" t="s">
        <v>9</v>
      </c>
      <c r="B2543" t="s">
        <v>13</v>
      </c>
      <c r="C2543" t="s">
        <v>120</v>
      </c>
      <c r="D2543" s="9" t="s">
        <v>111</v>
      </c>
      <c r="E2543" t="s">
        <v>41</v>
      </c>
      <c r="F2543" t="s">
        <v>79</v>
      </c>
      <c r="G2543">
        <v>16.899999999999999</v>
      </c>
      <c r="H2543" s="9">
        <v>-7.65</v>
      </c>
      <c r="I2543"/>
    </row>
    <row r="2544" spans="1:9" x14ac:dyDescent="0.3">
      <c r="A2544" t="s">
        <v>9</v>
      </c>
      <c r="B2544" t="s">
        <v>13</v>
      </c>
      <c r="C2544" t="s">
        <v>121</v>
      </c>
      <c r="D2544" s="9" t="s">
        <v>111</v>
      </c>
      <c r="E2544" t="s">
        <v>42</v>
      </c>
      <c r="F2544" t="s">
        <v>81</v>
      </c>
      <c r="G2544">
        <v>20.399999999999999</v>
      </c>
      <c r="H2544" s="9">
        <v>6.81</v>
      </c>
      <c r="I2544"/>
    </row>
    <row r="2545" spans="1:9" x14ac:dyDescent="0.3">
      <c r="A2545" t="s">
        <v>9</v>
      </c>
      <c r="B2545" t="s">
        <v>13</v>
      </c>
      <c r="C2545" t="s">
        <v>122</v>
      </c>
      <c r="D2545" s="9" t="s">
        <v>111</v>
      </c>
      <c r="E2545" t="s">
        <v>43</v>
      </c>
      <c r="F2545" t="s">
        <v>83</v>
      </c>
      <c r="G2545">
        <v>21.5</v>
      </c>
      <c r="H2545" s="9">
        <v>-9.66</v>
      </c>
      <c r="I2545"/>
    </row>
    <row r="2546" spans="1:9" x14ac:dyDescent="0.3">
      <c r="A2546" t="s">
        <v>9</v>
      </c>
      <c r="B2546" t="s">
        <v>13</v>
      </c>
      <c r="C2546" t="s">
        <v>123</v>
      </c>
      <c r="D2546" s="9" t="s">
        <v>124</v>
      </c>
      <c r="E2546" t="s">
        <v>32</v>
      </c>
      <c r="F2546" t="s">
        <v>61</v>
      </c>
      <c r="G2546">
        <v>15.1</v>
      </c>
      <c r="H2546" s="9">
        <v>-8.48</v>
      </c>
      <c r="I2546"/>
    </row>
    <row r="2547" spans="1:9" x14ac:dyDescent="0.3">
      <c r="A2547" t="s">
        <v>9</v>
      </c>
      <c r="B2547" t="s">
        <v>13</v>
      </c>
      <c r="C2547" t="s">
        <v>125</v>
      </c>
      <c r="D2547" s="9" t="s">
        <v>124</v>
      </c>
      <c r="E2547" t="s">
        <v>33</v>
      </c>
      <c r="F2547" t="s">
        <v>63</v>
      </c>
      <c r="G2547">
        <v>13.9</v>
      </c>
      <c r="H2547" s="9">
        <v>-5.44</v>
      </c>
      <c r="I2547"/>
    </row>
    <row r="2548" spans="1:9" x14ac:dyDescent="0.3">
      <c r="A2548" t="s">
        <v>9</v>
      </c>
      <c r="B2548" t="s">
        <v>13</v>
      </c>
      <c r="C2548" t="s">
        <v>126</v>
      </c>
      <c r="D2548" s="9" t="s">
        <v>124</v>
      </c>
      <c r="E2548" t="s">
        <v>34</v>
      </c>
      <c r="F2548" t="s">
        <v>65</v>
      </c>
      <c r="G2548">
        <v>15.4</v>
      </c>
      <c r="H2548" s="9">
        <v>-5.52</v>
      </c>
      <c r="I2548"/>
    </row>
    <row r="2549" spans="1:9" x14ac:dyDescent="0.3">
      <c r="A2549" t="s">
        <v>9</v>
      </c>
      <c r="B2549" t="s">
        <v>13</v>
      </c>
      <c r="C2549" t="s">
        <v>127</v>
      </c>
      <c r="D2549" s="9" t="s">
        <v>124</v>
      </c>
      <c r="E2549" t="s">
        <v>35</v>
      </c>
      <c r="F2549" t="s">
        <v>67</v>
      </c>
      <c r="G2549">
        <v>13.8</v>
      </c>
      <c r="H2549" s="9">
        <v>-5.48</v>
      </c>
      <c r="I2549"/>
    </row>
    <row r="2550" spans="1:9" x14ac:dyDescent="0.3">
      <c r="A2550" t="s">
        <v>9</v>
      </c>
      <c r="B2550" t="s">
        <v>13</v>
      </c>
      <c r="C2550" t="s">
        <v>128</v>
      </c>
      <c r="D2550" s="9" t="s">
        <v>124</v>
      </c>
      <c r="E2550" t="s">
        <v>36</v>
      </c>
      <c r="F2550" t="s">
        <v>69</v>
      </c>
      <c r="G2550">
        <v>15.3</v>
      </c>
      <c r="H2550" s="9">
        <v>-1.29</v>
      </c>
      <c r="I2550"/>
    </row>
    <row r="2551" spans="1:9" x14ac:dyDescent="0.3">
      <c r="A2551" t="s">
        <v>9</v>
      </c>
      <c r="B2551" t="s">
        <v>13</v>
      </c>
      <c r="C2551" t="s">
        <v>129</v>
      </c>
      <c r="D2551" s="9" t="s">
        <v>124</v>
      </c>
      <c r="E2551" t="s">
        <v>37</v>
      </c>
      <c r="F2551" t="s">
        <v>71</v>
      </c>
      <c r="G2551">
        <v>17.899999999999999</v>
      </c>
      <c r="H2551" s="9">
        <v>-1.1000000000000001</v>
      </c>
      <c r="I2551"/>
    </row>
    <row r="2552" spans="1:9" x14ac:dyDescent="0.3">
      <c r="A2552" t="s">
        <v>9</v>
      </c>
      <c r="B2552" t="s">
        <v>13</v>
      </c>
      <c r="C2552" t="s">
        <v>130</v>
      </c>
      <c r="D2552" s="9" t="s">
        <v>124</v>
      </c>
      <c r="E2552" t="s">
        <v>38</v>
      </c>
      <c r="F2552" t="s">
        <v>73</v>
      </c>
      <c r="G2552">
        <v>16.7</v>
      </c>
      <c r="H2552" s="9">
        <v>3.09</v>
      </c>
      <c r="I2552"/>
    </row>
    <row r="2553" spans="1:9" x14ac:dyDescent="0.3">
      <c r="A2553" t="s">
        <v>9</v>
      </c>
      <c r="B2553" t="s">
        <v>13</v>
      </c>
      <c r="C2553" t="s">
        <v>131</v>
      </c>
      <c r="D2553" s="9" t="s">
        <v>124</v>
      </c>
      <c r="E2553" t="s">
        <v>39</v>
      </c>
      <c r="F2553" t="s">
        <v>75</v>
      </c>
      <c r="G2553">
        <v>15.9</v>
      </c>
      <c r="H2553" s="9">
        <v>1.27</v>
      </c>
      <c r="I2553"/>
    </row>
    <row r="2554" spans="1:9" x14ac:dyDescent="0.3">
      <c r="A2554" t="s">
        <v>9</v>
      </c>
      <c r="B2554" t="s">
        <v>13</v>
      </c>
      <c r="C2554" t="s">
        <v>132</v>
      </c>
      <c r="D2554" s="9" t="s">
        <v>124</v>
      </c>
      <c r="E2554" t="s">
        <v>40</v>
      </c>
      <c r="F2554" t="s">
        <v>77</v>
      </c>
      <c r="G2554">
        <v>15.7</v>
      </c>
      <c r="H2554" s="9">
        <v>-4.8499999999999996</v>
      </c>
      <c r="I2554"/>
    </row>
    <row r="2555" spans="1:9" x14ac:dyDescent="0.3">
      <c r="A2555" t="s">
        <v>9</v>
      </c>
      <c r="B2555" t="s">
        <v>13</v>
      </c>
      <c r="C2555" t="s">
        <v>133</v>
      </c>
      <c r="D2555" s="9" t="s">
        <v>124</v>
      </c>
      <c r="E2555" t="s">
        <v>41</v>
      </c>
      <c r="F2555" t="s">
        <v>79</v>
      </c>
      <c r="G2555">
        <v>15.5</v>
      </c>
      <c r="H2555" s="9">
        <v>-8.2799999999999994</v>
      </c>
      <c r="I2555"/>
    </row>
    <row r="2556" spans="1:9" x14ac:dyDescent="0.3">
      <c r="A2556" t="s">
        <v>9</v>
      </c>
      <c r="B2556" t="s">
        <v>13</v>
      </c>
      <c r="C2556" t="s">
        <v>134</v>
      </c>
      <c r="D2556" s="9" t="s">
        <v>124</v>
      </c>
      <c r="E2556" t="s">
        <v>42</v>
      </c>
      <c r="F2556" t="s">
        <v>81</v>
      </c>
      <c r="G2556">
        <v>21.1</v>
      </c>
      <c r="H2556" s="9">
        <v>3.43</v>
      </c>
      <c r="I2556"/>
    </row>
    <row r="2557" spans="1:9" x14ac:dyDescent="0.3">
      <c r="A2557" t="s">
        <v>9</v>
      </c>
      <c r="B2557" t="s">
        <v>13</v>
      </c>
      <c r="C2557" t="s">
        <v>135</v>
      </c>
      <c r="D2557" s="9" t="s">
        <v>124</v>
      </c>
      <c r="E2557" t="s">
        <v>43</v>
      </c>
      <c r="F2557" t="s">
        <v>83</v>
      </c>
      <c r="G2557">
        <v>22.3</v>
      </c>
      <c r="H2557" s="9">
        <v>3.72</v>
      </c>
      <c r="I2557"/>
    </row>
    <row r="2558" spans="1:9" x14ac:dyDescent="0.3">
      <c r="A2558" t="s">
        <v>9</v>
      </c>
      <c r="B2558" t="s">
        <v>13</v>
      </c>
      <c r="C2558" t="s">
        <v>136</v>
      </c>
      <c r="D2558" s="9" t="s">
        <v>137</v>
      </c>
      <c r="E2558" t="s">
        <v>32</v>
      </c>
      <c r="F2558" t="s">
        <v>61</v>
      </c>
      <c r="G2558">
        <v>15.3</v>
      </c>
      <c r="H2558" s="9">
        <v>1.32</v>
      </c>
      <c r="I2558"/>
    </row>
    <row r="2559" spans="1:9" x14ac:dyDescent="0.3">
      <c r="A2559" t="s">
        <v>9</v>
      </c>
      <c r="B2559" t="s">
        <v>13</v>
      </c>
      <c r="C2559" t="s">
        <v>138</v>
      </c>
      <c r="D2559" s="9" t="s">
        <v>137</v>
      </c>
      <c r="E2559" t="s">
        <v>33</v>
      </c>
      <c r="F2559" t="s">
        <v>63</v>
      </c>
      <c r="G2559">
        <v>15</v>
      </c>
      <c r="H2559" s="9">
        <v>7.91</v>
      </c>
      <c r="I2559"/>
    </row>
    <row r="2560" spans="1:9" x14ac:dyDescent="0.3">
      <c r="A2560" t="s">
        <v>9</v>
      </c>
      <c r="B2560" t="s">
        <v>13</v>
      </c>
      <c r="C2560" t="s">
        <v>139</v>
      </c>
      <c r="D2560" s="9" t="s">
        <v>137</v>
      </c>
      <c r="E2560" t="s">
        <v>34</v>
      </c>
      <c r="F2560" t="s">
        <v>65</v>
      </c>
      <c r="G2560">
        <v>15.8</v>
      </c>
      <c r="H2560" s="9">
        <v>2.6</v>
      </c>
      <c r="I2560"/>
    </row>
    <row r="2561" spans="1:9" x14ac:dyDescent="0.3">
      <c r="A2561" t="s">
        <v>9</v>
      </c>
      <c r="B2561" t="s">
        <v>13</v>
      </c>
      <c r="C2561" t="s">
        <v>140</v>
      </c>
      <c r="D2561" s="9" t="s">
        <v>137</v>
      </c>
      <c r="E2561" t="s">
        <v>35</v>
      </c>
      <c r="F2561" t="s">
        <v>67</v>
      </c>
      <c r="G2561">
        <v>14.1</v>
      </c>
      <c r="H2561" s="9">
        <v>2.17</v>
      </c>
      <c r="I2561"/>
    </row>
    <row r="2562" spans="1:9" x14ac:dyDescent="0.3">
      <c r="A2562" t="s">
        <v>9</v>
      </c>
      <c r="B2562" t="s">
        <v>13</v>
      </c>
      <c r="C2562" t="s">
        <v>141</v>
      </c>
      <c r="D2562" s="9" t="s">
        <v>137</v>
      </c>
      <c r="E2562" t="s">
        <v>36</v>
      </c>
      <c r="F2562" t="s">
        <v>69</v>
      </c>
      <c r="G2562">
        <v>15.3</v>
      </c>
      <c r="H2562" s="9">
        <v>0</v>
      </c>
      <c r="I2562"/>
    </row>
    <row r="2563" spans="1:9" x14ac:dyDescent="0.3">
      <c r="A2563" t="s">
        <v>9</v>
      </c>
      <c r="B2563" t="s">
        <v>13</v>
      </c>
      <c r="C2563" t="s">
        <v>142</v>
      </c>
      <c r="D2563" s="9" t="s">
        <v>137</v>
      </c>
      <c r="E2563" t="s">
        <v>37</v>
      </c>
      <c r="F2563" t="s">
        <v>71</v>
      </c>
      <c r="G2563">
        <v>18.8</v>
      </c>
      <c r="H2563" s="9">
        <v>5.03</v>
      </c>
      <c r="I2563"/>
    </row>
    <row r="2564" spans="1:9" x14ac:dyDescent="0.3">
      <c r="A2564" t="s">
        <v>9</v>
      </c>
      <c r="B2564" t="s">
        <v>13</v>
      </c>
      <c r="C2564" t="s">
        <v>143</v>
      </c>
      <c r="D2564" s="9" t="s">
        <v>137</v>
      </c>
      <c r="E2564" t="s">
        <v>38</v>
      </c>
      <c r="F2564" t="s">
        <v>73</v>
      </c>
      <c r="G2564">
        <v>17.2</v>
      </c>
      <c r="H2564" s="9">
        <v>2.99</v>
      </c>
      <c r="I2564"/>
    </row>
    <row r="2565" spans="1:9" x14ac:dyDescent="0.3">
      <c r="A2565" t="s">
        <v>9</v>
      </c>
      <c r="B2565" t="s">
        <v>13</v>
      </c>
      <c r="C2565" t="s">
        <v>144</v>
      </c>
      <c r="D2565" s="9" t="s">
        <v>137</v>
      </c>
      <c r="E2565" t="s">
        <v>39</v>
      </c>
      <c r="F2565" t="s">
        <v>75</v>
      </c>
      <c r="G2565">
        <v>16.7</v>
      </c>
      <c r="H2565" s="9">
        <v>5.03</v>
      </c>
      <c r="I2565"/>
    </row>
    <row r="2566" spans="1:9" x14ac:dyDescent="0.3">
      <c r="A2566" t="s">
        <v>9</v>
      </c>
      <c r="B2566" t="s">
        <v>13</v>
      </c>
      <c r="C2566" t="s">
        <v>145</v>
      </c>
      <c r="D2566" s="9" t="s">
        <v>137</v>
      </c>
      <c r="E2566" t="s">
        <v>40</v>
      </c>
      <c r="F2566" t="s">
        <v>77</v>
      </c>
      <c r="G2566">
        <v>16.7</v>
      </c>
      <c r="H2566" s="9">
        <v>6.37</v>
      </c>
      <c r="I2566"/>
    </row>
    <row r="2567" spans="1:9" x14ac:dyDescent="0.3">
      <c r="A2567" t="s">
        <v>9</v>
      </c>
      <c r="B2567" t="s">
        <v>13</v>
      </c>
      <c r="C2567" t="s">
        <v>146</v>
      </c>
      <c r="D2567" s="9" t="s">
        <v>137</v>
      </c>
      <c r="E2567" t="s">
        <v>41</v>
      </c>
      <c r="F2567" t="s">
        <v>79</v>
      </c>
      <c r="G2567">
        <v>16.8</v>
      </c>
      <c r="H2567" s="9">
        <v>8.39</v>
      </c>
      <c r="I2567"/>
    </row>
    <row r="2568" spans="1:9" x14ac:dyDescent="0.3">
      <c r="A2568" t="s">
        <v>9</v>
      </c>
      <c r="B2568" t="s">
        <v>13</v>
      </c>
      <c r="C2568" t="s">
        <v>147</v>
      </c>
      <c r="D2568" s="9" t="s">
        <v>137</v>
      </c>
      <c r="E2568" t="s">
        <v>42</v>
      </c>
      <c r="F2568" t="s">
        <v>81</v>
      </c>
      <c r="G2568">
        <v>22</v>
      </c>
      <c r="H2568" s="9">
        <v>4.2699999999999996</v>
      </c>
      <c r="I2568"/>
    </row>
    <row r="2569" spans="1:9" x14ac:dyDescent="0.3">
      <c r="A2569" t="s">
        <v>9</v>
      </c>
      <c r="B2569" t="s">
        <v>13</v>
      </c>
      <c r="C2569" t="s">
        <v>148</v>
      </c>
      <c r="D2569" s="9" t="s">
        <v>137</v>
      </c>
      <c r="E2569" t="s">
        <v>43</v>
      </c>
      <c r="F2569" t="s">
        <v>83</v>
      </c>
      <c r="G2569">
        <v>26.1</v>
      </c>
      <c r="H2569" s="9">
        <v>17.04</v>
      </c>
      <c r="I2569"/>
    </row>
    <row r="2570" spans="1:9" x14ac:dyDescent="0.3">
      <c r="A2570" t="s">
        <v>9</v>
      </c>
      <c r="B2570" t="s">
        <v>13</v>
      </c>
      <c r="C2570" t="s">
        <v>149</v>
      </c>
      <c r="D2570" s="9" t="s">
        <v>150</v>
      </c>
      <c r="E2570" t="s">
        <v>32</v>
      </c>
      <c r="F2570" t="s">
        <v>61</v>
      </c>
      <c r="G2570">
        <v>16.7</v>
      </c>
      <c r="H2570" s="9">
        <v>9.15</v>
      </c>
      <c r="I2570"/>
    </row>
    <row r="2571" spans="1:9" x14ac:dyDescent="0.3">
      <c r="A2571" t="s">
        <v>9</v>
      </c>
      <c r="B2571" t="s">
        <v>13</v>
      </c>
      <c r="C2571" t="s">
        <v>151</v>
      </c>
      <c r="D2571" s="9" t="s">
        <v>150</v>
      </c>
      <c r="E2571" t="s">
        <v>33</v>
      </c>
      <c r="F2571" t="s">
        <v>63</v>
      </c>
      <c r="G2571">
        <v>15.4</v>
      </c>
      <c r="H2571" s="9">
        <v>2.67</v>
      </c>
      <c r="I2571"/>
    </row>
    <row r="2572" spans="1:9" x14ac:dyDescent="0.3">
      <c r="A2572" t="s">
        <v>9</v>
      </c>
      <c r="B2572" t="s">
        <v>13</v>
      </c>
      <c r="C2572" t="s">
        <v>152</v>
      </c>
      <c r="D2572" s="9" t="s">
        <v>150</v>
      </c>
      <c r="E2572" t="s">
        <v>34</v>
      </c>
      <c r="F2572" t="s">
        <v>65</v>
      </c>
      <c r="G2572">
        <v>17.600000000000001</v>
      </c>
      <c r="H2572" s="9">
        <v>11.39</v>
      </c>
      <c r="I2572"/>
    </row>
    <row r="2573" spans="1:9" x14ac:dyDescent="0.3">
      <c r="A2573" t="s">
        <v>9</v>
      </c>
      <c r="B2573" t="s">
        <v>13</v>
      </c>
      <c r="C2573" t="s">
        <v>153</v>
      </c>
      <c r="D2573" s="9" t="s">
        <v>150</v>
      </c>
      <c r="E2573" t="s">
        <v>35</v>
      </c>
      <c r="F2573" t="s">
        <v>67</v>
      </c>
      <c r="G2573">
        <v>16.7</v>
      </c>
      <c r="H2573" s="9">
        <v>18.440000000000001</v>
      </c>
      <c r="I2573"/>
    </row>
    <row r="2574" spans="1:9" x14ac:dyDescent="0.3">
      <c r="A2574" t="s">
        <v>9</v>
      </c>
      <c r="B2574" t="s">
        <v>13</v>
      </c>
      <c r="C2574" t="s">
        <v>154</v>
      </c>
      <c r="D2574" s="9" t="s">
        <v>150</v>
      </c>
      <c r="E2574" t="s">
        <v>36</v>
      </c>
      <c r="F2574" t="s">
        <v>69</v>
      </c>
      <c r="G2574">
        <v>17.899999999999999</v>
      </c>
      <c r="H2574" s="9">
        <v>16.989999999999998</v>
      </c>
      <c r="I2574"/>
    </row>
    <row r="2575" spans="1:9" x14ac:dyDescent="0.3">
      <c r="A2575" t="s">
        <v>9</v>
      </c>
      <c r="B2575" t="s">
        <v>13</v>
      </c>
      <c r="C2575" t="s">
        <v>155</v>
      </c>
      <c r="D2575" s="9" t="s">
        <v>150</v>
      </c>
      <c r="E2575" t="s">
        <v>37</v>
      </c>
      <c r="F2575" t="s">
        <v>71</v>
      </c>
      <c r="G2575">
        <v>21.6</v>
      </c>
      <c r="H2575" s="9">
        <v>14.89</v>
      </c>
      <c r="I2575"/>
    </row>
    <row r="2576" spans="1:9" x14ac:dyDescent="0.3">
      <c r="A2576" t="s">
        <v>9</v>
      </c>
      <c r="B2576" t="s">
        <v>22</v>
      </c>
      <c r="C2576" t="s">
        <v>59</v>
      </c>
      <c r="D2576" s="9" t="s">
        <v>60</v>
      </c>
      <c r="E2576" t="s">
        <v>32</v>
      </c>
      <c r="F2576" t="s">
        <v>61</v>
      </c>
      <c r="G2576">
        <v>4.5</v>
      </c>
      <c r="I2576"/>
    </row>
    <row r="2577" spans="1:9" x14ac:dyDescent="0.3">
      <c r="A2577" t="s">
        <v>9</v>
      </c>
      <c r="B2577" t="s">
        <v>22</v>
      </c>
      <c r="C2577" t="s">
        <v>62</v>
      </c>
      <c r="D2577" s="9" t="s">
        <v>60</v>
      </c>
      <c r="E2577" t="s">
        <v>33</v>
      </c>
      <c r="F2577" t="s">
        <v>63</v>
      </c>
      <c r="G2577">
        <v>3.9</v>
      </c>
      <c r="I2577"/>
    </row>
    <row r="2578" spans="1:9" x14ac:dyDescent="0.3">
      <c r="A2578" t="s">
        <v>9</v>
      </c>
      <c r="B2578" t="s">
        <v>22</v>
      </c>
      <c r="C2578" t="s">
        <v>64</v>
      </c>
      <c r="D2578" s="9" t="s">
        <v>60</v>
      </c>
      <c r="E2578" t="s">
        <v>34</v>
      </c>
      <c r="F2578" t="s">
        <v>65</v>
      </c>
      <c r="G2578">
        <v>4.3</v>
      </c>
      <c r="I2578"/>
    </row>
    <row r="2579" spans="1:9" x14ac:dyDescent="0.3">
      <c r="A2579" t="s">
        <v>9</v>
      </c>
      <c r="B2579" t="s">
        <v>22</v>
      </c>
      <c r="C2579" t="s">
        <v>66</v>
      </c>
      <c r="D2579" s="9" t="s">
        <v>60</v>
      </c>
      <c r="E2579" t="s">
        <v>35</v>
      </c>
      <c r="F2579" t="s">
        <v>67</v>
      </c>
      <c r="G2579">
        <v>4.5</v>
      </c>
      <c r="I2579"/>
    </row>
    <row r="2580" spans="1:9" x14ac:dyDescent="0.3">
      <c r="A2580" t="s">
        <v>9</v>
      </c>
      <c r="B2580" t="s">
        <v>22</v>
      </c>
      <c r="C2580" t="s">
        <v>68</v>
      </c>
      <c r="D2580" s="9" t="s">
        <v>60</v>
      </c>
      <c r="E2580" t="s">
        <v>36</v>
      </c>
      <c r="F2580" t="s">
        <v>69</v>
      </c>
      <c r="G2580">
        <v>5.0999999999999996</v>
      </c>
      <c r="I2580"/>
    </row>
    <row r="2581" spans="1:9" x14ac:dyDescent="0.3">
      <c r="A2581" t="s">
        <v>9</v>
      </c>
      <c r="B2581" t="s">
        <v>22</v>
      </c>
      <c r="C2581" t="s">
        <v>70</v>
      </c>
      <c r="D2581" s="9" t="s">
        <v>60</v>
      </c>
      <c r="E2581" t="s">
        <v>37</v>
      </c>
      <c r="F2581" t="s">
        <v>71</v>
      </c>
      <c r="G2581">
        <v>5.3</v>
      </c>
      <c r="I2581"/>
    </row>
    <row r="2582" spans="1:9" x14ac:dyDescent="0.3">
      <c r="A2582" t="s">
        <v>9</v>
      </c>
      <c r="B2582" t="s">
        <v>22</v>
      </c>
      <c r="C2582" t="s">
        <v>72</v>
      </c>
      <c r="D2582" s="9" t="s">
        <v>60</v>
      </c>
      <c r="E2582" t="s">
        <v>38</v>
      </c>
      <c r="F2582" t="s">
        <v>73</v>
      </c>
      <c r="G2582">
        <v>5.4</v>
      </c>
      <c r="I2582"/>
    </row>
    <row r="2583" spans="1:9" x14ac:dyDescent="0.3">
      <c r="A2583" t="s">
        <v>9</v>
      </c>
      <c r="B2583" t="s">
        <v>22</v>
      </c>
      <c r="C2583" t="s">
        <v>74</v>
      </c>
      <c r="D2583" s="9" t="s">
        <v>60</v>
      </c>
      <c r="E2583" t="s">
        <v>39</v>
      </c>
      <c r="F2583" t="s">
        <v>75</v>
      </c>
      <c r="G2583">
        <v>5.8</v>
      </c>
      <c r="I2583"/>
    </row>
    <row r="2584" spans="1:9" x14ac:dyDescent="0.3">
      <c r="A2584" t="s">
        <v>9</v>
      </c>
      <c r="B2584" t="s">
        <v>22</v>
      </c>
      <c r="C2584" t="s">
        <v>76</v>
      </c>
      <c r="D2584" s="9" t="s">
        <v>60</v>
      </c>
      <c r="E2584" t="s">
        <v>40</v>
      </c>
      <c r="F2584" t="s">
        <v>77</v>
      </c>
      <c r="G2584">
        <v>5.2</v>
      </c>
      <c r="I2584"/>
    </row>
    <row r="2585" spans="1:9" x14ac:dyDescent="0.3">
      <c r="A2585" t="s">
        <v>9</v>
      </c>
      <c r="B2585" t="s">
        <v>22</v>
      </c>
      <c r="C2585" t="s">
        <v>78</v>
      </c>
      <c r="D2585" s="9" t="s">
        <v>60</v>
      </c>
      <c r="E2585" t="s">
        <v>41</v>
      </c>
      <c r="F2585" t="s">
        <v>79</v>
      </c>
      <c r="G2585">
        <v>5.2</v>
      </c>
      <c r="I2585"/>
    </row>
    <row r="2586" spans="1:9" x14ac:dyDescent="0.3">
      <c r="A2586" t="s">
        <v>9</v>
      </c>
      <c r="B2586" t="s">
        <v>22</v>
      </c>
      <c r="C2586" t="s">
        <v>80</v>
      </c>
      <c r="D2586" s="9" t="s">
        <v>60</v>
      </c>
      <c r="E2586" t="s">
        <v>42</v>
      </c>
      <c r="F2586" t="s">
        <v>81</v>
      </c>
      <c r="G2586">
        <v>5.8</v>
      </c>
      <c r="I2586"/>
    </row>
    <row r="2587" spans="1:9" x14ac:dyDescent="0.3">
      <c r="A2587" t="s">
        <v>9</v>
      </c>
      <c r="B2587" t="s">
        <v>22</v>
      </c>
      <c r="C2587" t="s">
        <v>82</v>
      </c>
      <c r="D2587" s="9" t="s">
        <v>60</v>
      </c>
      <c r="E2587" t="s">
        <v>43</v>
      </c>
      <c r="F2587" t="s">
        <v>83</v>
      </c>
      <c r="G2587">
        <v>8.6</v>
      </c>
      <c r="I2587"/>
    </row>
    <row r="2588" spans="1:9" x14ac:dyDescent="0.3">
      <c r="A2588" t="s">
        <v>9</v>
      </c>
      <c r="B2588" t="s">
        <v>22</v>
      </c>
      <c r="C2588" t="s">
        <v>84</v>
      </c>
      <c r="D2588" s="9" t="s">
        <v>85</v>
      </c>
      <c r="E2588" t="s">
        <v>32</v>
      </c>
      <c r="F2588" t="s">
        <v>61</v>
      </c>
      <c r="G2588">
        <v>4.4000000000000004</v>
      </c>
      <c r="H2588" s="9">
        <v>-2.2200000000000002</v>
      </c>
      <c r="I2588"/>
    </row>
    <row r="2589" spans="1:9" x14ac:dyDescent="0.3">
      <c r="A2589" t="s">
        <v>9</v>
      </c>
      <c r="B2589" t="s">
        <v>22</v>
      </c>
      <c r="C2589" t="s">
        <v>86</v>
      </c>
      <c r="D2589" s="9" t="s">
        <v>85</v>
      </c>
      <c r="E2589" t="s">
        <v>33</v>
      </c>
      <c r="F2589" t="s">
        <v>63</v>
      </c>
      <c r="G2589">
        <v>4.2</v>
      </c>
      <c r="H2589" s="9">
        <v>7.69</v>
      </c>
      <c r="I2589"/>
    </row>
    <row r="2590" spans="1:9" x14ac:dyDescent="0.3">
      <c r="A2590" t="s">
        <v>9</v>
      </c>
      <c r="B2590" t="s">
        <v>22</v>
      </c>
      <c r="C2590" t="s">
        <v>87</v>
      </c>
      <c r="D2590" s="9" t="s">
        <v>85</v>
      </c>
      <c r="E2590" t="s">
        <v>34</v>
      </c>
      <c r="F2590" t="s">
        <v>65</v>
      </c>
      <c r="G2590">
        <v>4</v>
      </c>
      <c r="H2590" s="9">
        <v>-6.98</v>
      </c>
      <c r="I2590"/>
    </row>
    <row r="2591" spans="1:9" x14ac:dyDescent="0.3">
      <c r="A2591" t="s">
        <v>9</v>
      </c>
      <c r="B2591" t="s">
        <v>22</v>
      </c>
      <c r="C2591" t="s">
        <v>88</v>
      </c>
      <c r="D2591" s="9" t="s">
        <v>85</v>
      </c>
      <c r="E2591" t="s">
        <v>35</v>
      </c>
      <c r="F2591" t="s">
        <v>67</v>
      </c>
      <c r="G2591">
        <v>2.1</v>
      </c>
      <c r="H2591" s="9">
        <v>-53.33</v>
      </c>
      <c r="I2591"/>
    </row>
    <row r="2592" spans="1:9" x14ac:dyDescent="0.3">
      <c r="A2592" t="s">
        <v>9</v>
      </c>
      <c r="B2592" t="s">
        <v>22</v>
      </c>
      <c r="C2592" t="s">
        <v>89</v>
      </c>
      <c r="D2592" s="9" t="s">
        <v>85</v>
      </c>
      <c r="E2592" t="s">
        <v>36</v>
      </c>
      <c r="F2592" t="s">
        <v>69</v>
      </c>
      <c r="G2592">
        <v>5</v>
      </c>
      <c r="H2592" s="9">
        <v>-1.96</v>
      </c>
      <c r="I2592"/>
    </row>
    <row r="2593" spans="1:9" x14ac:dyDescent="0.3">
      <c r="A2593" t="s">
        <v>9</v>
      </c>
      <c r="B2593" t="s">
        <v>22</v>
      </c>
      <c r="C2593" t="s">
        <v>90</v>
      </c>
      <c r="D2593" s="9" t="s">
        <v>85</v>
      </c>
      <c r="E2593" t="s">
        <v>37</v>
      </c>
      <c r="F2593" t="s">
        <v>71</v>
      </c>
      <c r="G2593">
        <v>5</v>
      </c>
      <c r="H2593" s="9">
        <v>-5.66</v>
      </c>
      <c r="I2593"/>
    </row>
    <row r="2594" spans="1:9" x14ac:dyDescent="0.3">
      <c r="A2594" t="s">
        <v>9</v>
      </c>
      <c r="B2594" t="s">
        <v>22</v>
      </c>
      <c r="C2594" t="s">
        <v>91</v>
      </c>
      <c r="D2594" s="9" t="s">
        <v>85</v>
      </c>
      <c r="E2594" t="s">
        <v>38</v>
      </c>
      <c r="F2594" t="s">
        <v>73</v>
      </c>
      <c r="G2594">
        <v>6.5</v>
      </c>
      <c r="H2594" s="9">
        <v>20.37</v>
      </c>
      <c r="I2594"/>
    </row>
    <row r="2595" spans="1:9" x14ac:dyDescent="0.3">
      <c r="A2595" t="s">
        <v>9</v>
      </c>
      <c r="B2595" t="s">
        <v>22</v>
      </c>
      <c r="C2595" t="s">
        <v>92</v>
      </c>
      <c r="D2595" s="9" t="s">
        <v>85</v>
      </c>
      <c r="E2595" t="s">
        <v>39</v>
      </c>
      <c r="F2595" t="s">
        <v>75</v>
      </c>
      <c r="G2595">
        <v>6.5</v>
      </c>
      <c r="H2595" s="9">
        <v>12.07</v>
      </c>
      <c r="I2595"/>
    </row>
    <row r="2596" spans="1:9" x14ac:dyDescent="0.3">
      <c r="A2596" t="s">
        <v>9</v>
      </c>
      <c r="B2596" t="s">
        <v>22</v>
      </c>
      <c r="C2596" t="s">
        <v>93</v>
      </c>
      <c r="D2596" s="9" t="s">
        <v>85</v>
      </c>
      <c r="E2596" t="s">
        <v>40</v>
      </c>
      <c r="F2596" t="s">
        <v>77</v>
      </c>
      <c r="G2596">
        <v>6</v>
      </c>
      <c r="H2596" s="9">
        <v>15.38</v>
      </c>
      <c r="I2596"/>
    </row>
    <row r="2597" spans="1:9" x14ac:dyDescent="0.3">
      <c r="A2597" t="s">
        <v>9</v>
      </c>
      <c r="B2597" t="s">
        <v>22</v>
      </c>
      <c r="C2597" t="s">
        <v>94</v>
      </c>
      <c r="D2597" s="9" t="s">
        <v>85</v>
      </c>
      <c r="E2597" t="s">
        <v>41</v>
      </c>
      <c r="F2597" t="s">
        <v>79</v>
      </c>
      <c r="G2597">
        <v>6.2</v>
      </c>
      <c r="H2597" s="9">
        <v>19.23</v>
      </c>
      <c r="I2597"/>
    </row>
    <row r="2598" spans="1:9" x14ac:dyDescent="0.3">
      <c r="A2598" t="s">
        <v>9</v>
      </c>
      <c r="B2598" t="s">
        <v>22</v>
      </c>
      <c r="C2598" t="s">
        <v>95</v>
      </c>
      <c r="D2598" s="9" t="s">
        <v>85</v>
      </c>
      <c r="E2598" t="s">
        <v>42</v>
      </c>
      <c r="F2598" t="s">
        <v>81</v>
      </c>
      <c r="G2598">
        <v>6.9</v>
      </c>
      <c r="H2598" s="9">
        <v>18.97</v>
      </c>
      <c r="I2598"/>
    </row>
    <row r="2599" spans="1:9" x14ac:dyDescent="0.3">
      <c r="A2599" t="s">
        <v>9</v>
      </c>
      <c r="B2599" t="s">
        <v>22</v>
      </c>
      <c r="C2599" t="s">
        <v>96</v>
      </c>
      <c r="D2599" s="9" t="s">
        <v>85</v>
      </c>
      <c r="E2599" t="s">
        <v>43</v>
      </c>
      <c r="F2599" t="s">
        <v>83</v>
      </c>
      <c r="G2599">
        <v>11.8</v>
      </c>
      <c r="H2599" s="9">
        <v>37.21</v>
      </c>
      <c r="I2599"/>
    </row>
    <row r="2600" spans="1:9" x14ac:dyDescent="0.3">
      <c r="A2600" t="s">
        <v>9</v>
      </c>
      <c r="B2600" t="s">
        <v>22</v>
      </c>
      <c r="C2600" t="s">
        <v>97</v>
      </c>
      <c r="D2600" s="9" t="s">
        <v>98</v>
      </c>
      <c r="E2600" t="s">
        <v>32</v>
      </c>
      <c r="F2600" t="s">
        <v>61</v>
      </c>
      <c r="G2600">
        <v>5.5</v>
      </c>
      <c r="H2600" s="9">
        <v>25</v>
      </c>
      <c r="I2600"/>
    </row>
    <row r="2601" spans="1:9" x14ac:dyDescent="0.3">
      <c r="A2601" t="s">
        <v>9</v>
      </c>
      <c r="B2601" t="s">
        <v>22</v>
      </c>
      <c r="C2601" t="s">
        <v>99</v>
      </c>
      <c r="D2601" s="9" t="s">
        <v>98</v>
      </c>
      <c r="E2601" t="s">
        <v>33</v>
      </c>
      <c r="F2601" t="s">
        <v>63</v>
      </c>
      <c r="G2601">
        <v>5</v>
      </c>
      <c r="H2601" s="9">
        <v>19.05</v>
      </c>
      <c r="I2601"/>
    </row>
    <row r="2602" spans="1:9" x14ac:dyDescent="0.3">
      <c r="A2602" t="s">
        <v>9</v>
      </c>
      <c r="B2602" t="s">
        <v>22</v>
      </c>
      <c r="C2602" t="s">
        <v>100</v>
      </c>
      <c r="D2602" s="9" t="s">
        <v>98</v>
      </c>
      <c r="E2602" t="s">
        <v>34</v>
      </c>
      <c r="F2602" t="s">
        <v>65</v>
      </c>
      <c r="G2602">
        <v>6.1</v>
      </c>
      <c r="H2602" s="9">
        <v>52.5</v>
      </c>
      <c r="I2602"/>
    </row>
    <row r="2603" spans="1:9" x14ac:dyDescent="0.3">
      <c r="A2603" t="s">
        <v>9</v>
      </c>
      <c r="B2603" t="s">
        <v>22</v>
      </c>
      <c r="C2603" t="s">
        <v>101</v>
      </c>
      <c r="D2603" s="9" t="s">
        <v>98</v>
      </c>
      <c r="E2603" t="s">
        <v>35</v>
      </c>
      <c r="F2603" t="s">
        <v>67</v>
      </c>
      <c r="G2603">
        <v>6.5</v>
      </c>
      <c r="H2603" s="9">
        <v>209.52</v>
      </c>
      <c r="I2603"/>
    </row>
    <row r="2604" spans="1:9" x14ac:dyDescent="0.3">
      <c r="A2604" t="s">
        <v>9</v>
      </c>
      <c r="B2604" t="s">
        <v>22</v>
      </c>
      <c r="C2604" t="s">
        <v>102</v>
      </c>
      <c r="D2604" s="9" t="s">
        <v>98</v>
      </c>
      <c r="E2604" t="s">
        <v>36</v>
      </c>
      <c r="F2604" t="s">
        <v>69</v>
      </c>
      <c r="G2604">
        <v>6.9</v>
      </c>
      <c r="H2604" s="9">
        <v>38</v>
      </c>
      <c r="I2604"/>
    </row>
    <row r="2605" spans="1:9" x14ac:dyDescent="0.3">
      <c r="A2605" t="s">
        <v>9</v>
      </c>
      <c r="B2605" t="s">
        <v>22</v>
      </c>
      <c r="C2605" t="s">
        <v>103</v>
      </c>
      <c r="D2605" s="9" t="s">
        <v>98</v>
      </c>
      <c r="E2605" t="s">
        <v>37</v>
      </c>
      <c r="F2605" t="s">
        <v>71</v>
      </c>
      <c r="G2605">
        <v>6.2</v>
      </c>
      <c r="H2605" s="9">
        <v>24</v>
      </c>
      <c r="I2605"/>
    </row>
    <row r="2606" spans="1:9" x14ac:dyDescent="0.3">
      <c r="A2606" t="s">
        <v>9</v>
      </c>
      <c r="B2606" t="s">
        <v>22</v>
      </c>
      <c r="C2606" t="s">
        <v>104</v>
      </c>
      <c r="D2606" s="9" t="s">
        <v>98</v>
      </c>
      <c r="E2606" t="s">
        <v>38</v>
      </c>
      <c r="F2606" t="s">
        <v>73</v>
      </c>
      <c r="G2606">
        <v>7</v>
      </c>
      <c r="H2606" s="9">
        <v>7.69</v>
      </c>
      <c r="I2606"/>
    </row>
    <row r="2607" spans="1:9" x14ac:dyDescent="0.3">
      <c r="A2607" t="s">
        <v>9</v>
      </c>
      <c r="B2607" t="s">
        <v>22</v>
      </c>
      <c r="C2607" t="s">
        <v>105</v>
      </c>
      <c r="D2607" s="9" t="s">
        <v>98</v>
      </c>
      <c r="E2607" t="s">
        <v>39</v>
      </c>
      <c r="F2607" t="s">
        <v>75</v>
      </c>
      <c r="G2607">
        <v>6.6</v>
      </c>
      <c r="H2607" s="9">
        <v>1.54</v>
      </c>
      <c r="I2607"/>
    </row>
    <row r="2608" spans="1:9" x14ac:dyDescent="0.3">
      <c r="A2608" t="s">
        <v>9</v>
      </c>
      <c r="B2608" t="s">
        <v>22</v>
      </c>
      <c r="C2608" t="s">
        <v>106</v>
      </c>
      <c r="D2608" s="9" t="s">
        <v>98</v>
      </c>
      <c r="E2608" t="s">
        <v>40</v>
      </c>
      <c r="F2608" t="s">
        <v>77</v>
      </c>
      <c r="G2608">
        <v>7.4</v>
      </c>
      <c r="H2608" s="9">
        <v>23.33</v>
      </c>
      <c r="I2608"/>
    </row>
    <row r="2609" spans="1:9" x14ac:dyDescent="0.3">
      <c r="A2609" t="s">
        <v>9</v>
      </c>
      <c r="B2609" t="s">
        <v>20</v>
      </c>
      <c r="C2609" t="s">
        <v>59</v>
      </c>
      <c r="D2609" s="9" t="s">
        <v>60</v>
      </c>
      <c r="E2609" t="s">
        <v>32</v>
      </c>
      <c r="F2609" t="s">
        <v>61</v>
      </c>
      <c r="G2609">
        <v>7.4</v>
      </c>
      <c r="I2609"/>
    </row>
    <row r="2610" spans="1:9" x14ac:dyDescent="0.3">
      <c r="A2610" t="s">
        <v>9</v>
      </c>
      <c r="B2610" t="s">
        <v>20</v>
      </c>
      <c r="C2610" t="s">
        <v>62</v>
      </c>
      <c r="D2610" s="9" t="s">
        <v>60</v>
      </c>
      <c r="E2610" t="s">
        <v>33</v>
      </c>
      <c r="F2610" t="s">
        <v>63</v>
      </c>
      <c r="G2610">
        <v>6.5</v>
      </c>
      <c r="I2610"/>
    </row>
    <row r="2611" spans="1:9" x14ac:dyDescent="0.3">
      <c r="A2611" t="s">
        <v>9</v>
      </c>
      <c r="B2611" t="s">
        <v>20</v>
      </c>
      <c r="C2611" t="s">
        <v>64</v>
      </c>
      <c r="D2611" s="9" t="s">
        <v>60</v>
      </c>
      <c r="E2611" t="s">
        <v>34</v>
      </c>
      <c r="F2611" t="s">
        <v>65</v>
      </c>
      <c r="G2611">
        <v>7.6</v>
      </c>
      <c r="I2611"/>
    </row>
    <row r="2612" spans="1:9" x14ac:dyDescent="0.3">
      <c r="A2612" t="s">
        <v>9</v>
      </c>
      <c r="B2612" t="s">
        <v>20</v>
      </c>
      <c r="C2612" t="s">
        <v>66</v>
      </c>
      <c r="D2612" s="9" t="s">
        <v>60</v>
      </c>
      <c r="E2612" t="s">
        <v>35</v>
      </c>
      <c r="F2612" t="s">
        <v>67</v>
      </c>
      <c r="G2612">
        <v>6.3</v>
      </c>
      <c r="I2612"/>
    </row>
    <row r="2613" spans="1:9" x14ac:dyDescent="0.3">
      <c r="A2613" t="s">
        <v>9</v>
      </c>
      <c r="B2613" t="s">
        <v>20</v>
      </c>
      <c r="C2613" t="s">
        <v>68</v>
      </c>
      <c r="D2613" s="9" t="s">
        <v>60</v>
      </c>
      <c r="E2613" t="s">
        <v>36</v>
      </c>
      <c r="F2613" t="s">
        <v>69</v>
      </c>
      <c r="G2613">
        <v>7.6</v>
      </c>
      <c r="I2613"/>
    </row>
    <row r="2614" spans="1:9" x14ac:dyDescent="0.3">
      <c r="A2614" t="s">
        <v>9</v>
      </c>
      <c r="B2614" t="s">
        <v>20</v>
      </c>
      <c r="C2614" t="s">
        <v>70</v>
      </c>
      <c r="D2614" s="9" t="s">
        <v>60</v>
      </c>
      <c r="E2614" t="s">
        <v>37</v>
      </c>
      <c r="F2614" t="s">
        <v>71</v>
      </c>
      <c r="G2614">
        <v>7.5</v>
      </c>
      <c r="I2614"/>
    </row>
    <row r="2615" spans="1:9" x14ac:dyDescent="0.3">
      <c r="A2615" t="s">
        <v>9</v>
      </c>
      <c r="B2615" t="s">
        <v>20</v>
      </c>
      <c r="C2615" t="s">
        <v>72</v>
      </c>
      <c r="D2615" s="9" t="s">
        <v>60</v>
      </c>
      <c r="E2615" t="s">
        <v>38</v>
      </c>
      <c r="F2615" t="s">
        <v>73</v>
      </c>
      <c r="G2615">
        <v>7.6</v>
      </c>
      <c r="I2615"/>
    </row>
    <row r="2616" spans="1:9" x14ac:dyDescent="0.3">
      <c r="A2616" t="s">
        <v>9</v>
      </c>
      <c r="B2616" t="s">
        <v>20</v>
      </c>
      <c r="C2616" t="s">
        <v>74</v>
      </c>
      <c r="D2616" s="9" t="s">
        <v>60</v>
      </c>
      <c r="E2616" t="s">
        <v>39</v>
      </c>
      <c r="F2616" t="s">
        <v>75</v>
      </c>
      <c r="G2616">
        <v>7.4</v>
      </c>
      <c r="I2616"/>
    </row>
    <row r="2617" spans="1:9" x14ac:dyDescent="0.3">
      <c r="A2617" t="s">
        <v>9</v>
      </c>
      <c r="B2617" t="s">
        <v>20</v>
      </c>
      <c r="C2617" t="s">
        <v>76</v>
      </c>
      <c r="D2617" s="9" t="s">
        <v>60</v>
      </c>
      <c r="E2617" t="s">
        <v>40</v>
      </c>
      <c r="F2617" t="s">
        <v>77</v>
      </c>
      <c r="G2617">
        <v>7.1</v>
      </c>
      <c r="I2617"/>
    </row>
    <row r="2618" spans="1:9" x14ac:dyDescent="0.3">
      <c r="A2618" t="s">
        <v>9</v>
      </c>
      <c r="B2618" t="s">
        <v>20</v>
      </c>
      <c r="C2618" t="s">
        <v>78</v>
      </c>
      <c r="D2618" s="9" t="s">
        <v>60</v>
      </c>
      <c r="E2618" t="s">
        <v>41</v>
      </c>
      <c r="F2618" t="s">
        <v>79</v>
      </c>
      <c r="G2618">
        <v>7.6</v>
      </c>
      <c r="I2618"/>
    </row>
    <row r="2619" spans="1:9" x14ac:dyDescent="0.3">
      <c r="A2619" t="s">
        <v>9</v>
      </c>
      <c r="B2619" t="s">
        <v>20</v>
      </c>
      <c r="C2619" t="s">
        <v>80</v>
      </c>
      <c r="D2619" s="9" t="s">
        <v>60</v>
      </c>
      <c r="E2619" t="s">
        <v>42</v>
      </c>
      <c r="F2619" t="s">
        <v>81</v>
      </c>
      <c r="G2619">
        <v>7.2</v>
      </c>
      <c r="I2619"/>
    </row>
    <row r="2620" spans="1:9" x14ac:dyDescent="0.3">
      <c r="A2620" t="s">
        <v>9</v>
      </c>
      <c r="B2620" t="s">
        <v>20</v>
      </c>
      <c r="C2620" t="s">
        <v>82</v>
      </c>
      <c r="D2620" s="9" t="s">
        <v>60</v>
      </c>
      <c r="E2620" t="s">
        <v>43</v>
      </c>
      <c r="F2620" t="s">
        <v>83</v>
      </c>
      <c r="G2620">
        <v>8</v>
      </c>
      <c r="I2620"/>
    </row>
    <row r="2621" spans="1:9" x14ac:dyDescent="0.3">
      <c r="A2621" t="s">
        <v>9</v>
      </c>
      <c r="B2621" t="s">
        <v>20</v>
      </c>
      <c r="C2621" t="s">
        <v>84</v>
      </c>
      <c r="D2621" s="9" t="s">
        <v>85</v>
      </c>
      <c r="E2621" t="s">
        <v>32</v>
      </c>
      <c r="F2621" t="s">
        <v>61</v>
      </c>
      <c r="G2621">
        <v>6.5</v>
      </c>
      <c r="H2621" s="9">
        <v>-12.16</v>
      </c>
      <c r="I2621"/>
    </row>
    <row r="2622" spans="1:9" x14ac:dyDescent="0.3">
      <c r="A2622" t="s">
        <v>9</v>
      </c>
      <c r="B2622" t="s">
        <v>20</v>
      </c>
      <c r="C2622" t="s">
        <v>86</v>
      </c>
      <c r="D2622" s="9" t="s">
        <v>85</v>
      </c>
      <c r="E2622" t="s">
        <v>33</v>
      </c>
      <c r="F2622" t="s">
        <v>63</v>
      </c>
      <c r="G2622">
        <v>6</v>
      </c>
      <c r="H2622" s="9">
        <v>-7.69</v>
      </c>
      <c r="I2622"/>
    </row>
    <row r="2623" spans="1:9" x14ac:dyDescent="0.3">
      <c r="A2623" t="s">
        <v>9</v>
      </c>
      <c r="B2623" t="s">
        <v>20</v>
      </c>
      <c r="C2623" t="s">
        <v>87</v>
      </c>
      <c r="D2623" s="9" t="s">
        <v>85</v>
      </c>
      <c r="E2623" t="s">
        <v>34</v>
      </c>
      <c r="F2623" t="s">
        <v>65</v>
      </c>
      <c r="G2623">
        <v>7.1</v>
      </c>
      <c r="H2623" s="9">
        <v>-6.58</v>
      </c>
      <c r="I2623"/>
    </row>
    <row r="2624" spans="1:9" x14ac:dyDescent="0.3">
      <c r="A2624" t="s">
        <v>9</v>
      </c>
      <c r="B2624" t="s">
        <v>20</v>
      </c>
      <c r="C2624" t="s">
        <v>88</v>
      </c>
      <c r="D2624" s="9" t="s">
        <v>85</v>
      </c>
      <c r="E2624" t="s">
        <v>35</v>
      </c>
      <c r="F2624" t="s">
        <v>67</v>
      </c>
      <c r="G2624">
        <v>5.8</v>
      </c>
      <c r="H2624" s="9">
        <v>-7.94</v>
      </c>
      <c r="I2624"/>
    </row>
    <row r="2625" spans="1:9" x14ac:dyDescent="0.3">
      <c r="A2625" t="s">
        <v>9</v>
      </c>
      <c r="B2625" t="s">
        <v>20</v>
      </c>
      <c r="C2625" t="s">
        <v>89</v>
      </c>
      <c r="D2625" s="9" t="s">
        <v>85</v>
      </c>
      <c r="E2625" t="s">
        <v>36</v>
      </c>
      <c r="F2625" t="s">
        <v>69</v>
      </c>
      <c r="G2625">
        <v>8.1999999999999993</v>
      </c>
      <c r="H2625" s="9">
        <v>7.89</v>
      </c>
      <c r="I2625"/>
    </row>
    <row r="2626" spans="1:9" x14ac:dyDescent="0.3">
      <c r="A2626" t="s">
        <v>9</v>
      </c>
      <c r="B2626" t="s">
        <v>20</v>
      </c>
      <c r="C2626" t="s">
        <v>90</v>
      </c>
      <c r="D2626" s="9" t="s">
        <v>85</v>
      </c>
      <c r="E2626" t="s">
        <v>37</v>
      </c>
      <c r="F2626" t="s">
        <v>71</v>
      </c>
      <c r="G2626">
        <v>9.1999999999999993</v>
      </c>
      <c r="H2626" s="9">
        <v>22.67</v>
      </c>
      <c r="I2626"/>
    </row>
    <row r="2627" spans="1:9" x14ac:dyDescent="0.3">
      <c r="A2627" t="s">
        <v>9</v>
      </c>
      <c r="B2627" t="s">
        <v>20</v>
      </c>
      <c r="C2627" t="s">
        <v>91</v>
      </c>
      <c r="D2627" s="9" t="s">
        <v>85</v>
      </c>
      <c r="E2627" t="s">
        <v>38</v>
      </c>
      <c r="F2627" t="s">
        <v>73</v>
      </c>
      <c r="G2627">
        <v>9.6</v>
      </c>
      <c r="H2627" s="9">
        <v>26.32</v>
      </c>
      <c r="I2627"/>
    </row>
    <row r="2628" spans="1:9" x14ac:dyDescent="0.3">
      <c r="A2628" t="s">
        <v>9</v>
      </c>
      <c r="B2628" t="s">
        <v>20</v>
      </c>
      <c r="C2628" t="s">
        <v>92</v>
      </c>
      <c r="D2628" s="9" t="s">
        <v>85</v>
      </c>
      <c r="E2628" t="s">
        <v>39</v>
      </c>
      <c r="F2628" t="s">
        <v>75</v>
      </c>
      <c r="G2628">
        <v>9.3000000000000007</v>
      </c>
      <c r="H2628" s="9">
        <v>25.68</v>
      </c>
      <c r="I2628"/>
    </row>
    <row r="2629" spans="1:9" x14ac:dyDescent="0.3">
      <c r="A2629" t="s">
        <v>9</v>
      </c>
      <c r="B2629" t="s">
        <v>20</v>
      </c>
      <c r="C2629" t="s">
        <v>93</v>
      </c>
      <c r="D2629" s="9" t="s">
        <v>85</v>
      </c>
      <c r="E2629" t="s">
        <v>40</v>
      </c>
      <c r="F2629" t="s">
        <v>77</v>
      </c>
      <c r="G2629">
        <v>9.6</v>
      </c>
      <c r="H2629" s="9">
        <v>35.21</v>
      </c>
      <c r="I2629"/>
    </row>
    <row r="2630" spans="1:9" x14ac:dyDescent="0.3">
      <c r="A2630" t="s">
        <v>9</v>
      </c>
      <c r="B2630" t="s">
        <v>20</v>
      </c>
      <c r="C2630" t="s">
        <v>94</v>
      </c>
      <c r="D2630" s="9" t="s">
        <v>85</v>
      </c>
      <c r="E2630" t="s">
        <v>41</v>
      </c>
      <c r="F2630" t="s">
        <v>79</v>
      </c>
      <c r="G2630">
        <v>10.3</v>
      </c>
      <c r="H2630" s="9">
        <v>35.53</v>
      </c>
      <c r="I2630"/>
    </row>
    <row r="2631" spans="1:9" x14ac:dyDescent="0.3">
      <c r="A2631" t="s">
        <v>9</v>
      </c>
      <c r="B2631" t="s">
        <v>20</v>
      </c>
      <c r="C2631" t="s">
        <v>95</v>
      </c>
      <c r="D2631" s="9" t="s">
        <v>85</v>
      </c>
      <c r="E2631" t="s">
        <v>42</v>
      </c>
      <c r="F2631" t="s">
        <v>81</v>
      </c>
      <c r="G2631">
        <v>9.6</v>
      </c>
      <c r="H2631" s="9">
        <v>33.33</v>
      </c>
      <c r="I2631"/>
    </row>
    <row r="2632" spans="1:9" x14ac:dyDescent="0.3">
      <c r="A2632" t="s">
        <v>9</v>
      </c>
      <c r="B2632" t="s">
        <v>20</v>
      </c>
      <c r="C2632" t="s">
        <v>96</v>
      </c>
      <c r="D2632" s="9" t="s">
        <v>85</v>
      </c>
      <c r="E2632" t="s">
        <v>43</v>
      </c>
      <c r="F2632" t="s">
        <v>83</v>
      </c>
      <c r="G2632">
        <v>11.6</v>
      </c>
      <c r="H2632" s="9">
        <v>45</v>
      </c>
      <c r="I2632"/>
    </row>
    <row r="2633" spans="1:9" x14ac:dyDescent="0.3">
      <c r="A2633" t="s">
        <v>9</v>
      </c>
      <c r="B2633" t="s">
        <v>20</v>
      </c>
      <c r="C2633" t="s">
        <v>97</v>
      </c>
      <c r="D2633" s="9" t="s">
        <v>98</v>
      </c>
      <c r="E2633" t="s">
        <v>32</v>
      </c>
      <c r="F2633" t="s">
        <v>61</v>
      </c>
      <c r="G2633">
        <v>8.9</v>
      </c>
      <c r="H2633" s="9">
        <v>36.92</v>
      </c>
      <c r="I2633"/>
    </row>
    <row r="2634" spans="1:9" x14ac:dyDescent="0.3">
      <c r="A2634" t="s">
        <v>9</v>
      </c>
      <c r="B2634" t="s">
        <v>20</v>
      </c>
      <c r="C2634" t="s">
        <v>99</v>
      </c>
      <c r="D2634" s="9" t="s">
        <v>98</v>
      </c>
      <c r="E2634" t="s">
        <v>33</v>
      </c>
      <c r="F2634" t="s">
        <v>63</v>
      </c>
      <c r="G2634">
        <v>7.8</v>
      </c>
      <c r="H2634" s="9">
        <v>30</v>
      </c>
      <c r="I2634"/>
    </row>
    <row r="2635" spans="1:9" x14ac:dyDescent="0.3">
      <c r="A2635" t="s">
        <v>9</v>
      </c>
      <c r="B2635" t="s">
        <v>20</v>
      </c>
      <c r="C2635" t="s">
        <v>100</v>
      </c>
      <c r="D2635" s="9" t="s">
        <v>98</v>
      </c>
      <c r="E2635" t="s">
        <v>34</v>
      </c>
      <c r="F2635" t="s">
        <v>65</v>
      </c>
      <c r="G2635">
        <v>8.8000000000000007</v>
      </c>
      <c r="H2635" s="9">
        <v>23.94</v>
      </c>
      <c r="I2635"/>
    </row>
    <row r="2636" spans="1:9" x14ac:dyDescent="0.3">
      <c r="A2636" t="s">
        <v>9</v>
      </c>
      <c r="B2636" t="s">
        <v>20</v>
      </c>
      <c r="C2636" t="s">
        <v>101</v>
      </c>
      <c r="D2636" s="9" t="s">
        <v>98</v>
      </c>
      <c r="E2636" t="s">
        <v>35</v>
      </c>
      <c r="F2636" t="s">
        <v>67</v>
      </c>
      <c r="G2636">
        <v>8.1999999999999993</v>
      </c>
      <c r="H2636" s="9">
        <v>41.38</v>
      </c>
      <c r="I2636"/>
    </row>
    <row r="2637" spans="1:9" x14ac:dyDescent="0.3">
      <c r="A2637" t="s">
        <v>9</v>
      </c>
      <c r="B2637" t="s">
        <v>20</v>
      </c>
      <c r="C2637" t="s">
        <v>102</v>
      </c>
      <c r="D2637" s="9" t="s">
        <v>98</v>
      </c>
      <c r="E2637" t="s">
        <v>36</v>
      </c>
      <c r="F2637" t="s">
        <v>69</v>
      </c>
      <c r="G2637">
        <v>8.9</v>
      </c>
      <c r="H2637" s="9">
        <v>8.5399999999999991</v>
      </c>
      <c r="I2637"/>
    </row>
    <row r="2638" spans="1:9" x14ac:dyDescent="0.3">
      <c r="A2638" t="s">
        <v>9</v>
      </c>
      <c r="B2638" t="s">
        <v>20</v>
      </c>
      <c r="C2638" t="s">
        <v>103</v>
      </c>
      <c r="D2638" s="9" t="s">
        <v>98</v>
      </c>
      <c r="E2638" t="s">
        <v>37</v>
      </c>
      <c r="F2638" t="s">
        <v>71</v>
      </c>
      <c r="G2638">
        <v>8.6</v>
      </c>
      <c r="H2638" s="9">
        <v>-6.52</v>
      </c>
      <c r="I2638"/>
    </row>
    <row r="2639" spans="1:9" x14ac:dyDescent="0.3">
      <c r="A2639" t="s">
        <v>9</v>
      </c>
      <c r="B2639" t="s">
        <v>20</v>
      </c>
      <c r="C2639" t="s">
        <v>104</v>
      </c>
      <c r="D2639" s="9" t="s">
        <v>98</v>
      </c>
      <c r="E2639" t="s">
        <v>38</v>
      </c>
      <c r="F2639" t="s">
        <v>73</v>
      </c>
      <c r="G2639">
        <v>9.9</v>
      </c>
      <c r="H2639" s="9">
        <v>3.13</v>
      </c>
      <c r="I2639"/>
    </row>
    <row r="2640" spans="1:9" x14ac:dyDescent="0.3">
      <c r="A2640" t="s">
        <v>9</v>
      </c>
      <c r="B2640" t="s">
        <v>20</v>
      </c>
      <c r="C2640" t="s">
        <v>105</v>
      </c>
      <c r="D2640" s="9" t="s">
        <v>98</v>
      </c>
      <c r="E2640" t="s">
        <v>39</v>
      </c>
      <c r="F2640" t="s">
        <v>75</v>
      </c>
      <c r="G2640">
        <v>9.6999999999999993</v>
      </c>
      <c r="H2640" s="9">
        <v>4.3</v>
      </c>
      <c r="I2640"/>
    </row>
    <row r="2641" spans="1:9" x14ac:dyDescent="0.3">
      <c r="A2641" t="s">
        <v>9</v>
      </c>
      <c r="B2641" t="s">
        <v>20</v>
      </c>
      <c r="C2641" t="s">
        <v>106</v>
      </c>
      <c r="D2641" s="9" t="s">
        <v>98</v>
      </c>
      <c r="E2641" t="s">
        <v>40</v>
      </c>
      <c r="F2641" t="s">
        <v>77</v>
      </c>
      <c r="G2641">
        <v>9.1999999999999993</v>
      </c>
      <c r="H2641" s="9">
        <v>-4.17</v>
      </c>
      <c r="I2641"/>
    </row>
    <row r="2642" spans="1:9" x14ac:dyDescent="0.3">
      <c r="A2642" t="s">
        <v>9</v>
      </c>
      <c r="B2642" t="s">
        <v>20</v>
      </c>
      <c r="C2642" t="s">
        <v>107</v>
      </c>
      <c r="D2642" s="9" t="s">
        <v>98</v>
      </c>
      <c r="E2642" t="s">
        <v>41</v>
      </c>
      <c r="F2642" t="s">
        <v>79</v>
      </c>
      <c r="G2642">
        <v>10.6</v>
      </c>
      <c r="H2642" s="9">
        <v>2.91</v>
      </c>
      <c r="I2642"/>
    </row>
    <row r="2643" spans="1:9" x14ac:dyDescent="0.3">
      <c r="A2643" t="s">
        <v>9</v>
      </c>
      <c r="B2643" t="s">
        <v>20</v>
      </c>
      <c r="C2643" t="s">
        <v>108</v>
      </c>
      <c r="D2643" s="9" t="s">
        <v>98</v>
      </c>
      <c r="E2643" t="s">
        <v>42</v>
      </c>
      <c r="F2643" t="s">
        <v>81</v>
      </c>
      <c r="G2643">
        <v>9.6999999999999993</v>
      </c>
      <c r="H2643" s="9">
        <v>1.04</v>
      </c>
      <c r="I2643"/>
    </row>
    <row r="2644" spans="1:9" x14ac:dyDescent="0.3">
      <c r="A2644" t="s">
        <v>9</v>
      </c>
      <c r="B2644" t="s">
        <v>20</v>
      </c>
      <c r="C2644" t="s">
        <v>109</v>
      </c>
      <c r="D2644" s="9" t="s">
        <v>98</v>
      </c>
      <c r="E2644" t="s">
        <v>43</v>
      </c>
      <c r="F2644" t="s">
        <v>83</v>
      </c>
      <c r="G2644">
        <v>12</v>
      </c>
      <c r="H2644" s="9">
        <v>3.45</v>
      </c>
      <c r="I2644"/>
    </row>
    <row r="2645" spans="1:9" x14ac:dyDescent="0.3">
      <c r="A2645" t="s">
        <v>9</v>
      </c>
      <c r="B2645" t="s">
        <v>20</v>
      </c>
      <c r="C2645" t="s">
        <v>110</v>
      </c>
      <c r="D2645" s="9" t="s">
        <v>111</v>
      </c>
      <c r="E2645" t="s">
        <v>32</v>
      </c>
      <c r="F2645" t="s">
        <v>61</v>
      </c>
      <c r="G2645">
        <v>8.6</v>
      </c>
      <c r="H2645" s="9">
        <v>-3.37</v>
      </c>
      <c r="I2645"/>
    </row>
    <row r="2646" spans="1:9" x14ac:dyDescent="0.3">
      <c r="A2646" t="s">
        <v>9</v>
      </c>
      <c r="B2646" t="s">
        <v>20</v>
      </c>
      <c r="C2646" t="s">
        <v>112</v>
      </c>
      <c r="D2646" s="9" t="s">
        <v>111</v>
      </c>
      <c r="E2646" t="s">
        <v>33</v>
      </c>
      <c r="F2646" t="s">
        <v>63</v>
      </c>
      <c r="G2646">
        <v>8.5</v>
      </c>
      <c r="H2646" s="9">
        <v>8.9700000000000006</v>
      </c>
      <c r="I2646"/>
    </row>
    <row r="2647" spans="1:9" x14ac:dyDescent="0.3">
      <c r="A2647" t="s">
        <v>9</v>
      </c>
      <c r="B2647" t="s">
        <v>20</v>
      </c>
      <c r="C2647" t="s">
        <v>113</v>
      </c>
      <c r="D2647" s="9" t="s">
        <v>111</v>
      </c>
      <c r="E2647" t="s">
        <v>34</v>
      </c>
      <c r="F2647" t="s">
        <v>65</v>
      </c>
      <c r="G2647">
        <v>10.4</v>
      </c>
      <c r="H2647" s="9">
        <v>18.18</v>
      </c>
      <c r="I2647"/>
    </row>
    <row r="2648" spans="1:9" x14ac:dyDescent="0.3">
      <c r="A2648" t="s">
        <v>9</v>
      </c>
      <c r="B2648" t="s">
        <v>20</v>
      </c>
      <c r="C2648" t="s">
        <v>114</v>
      </c>
      <c r="D2648" s="9" t="s">
        <v>111</v>
      </c>
      <c r="E2648" t="s">
        <v>35</v>
      </c>
      <c r="F2648" t="s">
        <v>67</v>
      </c>
      <c r="G2648">
        <v>8.8000000000000007</v>
      </c>
      <c r="H2648" s="9">
        <v>7.32</v>
      </c>
      <c r="I2648"/>
    </row>
    <row r="2649" spans="1:9" x14ac:dyDescent="0.3">
      <c r="A2649" t="s">
        <v>9</v>
      </c>
      <c r="B2649" t="s">
        <v>20</v>
      </c>
      <c r="C2649" t="s">
        <v>115</v>
      </c>
      <c r="D2649" s="9" t="s">
        <v>111</v>
      </c>
      <c r="E2649" t="s">
        <v>36</v>
      </c>
      <c r="F2649" t="s">
        <v>69</v>
      </c>
      <c r="G2649">
        <v>9.6</v>
      </c>
      <c r="H2649" s="9">
        <v>7.87</v>
      </c>
      <c r="I2649"/>
    </row>
    <row r="2650" spans="1:9" x14ac:dyDescent="0.3">
      <c r="A2650" t="s">
        <v>9</v>
      </c>
      <c r="B2650" t="s">
        <v>20</v>
      </c>
      <c r="C2650" t="s">
        <v>116</v>
      </c>
      <c r="D2650" s="9" t="s">
        <v>111</v>
      </c>
      <c r="E2650" t="s">
        <v>37</v>
      </c>
      <c r="F2650" t="s">
        <v>71</v>
      </c>
      <c r="G2650">
        <v>10.8</v>
      </c>
      <c r="H2650" s="9">
        <v>25.58</v>
      </c>
      <c r="I2650"/>
    </row>
    <row r="2651" spans="1:9" x14ac:dyDescent="0.3">
      <c r="A2651" t="s">
        <v>9</v>
      </c>
      <c r="B2651" t="s">
        <v>20</v>
      </c>
      <c r="C2651" t="s">
        <v>117</v>
      </c>
      <c r="D2651" s="9" t="s">
        <v>111</v>
      </c>
      <c r="E2651" t="s">
        <v>38</v>
      </c>
      <c r="F2651" t="s">
        <v>73</v>
      </c>
      <c r="G2651">
        <v>9.5</v>
      </c>
      <c r="H2651" s="9">
        <v>-4.04</v>
      </c>
      <c r="I2651"/>
    </row>
    <row r="2652" spans="1:9" x14ac:dyDescent="0.3">
      <c r="A2652" t="s">
        <v>9</v>
      </c>
      <c r="B2652" t="s">
        <v>20</v>
      </c>
      <c r="C2652" t="s">
        <v>118</v>
      </c>
      <c r="D2652" s="9" t="s">
        <v>111</v>
      </c>
      <c r="E2652" t="s">
        <v>39</v>
      </c>
      <c r="F2652" t="s">
        <v>75</v>
      </c>
      <c r="G2652">
        <v>10.3</v>
      </c>
      <c r="H2652" s="9">
        <v>6.19</v>
      </c>
      <c r="I2652"/>
    </row>
    <row r="2653" spans="1:9" x14ac:dyDescent="0.3">
      <c r="A2653" t="s">
        <v>9</v>
      </c>
      <c r="B2653" t="s">
        <v>20</v>
      </c>
      <c r="C2653" t="s">
        <v>119</v>
      </c>
      <c r="D2653" s="9" t="s">
        <v>111</v>
      </c>
      <c r="E2653" t="s">
        <v>40</v>
      </c>
      <c r="F2653" t="s">
        <v>77</v>
      </c>
      <c r="G2653">
        <v>9.8000000000000007</v>
      </c>
      <c r="H2653" s="9">
        <v>6.52</v>
      </c>
      <c r="I2653"/>
    </row>
    <row r="2654" spans="1:9" x14ac:dyDescent="0.3">
      <c r="A2654" t="s">
        <v>9</v>
      </c>
      <c r="B2654" t="s">
        <v>20</v>
      </c>
      <c r="C2654" t="s">
        <v>120</v>
      </c>
      <c r="D2654" s="9" t="s">
        <v>111</v>
      </c>
      <c r="E2654" t="s">
        <v>41</v>
      </c>
      <c r="F2654" t="s">
        <v>79</v>
      </c>
      <c r="G2654">
        <v>9.3000000000000007</v>
      </c>
      <c r="H2654" s="9">
        <v>-12.26</v>
      </c>
      <c r="I2654"/>
    </row>
    <row r="2655" spans="1:9" x14ac:dyDescent="0.3">
      <c r="A2655" t="s">
        <v>9</v>
      </c>
      <c r="B2655" t="s">
        <v>20</v>
      </c>
      <c r="C2655" t="s">
        <v>121</v>
      </c>
      <c r="D2655" s="9" t="s">
        <v>111</v>
      </c>
      <c r="E2655" t="s">
        <v>42</v>
      </c>
      <c r="F2655" t="s">
        <v>81</v>
      </c>
      <c r="G2655">
        <v>10.8</v>
      </c>
      <c r="H2655" s="9">
        <v>11.34</v>
      </c>
      <c r="I2655"/>
    </row>
    <row r="2656" spans="1:9" x14ac:dyDescent="0.3">
      <c r="A2656" t="s">
        <v>9</v>
      </c>
      <c r="B2656" t="s">
        <v>20</v>
      </c>
      <c r="C2656" t="s">
        <v>122</v>
      </c>
      <c r="D2656" s="9" t="s">
        <v>111</v>
      </c>
      <c r="E2656" t="s">
        <v>43</v>
      </c>
      <c r="F2656" t="s">
        <v>83</v>
      </c>
      <c r="G2656">
        <v>10.4</v>
      </c>
      <c r="H2656" s="9">
        <v>-13.33</v>
      </c>
      <c r="I2656"/>
    </row>
    <row r="2657" spans="1:9" x14ac:dyDescent="0.3">
      <c r="A2657" t="s">
        <v>9</v>
      </c>
      <c r="B2657" t="s">
        <v>20</v>
      </c>
      <c r="C2657" t="s">
        <v>123</v>
      </c>
      <c r="D2657" s="9" t="s">
        <v>124</v>
      </c>
      <c r="E2657" t="s">
        <v>32</v>
      </c>
      <c r="F2657" t="s">
        <v>61</v>
      </c>
      <c r="G2657">
        <v>9.6999999999999993</v>
      </c>
      <c r="H2657" s="9">
        <v>12.79</v>
      </c>
      <c r="I2657"/>
    </row>
    <row r="2658" spans="1:9" x14ac:dyDescent="0.3">
      <c r="A2658" t="s">
        <v>9</v>
      </c>
      <c r="B2658" t="s">
        <v>20</v>
      </c>
      <c r="C2658" t="s">
        <v>125</v>
      </c>
      <c r="D2658" s="9" t="s">
        <v>124</v>
      </c>
      <c r="E2658" t="s">
        <v>33</v>
      </c>
      <c r="F2658" t="s">
        <v>63</v>
      </c>
      <c r="G2658">
        <v>8.6999999999999993</v>
      </c>
      <c r="H2658" s="9">
        <v>2.35</v>
      </c>
      <c r="I2658"/>
    </row>
    <row r="2659" spans="1:9" x14ac:dyDescent="0.3">
      <c r="A2659" t="s">
        <v>9</v>
      </c>
      <c r="B2659" t="s">
        <v>20</v>
      </c>
      <c r="C2659" t="s">
        <v>126</v>
      </c>
      <c r="D2659" s="9" t="s">
        <v>124</v>
      </c>
      <c r="E2659" t="s">
        <v>34</v>
      </c>
      <c r="F2659" t="s">
        <v>65</v>
      </c>
      <c r="G2659">
        <v>9.3000000000000007</v>
      </c>
      <c r="H2659" s="9">
        <v>-10.58</v>
      </c>
      <c r="I2659"/>
    </row>
    <row r="2660" spans="1:9" x14ac:dyDescent="0.3">
      <c r="A2660" t="s">
        <v>9</v>
      </c>
      <c r="B2660" t="s">
        <v>20</v>
      </c>
      <c r="C2660" t="s">
        <v>127</v>
      </c>
      <c r="D2660" s="9" t="s">
        <v>124</v>
      </c>
      <c r="E2660" t="s">
        <v>35</v>
      </c>
      <c r="F2660" t="s">
        <v>67</v>
      </c>
      <c r="G2660">
        <v>9</v>
      </c>
      <c r="H2660" s="9">
        <v>2.27</v>
      </c>
      <c r="I2660"/>
    </row>
    <row r="2661" spans="1:9" x14ac:dyDescent="0.3">
      <c r="A2661" t="s">
        <v>9</v>
      </c>
      <c r="B2661" t="s">
        <v>20</v>
      </c>
      <c r="C2661" t="s">
        <v>128</v>
      </c>
      <c r="D2661" s="9" t="s">
        <v>124</v>
      </c>
      <c r="E2661" t="s">
        <v>36</v>
      </c>
      <c r="F2661" t="s">
        <v>69</v>
      </c>
      <c r="G2661">
        <v>9.9</v>
      </c>
      <c r="H2661" s="9">
        <v>3.13</v>
      </c>
      <c r="I2661"/>
    </row>
    <row r="2662" spans="1:9" x14ac:dyDescent="0.3">
      <c r="A2662" t="s">
        <v>9</v>
      </c>
      <c r="B2662" t="s">
        <v>20</v>
      </c>
      <c r="C2662" t="s">
        <v>129</v>
      </c>
      <c r="D2662" s="9" t="s">
        <v>124</v>
      </c>
      <c r="E2662" t="s">
        <v>37</v>
      </c>
      <c r="F2662" t="s">
        <v>71</v>
      </c>
      <c r="G2662">
        <v>10.5</v>
      </c>
      <c r="H2662" s="9">
        <v>-2.78</v>
      </c>
      <c r="I2662"/>
    </row>
    <row r="2663" spans="1:9" x14ac:dyDescent="0.3">
      <c r="A2663" t="s">
        <v>9</v>
      </c>
      <c r="B2663" t="s">
        <v>20</v>
      </c>
      <c r="C2663" t="s">
        <v>130</v>
      </c>
      <c r="D2663" s="9" t="s">
        <v>124</v>
      </c>
      <c r="E2663" t="s">
        <v>38</v>
      </c>
      <c r="F2663" t="s">
        <v>73</v>
      </c>
      <c r="G2663">
        <v>10.3</v>
      </c>
      <c r="H2663" s="9">
        <v>8.42</v>
      </c>
      <c r="I2663"/>
    </row>
    <row r="2664" spans="1:9" x14ac:dyDescent="0.3">
      <c r="A2664" t="s">
        <v>9</v>
      </c>
      <c r="B2664" t="s">
        <v>20</v>
      </c>
      <c r="C2664" t="s">
        <v>131</v>
      </c>
      <c r="D2664" s="9" t="s">
        <v>124</v>
      </c>
      <c r="E2664" t="s">
        <v>39</v>
      </c>
      <c r="F2664" t="s">
        <v>75</v>
      </c>
      <c r="G2664">
        <v>9.4</v>
      </c>
      <c r="H2664" s="9">
        <v>-8.74</v>
      </c>
      <c r="I2664"/>
    </row>
    <row r="2665" spans="1:9" x14ac:dyDescent="0.3">
      <c r="A2665" t="s">
        <v>9</v>
      </c>
      <c r="B2665" t="s">
        <v>20</v>
      </c>
      <c r="C2665" t="s">
        <v>132</v>
      </c>
      <c r="D2665" s="9" t="s">
        <v>124</v>
      </c>
      <c r="E2665" t="s">
        <v>40</v>
      </c>
      <c r="F2665" t="s">
        <v>77</v>
      </c>
      <c r="G2665">
        <v>9.6</v>
      </c>
      <c r="H2665" s="9">
        <v>-2.04</v>
      </c>
      <c r="I2665"/>
    </row>
    <row r="2666" spans="1:9" x14ac:dyDescent="0.3">
      <c r="A2666" t="s">
        <v>9</v>
      </c>
      <c r="B2666" t="s">
        <v>20</v>
      </c>
      <c r="C2666" t="s">
        <v>133</v>
      </c>
      <c r="D2666" s="9" t="s">
        <v>124</v>
      </c>
      <c r="E2666" t="s">
        <v>41</v>
      </c>
      <c r="F2666" t="s">
        <v>79</v>
      </c>
      <c r="G2666">
        <v>10.6</v>
      </c>
      <c r="H2666" s="9">
        <v>13.98</v>
      </c>
      <c r="I2666"/>
    </row>
    <row r="2667" spans="1:9" x14ac:dyDescent="0.3">
      <c r="A2667" t="s">
        <v>9</v>
      </c>
      <c r="B2667" t="s">
        <v>20</v>
      </c>
      <c r="C2667" t="s">
        <v>134</v>
      </c>
      <c r="D2667" s="9" t="s">
        <v>124</v>
      </c>
      <c r="E2667" t="s">
        <v>42</v>
      </c>
      <c r="F2667" t="s">
        <v>81</v>
      </c>
      <c r="G2667">
        <v>11.2</v>
      </c>
      <c r="H2667" s="9">
        <v>3.7</v>
      </c>
      <c r="I2667"/>
    </row>
    <row r="2668" spans="1:9" x14ac:dyDescent="0.3">
      <c r="A2668" t="s">
        <v>9</v>
      </c>
      <c r="B2668" t="s">
        <v>20</v>
      </c>
      <c r="C2668" t="s">
        <v>135</v>
      </c>
      <c r="D2668" s="9" t="s">
        <v>124</v>
      </c>
      <c r="E2668" t="s">
        <v>43</v>
      </c>
      <c r="F2668" t="s">
        <v>83</v>
      </c>
      <c r="G2668">
        <v>10.8</v>
      </c>
      <c r="H2668" s="9">
        <v>3.85</v>
      </c>
      <c r="I2668"/>
    </row>
    <row r="2669" spans="1:9" x14ac:dyDescent="0.3">
      <c r="A2669" t="s">
        <v>9</v>
      </c>
      <c r="B2669" t="s">
        <v>20</v>
      </c>
      <c r="C2669" t="s">
        <v>136</v>
      </c>
      <c r="D2669" s="9" t="s">
        <v>137</v>
      </c>
      <c r="E2669" t="s">
        <v>32</v>
      </c>
      <c r="F2669" t="s">
        <v>61</v>
      </c>
      <c r="G2669">
        <v>9.6</v>
      </c>
      <c r="H2669" s="9">
        <v>-1.03</v>
      </c>
      <c r="I2669"/>
    </row>
    <row r="2670" spans="1:9" x14ac:dyDescent="0.3">
      <c r="A2670" t="s">
        <v>9</v>
      </c>
      <c r="B2670" t="s">
        <v>20</v>
      </c>
      <c r="C2670" t="s">
        <v>138</v>
      </c>
      <c r="D2670" s="9" t="s">
        <v>137</v>
      </c>
      <c r="E2670" t="s">
        <v>33</v>
      </c>
      <c r="F2670" t="s">
        <v>63</v>
      </c>
      <c r="G2670">
        <v>8.9</v>
      </c>
      <c r="H2670" s="9">
        <v>2.2999999999999998</v>
      </c>
      <c r="I2670"/>
    </row>
    <row r="2671" spans="1:9" x14ac:dyDescent="0.3">
      <c r="A2671" t="s">
        <v>9</v>
      </c>
      <c r="B2671" t="s">
        <v>20</v>
      </c>
      <c r="C2671" t="s">
        <v>139</v>
      </c>
      <c r="D2671" s="9" t="s">
        <v>137</v>
      </c>
      <c r="E2671" t="s">
        <v>34</v>
      </c>
      <c r="F2671" t="s">
        <v>65</v>
      </c>
      <c r="G2671">
        <v>10.5</v>
      </c>
      <c r="H2671" s="9">
        <v>12.9</v>
      </c>
      <c r="I2671"/>
    </row>
    <row r="2672" spans="1:9" x14ac:dyDescent="0.3">
      <c r="A2672" t="s">
        <v>9</v>
      </c>
      <c r="B2672" t="s">
        <v>20</v>
      </c>
      <c r="C2672" t="s">
        <v>140</v>
      </c>
      <c r="D2672" s="9" t="s">
        <v>137</v>
      </c>
      <c r="E2672" t="s">
        <v>35</v>
      </c>
      <c r="F2672" t="s">
        <v>67</v>
      </c>
      <c r="G2672">
        <v>9.8000000000000007</v>
      </c>
      <c r="H2672" s="9">
        <v>8.89</v>
      </c>
      <c r="I2672"/>
    </row>
    <row r="2673" spans="1:9" x14ac:dyDescent="0.3">
      <c r="A2673" t="s">
        <v>9</v>
      </c>
      <c r="B2673" t="s">
        <v>20</v>
      </c>
      <c r="C2673" t="s">
        <v>141</v>
      </c>
      <c r="D2673" s="9" t="s">
        <v>137</v>
      </c>
      <c r="E2673" t="s">
        <v>36</v>
      </c>
      <c r="F2673" t="s">
        <v>69</v>
      </c>
      <c r="G2673">
        <v>9.9</v>
      </c>
      <c r="H2673" s="9">
        <v>0</v>
      </c>
      <c r="I2673"/>
    </row>
    <row r="2674" spans="1:9" x14ac:dyDescent="0.3">
      <c r="A2674" t="s">
        <v>9</v>
      </c>
      <c r="B2674" t="s">
        <v>20</v>
      </c>
      <c r="C2674" t="s">
        <v>142</v>
      </c>
      <c r="D2674" s="9" t="s">
        <v>137</v>
      </c>
      <c r="E2674" t="s">
        <v>37</v>
      </c>
      <c r="F2674" t="s">
        <v>71</v>
      </c>
      <c r="G2674">
        <v>10.8</v>
      </c>
      <c r="H2674" s="9">
        <v>2.86</v>
      </c>
      <c r="I2674"/>
    </row>
    <row r="2675" spans="1:9" x14ac:dyDescent="0.3">
      <c r="A2675" t="s">
        <v>9</v>
      </c>
      <c r="B2675" t="s">
        <v>20</v>
      </c>
      <c r="C2675" t="s">
        <v>143</v>
      </c>
      <c r="D2675" s="9" t="s">
        <v>137</v>
      </c>
      <c r="E2675" t="s">
        <v>38</v>
      </c>
      <c r="F2675" t="s">
        <v>73</v>
      </c>
      <c r="G2675">
        <v>10.4</v>
      </c>
      <c r="H2675" s="9">
        <v>0.97</v>
      </c>
      <c r="I2675"/>
    </row>
    <row r="2676" spans="1:9" x14ac:dyDescent="0.3">
      <c r="A2676" t="s">
        <v>9</v>
      </c>
      <c r="B2676" t="s">
        <v>20</v>
      </c>
      <c r="C2676" t="s">
        <v>144</v>
      </c>
      <c r="D2676" s="9" t="s">
        <v>137</v>
      </c>
      <c r="E2676" t="s">
        <v>39</v>
      </c>
      <c r="F2676" t="s">
        <v>75</v>
      </c>
      <c r="G2676">
        <v>9.9</v>
      </c>
      <c r="H2676" s="9">
        <v>5.32</v>
      </c>
      <c r="I2676"/>
    </row>
    <row r="2677" spans="1:9" x14ac:dyDescent="0.3">
      <c r="A2677" t="s">
        <v>9</v>
      </c>
      <c r="B2677" t="s">
        <v>20</v>
      </c>
      <c r="C2677" t="s">
        <v>145</v>
      </c>
      <c r="D2677" s="9" t="s">
        <v>137</v>
      </c>
      <c r="E2677" t="s">
        <v>40</v>
      </c>
      <c r="F2677" t="s">
        <v>77</v>
      </c>
      <c r="G2677">
        <v>9.8000000000000007</v>
      </c>
      <c r="H2677" s="9">
        <v>2.08</v>
      </c>
      <c r="I2677"/>
    </row>
    <row r="2678" spans="1:9" x14ac:dyDescent="0.3">
      <c r="A2678" t="s">
        <v>9</v>
      </c>
      <c r="B2678" t="s">
        <v>20</v>
      </c>
      <c r="C2678" t="s">
        <v>146</v>
      </c>
      <c r="D2678" s="9" t="s">
        <v>137</v>
      </c>
      <c r="E2678" t="s">
        <v>41</v>
      </c>
      <c r="F2678" t="s">
        <v>79</v>
      </c>
      <c r="G2678">
        <v>9.3000000000000007</v>
      </c>
      <c r="H2678" s="9">
        <v>-12.26</v>
      </c>
      <c r="I2678"/>
    </row>
    <row r="2679" spans="1:9" x14ac:dyDescent="0.3">
      <c r="A2679" t="s">
        <v>9</v>
      </c>
      <c r="B2679" t="s">
        <v>20</v>
      </c>
      <c r="C2679" t="s">
        <v>147</v>
      </c>
      <c r="D2679" s="9" t="s">
        <v>137</v>
      </c>
      <c r="E2679" t="s">
        <v>42</v>
      </c>
      <c r="F2679" t="s">
        <v>81</v>
      </c>
      <c r="G2679">
        <v>11.8</v>
      </c>
      <c r="H2679" s="9">
        <v>5.36</v>
      </c>
      <c r="I2679"/>
    </row>
    <row r="2680" spans="1:9" x14ac:dyDescent="0.3">
      <c r="A2680" t="s">
        <v>9</v>
      </c>
      <c r="B2680" t="s">
        <v>20</v>
      </c>
      <c r="C2680" t="s">
        <v>148</v>
      </c>
      <c r="D2680" s="9" t="s">
        <v>137</v>
      </c>
      <c r="E2680" t="s">
        <v>43</v>
      </c>
      <c r="F2680" t="s">
        <v>83</v>
      </c>
      <c r="G2680">
        <v>12.7</v>
      </c>
      <c r="H2680" s="9">
        <v>17.59</v>
      </c>
      <c r="I2680"/>
    </row>
    <row r="2681" spans="1:9" x14ac:dyDescent="0.3">
      <c r="A2681" t="s">
        <v>9</v>
      </c>
      <c r="B2681" t="s">
        <v>20</v>
      </c>
      <c r="C2681" t="s">
        <v>149</v>
      </c>
      <c r="D2681" s="9" t="s">
        <v>150</v>
      </c>
      <c r="E2681" t="s">
        <v>32</v>
      </c>
      <c r="F2681" t="s">
        <v>61</v>
      </c>
      <c r="G2681">
        <v>10.3</v>
      </c>
      <c r="H2681" s="9">
        <v>7.29</v>
      </c>
      <c r="I2681"/>
    </row>
    <row r="2682" spans="1:9" x14ac:dyDescent="0.3">
      <c r="A2682" t="s">
        <v>9</v>
      </c>
      <c r="B2682" t="s">
        <v>20</v>
      </c>
      <c r="C2682" t="s">
        <v>151</v>
      </c>
      <c r="D2682" s="9" t="s">
        <v>150</v>
      </c>
      <c r="E2682" t="s">
        <v>33</v>
      </c>
      <c r="F2682" t="s">
        <v>63</v>
      </c>
      <c r="G2682">
        <v>9.1999999999999993</v>
      </c>
      <c r="H2682" s="9">
        <v>3.37</v>
      </c>
      <c r="I2682"/>
    </row>
    <row r="2683" spans="1:9" x14ac:dyDescent="0.3">
      <c r="A2683" t="s">
        <v>9</v>
      </c>
      <c r="B2683" t="s">
        <v>20</v>
      </c>
      <c r="C2683" t="s">
        <v>152</v>
      </c>
      <c r="D2683" s="9" t="s">
        <v>150</v>
      </c>
      <c r="E2683" t="s">
        <v>34</v>
      </c>
      <c r="F2683" t="s">
        <v>65</v>
      </c>
      <c r="G2683">
        <v>10.3</v>
      </c>
      <c r="H2683" s="9">
        <v>-1.9</v>
      </c>
      <c r="I2683"/>
    </row>
    <row r="2684" spans="1:9" x14ac:dyDescent="0.3">
      <c r="A2684" t="s">
        <v>9</v>
      </c>
      <c r="B2684" t="s">
        <v>20</v>
      </c>
      <c r="C2684" t="s">
        <v>153</v>
      </c>
      <c r="D2684" s="9" t="s">
        <v>150</v>
      </c>
      <c r="E2684" t="s">
        <v>35</v>
      </c>
      <c r="F2684" t="s">
        <v>67</v>
      </c>
      <c r="G2684">
        <v>9.1</v>
      </c>
      <c r="H2684" s="9">
        <v>-7.14</v>
      </c>
      <c r="I2684"/>
    </row>
    <row r="2685" spans="1:9" x14ac:dyDescent="0.3">
      <c r="A2685" t="s">
        <v>9</v>
      </c>
      <c r="B2685" t="s">
        <v>20</v>
      </c>
      <c r="C2685" t="s">
        <v>154</v>
      </c>
      <c r="D2685" s="9" t="s">
        <v>150</v>
      </c>
      <c r="E2685" t="s">
        <v>36</v>
      </c>
      <c r="F2685" t="s">
        <v>69</v>
      </c>
      <c r="G2685">
        <v>10.6</v>
      </c>
      <c r="H2685" s="9">
        <v>7.07</v>
      </c>
      <c r="I2685"/>
    </row>
    <row r="2686" spans="1:9" x14ac:dyDescent="0.3">
      <c r="A2686" t="s">
        <v>9</v>
      </c>
      <c r="B2686" t="s">
        <v>20</v>
      </c>
      <c r="C2686" t="s">
        <v>155</v>
      </c>
      <c r="D2686" s="9" t="s">
        <v>150</v>
      </c>
      <c r="E2686" t="s">
        <v>37</v>
      </c>
      <c r="F2686" t="s">
        <v>71</v>
      </c>
      <c r="G2686">
        <v>12.3</v>
      </c>
      <c r="H2686" s="9">
        <v>13.89</v>
      </c>
      <c r="I2686"/>
    </row>
    <row r="2687" spans="1:9" x14ac:dyDescent="0.3">
      <c r="A2687" t="s">
        <v>9</v>
      </c>
      <c r="B2687" t="s">
        <v>15</v>
      </c>
      <c r="C2687" t="s">
        <v>59</v>
      </c>
      <c r="D2687" s="9" t="s">
        <v>60</v>
      </c>
      <c r="E2687" t="s">
        <v>32</v>
      </c>
      <c r="F2687" t="s">
        <v>61</v>
      </c>
      <c r="G2687">
        <v>16.3</v>
      </c>
      <c r="I2687"/>
    </row>
    <row r="2688" spans="1:9" x14ac:dyDescent="0.3">
      <c r="A2688" t="s">
        <v>9</v>
      </c>
      <c r="B2688" t="s">
        <v>15</v>
      </c>
      <c r="C2688" t="s">
        <v>62</v>
      </c>
      <c r="D2688" s="9" t="s">
        <v>60</v>
      </c>
      <c r="E2688" t="s">
        <v>33</v>
      </c>
      <c r="F2688" t="s">
        <v>63</v>
      </c>
      <c r="G2688">
        <v>16.7</v>
      </c>
      <c r="I2688"/>
    </row>
    <row r="2689" spans="1:9" x14ac:dyDescent="0.3">
      <c r="A2689" t="s">
        <v>9</v>
      </c>
      <c r="B2689" t="s">
        <v>15</v>
      </c>
      <c r="C2689" t="s">
        <v>64</v>
      </c>
      <c r="D2689" s="9" t="s">
        <v>60</v>
      </c>
      <c r="E2689" t="s">
        <v>34</v>
      </c>
      <c r="F2689" t="s">
        <v>65</v>
      </c>
      <c r="G2689">
        <v>17.8</v>
      </c>
      <c r="I2689"/>
    </row>
    <row r="2690" spans="1:9" x14ac:dyDescent="0.3">
      <c r="A2690" t="s">
        <v>9</v>
      </c>
      <c r="B2690" t="s">
        <v>15</v>
      </c>
      <c r="C2690" t="s">
        <v>66</v>
      </c>
      <c r="D2690" s="9" t="s">
        <v>60</v>
      </c>
      <c r="E2690" t="s">
        <v>35</v>
      </c>
      <c r="F2690" t="s">
        <v>67</v>
      </c>
      <c r="G2690">
        <v>17.5</v>
      </c>
      <c r="I2690"/>
    </row>
    <row r="2691" spans="1:9" x14ac:dyDescent="0.3">
      <c r="A2691" t="s">
        <v>9</v>
      </c>
      <c r="B2691" t="s">
        <v>15</v>
      </c>
      <c r="C2691" t="s">
        <v>68</v>
      </c>
      <c r="D2691" s="9" t="s">
        <v>60</v>
      </c>
      <c r="E2691" t="s">
        <v>36</v>
      </c>
      <c r="F2691" t="s">
        <v>69</v>
      </c>
      <c r="G2691">
        <v>19.3</v>
      </c>
      <c r="I2691"/>
    </row>
    <row r="2692" spans="1:9" x14ac:dyDescent="0.3">
      <c r="A2692" t="s">
        <v>9</v>
      </c>
      <c r="B2692" t="s">
        <v>15</v>
      </c>
      <c r="C2692" t="s">
        <v>70</v>
      </c>
      <c r="D2692" s="9" t="s">
        <v>60</v>
      </c>
      <c r="E2692" t="s">
        <v>37</v>
      </c>
      <c r="F2692" t="s">
        <v>71</v>
      </c>
      <c r="G2692">
        <v>19.100000000000001</v>
      </c>
      <c r="I2692"/>
    </row>
    <row r="2693" spans="1:9" x14ac:dyDescent="0.3">
      <c r="A2693" t="s">
        <v>9</v>
      </c>
      <c r="B2693" t="s">
        <v>15</v>
      </c>
      <c r="C2693" t="s">
        <v>72</v>
      </c>
      <c r="D2693" s="9" t="s">
        <v>60</v>
      </c>
      <c r="E2693" t="s">
        <v>38</v>
      </c>
      <c r="F2693" t="s">
        <v>73</v>
      </c>
      <c r="G2693">
        <v>20.6</v>
      </c>
      <c r="I2693"/>
    </row>
    <row r="2694" spans="1:9" x14ac:dyDescent="0.3">
      <c r="A2694" t="s">
        <v>9</v>
      </c>
      <c r="B2694" t="s">
        <v>15</v>
      </c>
      <c r="C2694" t="s">
        <v>74</v>
      </c>
      <c r="D2694" s="9" t="s">
        <v>60</v>
      </c>
      <c r="E2694" t="s">
        <v>39</v>
      </c>
      <c r="F2694" t="s">
        <v>75</v>
      </c>
      <c r="G2694">
        <v>20</v>
      </c>
      <c r="I2694"/>
    </row>
    <row r="2695" spans="1:9" x14ac:dyDescent="0.3">
      <c r="A2695" t="s">
        <v>9</v>
      </c>
      <c r="B2695" t="s">
        <v>15</v>
      </c>
      <c r="C2695" t="s">
        <v>76</v>
      </c>
      <c r="D2695" s="9" t="s">
        <v>60</v>
      </c>
      <c r="E2695" t="s">
        <v>40</v>
      </c>
      <c r="F2695" t="s">
        <v>77</v>
      </c>
      <c r="G2695">
        <v>19.7</v>
      </c>
      <c r="I2695"/>
    </row>
    <row r="2696" spans="1:9" x14ac:dyDescent="0.3">
      <c r="A2696" t="s">
        <v>9</v>
      </c>
      <c r="B2696" t="s">
        <v>15</v>
      </c>
      <c r="C2696" t="s">
        <v>78</v>
      </c>
      <c r="D2696" s="9" t="s">
        <v>60</v>
      </c>
      <c r="E2696" t="s">
        <v>41</v>
      </c>
      <c r="F2696" t="s">
        <v>79</v>
      </c>
      <c r="G2696">
        <v>20.399999999999999</v>
      </c>
      <c r="I2696"/>
    </row>
    <row r="2697" spans="1:9" x14ac:dyDescent="0.3">
      <c r="A2697" t="s">
        <v>9</v>
      </c>
      <c r="B2697" t="s">
        <v>15</v>
      </c>
      <c r="C2697" t="s">
        <v>80</v>
      </c>
      <c r="D2697" s="9" t="s">
        <v>60</v>
      </c>
      <c r="E2697" t="s">
        <v>42</v>
      </c>
      <c r="F2697" t="s">
        <v>81</v>
      </c>
      <c r="G2697">
        <v>20</v>
      </c>
      <c r="I2697"/>
    </row>
    <row r="2698" spans="1:9" x14ac:dyDescent="0.3">
      <c r="A2698" t="s">
        <v>9</v>
      </c>
      <c r="B2698" t="s">
        <v>15</v>
      </c>
      <c r="C2698" t="s">
        <v>82</v>
      </c>
      <c r="D2698" s="9" t="s">
        <v>60</v>
      </c>
      <c r="E2698" t="s">
        <v>43</v>
      </c>
      <c r="F2698" t="s">
        <v>83</v>
      </c>
      <c r="G2698">
        <v>19.3</v>
      </c>
      <c r="I2698"/>
    </row>
    <row r="2699" spans="1:9" x14ac:dyDescent="0.3">
      <c r="A2699" t="s">
        <v>9</v>
      </c>
      <c r="B2699" t="s">
        <v>15</v>
      </c>
      <c r="C2699" t="s">
        <v>107</v>
      </c>
      <c r="D2699" s="9" t="s">
        <v>98</v>
      </c>
      <c r="E2699" t="s">
        <v>41</v>
      </c>
      <c r="F2699" t="s">
        <v>79</v>
      </c>
      <c r="G2699">
        <v>22.2</v>
      </c>
      <c r="H2699" s="9">
        <v>36.200000000000003</v>
      </c>
      <c r="I2699"/>
    </row>
    <row r="2700" spans="1:9" x14ac:dyDescent="0.3">
      <c r="A2700" t="s">
        <v>9</v>
      </c>
      <c r="B2700" t="s">
        <v>15</v>
      </c>
      <c r="C2700" t="s">
        <v>108</v>
      </c>
      <c r="D2700" s="9" t="s">
        <v>98</v>
      </c>
      <c r="E2700" t="s">
        <v>42</v>
      </c>
      <c r="F2700" t="s">
        <v>81</v>
      </c>
      <c r="G2700">
        <v>20.3</v>
      </c>
      <c r="H2700" s="9">
        <v>21.56</v>
      </c>
      <c r="I2700"/>
    </row>
    <row r="2701" spans="1:9" x14ac:dyDescent="0.3">
      <c r="A2701" t="s">
        <v>9</v>
      </c>
      <c r="B2701" t="s">
        <v>15</v>
      </c>
      <c r="C2701" t="s">
        <v>109</v>
      </c>
      <c r="D2701" s="9" t="s">
        <v>98</v>
      </c>
      <c r="E2701" t="s">
        <v>43</v>
      </c>
      <c r="F2701" t="s">
        <v>83</v>
      </c>
      <c r="G2701">
        <v>21.4</v>
      </c>
      <c r="H2701" s="9">
        <v>20.22</v>
      </c>
      <c r="I2701"/>
    </row>
    <row r="2702" spans="1:9" x14ac:dyDescent="0.3">
      <c r="A2702" t="s">
        <v>9</v>
      </c>
      <c r="B2702" t="s">
        <v>15</v>
      </c>
      <c r="C2702" t="s">
        <v>110</v>
      </c>
      <c r="D2702" s="9" t="s">
        <v>111</v>
      </c>
      <c r="E2702" t="s">
        <v>32</v>
      </c>
      <c r="F2702" t="s">
        <v>61</v>
      </c>
      <c r="G2702">
        <v>18.8</v>
      </c>
      <c r="H2702" s="9">
        <v>7.43</v>
      </c>
      <c r="I2702"/>
    </row>
    <row r="2703" spans="1:9" x14ac:dyDescent="0.3">
      <c r="A2703" t="s">
        <v>9</v>
      </c>
      <c r="B2703" t="s">
        <v>15</v>
      </c>
      <c r="C2703" t="s">
        <v>112</v>
      </c>
      <c r="D2703" s="9" t="s">
        <v>111</v>
      </c>
      <c r="E2703" t="s">
        <v>33</v>
      </c>
      <c r="F2703" t="s">
        <v>63</v>
      </c>
      <c r="G2703">
        <v>17.600000000000001</v>
      </c>
      <c r="H2703" s="9">
        <v>-8.81</v>
      </c>
      <c r="I2703"/>
    </row>
    <row r="2704" spans="1:9" x14ac:dyDescent="0.3">
      <c r="A2704" t="s">
        <v>9</v>
      </c>
      <c r="B2704" t="s">
        <v>15</v>
      </c>
      <c r="C2704" t="s">
        <v>113</v>
      </c>
      <c r="D2704" s="9" t="s">
        <v>111</v>
      </c>
      <c r="E2704" t="s">
        <v>34</v>
      </c>
      <c r="F2704" t="s">
        <v>65</v>
      </c>
      <c r="G2704">
        <v>21.3</v>
      </c>
      <c r="H2704" s="9">
        <v>11.52</v>
      </c>
      <c r="I2704"/>
    </row>
    <row r="2705" spans="1:9" x14ac:dyDescent="0.3">
      <c r="A2705" t="s">
        <v>9</v>
      </c>
      <c r="B2705" t="s">
        <v>15</v>
      </c>
      <c r="C2705" t="s">
        <v>114</v>
      </c>
      <c r="D2705" s="9" t="s">
        <v>111</v>
      </c>
      <c r="E2705" t="s">
        <v>35</v>
      </c>
      <c r="F2705" t="s">
        <v>67</v>
      </c>
      <c r="G2705">
        <v>20.100000000000001</v>
      </c>
      <c r="H2705" s="9">
        <v>-2.4300000000000002</v>
      </c>
      <c r="I2705"/>
    </row>
    <row r="2706" spans="1:9" x14ac:dyDescent="0.3">
      <c r="A2706" t="s">
        <v>9</v>
      </c>
      <c r="B2706" t="s">
        <v>15</v>
      </c>
      <c r="C2706" t="s">
        <v>115</v>
      </c>
      <c r="D2706" s="9" t="s">
        <v>111</v>
      </c>
      <c r="E2706" t="s">
        <v>36</v>
      </c>
      <c r="F2706" t="s">
        <v>69</v>
      </c>
      <c r="G2706">
        <v>23.8</v>
      </c>
      <c r="H2706" s="9">
        <v>19</v>
      </c>
      <c r="I2706"/>
    </row>
    <row r="2707" spans="1:9" x14ac:dyDescent="0.3">
      <c r="A2707" t="s">
        <v>9</v>
      </c>
      <c r="B2707" t="s">
        <v>15</v>
      </c>
      <c r="C2707" t="s">
        <v>116</v>
      </c>
      <c r="D2707" s="9" t="s">
        <v>111</v>
      </c>
      <c r="E2707" t="s">
        <v>37</v>
      </c>
      <c r="F2707" t="s">
        <v>71</v>
      </c>
      <c r="G2707">
        <v>23.8</v>
      </c>
      <c r="H2707" s="9">
        <v>20.81</v>
      </c>
      <c r="I2707"/>
    </row>
    <row r="2708" spans="1:9" x14ac:dyDescent="0.3">
      <c r="A2708" t="s">
        <v>9</v>
      </c>
      <c r="B2708" t="s">
        <v>15</v>
      </c>
      <c r="C2708" t="s">
        <v>117</v>
      </c>
      <c r="D2708" s="9" t="s">
        <v>111</v>
      </c>
      <c r="E2708" t="s">
        <v>38</v>
      </c>
      <c r="F2708" t="s">
        <v>73</v>
      </c>
      <c r="G2708">
        <v>24.2</v>
      </c>
      <c r="H2708" s="9">
        <v>18.63</v>
      </c>
      <c r="I2708"/>
    </row>
    <row r="2709" spans="1:9" x14ac:dyDescent="0.3">
      <c r="A2709" t="s">
        <v>9</v>
      </c>
      <c r="B2709" t="s">
        <v>15</v>
      </c>
      <c r="C2709" t="s">
        <v>118</v>
      </c>
      <c r="D2709" s="9" t="s">
        <v>111</v>
      </c>
      <c r="E2709" t="s">
        <v>39</v>
      </c>
      <c r="F2709" t="s">
        <v>75</v>
      </c>
      <c r="G2709">
        <v>26</v>
      </c>
      <c r="H2709" s="9">
        <v>30</v>
      </c>
      <c r="I2709"/>
    </row>
    <row r="2710" spans="1:9" x14ac:dyDescent="0.3">
      <c r="A2710" t="s">
        <v>9</v>
      </c>
      <c r="B2710" t="s">
        <v>15</v>
      </c>
      <c r="C2710" t="s">
        <v>119</v>
      </c>
      <c r="D2710" s="9" t="s">
        <v>111</v>
      </c>
      <c r="E2710" t="s">
        <v>40</v>
      </c>
      <c r="F2710" t="s">
        <v>77</v>
      </c>
      <c r="G2710">
        <v>26.5</v>
      </c>
      <c r="H2710" s="9">
        <v>37.31</v>
      </c>
      <c r="I2710"/>
    </row>
    <row r="2711" spans="1:9" x14ac:dyDescent="0.3">
      <c r="A2711" t="s">
        <v>9</v>
      </c>
      <c r="B2711" t="s">
        <v>15</v>
      </c>
      <c r="C2711" t="s">
        <v>120</v>
      </c>
      <c r="D2711" s="9" t="s">
        <v>111</v>
      </c>
      <c r="E2711" t="s">
        <v>41</v>
      </c>
      <c r="F2711" t="s">
        <v>79</v>
      </c>
      <c r="G2711">
        <v>25.1</v>
      </c>
      <c r="H2711" s="9">
        <v>13.06</v>
      </c>
      <c r="I2711"/>
    </row>
    <row r="2712" spans="1:9" x14ac:dyDescent="0.3">
      <c r="A2712" t="s">
        <v>9</v>
      </c>
      <c r="B2712" t="s">
        <v>15</v>
      </c>
      <c r="C2712" t="s">
        <v>121</v>
      </c>
      <c r="D2712" s="9" t="s">
        <v>111</v>
      </c>
      <c r="E2712" t="s">
        <v>42</v>
      </c>
      <c r="F2712" t="s">
        <v>81</v>
      </c>
      <c r="G2712">
        <v>24.7</v>
      </c>
      <c r="H2712" s="9">
        <v>21.67</v>
      </c>
      <c r="I2712"/>
    </row>
    <row r="2713" spans="1:9" x14ac:dyDescent="0.3">
      <c r="A2713" t="s">
        <v>9</v>
      </c>
      <c r="B2713" t="s">
        <v>15</v>
      </c>
      <c r="C2713" t="s">
        <v>122</v>
      </c>
      <c r="D2713" s="9" t="s">
        <v>111</v>
      </c>
      <c r="E2713" t="s">
        <v>43</v>
      </c>
      <c r="F2713" t="s">
        <v>83</v>
      </c>
      <c r="G2713">
        <v>24.3</v>
      </c>
      <c r="H2713" s="9">
        <v>13.55</v>
      </c>
      <c r="I2713"/>
    </row>
    <row r="2714" spans="1:9" x14ac:dyDescent="0.3">
      <c r="A2714" t="s">
        <v>9</v>
      </c>
      <c r="B2714" t="s">
        <v>15</v>
      </c>
      <c r="C2714" t="s">
        <v>123</v>
      </c>
      <c r="D2714" s="9" t="s">
        <v>124</v>
      </c>
      <c r="E2714" t="s">
        <v>32</v>
      </c>
      <c r="F2714" t="s">
        <v>61</v>
      </c>
      <c r="G2714">
        <v>20.2</v>
      </c>
      <c r="H2714" s="9">
        <v>7.45</v>
      </c>
      <c r="I2714"/>
    </row>
    <row r="2715" spans="1:9" x14ac:dyDescent="0.3">
      <c r="A2715" t="s">
        <v>9</v>
      </c>
      <c r="B2715" t="s">
        <v>15</v>
      </c>
      <c r="C2715" t="s">
        <v>125</v>
      </c>
      <c r="D2715" s="9" t="s">
        <v>124</v>
      </c>
      <c r="E2715" t="s">
        <v>33</v>
      </c>
      <c r="F2715" t="s">
        <v>63</v>
      </c>
      <c r="G2715">
        <v>19.2</v>
      </c>
      <c r="H2715" s="9">
        <v>9.09</v>
      </c>
      <c r="I2715"/>
    </row>
    <row r="2716" spans="1:9" x14ac:dyDescent="0.3">
      <c r="A2716" t="s">
        <v>9</v>
      </c>
      <c r="B2716" t="s">
        <v>15</v>
      </c>
      <c r="C2716" t="s">
        <v>126</v>
      </c>
      <c r="D2716" s="9" t="s">
        <v>124</v>
      </c>
      <c r="E2716" t="s">
        <v>34</v>
      </c>
      <c r="F2716" t="s">
        <v>65</v>
      </c>
      <c r="G2716">
        <v>22.3</v>
      </c>
      <c r="H2716" s="9">
        <v>4.6900000000000004</v>
      </c>
      <c r="I2716"/>
    </row>
    <row r="2717" spans="1:9" x14ac:dyDescent="0.3">
      <c r="A2717" t="s">
        <v>9</v>
      </c>
      <c r="B2717" t="s">
        <v>15</v>
      </c>
      <c r="C2717" t="s">
        <v>127</v>
      </c>
      <c r="D2717" s="9" t="s">
        <v>124</v>
      </c>
      <c r="E2717" t="s">
        <v>35</v>
      </c>
      <c r="F2717" t="s">
        <v>67</v>
      </c>
      <c r="G2717">
        <v>21.7</v>
      </c>
      <c r="H2717" s="9">
        <v>7.96</v>
      </c>
      <c r="I2717"/>
    </row>
    <row r="2718" spans="1:9" x14ac:dyDescent="0.3">
      <c r="A2718" t="s">
        <v>9</v>
      </c>
      <c r="B2718" t="s">
        <v>15</v>
      </c>
      <c r="C2718" t="s">
        <v>128</v>
      </c>
      <c r="D2718" s="9" t="s">
        <v>124</v>
      </c>
      <c r="E2718" t="s">
        <v>36</v>
      </c>
      <c r="F2718" t="s">
        <v>69</v>
      </c>
      <c r="G2718">
        <v>24.2</v>
      </c>
      <c r="H2718" s="9">
        <v>1.68</v>
      </c>
      <c r="I2718"/>
    </row>
    <row r="2719" spans="1:9" x14ac:dyDescent="0.3">
      <c r="A2719" t="s">
        <v>9</v>
      </c>
      <c r="B2719" t="s">
        <v>15</v>
      </c>
      <c r="C2719" t="s">
        <v>129</v>
      </c>
      <c r="D2719" s="9" t="s">
        <v>124</v>
      </c>
      <c r="E2719" t="s">
        <v>37</v>
      </c>
      <c r="F2719" t="s">
        <v>71</v>
      </c>
      <c r="G2719">
        <v>24.4</v>
      </c>
      <c r="H2719" s="9">
        <v>2.52</v>
      </c>
      <c r="I2719"/>
    </row>
    <row r="2720" spans="1:9" x14ac:dyDescent="0.3">
      <c r="A2720" t="s">
        <v>9</v>
      </c>
      <c r="B2720" t="s">
        <v>15</v>
      </c>
      <c r="C2720" t="s">
        <v>130</v>
      </c>
      <c r="D2720" s="9" t="s">
        <v>124</v>
      </c>
      <c r="E2720" t="s">
        <v>38</v>
      </c>
      <c r="F2720" t="s">
        <v>73</v>
      </c>
      <c r="G2720">
        <v>22.3</v>
      </c>
      <c r="H2720" s="9">
        <v>-7.85</v>
      </c>
      <c r="I2720"/>
    </row>
    <row r="2721" spans="1:9" x14ac:dyDescent="0.3">
      <c r="A2721" t="s">
        <v>9</v>
      </c>
      <c r="B2721" t="s">
        <v>15</v>
      </c>
      <c r="C2721" t="s">
        <v>131</v>
      </c>
      <c r="D2721" s="9" t="s">
        <v>124</v>
      </c>
      <c r="E2721" t="s">
        <v>39</v>
      </c>
      <c r="F2721" t="s">
        <v>75</v>
      </c>
      <c r="G2721">
        <v>23.4</v>
      </c>
      <c r="H2721" s="9">
        <v>-10</v>
      </c>
      <c r="I2721"/>
    </row>
    <row r="2722" spans="1:9" x14ac:dyDescent="0.3">
      <c r="A2722" t="s">
        <v>9</v>
      </c>
      <c r="B2722" t="s">
        <v>15</v>
      </c>
      <c r="C2722" t="s">
        <v>132</v>
      </c>
      <c r="D2722" s="9" t="s">
        <v>124</v>
      </c>
      <c r="E2722" t="s">
        <v>40</v>
      </c>
      <c r="F2722" t="s">
        <v>77</v>
      </c>
      <c r="G2722">
        <v>22.3</v>
      </c>
      <c r="H2722" s="9">
        <v>-15.85</v>
      </c>
      <c r="I2722"/>
    </row>
    <row r="2723" spans="1:9" x14ac:dyDescent="0.3">
      <c r="A2723" t="s">
        <v>9</v>
      </c>
      <c r="B2723" t="s">
        <v>15</v>
      </c>
      <c r="C2723" t="s">
        <v>133</v>
      </c>
      <c r="D2723" s="9" t="s">
        <v>124</v>
      </c>
      <c r="E2723" t="s">
        <v>41</v>
      </c>
      <c r="F2723" t="s">
        <v>79</v>
      </c>
      <c r="G2723">
        <v>22</v>
      </c>
      <c r="H2723" s="9">
        <v>-12.35</v>
      </c>
      <c r="I2723"/>
    </row>
    <row r="2724" spans="1:9" x14ac:dyDescent="0.3">
      <c r="A2724" t="s">
        <v>9</v>
      </c>
      <c r="B2724" t="s">
        <v>15</v>
      </c>
      <c r="C2724" t="s">
        <v>134</v>
      </c>
      <c r="D2724" s="9" t="s">
        <v>124</v>
      </c>
      <c r="E2724" t="s">
        <v>42</v>
      </c>
      <c r="F2724" t="s">
        <v>81</v>
      </c>
      <c r="G2724">
        <v>21.8</v>
      </c>
      <c r="H2724" s="9">
        <v>-11.74</v>
      </c>
      <c r="I2724"/>
    </row>
    <row r="2725" spans="1:9" x14ac:dyDescent="0.3">
      <c r="A2725" t="s">
        <v>9</v>
      </c>
      <c r="B2725" t="s">
        <v>15</v>
      </c>
      <c r="C2725" t="s">
        <v>135</v>
      </c>
      <c r="D2725" s="9" t="s">
        <v>124</v>
      </c>
      <c r="E2725" t="s">
        <v>43</v>
      </c>
      <c r="F2725" t="s">
        <v>83</v>
      </c>
      <c r="G2725">
        <v>20.7</v>
      </c>
      <c r="H2725" s="9">
        <v>-14.81</v>
      </c>
      <c r="I2725"/>
    </row>
    <row r="2726" spans="1:9" x14ac:dyDescent="0.3">
      <c r="A2726" t="s">
        <v>9</v>
      </c>
      <c r="B2726" t="s">
        <v>15</v>
      </c>
      <c r="C2726" t="s">
        <v>136</v>
      </c>
      <c r="D2726" s="9" t="s">
        <v>137</v>
      </c>
      <c r="E2726" t="s">
        <v>32</v>
      </c>
      <c r="F2726" t="s">
        <v>61</v>
      </c>
      <c r="G2726">
        <v>19.100000000000001</v>
      </c>
      <c r="H2726" s="9">
        <v>-5.45</v>
      </c>
      <c r="I2726"/>
    </row>
    <row r="2727" spans="1:9" x14ac:dyDescent="0.3">
      <c r="A2727" t="s">
        <v>9</v>
      </c>
      <c r="B2727" t="s">
        <v>15</v>
      </c>
      <c r="C2727" t="s">
        <v>138</v>
      </c>
      <c r="D2727" s="9" t="s">
        <v>137</v>
      </c>
      <c r="E2727" t="s">
        <v>33</v>
      </c>
      <c r="F2727" t="s">
        <v>63</v>
      </c>
      <c r="G2727">
        <v>19</v>
      </c>
      <c r="H2727" s="9">
        <v>-1.04</v>
      </c>
      <c r="I2727"/>
    </row>
    <row r="2728" spans="1:9" x14ac:dyDescent="0.3">
      <c r="A2728" t="s">
        <v>9</v>
      </c>
      <c r="B2728" t="s">
        <v>15</v>
      </c>
      <c r="C2728" t="s">
        <v>139</v>
      </c>
      <c r="D2728" s="9" t="s">
        <v>137</v>
      </c>
      <c r="E2728" t="s">
        <v>34</v>
      </c>
      <c r="F2728" t="s">
        <v>65</v>
      </c>
      <c r="G2728">
        <v>19.2</v>
      </c>
      <c r="H2728" s="9">
        <v>-13.9</v>
      </c>
      <c r="I2728"/>
    </row>
    <row r="2729" spans="1:9" x14ac:dyDescent="0.3">
      <c r="A2729" t="s">
        <v>9</v>
      </c>
      <c r="B2729" t="s">
        <v>15</v>
      </c>
      <c r="C2729" t="s">
        <v>140</v>
      </c>
      <c r="D2729" s="9" t="s">
        <v>137</v>
      </c>
      <c r="E2729" t="s">
        <v>35</v>
      </c>
      <c r="F2729" t="s">
        <v>67</v>
      </c>
      <c r="G2729">
        <v>20.9</v>
      </c>
      <c r="H2729" s="9">
        <v>-3.69</v>
      </c>
      <c r="I2729"/>
    </row>
    <row r="2730" spans="1:9" x14ac:dyDescent="0.3">
      <c r="A2730" t="s">
        <v>9</v>
      </c>
      <c r="B2730" t="s">
        <v>15</v>
      </c>
      <c r="C2730" t="s">
        <v>141</v>
      </c>
      <c r="D2730" s="9" t="s">
        <v>137</v>
      </c>
      <c r="E2730" t="s">
        <v>36</v>
      </c>
      <c r="F2730" t="s">
        <v>69</v>
      </c>
      <c r="G2730">
        <v>22.3</v>
      </c>
      <c r="H2730" s="9">
        <v>-7.85</v>
      </c>
      <c r="I2730"/>
    </row>
    <row r="2731" spans="1:9" x14ac:dyDescent="0.3">
      <c r="A2731" t="s">
        <v>9</v>
      </c>
      <c r="B2731" t="s">
        <v>15</v>
      </c>
      <c r="C2731" t="s">
        <v>142</v>
      </c>
      <c r="D2731" s="9" t="s">
        <v>137</v>
      </c>
      <c r="E2731" t="s">
        <v>37</v>
      </c>
      <c r="F2731" t="s">
        <v>71</v>
      </c>
      <c r="G2731">
        <v>22.7</v>
      </c>
      <c r="H2731" s="9">
        <v>-6.97</v>
      </c>
      <c r="I2731"/>
    </row>
    <row r="2732" spans="1:9" x14ac:dyDescent="0.3">
      <c r="A2732" t="s">
        <v>9</v>
      </c>
      <c r="B2732" t="s">
        <v>15</v>
      </c>
      <c r="C2732" t="s">
        <v>143</v>
      </c>
      <c r="D2732" s="9" t="s">
        <v>137</v>
      </c>
      <c r="E2732" t="s">
        <v>38</v>
      </c>
      <c r="F2732" t="s">
        <v>73</v>
      </c>
      <c r="G2732">
        <v>22.3</v>
      </c>
      <c r="H2732" s="9">
        <v>0</v>
      </c>
      <c r="I2732"/>
    </row>
    <row r="2733" spans="1:9" x14ac:dyDescent="0.3">
      <c r="A2733" t="s">
        <v>9</v>
      </c>
      <c r="B2733" t="s">
        <v>15</v>
      </c>
      <c r="C2733" t="s">
        <v>144</v>
      </c>
      <c r="D2733" s="9" t="s">
        <v>137</v>
      </c>
      <c r="E2733" t="s">
        <v>39</v>
      </c>
      <c r="F2733" t="s">
        <v>75</v>
      </c>
      <c r="G2733">
        <v>23.1</v>
      </c>
      <c r="H2733" s="9">
        <v>-1.28</v>
      </c>
      <c r="I2733"/>
    </row>
    <row r="2734" spans="1:9" x14ac:dyDescent="0.3">
      <c r="A2734" t="s">
        <v>9</v>
      </c>
      <c r="B2734" t="s">
        <v>15</v>
      </c>
      <c r="C2734" t="s">
        <v>145</v>
      </c>
      <c r="D2734" s="9" t="s">
        <v>137</v>
      </c>
      <c r="E2734" t="s">
        <v>40</v>
      </c>
      <c r="F2734" t="s">
        <v>77</v>
      </c>
      <c r="G2734">
        <v>21.7</v>
      </c>
      <c r="H2734" s="9">
        <v>-2.69</v>
      </c>
      <c r="I2734"/>
    </row>
    <row r="2735" spans="1:9" x14ac:dyDescent="0.3">
      <c r="A2735" t="s">
        <v>9</v>
      </c>
      <c r="B2735" t="s">
        <v>15</v>
      </c>
      <c r="C2735" t="s">
        <v>146</v>
      </c>
      <c r="D2735" s="9" t="s">
        <v>137</v>
      </c>
      <c r="E2735" t="s">
        <v>41</v>
      </c>
      <c r="F2735" t="s">
        <v>79</v>
      </c>
      <c r="G2735">
        <v>22.3</v>
      </c>
      <c r="H2735" s="9">
        <v>1.36</v>
      </c>
      <c r="I2735"/>
    </row>
    <row r="2736" spans="1:9" x14ac:dyDescent="0.3">
      <c r="A2736" t="s">
        <v>9</v>
      </c>
      <c r="B2736" t="s">
        <v>15</v>
      </c>
      <c r="C2736" t="s">
        <v>147</v>
      </c>
      <c r="D2736" s="9" t="s">
        <v>137</v>
      </c>
      <c r="E2736" t="s">
        <v>42</v>
      </c>
      <c r="F2736" t="s">
        <v>81</v>
      </c>
      <c r="G2736">
        <v>21.2</v>
      </c>
      <c r="H2736" s="9">
        <v>-2.75</v>
      </c>
      <c r="I2736"/>
    </row>
    <row r="2737" spans="1:9" x14ac:dyDescent="0.3">
      <c r="A2737" t="s">
        <v>9</v>
      </c>
      <c r="B2737" t="s">
        <v>15</v>
      </c>
      <c r="C2737" t="s">
        <v>148</v>
      </c>
      <c r="D2737" s="9" t="s">
        <v>137</v>
      </c>
      <c r="E2737" t="s">
        <v>43</v>
      </c>
      <c r="F2737" t="s">
        <v>83</v>
      </c>
      <c r="G2737">
        <v>21.9</v>
      </c>
      <c r="H2737" s="9">
        <v>5.8</v>
      </c>
      <c r="I2737"/>
    </row>
    <row r="2738" spans="1:9" x14ac:dyDescent="0.3">
      <c r="A2738" t="s">
        <v>9</v>
      </c>
      <c r="B2738" t="s">
        <v>15</v>
      </c>
      <c r="C2738" t="s">
        <v>149</v>
      </c>
      <c r="D2738" s="9" t="s">
        <v>150</v>
      </c>
      <c r="E2738" t="s">
        <v>32</v>
      </c>
      <c r="F2738" t="s">
        <v>61</v>
      </c>
      <c r="G2738">
        <v>20.399999999999999</v>
      </c>
      <c r="H2738" s="9">
        <v>6.81</v>
      </c>
      <c r="I2738"/>
    </row>
    <row r="2739" spans="1:9" x14ac:dyDescent="0.3">
      <c r="A2739" t="s">
        <v>9</v>
      </c>
      <c r="B2739" t="s">
        <v>15</v>
      </c>
      <c r="C2739" t="s">
        <v>151</v>
      </c>
      <c r="D2739" s="9" t="s">
        <v>150</v>
      </c>
      <c r="E2739" t="s">
        <v>33</v>
      </c>
      <c r="F2739" t="s">
        <v>63</v>
      </c>
      <c r="G2739">
        <v>18.8</v>
      </c>
      <c r="H2739" s="9">
        <v>-1.05</v>
      </c>
      <c r="I2739"/>
    </row>
    <row r="2740" spans="1:9" x14ac:dyDescent="0.3">
      <c r="A2740" t="s">
        <v>9</v>
      </c>
      <c r="B2740" t="s">
        <v>15</v>
      </c>
      <c r="C2740" t="s">
        <v>152</v>
      </c>
      <c r="D2740" s="9" t="s">
        <v>150</v>
      </c>
      <c r="E2740" t="s">
        <v>34</v>
      </c>
      <c r="F2740" t="s">
        <v>65</v>
      </c>
      <c r="G2740">
        <v>20.399999999999999</v>
      </c>
      <c r="H2740" s="9">
        <v>6.25</v>
      </c>
      <c r="I2740"/>
    </row>
    <row r="2741" spans="1:9" x14ac:dyDescent="0.3">
      <c r="A2741" t="s">
        <v>9</v>
      </c>
      <c r="B2741" t="s">
        <v>15</v>
      </c>
      <c r="C2741" t="s">
        <v>153</v>
      </c>
      <c r="D2741" s="9" t="s">
        <v>150</v>
      </c>
      <c r="E2741" t="s">
        <v>35</v>
      </c>
      <c r="F2741" t="s">
        <v>67</v>
      </c>
      <c r="G2741">
        <v>21.2</v>
      </c>
      <c r="H2741" s="9">
        <v>1.44</v>
      </c>
      <c r="I2741"/>
    </row>
    <row r="2742" spans="1:9" x14ac:dyDescent="0.3">
      <c r="A2742" t="s">
        <v>9</v>
      </c>
      <c r="B2742" t="s">
        <v>15</v>
      </c>
      <c r="C2742" t="s">
        <v>154</v>
      </c>
      <c r="D2742" s="9" t="s">
        <v>150</v>
      </c>
      <c r="E2742" t="s">
        <v>36</v>
      </c>
      <c r="F2742" t="s">
        <v>69</v>
      </c>
      <c r="G2742">
        <v>23.3</v>
      </c>
      <c r="H2742" s="9">
        <v>4.4800000000000004</v>
      </c>
      <c r="I2742"/>
    </row>
    <row r="2743" spans="1:9" x14ac:dyDescent="0.3">
      <c r="A2743" t="s">
        <v>9</v>
      </c>
      <c r="B2743" t="s">
        <v>15</v>
      </c>
      <c r="C2743" t="s">
        <v>155</v>
      </c>
      <c r="D2743" s="9" t="s">
        <v>150</v>
      </c>
      <c r="E2743" t="s">
        <v>37</v>
      </c>
      <c r="F2743" t="s">
        <v>71</v>
      </c>
      <c r="G2743">
        <v>23.5</v>
      </c>
      <c r="H2743" s="9">
        <v>3.52</v>
      </c>
      <c r="I2743"/>
    </row>
    <row r="2744" spans="1:9" x14ac:dyDescent="0.3">
      <c r="A2744" t="s">
        <v>9</v>
      </c>
      <c r="B2744" t="s">
        <v>25</v>
      </c>
      <c r="C2744" t="s">
        <v>59</v>
      </c>
      <c r="D2744" s="9" t="s">
        <v>60</v>
      </c>
      <c r="E2744" t="s">
        <v>32</v>
      </c>
      <c r="F2744" t="s">
        <v>61</v>
      </c>
      <c r="G2744">
        <v>0.8</v>
      </c>
      <c r="I2744"/>
    </row>
    <row r="2745" spans="1:9" x14ac:dyDescent="0.3">
      <c r="A2745" t="s">
        <v>9</v>
      </c>
      <c r="B2745" t="s">
        <v>25</v>
      </c>
      <c r="C2745" t="s">
        <v>62</v>
      </c>
      <c r="D2745" s="9" t="s">
        <v>60</v>
      </c>
      <c r="E2745" t="s">
        <v>33</v>
      </c>
      <c r="F2745" t="s">
        <v>63</v>
      </c>
      <c r="G2745">
        <v>0.9</v>
      </c>
      <c r="I2745"/>
    </row>
    <row r="2746" spans="1:9" x14ac:dyDescent="0.3">
      <c r="A2746" t="s">
        <v>9</v>
      </c>
      <c r="B2746" t="s">
        <v>25</v>
      </c>
      <c r="C2746" t="s">
        <v>64</v>
      </c>
      <c r="D2746" s="9" t="s">
        <v>60</v>
      </c>
      <c r="E2746" t="s">
        <v>34</v>
      </c>
      <c r="F2746" t="s">
        <v>65</v>
      </c>
      <c r="G2746">
        <v>0.9</v>
      </c>
      <c r="I2746"/>
    </row>
    <row r="2747" spans="1:9" x14ac:dyDescent="0.3">
      <c r="A2747" t="s">
        <v>9</v>
      </c>
      <c r="B2747" t="s">
        <v>25</v>
      </c>
      <c r="C2747" t="s">
        <v>66</v>
      </c>
      <c r="D2747" s="9" t="s">
        <v>60</v>
      </c>
      <c r="E2747" t="s">
        <v>35</v>
      </c>
      <c r="F2747" t="s">
        <v>67</v>
      </c>
      <c r="G2747">
        <v>0.9</v>
      </c>
      <c r="I2747"/>
    </row>
    <row r="2748" spans="1:9" x14ac:dyDescent="0.3">
      <c r="A2748" t="s">
        <v>9</v>
      </c>
      <c r="B2748" t="s">
        <v>25</v>
      </c>
      <c r="C2748" t="s">
        <v>68</v>
      </c>
      <c r="D2748" s="9" t="s">
        <v>60</v>
      </c>
      <c r="E2748" t="s">
        <v>36</v>
      </c>
      <c r="F2748" t="s">
        <v>69</v>
      </c>
      <c r="G2748">
        <v>1.4</v>
      </c>
      <c r="I2748"/>
    </row>
    <row r="2749" spans="1:9" x14ac:dyDescent="0.3">
      <c r="A2749" t="s">
        <v>9</v>
      </c>
      <c r="B2749" t="s">
        <v>25</v>
      </c>
      <c r="C2749" t="s">
        <v>70</v>
      </c>
      <c r="D2749" s="9" t="s">
        <v>60</v>
      </c>
      <c r="E2749" t="s">
        <v>37</v>
      </c>
      <c r="F2749" t="s">
        <v>71</v>
      </c>
      <c r="G2749">
        <v>1.3</v>
      </c>
      <c r="I2749"/>
    </row>
    <row r="2750" spans="1:9" x14ac:dyDescent="0.3">
      <c r="A2750" t="s">
        <v>9</v>
      </c>
      <c r="B2750" t="s">
        <v>25</v>
      </c>
      <c r="C2750" t="s">
        <v>72</v>
      </c>
      <c r="D2750" s="9" t="s">
        <v>60</v>
      </c>
      <c r="E2750" t="s">
        <v>38</v>
      </c>
      <c r="F2750" t="s">
        <v>73</v>
      </c>
      <c r="G2750">
        <v>1.6</v>
      </c>
      <c r="I2750"/>
    </row>
    <row r="2751" spans="1:9" x14ac:dyDescent="0.3">
      <c r="A2751" t="s">
        <v>9</v>
      </c>
      <c r="B2751" t="s">
        <v>25</v>
      </c>
      <c r="C2751" t="s">
        <v>74</v>
      </c>
      <c r="D2751" s="9" t="s">
        <v>60</v>
      </c>
      <c r="E2751" t="s">
        <v>39</v>
      </c>
      <c r="F2751" t="s">
        <v>75</v>
      </c>
      <c r="G2751">
        <v>1.4</v>
      </c>
      <c r="I2751"/>
    </row>
    <row r="2752" spans="1:9" x14ac:dyDescent="0.3">
      <c r="A2752" t="s">
        <v>9</v>
      </c>
      <c r="B2752" t="s">
        <v>25</v>
      </c>
      <c r="C2752" t="s">
        <v>76</v>
      </c>
      <c r="D2752" s="9" t="s">
        <v>60</v>
      </c>
      <c r="E2752" t="s">
        <v>40</v>
      </c>
      <c r="F2752" t="s">
        <v>77</v>
      </c>
      <c r="G2752">
        <v>1.2</v>
      </c>
      <c r="I2752"/>
    </row>
    <row r="2753" spans="1:9" x14ac:dyDescent="0.3">
      <c r="A2753" t="s">
        <v>9</v>
      </c>
      <c r="B2753" t="s">
        <v>25</v>
      </c>
      <c r="C2753" t="s">
        <v>78</v>
      </c>
      <c r="D2753" s="9" t="s">
        <v>60</v>
      </c>
      <c r="E2753" t="s">
        <v>41</v>
      </c>
      <c r="F2753" t="s">
        <v>79</v>
      </c>
      <c r="G2753">
        <v>1.1000000000000001</v>
      </c>
      <c r="I2753"/>
    </row>
    <row r="2754" spans="1:9" x14ac:dyDescent="0.3">
      <c r="A2754" t="s">
        <v>9</v>
      </c>
      <c r="B2754" t="s">
        <v>25</v>
      </c>
      <c r="C2754" t="s">
        <v>80</v>
      </c>
      <c r="D2754" s="9" t="s">
        <v>60</v>
      </c>
      <c r="E2754" t="s">
        <v>42</v>
      </c>
      <c r="F2754" t="s">
        <v>81</v>
      </c>
      <c r="G2754">
        <v>1.2</v>
      </c>
      <c r="I2754"/>
    </row>
    <row r="2755" spans="1:9" x14ac:dyDescent="0.3">
      <c r="A2755" t="s">
        <v>9</v>
      </c>
      <c r="B2755" t="s">
        <v>25</v>
      </c>
      <c r="C2755" t="s">
        <v>82</v>
      </c>
      <c r="D2755" s="9" t="s">
        <v>60</v>
      </c>
      <c r="E2755" t="s">
        <v>43</v>
      </c>
      <c r="F2755" t="s">
        <v>83</v>
      </c>
      <c r="G2755">
        <v>1.8</v>
      </c>
      <c r="I2755"/>
    </row>
    <row r="2756" spans="1:9" x14ac:dyDescent="0.3">
      <c r="A2756" t="s">
        <v>9</v>
      </c>
      <c r="B2756" t="s">
        <v>25</v>
      </c>
      <c r="C2756" t="s">
        <v>84</v>
      </c>
      <c r="D2756" s="9" t="s">
        <v>85</v>
      </c>
      <c r="E2756" t="s">
        <v>32</v>
      </c>
      <c r="F2756" t="s">
        <v>61</v>
      </c>
      <c r="G2756">
        <v>0.9</v>
      </c>
      <c r="H2756" s="9">
        <v>12.5</v>
      </c>
      <c r="I2756"/>
    </row>
    <row r="2757" spans="1:9" x14ac:dyDescent="0.3">
      <c r="A2757" t="s">
        <v>9</v>
      </c>
      <c r="B2757" t="s">
        <v>25</v>
      </c>
      <c r="C2757" t="s">
        <v>86</v>
      </c>
      <c r="D2757" s="9" t="s">
        <v>85</v>
      </c>
      <c r="E2757" t="s">
        <v>33</v>
      </c>
      <c r="F2757" t="s">
        <v>63</v>
      </c>
      <c r="G2757">
        <v>1</v>
      </c>
      <c r="H2757" s="9">
        <v>11.11</v>
      </c>
      <c r="I2757"/>
    </row>
    <row r="2758" spans="1:9" x14ac:dyDescent="0.3">
      <c r="A2758" t="s">
        <v>9</v>
      </c>
      <c r="B2758" t="s">
        <v>25</v>
      </c>
      <c r="C2758" t="s">
        <v>87</v>
      </c>
      <c r="D2758" s="9" t="s">
        <v>85</v>
      </c>
      <c r="E2758" t="s">
        <v>34</v>
      </c>
      <c r="F2758" t="s">
        <v>65</v>
      </c>
      <c r="G2758">
        <v>1.1000000000000001</v>
      </c>
      <c r="H2758" s="9">
        <v>22.22</v>
      </c>
      <c r="I2758"/>
    </row>
    <row r="2759" spans="1:9" x14ac:dyDescent="0.3">
      <c r="A2759" t="s">
        <v>9</v>
      </c>
      <c r="B2759" t="s">
        <v>25</v>
      </c>
      <c r="C2759" t="s">
        <v>88</v>
      </c>
      <c r="D2759" s="9" t="s">
        <v>85</v>
      </c>
      <c r="E2759" t="s">
        <v>35</v>
      </c>
      <c r="F2759" t="s">
        <v>67</v>
      </c>
      <c r="G2759">
        <v>0.9</v>
      </c>
      <c r="H2759" s="9">
        <v>0</v>
      </c>
      <c r="I2759"/>
    </row>
    <row r="2760" spans="1:9" x14ac:dyDescent="0.3">
      <c r="A2760" t="s">
        <v>9</v>
      </c>
      <c r="B2760" t="s">
        <v>25</v>
      </c>
      <c r="C2760" t="s">
        <v>89</v>
      </c>
      <c r="D2760" s="9" t="s">
        <v>85</v>
      </c>
      <c r="E2760" t="s">
        <v>36</v>
      </c>
      <c r="F2760" t="s">
        <v>69</v>
      </c>
      <c r="G2760">
        <v>1.2</v>
      </c>
      <c r="H2760" s="9">
        <v>-14.29</v>
      </c>
      <c r="I2760"/>
    </row>
    <row r="2761" spans="1:9" x14ac:dyDescent="0.3">
      <c r="A2761" t="s">
        <v>9</v>
      </c>
      <c r="B2761" t="s">
        <v>25</v>
      </c>
      <c r="C2761" t="s">
        <v>90</v>
      </c>
      <c r="D2761" s="9" t="s">
        <v>85</v>
      </c>
      <c r="E2761" t="s">
        <v>37</v>
      </c>
      <c r="F2761" t="s">
        <v>71</v>
      </c>
      <c r="G2761">
        <v>1.4</v>
      </c>
      <c r="H2761" s="9">
        <v>7.69</v>
      </c>
      <c r="I2761"/>
    </row>
    <row r="2762" spans="1:9" x14ac:dyDescent="0.3">
      <c r="A2762" t="s">
        <v>9</v>
      </c>
      <c r="B2762" t="s">
        <v>25</v>
      </c>
      <c r="C2762" t="s">
        <v>91</v>
      </c>
      <c r="D2762" s="9" t="s">
        <v>85</v>
      </c>
      <c r="E2762" t="s">
        <v>38</v>
      </c>
      <c r="F2762" t="s">
        <v>73</v>
      </c>
      <c r="G2762">
        <v>1.3</v>
      </c>
      <c r="H2762" s="9">
        <v>-18.75</v>
      </c>
      <c r="I2762"/>
    </row>
    <row r="2763" spans="1:9" x14ac:dyDescent="0.3">
      <c r="A2763" t="s">
        <v>9</v>
      </c>
      <c r="B2763" t="s">
        <v>25</v>
      </c>
      <c r="C2763" t="s">
        <v>92</v>
      </c>
      <c r="D2763" s="9" t="s">
        <v>85</v>
      </c>
      <c r="E2763" t="s">
        <v>39</v>
      </c>
      <c r="F2763" t="s">
        <v>75</v>
      </c>
      <c r="G2763">
        <v>1.2</v>
      </c>
      <c r="H2763" s="9">
        <v>-14.29</v>
      </c>
      <c r="I2763"/>
    </row>
    <row r="2764" spans="1:9" x14ac:dyDescent="0.3">
      <c r="A2764" t="s">
        <v>9</v>
      </c>
      <c r="B2764" t="s">
        <v>25</v>
      </c>
      <c r="C2764" t="s">
        <v>93</v>
      </c>
      <c r="D2764" s="9" t="s">
        <v>85</v>
      </c>
      <c r="E2764" t="s">
        <v>40</v>
      </c>
      <c r="F2764" t="s">
        <v>77</v>
      </c>
      <c r="G2764">
        <v>1.3</v>
      </c>
      <c r="H2764" s="9">
        <v>8.33</v>
      </c>
      <c r="I2764"/>
    </row>
    <row r="2765" spans="1:9" x14ac:dyDescent="0.3">
      <c r="A2765" t="s">
        <v>9</v>
      </c>
      <c r="B2765" t="s">
        <v>25</v>
      </c>
      <c r="C2765" t="s">
        <v>94</v>
      </c>
      <c r="D2765" s="9" t="s">
        <v>85</v>
      </c>
      <c r="E2765" t="s">
        <v>41</v>
      </c>
      <c r="F2765" t="s">
        <v>79</v>
      </c>
      <c r="G2765">
        <v>1.1000000000000001</v>
      </c>
      <c r="H2765" s="9">
        <v>0</v>
      </c>
      <c r="I2765"/>
    </row>
    <row r="2766" spans="1:9" x14ac:dyDescent="0.3">
      <c r="A2766" t="s">
        <v>9</v>
      </c>
      <c r="B2766" t="s">
        <v>25</v>
      </c>
      <c r="C2766" t="s">
        <v>95</v>
      </c>
      <c r="D2766" s="9" t="s">
        <v>85</v>
      </c>
      <c r="E2766" t="s">
        <v>42</v>
      </c>
      <c r="F2766" t="s">
        <v>81</v>
      </c>
      <c r="G2766">
        <v>1.1000000000000001</v>
      </c>
      <c r="H2766" s="9">
        <v>-8.33</v>
      </c>
      <c r="I2766"/>
    </row>
    <row r="2767" spans="1:9" x14ac:dyDescent="0.3">
      <c r="A2767" t="s">
        <v>9</v>
      </c>
      <c r="B2767" t="s">
        <v>25</v>
      </c>
      <c r="C2767" t="s">
        <v>96</v>
      </c>
      <c r="D2767" s="9" t="s">
        <v>85</v>
      </c>
      <c r="E2767" t="s">
        <v>43</v>
      </c>
      <c r="F2767" t="s">
        <v>83</v>
      </c>
      <c r="G2767">
        <v>2.2999999999999998</v>
      </c>
      <c r="H2767" s="9">
        <v>27.78</v>
      </c>
      <c r="I2767"/>
    </row>
    <row r="2768" spans="1:9" x14ac:dyDescent="0.3">
      <c r="A2768" t="s">
        <v>9</v>
      </c>
      <c r="B2768" t="s">
        <v>25</v>
      </c>
      <c r="C2768" t="s">
        <v>97</v>
      </c>
      <c r="D2768" s="9" t="s">
        <v>98</v>
      </c>
      <c r="E2768" t="s">
        <v>32</v>
      </c>
      <c r="F2768" t="s">
        <v>61</v>
      </c>
      <c r="G2768">
        <v>1</v>
      </c>
      <c r="H2768" s="9">
        <v>11.11</v>
      </c>
      <c r="I2768"/>
    </row>
    <row r="2769" spans="1:9" x14ac:dyDescent="0.3">
      <c r="A2769" t="s">
        <v>9</v>
      </c>
      <c r="B2769" t="s">
        <v>25</v>
      </c>
      <c r="C2769" t="s">
        <v>99</v>
      </c>
      <c r="D2769" s="9" t="s">
        <v>98</v>
      </c>
      <c r="E2769" t="s">
        <v>33</v>
      </c>
      <c r="F2769" t="s">
        <v>63</v>
      </c>
      <c r="G2769">
        <v>1.1000000000000001</v>
      </c>
      <c r="H2769" s="9">
        <v>10</v>
      </c>
      <c r="I2769"/>
    </row>
    <row r="2770" spans="1:9" x14ac:dyDescent="0.3">
      <c r="A2770" t="s">
        <v>9</v>
      </c>
      <c r="B2770" t="s">
        <v>25</v>
      </c>
      <c r="C2770" t="s">
        <v>100</v>
      </c>
      <c r="D2770" s="9" t="s">
        <v>98</v>
      </c>
      <c r="E2770" t="s">
        <v>34</v>
      </c>
      <c r="F2770" t="s">
        <v>65</v>
      </c>
      <c r="G2770">
        <v>1.1000000000000001</v>
      </c>
      <c r="H2770" s="9">
        <v>0</v>
      </c>
      <c r="I2770"/>
    </row>
    <row r="2771" spans="1:9" x14ac:dyDescent="0.3">
      <c r="A2771" t="s">
        <v>9</v>
      </c>
      <c r="B2771" t="s">
        <v>25</v>
      </c>
      <c r="C2771" t="s">
        <v>101</v>
      </c>
      <c r="D2771" s="9" t="s">
        <v>98</v>
      </c>
      <c r="E2771" t="s">
        <v>35</v>
      </c>
      <c r="F2771" t="s">
        <v>67</v>
      </c>
      <c r="G2771">
        <v>1.2</v>
      </c>
      <c r="H2771" s="9">
        <v>33.33</v>
      </c>
      <c r="I2771"/>
    </row>
    <row r="2772" spans="1:9" x14ac:dyDescent="0.3">
      <c r="A2772" t="s">
        <v>9</v>
      </c>
      <c r="B2772" t="s">
        <v>25</v>
      </c>
      <c r="C2772" t="s">
        <v>102</v>
      </c>
      <c r="D2772" s="9" t="s">
        <v>98</v>
      </c>
      <c r="E2772" t="s">
        <v>36</v>
      </c>
      <c r="F2772" t="s">
        <v>69</v>
      </c>
      <c r="G2772">
        <v>1.5</v>
      </c>
      <c r="H2772" s="9">
        <v>25</v>
      </c>
      <c r="I2772"/>
    </row>
    <row r="2773" spans="1:9" x14ac:dyDescent="0.3">
      <c r="A2773" t="s">
        <v>9</v>
      </c>
      <c r="B2773" t="s">
        <v>25</v>
      </c>
      <c r="C2773" t="s">
        <v>103</v>
      </c>
      <c r="D2773" s="9" t="s">
        <v>98</v>
      </c>
      <c r="E2773" t="s">
        <v>37</v>
      </c>
      <c r="F2773" t="s">
        <v>71</v>
      </c>
      <c r="G2773">
        <v>1.5</v>
      </c>
      <c r="H2773" s="9">
        <v>7.14</v>
      </c>
      <c r="I2773"/>
    </row>
    <row r="2774" spans="1:9" x14ac:dyDescent="0.3">
      <c r="A2774" t="s">
        <v>9</v>
      </c>
      <c r="B2774" t="s">
        <v>25</v>
      </c>
      <c r="C2774" t="s">
        <v>104</v>
      </c>
      <c r="D2774" s="9" t="s">
        <v>98</v>
      </c>
      <c r="E2774" t="s">
        <v>38</v>
      </c>
      <c r="F2774" t="s">
        <v>73</v>
      </c>
      <c r="G2774">
        <v>1.9</v>
      </c>
      <c r="H2774" s="9">
        <v>46.15</v>
      </c>
      <c r="I2774"/>
    </row>
    <row r="2775" spans="1:9" x14ac:dyDescent="0.3">
      <c r="A2775" t="s">
        <v>9</v>
      </c>
      <c r="B2775" t="s">
        <v>25</v>
      </c>
      <c r="C2775" t="s">
        <v>105</v>
      </c>
      <c r="D2775" s="9" t="s">
        <v>98</v>
      </c>
      <c r="E2775" t="s">
        <v>39</v>
      </c>
      <c r="F2775" t="s">
        <v>75</v>
      </c>
      <c r="G2775">
        <v>1.5</v>
      </c>
      <c r="H2775" s="9">
        <v>25</v>
      </c>
      <c r="I2775"/>
    </row>
    <row r="2776" spans="1:9" x14ac:dyDescent="0.3">
      <c r="A2776" t="s">
        <v>9</v>
      </c>
      <c r="B2776" t="s">
        <v>25</v>
      </c>
      <c r="C2776" t="s">
        <v>106</v>
      </c>
      <c r="D2776" s="9" t="s">
        <v>98</v>
      </c>
      <c r="E2776" t="s">
        <v>40</v>
      </c>
      <c r="F2776" t="s">
        <v>77</v>
      </c>
      <c r="G2776">
        <v>1.4</v>
      </c>
      <c r="H2776" s="9">
        <v>7.69</v>
      </c>
      <c r="I2776"/>
    </row>
    <row r="2777" spans="1:9" x14ac:dyDescent="0.3">
      <c r="A2777" t="s">
        <v>9</v>
      </c>
      <c r="B2777" t="s">
        <v>25</v>
      </c>
      <c r="C2777" t="s">
        <v>107</v>
      </c>
      <c r="D2777" s="9" t="s">
        <v>98</v>
      </c>
      <c r="E2777" t="s">
        <v>41</v>
      </c>
      <c r="F2777" t="s">
        <v>79</v>
      </c>
      <c r="G2777">
        <v>1.5</v>
      </c>
      <c r="H2777" s="9">
        <v>36.36</v>
      </c>
      <c r="I2777"/>
    </row>
    <row r="2778" spans="1:9" x14ac:dyDescent="0.3">
      <c r="A2778" t="s">
        <v>9</v>
      </c>
      <c r="B2778" t="s">
        <v>25</v>
      </c>
      <c r="C2778" t="s">
        <v>108</v>
      </c>
      <c r="D2778" s="9" t="s">
        <v>98</v>
      </c>
      <c r="E2778" t="s">
        <v>42</v>
      </c>
      <c r="F2778" t="s">
        <v>81</v>
      </c>
      <c r="G2778">
        <v>1.5</v>
      </c>
      <c r="H2778" s="9">
        <v>36.36</v>
      </c>
      <c r="I2778"/>
    </row>
    <row r="2779" spans="1:9" x14ac:dyDescent="0.3">
      <c r="A2779" t="s">
        <v>9</v>
      </c>
      <c r="B2779" t="s">
        <v>25</v>
      </c>
      <c r="C2779" t="s">
        <v>109</v>
      </c>
      <c r="D2779" s="9" t="s">
        <v>98</v>
      </c>
      <c r="E2779" t="s">
        <v>43</v>
      </c>
      <c r="F2779" t="s">
        <v>83</v>
      </c>
      <c r="G2779">
        <v>2.4</v>
      </c>
      <c r="H2779" s="9">
        <v>4.3499999999999996</v>
      </c>
      <c r="I2779"/>
    </row>
    <row r="2780" spans="1:9" x14ac:dyDescent="0.3">
      <c r="A2780" t="s">
        <v>9</v>
      </c>
      <c r="B2780" t="s">
        <v>25</v>
      </c>
      <c r="C2780" t="s">
        <v>110</v>
      </c>
      <c r="D2780" s="9" t="s">
        <v>111</v>
      </c>
      <c r="E2780" t="s">
        <v>32</v>
      </c>
      <c r="F2780" t="s">
        <v>61</v>
      </c>
      <c r="G2780">
        <v>1.3</v>
      </c>
      <c r="H2780" s="9">
        <v>30</v>
      </c>
      <c r="I2780"/>
    </row>
    <row r="2781" spans="1:9" x14ac:dyDescent="0.3">
      <c r="A2781" t="s">
        <v>9</v>
      </c>
      <c r="B2781" t="s">
        <v>25</v>
      </c>
      <c r="C2781" t="s">
        <v>112</v>
      </c>
      <c r="D2781" s="9" t="s">
        <v>111</v>
      </c>
      <c r="E2781" t="s">
        <v>33</v>
      </c>
      <c r="F2781" t="s">
        <v>63</v>
      </c>
      <c r="G2781">
        <v>1.1000000000000001</v>
      </c>
      <c r="H2781" s="9">
        <v>0</v>
      </c>
      <c r="I2781"/>
    </row>
    <row r="2782" spans="1:9" x14ac:dyDescent="0.3">
      <c r="A2782" t="s">
        <v>9</v>
      </c>
      <c r="B2782" t="s">
        <v>25</v>
      </c>
      <c r="C2782" t="s">
        <v>113</v>
      </c>
      <c r="D2782" s="9" t="s">
        <v>111</v>
      </c>
      <c r="E2782" t="s">
        <v>34</v>
      </c>
      <c r="F2782" t="s">
        <v>65</v>
      </c>
      <c r="G2782">
        <v>1.4</v>
      </c>
      <c r="H2782" s="9">
        <v>27.27</v>
      </c>
      <c r="I2782"/>
    </row>
    <row r="2783" spans="1:9" x14ac:dyDescent="0.3">
      <c r="A2783" t="s">
        <v>9</v>
      </c>
      <c r="B2783" t="s">
        <v>25</v>
      </c>
      <c r="C2783" t="s">
        <v>114</v>
      </c>
      <c r="D2783" s="9" t="s">
        <v>111</v>
      </c>
      <c r="E2783" t="s">
        <v>35</v>
      </c>
      <c r="F2783" t="s">
        <v>67</v>
      </c>
      <c r="G2783">
        <v>1.6</v>
      </c>
      <c r="H2783" s="9">
        <v>33.33</v>
      </c>
      <c r="I2783"/>
    </row>
    <row r="2784" spans="1:9" x14ac:dyDescent="0.3">
      <c r="A2784" t="s">
        <v>9</v>
      </c>
      <c r="B2784" t="s">
        <v>25</v>
      </c>
      <c r="C2784" t="s">
        <v>115</v>
      </c>
      <c r="D2784" s="9" t="s">
        <v>111</v>
      </c>
      <c r="E2784" t="s">
        <v>36</v>
      </c>
      <c r="F2784" t="s">
        <v>69</v>
      </c>
      <c r="G2784">
        <v>1.8</v>
      </c>
      <c r="H2784" s="9">
        <v>20</v>
      </c>
      <c r="I2784"/>
    </row>
    <row r="2785" spans="1:9" x14ac:dyDescent="0.3">
      <c r="A2785" t="s">
        <v>9</v>
      </c>
      <c r="B2785" t="s">
        <v>25</v>
      </c>
      <c r="C2785" t="s">
        <v>116</v>
      </c>
      <c r="D2785" s="9" t="s">
        <v>111</v>
      </c>
      <c r="E2785" t="s">
        <v>37</v>
      </c>
      <c r="F2785" t="s">
        <v>71</v>
      </c>
      <c r="G2785">
        <v>1.8</v>
      </c>
      <c r="H2785" s="9">
        <v>20</v>
      </c>
      <c r="I2785"/>
    </row>
    <row r="2786" spans="1:9" x14ac:dyDescent="0.3">
      <c r="A2786" t="s">
        <v>9</v>
      </c>
      <c r="B2786" t="s">
        <v>25</v>
      </c>
      <c r="C2786" t="s">
        <v>117</v>
      </c>
      <c r="D2786" s="9" t="s">
        <v>111</v>
      </c>
      <c r="E2786" t="s">
        <v>38</v>
      </c>
      <c r="F2786" t="s">
        <v>73</v>
      </c>
      <c r="G2786">
        <v>2.1</v>
      </c>
      <c r="H2786" s="9">
        <v>10.53</v>
      </c>
      <c r="I2786"/>
    </row>
    <row r="2787" spans="1:9" x14ac:dyDescent="0.3">
      <c r="A2787" t="s">
        <v>9</v>
      </c>
      <c r="B2787" t="s">
        <v>25</v>
      </c>
      <c r="C2787" t="s">
        <v>118</v>
      </c>
      <c r="D2787" s="9" t="s">
        <v>111</v>
      </c>
      <c r="E2787" t="s">
        <v>39</v>
      </c>
      <c r="F2787" t="s">
        <v>75</v>
      </c>
      <c r="G2787">
        <v>1.8</v>
      </c>
      <c r="H2787" s="9">
        <v>20</v>
      </c>
      <c r="I2787"/>
    </row>
    <row r="2788" spans="1:9" x14ac:dyDescent="0.3">
      <c r="A2788" t="s">
        <v>9</v>
      </c>
      <c r="B2788" t="s">
        <v>25</v>
      </c>
      <c r="C2788" t="s">
        <v>119</v>
      </c>
      <c r="D2788" s="9" t="s">
        <v>111</v>
      </c>
      <c r="E2788" t="s">
        <v>40</v>
      </c>
      <c r="F2788" t="s">
        <v>77</v>
      </c>
      <c r="G2788">
        <v>1.7</v>
      </c>
      <c r="H2788" s="9">
        <v>21.43</v>
      </c>
      <c r="I2788"/>
    </row>
    <row r="2789" spans="1:9" x14ac:dyDescent="0.3">
      <c r="A2789" t="s">
        <v>9</v>
      </c>
      <c r="B2789" t="s">
        <v>25</v>
      </c>
      <c r="C2789" t="s">
        <v>120</v>
      </c>
      <c r="D2789" s="9" t="s">
        <v>111</v>
      </c>
      <c r="E2789" t="s">
        <v>41</v>
      </c>
      <c r="F2789" t="s">
        <v>79</v>
      </c>
      <c r="G2789">
        <v>1.6</v>
      </c>
      <c r="H2789" s="9">
        <v>6.67</v>
      </c>
      <c r="I2789"/>
    </row>
    <row r="2790" spans="1:9" x14ac:dyDescent="0.3">
      <c r="A2790" t="s">
        <v>9</v>
      </c>
      <c r="B2790" t="s">
        <v>25</v>
      </c>
      <c r="C2790" t="s">
        <v>121</v>
      </c>
      <c r="D2790" s="9" t="s">
        <v>111</v>
      </c>
      <c r="E2790" t="s">
        <v>42</v>
      </c>
      <c r="F2790" t="s">
        <v>81</v>
      </c>
      <c r="G2790">
        <v>1.8</v>
      </c>
      <c r="H2790" s="9">
        <v>20</v>
      </c>
      <c r="I2790"/>
    </row>
    <row r="2791" spans="1:9" x14ac:dyDescent="0.3">
      <c r="A2791" t="s">
        <v>9</v>
      </c>
      <c r="B2791" t="s">
        <v>25</v>
      </c>
      <c r="C2791" t="s">
        <v>122</v>
      </c>
      <c r="D2791" s="9" t="s">
        <v>111</v>
      </c>
      <c r="E2791" t="s">
        <v>43</v>
      </c>
      <c r="F2791" t="s">
        <v>83</v>
      </c>
      <c r="G2791">
        <v>2.2999999999999998</v>
      </c>
      <c r="H2791" s="9">
        <v>-4.17</v>
      </c>
      <c r="I2791"/>
    </row>
    <row r="2792" spans="1:9" x14ac:dyDescent="0.3">
      <c r="A2792" t="s">
        <v>9</v>
      </c>
      <c r="B2792" t="s">
        <v>25</v>
      </c>
      <c r="C2792" t="s">
        <v>123</v>
      </c>
      <c r="D2792" s="9" t="s">
        <v>124</v>
      </c>
      <c r="E2792" t="s">
        <v>32</v>
      </c>
      <c r="F2792" t="s">
        <v>61</v>
      </c>
      <c r="G2792">
        <v>1.1000000000000001</v>
      </c>
      <c r="H2792" s="9">
        <v>-15.38</v>
      </c>
      <c r="I2792"/>
    </row>
    <row r="2793" spans="1:9" x14ac:dyDescent="0.3">
      <c r="A2793" t="s">
        <v>9</v>
      </c>
      <c r="B2793" t="s">
        <v>25</v>
      </c>
      <c r="C2793" t="s">
        <v>125</v>
      </c>
      <c r="D2793" s="9" t="s">
        <v>124</v>
      </c>
      <c r="E2793" t="s">
        <v>33</v>
      </c>
      <c r="F2793" t="s">
        <v>63</v>
      </c>
      <c r="G2793">
        <v>1.1000000000000001</v>
      </c>
      <c r="H2793" s="9">
        <v>0</v>
      </c>
      <c r="I2793"/>
    </row>
    <row r="2794" spans="1:9" x14ac:dyDescent="0.3">
      <c r="A2794" t="s">
        <v>9</v>
      </c>
      <c r="B2794" t="s">
        <v>25</v>
      </c>
      <c r="C2794" t="s">
        <v>126</v>
      </c>
      <c r="D2794" s="9" t="s">
        <v>124</v>
      </c>
      <c r="E2794" t="s">
        <v>34</v>
      </c>
      <c r="F2794" t="s">
        <v>65</v>
      </c>
      <c r="G2794">
        <v>1.2</v>
      </c>
      <c r="H2794" s="9">
        <v>-14.29</v>
      </c>
      <c r="I2794"/>
    </row>
    <row r="2795" spans="1:9" x14ac:dyDescent="0.3">
      <c r="A2795" t="s">
        <v>9</v>
      </c>
      <c r="B2795" t="s">
        <v>25</v>
      </c>
      <c r="C2795" t="s">
        <v>127</v>
      </c>
      <c r="D2795" s="9" t="s">
        <v>124</v>
      </c>
      <c r="E2795" t="s">
        <v>35</v>
      </c>
      <c r="F2795" t="s">
        <v>67</v>
      </c>
      <c r="G2795">
        <v>1.3</v>
      </c>
      <c r="H2795" s="9">
        <v>-18.75</v>
      </c>
      <c r="I2795"/>
    </row>
    <row r="2796" spans="1:9" x14ac:dyDescent="0.3">
      <c r="A2796" t="s">
        <v>9</v>
      </c>
      <c r="B2796" t="s">
        <v>25</v>
      </c>
      <c r="C2796" t="s">
        <v>128</v>
      </c>
      <c r="D2796" s="9" t="s">
        <v>124</v>
      </c>
      <c r="E2796" t="s">
        <v>36</v>
      </c>
      <c r="F2796" t="s">
        <v>69</v>
      </c>
      <c r="G2796">
        <v>1.5</v>
      </c>
      <c r="H2796" s="9">
        <v>-16.670000000000002</v>
      </c>
      <c r="I2796"/>
    </row>
    <row r="2797" spans="1:9" x14ac:dyDescent="0.3">
      <c r="A2797" t="s">
        <v>9</v>
      </c>
      <c r="B2797" t="s">
        <v>25</v>
      </c>
      <c r="C2797" t="s">
        <v>129</v>
      </c>
      <c r="D2797" s="9" t="s">
        <v>124</v>
      </c>
      <c r="E2797" t="s">
        <v>37</v>
      </c>
      <c r="F2797" t="s">
        <v>71</v>
      </c>
      <c r="G2797">
        <v>1.6</v>
      </c>
      <c r="H2797" s="9">
        <v>-11.11</v>
      </c>
      <c r="I2797"/>
    </row>
    <row r="2798" spans="1:9" x14ac:dyDescent="0.3">
      <c r="A2798" t="s">
        <v>9</v>
      </c>
      <c r="B2798" t="s">
        <v>25</v>
      </c>
      <c r="C2798" t="s">
        <v>130</v>
      </c>
      <c r="D2798" s="9" t="s">
        <v>124</v>
      </c>
      <c r="E2798" t="s">
        <v>38</v>
      </c>
      <c r="F2798" t="s">
        <v>73</v>
      </c>
      <c r="G2798">
        <v>1.6</v>
      </c>
      <c r="H2798" s="9">
        <v>-23.81</v>
      </c>
      <c r="I2798"/>
    </row>
    <row r="2799" spans="1:9" x14ac:dyDescent="0.3">
      <c r="A2799" t="s">
        <v>9</v>
      </c>
      <c r="B2799" t="s">
        <v>25</v>
      </c>
      <c r="C2799" t="s">
        <v>131</v>
      </c>
      <c r="D2799" s="9" t="s">
        <v>124</v>
      </c>
      <c r="E2799" t="s">
        <v>39</v>
      </c>
      <c r="F2799" t="s">
        <v>75</v>
      </c>
      <c r="G2799">
        <v>1.5</v>
      </c>
      <c r="H2799" s="9">
        <v>-16.670000000000002</v>
      </c>
      <c r="I2799"/>
    </row>
    <row r="2800" spans="1:9" x14ac:dyDescent="0.3">
      <c r="A2800" t="s">
        <v>9</v>
      </c>
      <c r="B2800" t="s">
        <v>25</v>
      </c>
      <c r="C2800" t="s">
        <v>132</v>
      </c>
      <c r="D2800" s="9" t="s">
        <v>124</v>
      </c>
      <c r="E2800" t="s">
        <v>40</v>
      </c>
      <c r="F2800" t="s">
        <v>77</v>
      </c>
      <c r="G2800">
        <v>1.4</v>
      </c>
      <c r="H2800" s="9">
        <v>-17.649999999999999</v>
      </c>
      <c r="I2800"/>
    </row>
    <row r="2801" spans="1:9" x14ac:dyDescent="0.3">
      <c r="A2801" t="s">
        <v>9</v>
      </c>
      <c r="B2801" t="s">
        <v>25</v>
      </c>
      <c r="C2801" t="s">
        <v>133</v>
      </c>
      <c r="D2801" s="9" t="s">
        <v>124</v>
      </c>
      <c r="E2801" t="s">
        <v>41</v>
      </c>
      <c r="F2801" t="s">
        <v>79</v>
      </c>
      <c r="G2801">
        <v>1.2</v>
      </c>
      <c r="H2801" s="9">
        <v>-25</v>
      </c>
      <c r="I2801"/>
    </row>
    <row r="2802" spans="1:9" x14ac:dyDescent="0.3">
      <c r="A2802" t="s">
        <v>9</v>
      </c>
      <c r="B2802" t="s">
        <v>25</v>
      </c>
      <c r="C2802" t="s">
        <v>134</v>
      </c>
      <c r="D2802" s="9" t="s">
        <v>124</v>
      </c>
      <c r="E2802" t="s">
        <v>42</v>
      </c>
      <c r="F2802" t="s">
        <v>81</v>
      </c>
      <c r="G2802">
        <v>1.3</v>
      </c>
      <c r="H2802" s="9">
        <v>-27.78</v>
      </c>
      <c r="I2802"/>
    </row>
    <row r="2803" spans="1:9" x14ac:dyDescent="0.3">
      <c r="A2803" t="s">
        <v>9</v>
      </c>
      <c r="B2803" t="s">
        <v>25</v>
      </c>
      <c r="C2803" t="s">
        <v>135</v>
      </c>
      <c r="D2803" s="9" t="s">
        <v>124</v>
      </c>
      <c r="E2803" t="s">
        <v>43</v>
      </c>
      <c r="F2803" t="s">
        <v>83</v>
      </c>
      <c r="G2803">
        <v>1.7</v>
      </c>
      <c r="H2803" s="9">
        <v>-26.09</v>
      </c>
      <c r="I2803"/>
    </row>
    <row r="2804" spans="1:9" x14ac:dyDescent="0.3">
      <c r="A2804" t="s">
        <v>9</v>
      </c>
      <c r="B2804" t="s">
        <v>25</v>
      </c>
      <c r="C2804" t="s">
        <v>136</v>
      </c>
      <c r="D2804" s="9" t="s">
        <v>137</v>
      </c>
      <c r="E2804" t="s">
        <v>32</v>
      </c>
      <c r="F2804" t="s">
        <v>61</v>
      </c>
      <c r="G2804">
        <v>0.9</v>
      </c>
      <c r="H2804" s="9">
        <v>-18.18</v>
      </c>
      <c r="I2804"/>
    </row>
    <row r="2805" spans="1:9" x14ac:dyDescent="0.3">
      <c r="A2805" t="s">
        <v>9</v>
      </c>
      <c r="B2805" t="s">
        <v>25</v>
      </c>
      <c r="C2805" t="s">
        <v>138</v>
      </c>
      <c r="D2805" s="9" t="s">
        <v>137</v>
      </c>
      <c r="E2805" t="s">
        <v>33</v>
      </c>
      <c r="F2805" t="s">
        <v>63</v>
      </c>
      <c r="G2805">
        <v>0.9</v>
      </c>
      <c r="H2805" s="9">
        <v>-18.18</v>
      </c>
      <c r="I2805"/>
    </row>
    <row r="2806" spans="1:9" x14ac:dyDescent="0.3">
      <c r="A2806" t="s">
        <v>9</v>
      </c>
      <c r="B2806" t="s">
        <v>25</v>
      </c>
      <c r="C2806" t="s">
        <v>139</v>
      </c>
      <c r="D2806" s="9" t="s">
        <v>137</v>
      </c>
      <c r="E2806" t="s">
        <v>34</v>
      </c>
      <c r="F2806" t="s">
        <v>65</v>
      </c>
      <c r="G2806">
        <v>0.9</v>
      </c>
      <c r="H2806" s="9">
        <v>-25</v>
      </c>
      <c r="I2806"/>
    </row>
    <row r="2807" spans="1:9" x14ac:dyDescent="0.3">
      <c r="A2807" t="s">
        <v>9</v>
      </c>
      <c r="B2807" t="s">
        <v>25</v>
      </c>
      <c r="C2807" t="s">
        <v>140</v>
      </c>
      <c r="D2807" s="9" t="s">
        <v>137</v>
      </c>
      <c r="E2807" t="s">
        <v>35</v>
      </c>
      <c r="F2807" t="s">
        <v>67</v>
      </c>
      <c r="G2807">
        <v>1</v>
      </c>
      <c r="H2807" s="9">
        <v>-23.08</v>
      </c>
      <c r="I2807"/>
    </row>
    <row r="2808" spans="1:9" x14ac:dyDescent="0.3">
      <c r="A2808" t="s">
        <v>9</v>
      </c>
      <c r="B2808" t="s">
        <v>25</v>
      </c>
      <c r="C2808" t="s">
        <v>141</v>
      </c>
      <c r="D2808" s="9" t="s">
        <v>137</v>
      </c>
      <c r="E2808" t="s">
        <v>36</v>
      </c>
      <c r="F2808" t="s">
        <v>69</v>
      </c>
      <c r="G2808">
        <v>1.2</v>
      </c>
      <c r="H2808" s="9">
        <v>-20</v>
      </c>
      <c r="I2808"/>
    </row>
    <row r="2809" spans="1:9" x14ac:dyDescent="0.3">
      <c r="A2809" t="s">
        <v>9</v>
      </c>
      <c r="B2809" t="s">
        <v>25</v>
      </c>
      <c r="C2809" t="s">
        <v>142</v>
      </c>
      <c r="D2809" s="9" t="s">
        <v>137</v>
      </c>
      <c r="E2809" t="s">
        <v>37</v>
      </c>
      <c r="F2809" t="s">
        <v>71</v>
      </c>
      <c r="G2809">
        <v>1.2</v>
      </c>
      <c r="H2809" s="9">
        <v>-25</v>
      </c>
      <c r="I2809"/>
    </row>
    <row r="2810" spans="1:9" x14ac:dyDescent="0.3">
      <c r="A2810" t="s">
        <v>9</v>
      </c>
      <c r="B2810" t="s">
        <v>25</v>
      </c>
      <c r="C2810" t="s">
        <v>143</v>
      </c>
      <c r="D2810" s="9" t="s">
        <v>137</v>
      </c>
      <c r="E2810" t="s">
        <v>38</v>
      </c>
      <c r="F2810" t="s">
        <v>73</v>
      </c>
      <c r="G2810">
        <v>1.3</v>
      </c>
      <c r="H2810" s="9">
        <v>-18.75</v>
      </c>
      <c r="I2810"/>
    </row>
    <row r="2811" spans="1:9" x14ac:dyDescent="0.3">
      <c r="A2811" t="s">
        <v>9</v>
      </c>
      <c r="B2811" t="s">
        <v>25</v>
      </c>
      <c r="C2811" t="s">
        <v>144</v>
      </c>
      <c r="D2811" s="9" t="s">
        <v>137</v>
      </c>
      <c r="E2811" t="s">
        <v>39</v>
      </c>
      <c r="F2811" t="s">
        <v>75</v>
      </c>
      <c r="G2811">
        <v>1.4</v>
      </c>
      <c r="H2811" s="9">
        <v>-6.67</v>
      </c>
      <c r="I2811"/>
    </row>
    <row r="2812" spans="1:9" x14ac:dyDescent="0.3">
      <c r="A2812" t="s">
        <v>9</v>
      </c>
      <c r="B2812" t="s">
        <v>25</v>
      </c>
      <c r="C2812" t="s">
        <v>145</v>
      </c>
      <c r="D2812" s="9" t="s">
        <v>137</v>
      </c>
      <c r="E2812" t="s">
        <v>40</v>
      </c>
      <c r="F2812" t="s">
        <v>77</v>
      </c>
      <c r="G2812">
        <v>1.2</v>
      </c>
      <c r="H2812" s="9">
        <v>-14.29</v>
      </c>
      <c r="I2812"/>
    </row>
    <row r="2813" spans="1:9" x14ac:dyDescent="0.3">
      <c r="A2813" t="s">
        <v>9</v>
      </c>
      <c r="B2813" t="s">
        <v>25</v>
      </c>
      <c r="C2813" t="s">
        <v>146</v>
      </c>
      <c r="D2813" s="9" t="s">
        <v>137</v>
      </c>
      <c r="E2813" t="s">
        <v>41</v>
      </c>
      <c r="F2813" t="s">
        <v>79</v>
      </c>
      <c r="G2813">
        <v>1.1000000000000001</v>
      </c>
      <c r="H2813" s="9">
        <v>-8.33</v>
      </c>
      <c r="I2813"/>
    </row>
    <row r="2814" spans="1:9" x14ac:dyDescent="0.3">
      <c r="A2814" t="s">
        <v>9</v>
      </c>
      <c r="B2814" t="s">
        <v>25</v>
      </c>
      <c r="C2814" t="s">
        <v>147</v>
      </c>
      <c r="D2814" s="9" t="s">
        <v>137</v>
      </c>
      <c r="E2814" t="s">
        <v>42</v>
      </c>
      <c r="F2814" t="s">
        <v>81</v>
      </c>
      <c r="G2814">
        <v>1.2</v>
      </c>
      <c r="H2814" s="9">
        <v>-7.69</v>
      </c>
      <c r="I2814"/>
    </row>
    <row r="2815" spans="1:9" x14ac:dyDescent="0.3">
      <c r="A2815" t="s">
        <v>9</v>
      </c>
      <c r="B2815" t="s">
        <v>25</v>
      </c>
      <c r="C2815" t="s">
        <v>148</v>
      </c>
      <c r="D2815" s="9" t="s">
        <v>137</v>
      </c>
      <c r="E2815" t="s">
        <v>43</v>
      </c>
      <c r="F2815" t="s">
        <v>83</v>
      </c>
      <c r="G2815">
        <v>1.6</v>
      </c>
      <c r="H2815" s="9">
        <v>-5.88</v>
      </c>
      <c r="I2815"/>
    </row>
    <row r="2816" spans="1:9" x14ac:dyDescent="0.3">
      <c r="A2816" t="s">
        <v>9</v>
      </c>
      <c r="B2816" t="s">
        <v>25</v>
      </c>
      <c r="C2816" t="s">
        <v>149</v>
      </c>
      <c r="D2816" s="9" t="s">
        <v>150</v>
      </c>
      <c r="E2816" t="s">
        <v>32</v>
      </c>
      <c r="F2816" t="s">
        <v>61</v>
      </c>
      <c r="G2816">
        <v>0.9</v>
      </c>
      <c r="H2816" s="9">
        <v>0</v>
      </c>
      <c r="I2816"/>
    </row>
    <row r="2817" spans="1:9" x14ac:dyDescent="0.3">
      <c r="A2817" t="s">
        <v>9</v>
      </c>
      <c r="B2817" t="s">
        <v>25</v>
      </c>
      <c r="C2817" t="s">
        <v>151</v>
      </c>
      <c r="D2817" s="9" t="s">
        <v>150</v>
      </c>
      <c r="E2817" t="s">
        <v>33</v>
      </c>
      <c r="F2817" t="s">
        <v>63</v>
      </c>
      <c r="G2817">
        <v>0.9</v>
      </c>
      <c r="H2817" s="9">
        <v>0</v>
      </c>
      <c r="I2817"/>
    </row>
    <row r="2818" spans="1:9" x14ac:dyDescent="0.3">
      <c r="A2818" t="s">
        <v>9</v>
      </c>
      <c r="B2818" t="s">
        <v>25</v>
      </c>
      <c r="C2818" t="s">
        <v>152</v>
      </c>
      <c r="D2818" s="9" t="s">
        <v>150</v>
      </c>
      <c r="E2818" t="s">
        <v>34</v>
      </c>
      <c r="F2818" t="s">
        <v>65</v>
      </c>
      <c r="G2818">
        <v>0.9</v>
      </c>
      <c r="H2818" s="9">
        <v>0</v>
      </c>
      <c r="I2818"/>
    </row>
    <row r="2819" spans="1:9" x14ac:dyDescent="0.3">
      <c r="A2819" t="s">
        <v>9</v>
      </c>
      <c r="B2819" t="s">
        <v>25</v>
      </c>
      <c r="C2819" t="s">
        <v>153</v>
      </c>
      <c r="D2819" s="9" t="s">
        <v>150</v>
      </c>
      <c r="E2819" t="s">
        <v>35</v>
      </c>
      <c r="F2819" t="s">
        <v>67</v>
      </c>
      <c r="G2819">
        <v>1</v>
      </c>
      <c r="H2819" s="9">
        <v>0</v>
      </c>
      <c r="I2819"/>
    </row>
    <row r="2820" spans="1:9" x14ac:dyDescent="0.3">
      <c r="A2820" t="s">
        <v>9</v>
      </c>
      <c r="B2820" t="s">
        <v>25</v>
      </c>
      <c r="C2820" t="s">
        <v>154</v>
      </c>
      <c r="D2820" s="9" t="s">
        <v>150</v>
      </c>
      <c r="E2820" t="s">
        <v>36</v>
      </c>
      <c r="F2820" t="s">
        <v>69</v>
      </c>
      <c r="G2820">
        <v>1.1000000000000001</v>
      </c>
      <c r="H2820" s="9">
        <v>-8.33</v>
      </c>
      <c r="I2820"/>
    </row>
    <row r="2821" spans="1:9" x14ac:dyDescent="0.3">
      <c r="A2821" t="s">
        <v>9</v>
      </c>
      <c r="B2821" t="s">
        <v>25</v>
      </c>
      <c r="C2821" t="s">
        <v>155</v>
      </c>
      <c r="D2821" s="9" t="s">
        <v>150</v>
      </c>
      <c r="E2821" t="s">
        <v>37</v>
      </c>
      <c r="F2821" t="s">
        <v>71</v>
      </c>
      <c r="G2821">
        <v>1.1000000000000001</v>
      </c>
      <c r="H2821" s="9">
        <v>-8.33</v>
      </c>
      <c r="I2821"/>
    </row>
    <row r="2822" spans="1:9" x14ac:dyDescent="0.3">
      <c r="A2822" t="s">
        <v>9</v>
      </c>
      <c r="B2822" t="s">
        <v>24</v>
      </c>
      <c r="C2822" t="s">
        <v>59</v>
      </c>
      <c r="D2822" s="9" t="s">
        <v>60</v>
      </c>
      <c r="E2822" t="s">
        <v>32</v>
      </c>
      <c r="F2822" t="s">
        <v>61</v>
      </c>
      <c r="G2822">
        <v>3.3</v>
      </c>
      <c r="I2822"/>
    </row>
    <row r="2823" spans="1:9" x14ac:dyDescent="0.3">
      <c r="A2823" t="s">
        <v>9</v>
      </c>
      <c r="B2823" t="s">
        <v>24</v>
      </c>
      <c r="C2823" t="s">
        <v>62</v>
      </c>
      <c r="D2823" s="9" t="s">
        <v>60</v>
      </c>
      <c r="E2823" t="s">
        <v>33</v>
      </c>
      <c r="F2823" t="s">
        <v>63</v>
      </c>
      <c r="G2823">
        <v>3.2</v>
      </c>
      <c r="I2823"/>
    </row>
    <row r="2824" spans="1:9" x14ac:dyDescent="0.3">
      <c r="A2824" t="s">
        <v>9</v>
      </c>
      <c r="B2824" t="s">
        <v>24</v>
      </c>
      <c r="C2824" t="s">
        <v>64</v>
      </c>
      <c r="D2824" s="9" t="s">
        <v>60</v>
      </c>
      <c r="E2824" t="s">
        <v>34</v>
      </c>
      <c r="F2824" t="s">
        <v>65</v>
      </c>
      <c r="G2824">
        <v>4.0999999999999996</v>
      </c>
      <c r="I2824"/>
    </row>
    <row r="2825" spans="1:9" x14ac:dyDescent="0.3">
      <c r="A2825" t="s">
        <v>9</v>
      </c>
      <c r="B2825" t="s">
        <v>24</v>
      </c>
      <c r="C2825" t="s">
        <v>66</v>
      </c>
      <c r="D2825" s="9" t="s">
        <v>60</v>
      </c>
      <c r="E2825" t="s">
        <v>35</v>
      </c>
      <c r="F2825" t="s">
        <v>67</v>
      </c>
      <c r="G2825">
        <v>5</v>
      </c>
      <c r="I2825"/>
    </row>
    <row r="2826" spans="1:9" x14ac:dyDescent="0.3">
      <c r="A2826" t="s">
        <v>9</v>
      </c>
      <c r="B2826" t="s">
        <v>24</v>
      </c>
      <c r="C2826" t="s">
        <v>68</v>
      </c>
      <c r="D2826" s="9" t="s">
        <v>60</v>
      </c>
      <c r="E2826" t="s">
        <v>36</v>
      </c>
      <c r="F2826" t="s">
        <v>69</v>
      </c>
      <c r="G2826">
        <v>5.4</v>
      </c>
      <c r="I2826"/>
    </row>
    <row r="2827" spans="1:9" x14ac:dyDescent="0.3">
      <c r="A2827" t="s">
        <v>9</v>
      </c>
      <c r="B2827" t="s">
        <v>24</v>
      </c>
      <c r="C2827" t="s">
        <v>70</v>
      </c>
      <c r="D2827" s="9" t="s">
        <v>60</v>
      </c>
      <c r="E2827" t="s">
        <v>37</v>
      </c>
      <c r="F2827" t="s">
        <v>71</v>
      </c>
      <c r="G2827">
        <v>5.8</v>
      </c>
      <c r="I2827"/>
    </row>
    <row r="2828" spans="1:9" x14ac:dyDescent="0.3">
      <c r="A2828" t="s">
        <v>9</v>
      </c>
      <c r="B2828" t="s">
        <v>24</v>
      </c>
      <c r="C2828" t="s">
        <v>72</v>
      </c>
      <c r="D2828" s="9" t="s">
        <v>60</v>
      </c>
      <c r="E2828" t="s">
        <v>38</v>
      </c>
      <c r="F2828" t="s">
        <v>73</v>
      </c>
      <c r="G2828">
        <v>6.4</v>
      </c>
      <c r="I2828"/>
    </row>
    <row r="2829" spans="1:9" x14ac:dyDescent="0.3">
      <c r="A2829" t="s">
        <v>9</v>
      </c>
      <c r="B2829" t="s">
        <v>24</v>
      </c>
      <c r="C2829" t="s">
        <v>74</v>
      </c>
      <c r="D2829" s="9" t="s">
        <v>60</v>
      </c>
      <c r="E2829" t="s">
        <v>39</v>
      </c>
      <c r="F2829" t="s">
        <v>75</v>
      </c>
      <c r="G2829">
        <v>5.3</v>
      </c>
      <c r="I2829"/>
    </row>
    <row r="2830" spans="1:9" x14ac:dyDescent="0.3">
      <c r="A2830" t="s">
        <v>9</v>
      </c>
      <c r="B2830" t="s">
        <v>24</v>
      </c>
      <c r="C2830" t="s">
        <v>76</v>
      </c>
      <c r="D2830" s="9" t="s">
        <v>60</v>
      </c>
      <c r="E2830" t="s">
        <v>40</v>
      </c>
      <c r="F2830" t="s">
        <v>77</v>
      </c>
      <c r="G2830">
        <v>5</v>
      </c>
      <c r="I2830"/>
    </row>
    <row r="2831" spans="1:9" x14ac:dyDescent="0.3">
      <c r="A2831" t="s">
        <v>9</v>
      </c>
      <c r="B2831" t="s">
        <v>24</v>
      </c>
      <c r="C2831" t="s">
        <v>78</v>
      </c>
      <c r="D2831" s="9" t="s">
        <v>60</v>
      </c>
      <c r="E2831" t="s">
        <v>41</v>
      </c>
      <c r="F2831" t="s">
        <v>79</v>
      </c>
      <c r="G2831">
        <v>5.2</v>
      </c>
      <c r="I2831"/>
    </row>
    <row r="2832" spans="1:9" x14ac:dyDescent="0.3">
      <c r="A2832" t="s">
        <v>9</v>
      </c>
      <c r="B2832" t="s">
        <v>24</v>
      </c>
      <c r="C2832" t="s">
        <v>80</v>
      </c>
      <c r="D2832" s="9" t="s">
        <v>60</v>
      </c>
      <c r="E2832" t="s">
        <v>42</v>
      </c>
      <c r="F2832" t="s">
        <v>81</v>
      </c>
      <c r="G2832">
        <v>5.0999999999999996</v>
      </c>
      <c r="I2832"/>
    </row>
    <row r="2833" spans="1:9" x14ac:dyDescent="0.3">
      <c r="A2833" t="s">
        <v>9</v>
      </c>
      <c r="B2833" t="s">
        <v>24</v>
      </c>
      <c r="C2833" t="s">
        <v>82</v>
      </c>
      <c r="D2833" s="9" t="s">
        <v>60</v>
      </c>
      <c r="E2833" t="s">
        <v>43</v>
      </c>
      <c r="F2833" t="s">
        <v>83</v>
      </c>
      <c r="G2833">
        <v>6.5</v>
      </c>
      <c r="I2833"/>
    </row>
    <row r="2834" spans="1:9" x14ac:dyDescent="0.3">
      <c r="A2834" t="s">
        <v>9</v>
      </c>
      <c r="B2834" t="s">
        <v>24</v>
      </c>
      <c r="C2834" t="s">
        <v>84</v>
      </c>
      <c r="D2834" s="9" t="s">
        <v>85</v>
      </c>
      <c r="E2834" t="s">
        <v>32</v>
      </c>
      <c r="F2834" t="s">
        <v>61</v>
      </c>
      <c r="G2834">
        <v>3.7</v>
      </c>
      <c r="H2834" s="9">
        <v>12.12</v>
      </c>
      <c r="I2834"/>
    </row>
    <row r="2835" spans="1:9" x14ac:dyDescent="0.3">
      <c r="A2835" t="s">
        <v>9</v>
      </c>
      <c r="B2835" t="s">
        <v>24</v>
      </c>
      <c r="C2835" t="s">
        <v>86</v>
      </c>
      <c r="D2835" s="9" t="s">
        <v>85</v>
      </c>
      <c r="E2835" t="s">
        <v>33</v>
      </c>
      <c r="F2835" t="s">
        <v>63</v>
      </c>
      <c r="G2835">
        <v>3.3</v>
      </c>
      <c r="H2835" s="9">
        <v>3.13</v>
      </c>
      <c r="I2835"/>
    </row>
    <row r="2836" spans="1:9" x14ac:dyDescent="0.3">
      <c r="A2836" t="s">
        <v>9</v>
      </c>
      <c r="B2836" t="s">
        <v>24</v>
      </c>
      <c r="C2836" t="s">
        <v>87</v>
      </c>
      <c r="D2836" s="9" t="s">
        <v>85</v>
      </c>
      <c r="E2836" t="s">
        <v>34</v>
      </c>
      <c r="F2836" t="s">
        <v>65</v>
      </c>
      <c r="G2836">
        <v>5.5</v>
      </c>
      <c r="H2836" s="9">
        <v>34.15</v>
      </c>
      <c r="I2836"/>
    </row>
    <row r="2837" spans="1:9" x14ac:dyDescent="0.3">
      <c r="A2837" t="s">
        <v>9</v>
      </c>
      <c r="B2837" t="s">
        <v>24</v>
      </c>
      <c r="C2837" t="s">
        <v>88</v>
      </c>
      <c r="D2837" s="9" t="s">
        <v>85</v>
      </c>
      <c r="E2837" t="s">
        <v>35</v>
      </c>
      <c r="F2837" t="s">
        <v>67</v>
      </c>
      <c r="G2837">
        <v>5.4</v>
      </c>
      <c r="H2837" s="9">
        <v>8</v>
      </c>
      <c r="I2837"/>
    </row>
    <row r="2838" spans="1:9" x14ac:dyDescent="0.3">
      <c r="A2838" t="s">
        <v>9</v>
      </c>
      <c r="B2838" t="s">
        <v>24</v>
      </c>
      <c r="C2838" t="s">
        <v>89</v>
      </c>
      <c r="D2838" s="9" t="s">
        <v>85</v>
      </c>
      <c r="E2838" t="s">
        <v>36</v>
      </c>
      <c r="F2838" t="s">
        <v>69</v>
      </c>
      <c r="G2838">
        <v>7.9</v>
      </c>
      <c r="H2838" s="9">
        <v>46.3</v>
      </c>
      <c r="I2838"/>
    </row>
    <row r="2839" spans="1:9" x14ac:dyDescent="0.3">
      <c r="A2839" t="s">
        <v>9</v>
      </c>
      <c r="B2839" t="s">
        <v>24</v>
      </c>
      <c r="C2839" t="s">
        <v>90</v>
      </c>
      <c r="D2839" s="9" t="s">
        <v>85</v>
      </c>
      <c r="E2839" t="s">
        <v>37</v>
      </c>
      <c r="F2839" t="s">
        <v>71</v>
      </c>
      <c r="G2839">
        <v>8.6</v>
      </c>
      <c r="H2839" s="9">
        <v>48.28</v>
      </c>
      <c r="I2839"/>
    </row>
    <row r="2840" spans="1:9" x14ac:dyDescent="0.3">
      <c r="A2840" t="s">
        <v>9</v>
      </c>
      <c r="B2840" t="s">
        <v>24</v>
      </c>
      <c r="C2840" t="s">
        <v>91</v>
      </c>
      <c r="D2840" s="9" t="s">
        <v>85</v>
      </c>
      <c r="E2840" t="s">
        <v>38</v>
      </c>
      <c r="F2840" t="s">
        <v>73</v>
      </c>
      <c r="G2840">
        <v>9.6</v>
      </c>
      <c r="H2840" s="9">
        <v>50</v>
      </c>
      <c r="I2840"/>
    </row>
    <row r="2841" spans="1:9" x14ac:dyDescent="0.3">
      <c r="A2841" t="s">
        <v>9</v>
      </c>
      <c r="B2841" t="s">
        <v>24</v>
      </c>
      <c r="C2841" t="s">
        <v>92</v>
      </c>
      <c r="D2841" s="9" t="s">
        <v>85</v>
      </c>
      <c r="E2841" t="s">
        <v>39</v>
      </c>
      <c r="F2841" t="s">
        <v>75</v>
      </c>
      <c r="G2841">
        <v>8.6</v>
      </c>
      <c r="H2841" s="9">
        <v>62.26</v>
      </c>
      <c r="I2841"/>
    </row>
    <row r="2842" spans="1:9" x14ac:dyDescent="0.3">
      <c r="A2842" t="s">
        <v>9</v>
      </c>
      <c r="B2842" t="s">
        <v>24</v>
      </c>
      <c r="C2842" t="s">
        <v>93</v>
      </c>
      <c r="D2842" s="9" t="s">
        <v>85</v>
      </c>
      <c r="E2842" t="s">
        <v>40</v>
      </c>
      <c r="F2842" t="s">
        <v>77</v>
      </c>
      <c r="G2842">
        <v>7.9</v>
      </c>
      <c r="H2842" s="9">
        <v>58</v>
      </c>
      <c r="I2842"/>
    </row>
    <row r="2843" spans="1:9" x14ac:dyDescent="0.3">
      <c r="A2843" t="s">
        <v>9</v>
      </c>
      <c r="B2843" t="s">
        <v>24</v>
      </c>
      <c r="C2843" t="s">
        <v>94</v>
      </c>
      <c r="D2843" s="9" t="s">
        <v>85</v>
      </c>
      <c r="E2843" t="s">
        <v>41</v>
      </c>
      <c r="F2843" t="s">
        <v>79</v>
      </c>
      <c r="G2843">
        <v>6.6</v>
      </c>
      <c r="H2843" s="9">
        <v>26.92</v>
      </c>
      <c r="I2843"/>
    </row>
    <row r="2844" spans="1:9" x14ac:dyDescent="0.3">
      <c r="A2844" t="s">
        <v>9</v>
      </c>
      <c r="B2844" t="s">
        <v>24</v>
      </c>
      <c r="C2844" t="s">
        <v>95</v>
      </c>
      <c r="D2844" s="9" t="s">
        <v>85</v>
      </c>
      <c r="E2844" t="s">
        <v>42</v>
      </c>
      <c r="F2844" t="s">
        <v>81</v>
      </c>
      <c r="G2844">
        <v>6.5</v>
      </c>
      <c r="H2844" s="9">
        <v>27.45</v>
      </c>
      <c r="I2844"/>
    </row>
    <row r="2845" spans="1:9" x14ac:dyDescent="0.3">
      <c r="A2845" t="s">
        <v>9</v>
      </c>
      <c r="B2845" t="s">
        <v>24</v>
      </c>
      <c r="C2845" t="s">
        <v>96</v>
      </c>
      <c r="D2845" s="9" t="s">
        <v>85</v>
      </c>
      <c r="E2845" t="s">
        <v>43</v>
      </c>
      <c r="F2845" t="s">
        <v>83</v>
      </c>
      <c r="G2845">
        <v>8</v>
      </c>
      <c r="H2845" s="9">
        <v>23.08</v>
      </c>
      <c r="I2845"/>
    </row>
    <row r="2846" spans="1:9" x14ac:dyDescent="0.3">
      <c r="A2846" t="s">
        <v>9</v>
      </c>
      <c r="B2846" t="s">
        <v>24</v>
      </c>
      <c r="C2846" t="s">
        <v>97</v>
      </c>
      <c r="D2846" s="9" t="s">
        <v>98</v>
      </c>
      <c r="E2846" t="s">
        <v>32</v>
      </c>
      <c r="F2846" t="s">
        <v>61</v>
      </c>
      <c r="G2846">
        <v>4.9000000000000004</v>
      </c>
      <c r="H2846" s="9">
        <v>32.43</v>
      </c>
      <c r="I2846"/>
    </row>
    <row r="2847" spans="1:9" x14ac:dyDescent="0.3">
      <c r="A2847" t="s">
        <v>9</v>
      </c>
      <c r="B2847" t="s">
        <v>24</v>
      </c>
      <c r="C2847" t="s">
        <v>99</v>
      </c>
      <c r="D2847" s="9" t="s">
        <v>98</v>
      </c>
      <c r="E2847" t="s">
        <v>33</v>
      </c>
      <c r="F2847" t="s">
        <v>63</v>
      </c>
      <c r="G2847">
        <v>5</v>
      </c>
      <c r="H2847" s="9">
        <v>51.52</v>
      </c>
      <c r="I2847"/>
    </row>
    <row r="2848" spans="1:9" x14ac:dyDescent="0.3">
      <c r="A2848" t="s">
        <v>9</v>
      </c>
      <c r="B2848" t="s">
        <v>24</v>
      </c>
      <c r="C2848" t="s">
        <v>100</v>
      </c>
      <c r="D2848" s="9" t="s">
        <v>98</v>
      </c>
      <c r="E2848" t="s">
        <v>34</v>
      </c>
      <c r="F2848" t="s">
        <v>65</v>
      </c>
      <c r="G2848">
        <v>6.8</v>
      </c>
      <c r="H2848" s="9">
        <v>23.64</v>
      </c>
      <c r="I2848"/>
    </row>
    <row r="2849" spans="1:9" x14ac:dyDescent="0.3">
      <c r="A2849" t="s">
        <v>9</v>
      </c>
      <c r="B2849" t="s">
        <v>24</v>
      </c>
      <c r="C2849" t="s">
        <v>101</v>
      </c>
      <c r="D2849" s="9" t="s">
        <v>98</v>
      </c>
      <c r="E2849" t="s">
        <v>35</v>
      </c>
      <c r="F2849" t="s">
        <v>67</v>
      </c>
      <c r="G2849">
        <v>7.2</v>
      </c>
      <c r="H2849" s="9">
        <v>33.33</v>
      </c>
      <c r="I2849"/>
    </row>
    <row r="2850" spans="1:9" x14ac:dyDescent="0.3">
      <c r="A2850" t="s">
        <v>9</v>
      </c>
      <c r="B2850" t="s">
        <v>24</v>
      </c>
      <c r="C2850" t="s">
        <v>102</v>
      </c>
      <c r="D2850" s="9" t="s">
        <v>98</v>
      </c>
      <c r="E2850" t="s">
        <v>36</v>
      </c>
      <c r="F2850" t="s">
        <v>69</v>
      </c>
      <c r="G2850">
        <v>7.8</v>
      </c>
      <c r="H2850" s="9">
        <v>-1.27</v>
      </c>
      <c r="I2850"/>
    </row>
    <row r="2851" spans="1:9" x14ac:dyDescent="0.3">
      <c r="A2851" t="s">
        <v>9</v>
      </c>
      <c r="B2851" t="s">
        <v>24</v>
      </c>
      <c r="C2851" t="s">
        <v>103</v>
      </c>
      <c r="D2851" s="9" t="s">
        <v>98</v>
      </c>
      <c r="E2851" t="s">
        <v>37</v>
      </c>
      <c r="F2851" t="s">
        <v>71</v>
      </c>
      <c r="G2851">
        <v>8.6</v>
      </c>
      <c r="H2851" s="9">
        <v>0</v>
      </c>
      <c r="I2851"/>
    </row>
    <row r="2852" spans="1:9" x14ac:dyDescent="0.3">
      <c r="A2852" t="s">
        <v>9</v>
      </c>
      <c r="B2852" t="s">
        <v>24</v>
      </c>
      <c r="C2852" t="s">
        <v>104</v>
      </c>
      <c r="D2852" s="9" t="s">
        <v>98</v>
      </c>
      <c r="E2852" t="s">
        <v>38</v>
      </c>
      <c r="F2852" t="s">
        <v>73</v>
      </c>
      <c r="G2852">
        <v>10</v>
      </c>
      <c r="H2852" s="9">
        <v>4.17</v>
      </c>
      <c r="I2852"/>
    </row>
    <row r="2853" spans="1:9" x14ac:dyDescent="0.3">
      <c r="A2853" t="s">
        <v>9</v>
      </c>
      <c r="B2853" t="s">
        <v>24</v>
      </c>
      <c r="C2853" t="s">
        <v>105</v>
      </c>
      <c r="D2853" s="9" t="s">
        <v>98</v>
      </c>
      <c r="E2853" t="s">
        <v>39</v>
      </c>
      <c r="F2853" t="s">
        <v>75</v>
      </c>
      <c r="G2853">
        <v>8</v>
      </c>
      <c r="H2853" s="9">
        <v>-6.98</v>
      </c>
      <c r="I2853"/>
    </row>
    <row r="2854" spans="1:9" x14ac:dyDescent="0.3">
      <c r="A2854" t="s">
        <v>9</v>
      </c>
      <c r="B2854" t="s">
        <v>24</v>
      </c>
      <c r="C2854" t="s">
        <v>106</v>
      </c>
      <c r="D2854" s="9" t="s">
        <v>98</v>
      </c>
      <c r="E2854" t="s">
        <v>40</v>
      </c>
      <c r="F2854" t="s">
        <v>77</v>
      </c>
      <c r="G2854">
        <v>7.9</v>
      </c>
      <c r="H2854" s="9">
        <v>0</v>
      </c>
      <c r="I2854"/>
    </row>
    <row r="2855" spans="1:9" x14ac:dyDescent="0.3">
      <c r="A2855" t="s">
        <v>9</v>
      </c>
      <c r="B2855" t="s">
        <v>24</v>
      </c>
      <c r="C2855" t="s">
        <v>107</v>
      </c>
      <c r="D2855" s="9" t="s">
        <v>98</v>
      </c>
      <c r="E2855" t="s">
        <v>41</v>
      </c>
      <c r="F2855" t="s">
        <v>79</v>
      </c>
      <c r="G2855">
        <v>8.3000000000000007</v>
      </c>
      <c r="H2855" s="9">
        <v>25.76</v>
      </c>
      <c r="I2855"/>
    </row>
    <row r="2856" spans="1:9" x14ac:dyDescent="0.3">
      <c r="A2856" t="s">
        <v>9</v>
      </c>
      <c r="B2856" t="s">
        <v>24</v>
      </c>
      <c r="C2856" t="s">
        <v>108</v>
      </c>
      <c r="D2856" s="9" t="s">
        <v>98</v>
      </c>
      <c r="E2856" t="s">
        <v>42</v>
      </c>
      <c r="F2856" t="s">
        <v>81</v>
      </c>
      <c r="G2856">
        <v>7.6</v>
      </c>
      <c r="H2856" s="9">
        <v>16.920000000000002</v>
      </c>
      <c r="I2856"/>
    </row>
    <row r="2857" spans="1:9" x14ac:dyDescent="0.3">
      <c r="A2857" t="s">
        <v>9</v>
      </c>
      <c r="B2857" t="s">
        <v>24</v>
      </c>
      <c r="C2857" t="s">
        <v>109</v>
      </c>
      <c r="D2857" s="9" t="s">
        <v>98</v>
      </c>
      <c r="E2857" t="s">
        <v>43</v>
      </c>
      <c r="F2857" t="s">
        <v>83</v>
      </c>
      <c r="G2857">
        <v>10</v>
      </c>
      <c r="H2857" s="9">
        <v>25</v>
      </c>
      <c r="I2857"/>
    </row>
    <row r="2858" spans="1:9" x14ac:dyDescent="0.3">
      <c r="A2858" t="s">
        <v>9</v>
      </c>
      <c r="B2858" t="s">
        <v>24</v>
      </c>
      <c r="C2858" t="s">
        <v>110</v>
      </c>
      <c r="D2858" s="9" t="s">
        <v>111</v>
      </c>
      <c r="E2858" t="s">
        <v>32</v>
      </c>
      <c r="F2858" t="s">
        <v>61</v>
      </c>
      <c r="G2858">
        <v>5.8</v>
      </c>
      <c r="H2858" s="9">
        <v>18.37</v>
      </c>
      <c r="I2858"/>
    </row>
    <row r="2859" spans="1:9" x14ac:dyDescent="0.3">
      <c r="A2859" t="s">
        <v>9</v>
      </c>
      <c r="B2859" t="s">
        <v>24</v>
      </c>
      <c r="C2859" t="s">
        <v>112</v>
      </c>
      <c r="D2859" s="9" t="s">
        <v>111</v>
      </c>
      <c r="E2859" t="s">
        <v>33</v>
      </c>
      <c r="F2859" t="s">
        <v>63</v>
      </c>
      <c r="G2859">
        <v>5.6</v>
      </c>
      <c r="H2859" s="9">
        <v>12</v>
      </c>
      <c r="I2859"/>
    </row>
    <row r="2860" spans="1:9" x14ac:dyDescent="0.3">
      <c r="A2860" t="s">
        <v>9</v>
      </c>
      <c r="B2860" t="s">
        <v>24</v>
      </c>
      <c r="C2860" t="s">
        <v>113</v>
      </c>
      <c r="D2860" s="9" t="s">
        <v>111</v>
      </c>
      <c r="E2860" t="s">
        <v>34</v>
      </c>
      <c r="F2860" t="s">
        <v>65</v>
      </c>
      <c r="G2860">
        <v>7.3</v>
      </c>
      <c r="H2860" s="9">
        <v>7.35</v>
      </c>
      <c r="I2860"/>
    </row>
    <row r="2861" spans="1:9" x14ac:dyDescent="0.3">
      <c r="A2861" t="s">
        <v>9</v>
      </c>
      <c r="B2861" t="s">
        <v>24</v>
      </c>
      <c r="C2861" t="s">
        <v>114</v>
      </c>
      <c r="D2861" s="9" t="s">
        <v>111</v>
      </c>
      <c r="E2861" t="s">
        <v>35</v>
      </c>
      <c r="F2861" t="s">
        <v>67</v>
      </c>
      <c r="G2861">
        <v>7.8</v>
      </c>
      <c r="H2861" s="9">
        <v>8.33</v>
      </c>
      <c r="I2861"/>
    </row>
    <row r="2862" spans="1:9" x14ac:dyDescent="0.3">
      <c r="A2862" t="s">
        <v>9</v>
      </c>
      <c r="B2862" t="s">
        <v>24</v>
      </c>
      <c r="C2862" t="s">
        <v>115</v>
      </c>
      <c r="D2862" s="9" t="s">
        <v>111</v>
      </c>
      <c r="E2862" t="s">
        <v>36</v>
      </c>
      <c r="F2862" t="s">
        <v>69</v>
      </c>
      <c r="G2862">
        <v>8.1</v>
      </c>
      <c r="H2862" s="9">
        <v>3.85</v>
      </c>
      <c r="I2862"/>
    </row>
    <row r="2863" spans="1:9" x14ac:dyDescent="0.3">
      <c r="A2863" t="s">
        <v>9</v>
      </c>
      <c r="B2863" t="s">
        <v>24</v>
      </c>
      <c r="C2863" t="s">
        <v>116</v>
      </c>
      <c r="D2863" s="9" t="s">
        <v>111</v>
      </c>
      <c r="E2863" t="s">
        <v>37</v>
      </c>
      <c r="F2863" t="s">
        <v>71</v>
      </c>
      <c r="G2863">
        <v>9.5</v>
      </c>
      <c r="H2863" s="9">
        <v>10.47</v>
      </c>
      <c r="I2863"/>
    </row>
    <row r="2864" spans="1:9" x14ac:dyDescent="0.3">
      <c r="A2864" t="s">
        <v>9</v>
      </c>
      <c r="B2864" t="s">
        <v>24</v>
      </c>
      <c r="C2864" t="s">
        <v>117</v>
      </c>
      <c r="D2864" s="9" t="s">
        <v>111</v>
      </c>
      <c r="E2864" t="s">
        <v>38</v>
      </c>
      <c r="F2864" t="s">
        <v>73</v>
      </c>
      <c r="G2864">
        <v>10.4</v>
      </c>
      <c r="H2864" s="9">
        <v>4</v>
      </c>
      <c r="I2864"/>
    </row>
    <row r="2865" spans="1:9" x14ac:dyDescent="0.3">
      <c r="A2865" t="s">
        <v>9</v>
      </c>
      <c r="B2865" t="s">
        <v>24</v>
      </c>
      <c r="C2865" t="s">
        <v>118</v>
      </c>
      <c r="D2865" s="9" t="s">
        <v>111</v>
      </c>
      <c r="E2865" t="s">
        <v>39</v>
      </c>
      <c r="F2865" t="s">
        <v>75</v>
      </c>
      <c r="G2865">
        <v>8.6999999999999993</v>
      </c>
      <c r="H2865" s="9">
        <v>8.75</v>
      </c>
      <c r="I2865"/>
    </row>
    <row r="2866" spans="1:9" x14ac:dyDescent="0.3">
      <c r="A2866" t="s">
        <v>9</v>
      </c>
      <c r="B2866" t="s">
        <v>24</v>
      </c>
      <c r="C2866" t="s">
        <v>119</v>
      </c>
      <c r="D2866" s="9" t="s">
        <v>111</v>
      </c>
      <c r="E2866" t="s">
        <v>40</v>
      </c>
      <c r="F2866" t="s">
        <v>77</v>
      </c>
      <c r="G2866">
        <v>8.9</v>
      </c>
      <c r="H2866" s="9">
        <v>12.66</v>
      </c>
      <c r="I2866"/>
    </row>
    <row r="2867" spans="1:9" x14ac:dyDescent="0.3">
      <c r="A2867" t="s">
        <v>9</v>
      </c>
      <c r="B2867" t="s">
        <v>24</v>
      </c>
      <c r="C2867" t="s">
        <v>120</v>
      </c>
      <c r="D2867" s="9" t="s">
        <v>111</v>
      </c>
      <c r="E2867" t="s">
        <v>41</v>
      </c>
      <c r="F2867" t="s">
        <v>79</v>
      </c>
      <c r="G2867">
        <v>7.1</v>
      </c>
      <c r="H2867" s="9">
        <v>-14.46</v>
      </c>
      <c r="I2867"/>
    </row>
    <row r="2868" spans="1:9" x14ac:dyDescent="0.3">
      <c r="A2868" t="s">
        <v>9</v>
      </c>
      <c r="B2868" t="s">
        <v>24</v>
      </c>
      <c r="C2868" t="s">
        <v>121</v>
      </c>
      <c r="D2868" s="9" t="s">
        <v>111</v>
      </c>
      <c r="E2868" t="s">
        <v>42</v>
      </c>
      <c r="F2868" t="s">
        <v>81</v>
      </c>
      <c r="G2868">
        <v>7.6</v>
      </c>
      <c r="H2868" s="9">
        <v>0</v>
      </c>
      <c r="I2868"/>
    </row>
    <row r="2869" spans="1:9" x14ac:dyDescent="0.3">
      <c r="A2869" t="s">
        <v>9</v>
      </c>
      <c r="B2869" t="s">
        <v>24</v>
      </c>
      <c r="C2869" t="s">
        <v>122</v>
      </c>
      <c r="D2869" s="9" t="s">
        <v>111</v>
      </c>
      <c r="E2869" t="s">
        <v>43</v>
      </c>
      <c r="F2869" t="s">
        <v>83</v>
      </c>
      <c r="G2869">
        <v>9</v>
      </c>
      <c r="H2869" s="9">
        <v>-10</v>
      </c>
      <c r="I2869"/>
    </row>
    <row r="2870" spans="1:9" x14ac:dyDescent="0.3">
      <c r="A2870" t="s">
        <v>9</v>
      </c>
      <c r="B2870" t="s">
        <v>24</v>
      </c>
      <c r="C2870" t="s">
        <v>123</v>
      </c>
      <c r="D2870" s="9" t="s">
        <v>124</v>
      </c>
      <c r="E2870" t="s">
        <v>32</v>
      </c>
      <c r="F2870" t="s">
        <v>61</v>
      </c>
      <c r="G2870">
        <v>5.3</v>
      </c>
      <c r="H2870" s="9">
        <v>-8.6199999999999992</v>
      </c>
      <c r="I2870"/>
    </row>
    <row r="2871" spans="1:9" x14ac:dyDescent="0.3">
      <c r="A2871" t="s">
        <v>9</v>
      </c>
      <c r="B2871" t="s">
        <v>24</v>
      </c>
      <c r="C2871" t="s">
        <v>125</v>
      </c>
      <c r="D2871" s="9" t="s">
        <v>124</v>
      </c>
      <c r="E2871" t="s">
        <v>33</v>
      </c>
      <c r="F2871" t="s">
        <v>63</v>
      </c>
      <c r="G2871">
        <v>4.9000000000000004</v>
      </c>
      <c r="H2871" s="9">
        <v>-12.5</v>
      </c>
      <c r="I2871"/>
    </row>
    <row r="2872" spans="1:9" x14ac:dyDescent="0.3">
      <c r="A2872" t="s">
        <v>9</v>
      </c>
      <c r="B2872" t="s">
        <v>24</v>
      </c>
      <c r="C2872" t="s">
        <v>126</v>
      </c>
      <c r="D2872" s="9" t="s">
        <v>124</v>
      </c>
      <c r="E2872" t="s">
        <v>34</v>
      </c>
      <c r="F2872" t="s">
        <v>65</v>
      </c>
      <c r="G2872">
        <v>6.3</v>
      </c>
      <c r="H2872" s="9">
        <v>-13.7</v>
      </c>
      <c r="I2872"/>
    </row>
    <row r="2873" spans="1:9" x14ac:dyDescent="0.3">
      <c r="A2873" t="s">
        <v>9</v>
      </c>
      <c r="B2873" t="s">
        <v>24</v>
      </c>
      <c r="C2873" t="s">
        <v>127</v>
      </c>
      <c r="D2873" s="9" t="s">
        <v>124</v>
      </c>
      <c r="E2873" t="s">
        <v>35</v>
      </c>
      <c r="F2873" t="s">
        <v>67</v>
      </c>
      <c r="G2873">
        <v>6.6</v>
      </c>
      <c r="H2873" s="9">
        <v>-15.38</v>
      </c>
      <c r="I2873"/>
    </row>
    <row r="2874" spans="1:9" x14ac:dyDescent="0.3">
      <c r="A2874" t="s">
        <v>9</v>
      </c>
      <c r="B2874" t="s">
        <v>24</v>
      </c>
      <c r="C2874" t="s">
        <v>128</v>
      </c>
      <c r="D2874" s="9" t="s">
        <v>124</v>
      </c>
      <c r="E2874" t="s">
        <v>36</v>
      </c>
      <c r="F2874" t="s">
        <v>69</v>
      </c>
      <c r="G2874">
        <v>7.3</v>
      </c>
      <c r="H2874" s="9">
        <v>-9.8800000000000008</v>
      </c>
      <c r="I2874"/>
    </row>
    <row r="2875" spans="1:9" x14ac:dyDescent="0.3">
      <c r="A2875" t="s">
        <v>9</v>
      </c>
      <c r="B2875" t="s">
        <v>24</v>
      </c>
      <c r="C2875" t="s">
        <v>129</v>
      </c>
      <c r="D2875" s="9" t="s">
        <v>124</v>
      </c>
      <c r="E2875" t="s">
        <v>37</v>
      </c>
      <c r="F2875" t="s">
        <v>71</v>
      </c>
      <c r="G2875">
        <v>8.6</v>
      </c>
      <c r="H2875" s="9">
        <v>-9.4700000000000006</v>
      </c>
      <c r="I2875"/>
    </row>
    <row r="2876" spans="1:9" x14ac:dyDescent="0.3">
      <c r="A2876" t="s">
        <v>9</v>
      </c>
      <c r="B2876" t="s">
        <v>24</v>
      </c>
      <c r="C2876" t="s">
        <v>130</v>
      </c>
      <c r="D2876" s="9" t="s">
        <v>124</v>
      </c>
      <c r="E2876" t="s">
        <v>38</v>
      </c>
      <c r="F2876" t="s">
        <v>73</v>
      </c>
      <c r="G2876">
        <v>9.5</v>
      </c>
      <c r="H2876" s="9">
        <v>-8.65</v>
      </c>
      <c r="I2876"/>
    </row>
    <row r="2877" spans="1:9" x14ac:dyDescent="0.3">
      <c r="A2877" t="s">
        <v>9</v>
      </c>
      <c r="B2877" t="s">
        <v>24</v>
      </c>
      <c r="C2877" t="s">
        <v>131</v>
      </c>
      <c r="D2877" s="9" t="s">
        <v>124</v>
      </c>
      <c r="E2877" t="s">
        <v>39</v>
      </c>
      <c r="F2877" t="s">
        <v>75</v>
      </c>
      <c r="G2877">
        <v>8</v>
      </c>
      <c r="H2877" s="9">
        <v>-8.0500000000000007</v>
      </c>
      <c r="I2877"/>
    </row>
    <row r="2878" spans="1:9" x14ac:dyDescent="0.3">
      <c r="A2878" t="s">
        <v>9</v>
      </c>
      <c r="B2878" t="s">
        <v>24</v>
      </c>
      <c r="C2878" t="s">
        <v>132</v>
      </c>
      <c r="D2878" s="9" t="s">
        <v>124</v>
      </c>
      <c r="E2878" t="s">
        <v>40</v>
      </c>
      <c r="F2878" t="s">
        <v>77</v>
      </c>
      <c r="G2878">
        <v>7.3</v>
      </c>
      <c r="H2878" s="9">
        <v>-17.98</v>
      </c>
      <c r="I2878"/>
    </row>
    <row r="2879" spans="1:9" x14ac:dyDescent="0.3">
      <c r="A2879" t="s">
        <v>9</v>
      </c>
      <c r="B2879" t="s">
        <v>24</v>
      </c>
      <c r="C2879" t="s">
        <v>133</v>
      </c>
      <c r="D2879" s="9" t="s">
        <v>124</v>
      </c>
      <c r="E2879" t="s">
        <v>41</v>
      </c>
      <c r="F2879" t="s">
        <v>79</v>
      </c>
      <c r="G2879">
        <v>6.6</v>
      </c>
      <c r="H2879" s="9">
        <v>-7.04</v>
      </c>
      <c r="I2879"/>
    </row>
    <row r="2880" spans="1:9" x14ac:dyDescent="0.3">
      <c r="A2880" t="s">
        <v>9</v>
      </c>
      <c r="B2880" t="s">
        <v>24</v>
      </c>
      <c r="C2880" t="s">
        <v>134</v>
      </c>
      <c r="D2880" s="9" t="s">
        <v>124</v>
      </c>
      <c r="E2880" t="s">
        <v>42</v>
      </c>
      <c r="F2880" t="s">
        <v>81</v>
      </c>
      <c r="G2880">
        <v>7.1</v>
      </c>
      <c r="H2880" s="9">
        <v>-6.58</v>
      </c>
      <c r="I2880"/>
    </row>
    <row r="2881" spans="1:9" x14ac:dyDescent="0.3">
      <c r="A2881" t="s">
        <v>9</v>
      </c>
      <c r="B2881" t="s">
        <v>24</v>
      </c>
      <c r="C2881" t="s">
        <v>135</v>
      </c>
      <c r="D2881" s="9" t="s">
        <v>124</v>
      </c>
      <c r="E2881" t="s">
        <v>43</v>
      </c>
      <c r="F2881" t="s">
        <v>83</v>
      </c>
      <c r="G2881">
        <v>8.5</v>
      </c>
      <c r="H2881" s="9">
        <v>-5.56</v>
      </c>
      <c r="I2881"/>
    </row>
    <row r="2882" spans="1:9" x14ac:dyDescent="0.3">
      <c r="A2882" t="s">
        <v>9</v>
      </c>
      <c r="B2882" t="s">
        <v>24</v>
      </c>
      <c r="C2882" t="s">
        <v>136</v>
      </c>
      <c r="D2882" s="9" t="s">
        <v>137</v>
      </c>
      <c r="E2882" t="s">
        <v>32</v>
      </c>
      <c r="F2882" t="s">
        <v>61</v>
      </c>
      <c r="G2882">
        <v>4.7</v>
      </c>
      <c r="H2882" s="9">
        <v>-11.32</v>
      </c>
      <c r="I2882"/>
    </row>
    <row r="2883" spans="1:9" x14ac:dyDescent="0.3">
      <c r="A2883" t="s">
        <v>9</v>
      </c>
      <c r="B2883" t="s">
        <v>24</v>
      </c>
      <c r="C2883" t="s">
        <v>138</v>
      </c>
      <c r="D2883" s="9" t="s">
        <v>137</v>
      </c>
      <c r="E2883" t="s">
        <v>33</v>
      </c>
      <c r="F2883" t="s">
        <v>63</v>
      </c>
      <c r="G2883">
        <v>4.9000000000000004</v>
      </c>
      <c r="H2883" s="9">
        <v>0</v>
      </c>
      <c r="I2883"/>
    </row>
    <row r="2884" spans="1:9" x14ac:dyDescent="0.3">
      <c r="A2884" t="s">
        <v>9</v>
      </c>
      <c r="B2884" t="s">
        <v>24</v>
      </c>
      <c r="C2884" t="s">
        <v>139</v>
      </c>
      <c r="D2884" s="9" t="s">
        <v>137</v>
      </c>
      <c r="E2884" t="s">
        <v>34</v>
      </c>
      <c r="F2884" t="s">
        <v>65</v>
      </c>
      <c r="G2884">
        <v>6.3</v>
      </c>
      <c r="H2884" s="9">
        <v>0</v>
      </c>
      <c r="I2884"/>
    </row>
    <row r="2885" spans="1:9" x14ac:dyDescent="0.3">
      <c r="A2885" t="s">
        <v>9</v>
      </c>
      <c r="B2885" t="s">
        <v>24</v>
      </c>
      <c r="C2885" t="s">
        <v>140</v>
      </c>
      <c r="D2885" s="9" t="s">
        <v>137</v>
      </c>
      <c r="E2885" t="s">
        <v>35</v>
      </c>
      <c r="F2885" t="s">
        <v>67</v>
      </c>
      <c r="G2885">
        <v>7.1</v>
      </c>
      <c r="H2885" s="9">
        <v>7.58</v>
      </c>
      <c r="I2885"/>
    </row>
    <row r="2886" spans="1:9" x14ac:dyDescent="0.3">
      <c r="A2886" t="s">
        <v>9</v>
      </c>
      <c r="B2886" t="s">
        <v>24</v>
      </c>
      <c r="C2886" t="s">
        <v>141</v>
      </c>
      <c r="D2886" s="9" t="s">
        <v>137</v>
      </c>
      <c r="E2886" t="s">
        <v>36</v>
      </c>
      <c r="F2886" t="s">
        <v>69</v>
      </c>
      <c r="G2886">
        <v>7.2</v>
      </c>
      <c r="H2886" s="9">
        <v>-1.37</v>
      </c>
      <c r="I2886"/>
    </row>
    <row r="2887" spans="1:9" x14ac:dyDescent="0.3">
      <c r="A2887" t="s">
        <v>9</v>
      </c>
      <c r="B2887" t="s">
        <v>24</v>
      </c>
      <c r="C2887" t="s">
        <v>142</v>
      </c>
      <c r="D2887" s="9" t="s">
        <v>137</v>
      </c>
      <c r="E2887" t="s">
        <v>37</v>
      </c>
      <c r="F2887" t="s">
        <v>71</v>
      </c>
      <c r="G2887">
        <v>8</v>
      </c>
      <c r="H2887" s="9">
        <v>-6.98</v>
      </c>
      <c r="I2887"/>
    </row>
    <row r="2888" spans="1:9" x14ac:dyDescent="0.3">
      <c r="A2888" t="s">
        <v>9</v>
      </c>
      <c r="B2888" t="s">
        <v>24</v>
      </c>
      <c r="C2888" t="s">
        <v>143</v>
      </c>
      <c r="D2888" s="9" t="s">
        <v>137</v>
      </c>
      <c r="E2888" t="s">
        <v>38</v>
      </c>
      <c r="F2888" t="s">
        <v>73</v>
      </c>
      <c r="G2888">
        <v>8.4</v>
      </c>
      <c r="H2888" s="9">
        <v>-11.58</v>
      </c>
      <c r="I2888"/>
    </row>
    <row r="2889" spans="1:9" x14ac:dyDescent="0.3">
      <c r="A2889" t="s">
        <v>9</v>
      </c>
      <c r="B2889" t="s">
        <v>24</v>
      </c>
      <c r="C2889" t="s">
        <v>144</v>
      </c>
      <c r="D2889" s="9" t="s">
        <v>137</v>
      </c>
      <c r="E2889" t="s">
        <v>39</v>
      </c>
      <c r="F2889" t="s">
        <v>75</v>
      </c>
      <c r="G2889">
        <v>7.3</v>
      </c>
      <c r="H2889" s="9">
        <v>-8.75</v>
      </c>
      <c r="I2889"/>
    </row>
    <row r="2890" spans="1:9" x14ac:dyDescent="0.3">
      <c r="A2890" t="s">
        <v>9</v>
      </c>
      <c r="B2890" t="s">
        <v>24</v>
      </c>
      <c r="C2890" t="s">
        <v>145</v>
      </c>
      <c r="D2890" s="9" t="s">
        <v>137</v>
      </c>
      <c r="E2890" t="s">
        <v>40</v>
      </c>
      <c r="F2890" t="s">
        <v>77</v>
      </c>
      <c r="G2890">
        <v>7</v>
      </c>
      <c r="H2890" s="9">
        <v>-4.1100000000000003</v>
      </c>
      <c r="I2890"/>
    </row>
    <row r="2891" spans="1:9" x14ac:dyDescent="0.3">
      <c r="A2891" t="s">
        <v>9</v>
      </c>
      <c r="B2891" t="s">
        <v>24</v>
      </c>
      <c r="C2891" t="s">
        <v>146</v>
      </c>
      <c r="D2891" s="9" t="s">
        <v>137</v>
      </c>
      <c r="E2891" t="s">
        <v>41</v>
      </c>
      <c r="F2891" t="s">
        <v>79</v>
      </c>
      <c r="G2891">
        <v>6.8</v>
      </c>
      <c r="H2891" s="9">
        <v>3.03</v>
      </c>
      <c r="I2891"/>
    </row>
    <row r="2892" spans="1:9" x14ac:dyDescent="0.3">
      <c r="A2892" t="s">
        <v>9</v>
      </c>
      <c r="B2892" t="s">
        <v>24</v>
      </c>
      <c r="C2892" t="s">
        <v>147</v>
      </c>
      <c r="D2892" s="9" t="s">
        <v>137</v>
      </c>
      <c r="E2892" t="s">
        <v>42</v>
      </c>
      <c r="F2892" t="s">
        <v>81</v>
      </c>
      <c r="G2892">
        <v>6.7</v>
      </c>
      <c r="H2892" s="9">
        <v>-5.63</v>
      </c>
      <c r="I2892"/>
    </row>
    <row r="2893" spans="1:9" x14ac:dyDescent="0.3">
      <c r="A2893" t="s">
        <v>9</v>
      </c>
      <c r="B2893" t="s">
        <v>24</v>
      </c>
      <c r="C2893" t="s">
        <v>148</v>
      </c>
      <c r="D2893" s="9" t="s">
        <v>137</v>
      </c>
      <c r="E2893" t="s">
        <v>43</v>
      </c>
      <c r="F2893" t="s">
        <v>83</v>
      </c>
      <c r="G2893">
        <v>8.5</v>
      </c>
      <c r="H2893" s="9">
        <v>0</v>
      </c>
      <c r="I2893"/>
    </row>
    <row r="2894" spans="1:9" x14ac:dyDescent="0.3">
      <c r="A2894" t="s">
        <v>9</v>
      </c>
      <c r="B2894" t="s">
        <v>24</v>
      </c>
      <c r="C2894" t="s">
        <v>149</v>
      </c>
      <c r="D2894" s="9" t="s">
        <v>150</v>
      </c>
      <c r="E2894" t="s">
        <v>32</v>
      </c>
      <c r="F2894" t="s">
        <v>61</v>
      </c>
      <c r="G2894">
        <v>6.1</v>
      </c>
      <c r="H2894" s="9">
        <v>29.79</v>
      </c>
      <c r="I2894"/>
    </row>
    <row r="2895" spans="1:9" x14ac:dyDescent="0.3">
      <c r="A2895" t="s">
        <v>9</v>
      </c>
      <c r="B2895" t="s">
        <v>24</v>
      </c>
      <c r="C2895" t="s">
        <v>151</v>
      </c>
      <c r="D2895" s="9" t="s">
        <v>150</v>
      </c>
      <c r="E2895" t="s">
        <v>33</v>
      </c>
      <c r="F2895" t="s">
        <v>63</v>
      </c>
      <c r="G2895">
        <v>5.4</v>
      </c>
      <c r="H2895" s="9">
        <v>10.199999999999999</v>
      </c>
      <c r="I2895"/>
    </row>
    <row r="2896" spans="1:9" x14ac:dyDescent="0.3">
      <c r="A2896" t="s">
        <v>9</v>
      </c>
      <c r="B2896" t="s">
        <v>24</v>
      </c>
      <c r="C2896" t="s">
        <v>152</v>
      </c>
      <c r="D2896" s="9" t="s">
        <v>150</v>
      </c>
      <c r="E2896" t="s">
        <v>34</v>
      </c>
      <c r="F2896" t="s">
        <v>65</v>
      </c>
      <c r="G2896">
        <v>7</v>
      </c>
      <c r="H2896" s="9">
        <v>11.11</v>
      </c>
      <c r="I2896"/>
    </row>
    <row r="2897" spans="1:9" x14ac:dyDescent="0.3">
      <c r="A2897" t="s">
        <v>9</v>
      </c>
      <c r="B2897" t="s">
        <v>24</v>
      </c>
      <c r="C2897" t="s">
        <v>153</v>
      </c>
      <c r="D2897" s="9" t="s">
        <v>150</v>
      </c>
      <c r="E2897" t="s">
        <v>35</v>
      </c>
      <c r="F2897" t="s">
        <v>67</v>
      </c>
      <c r="G2897">
        <v>8.6</v>
      </c>
      <c r="H2897" s="9">
        <v>21.13</v>
      </c>
      <c r="I2897"/>
    </row>
    <row r="2898" spans="1:9" x14ac:dyDescent="0.3">
      <c r="A2898" t="s">
        <v>9</v>
      </c>
      <c r="B2898" t="s">
        <v>24</v>
      </c>
      <c r="C2898" t="s">
        <v>154</v>
      </c>
      <c r="D2898" s="9" t="s">
        <v>150</v>
      </c>
      <c r="E2898" t="s">
        <v>36</v>
      </c>
      <c r="F2898" t="s">
        <v>69</v>
      </c>
      <c r="G2898">
        <v>8.1</v>
      </c>
      <c r="H2898" s="9">
        <v>12.5</v>
      </c>
      <c r="I2898"/>
    </row>
    <row r="2899" spans="1:9" x14ac:dyDescent="0.3">
      <c r="A2899" t="s">
        <v>9</v>
      </c>
      <c r="B2899" t="s">
        <v>24</v>
      </c>
      <c r="C2899" t="s">
        <v>155</v>
      </c>
      <c r="D2899" s="9" t="s">
        <v>150</v>
      </c>
      <c r="E2899" t="s">
        <v>37</v>
      </c>
      <c r="F2899" t="s">
        <v>71</v>
      </c>
      <c r="G2899">
        <v>9.4</v>
      </c>
      <c r="H2899" s="9">
        <v>17.5</v>
      </c>
      <c r="I2899"/>
    </row>
    <row r="2900" spans="1:9" x14ac:dyDescent="0.3">
      <c r="A2900" t="s">
        <v>9</v>
      </c>
      <c r="B2900" t="s">
        <v>14</v>
      </c>
      <c r="C2900" t="s">
        <v>88</v>
      </c>
      <c r="D2900" s="9" t="s">
        <v>85</v>
      </c>
      <c r="E2900" t="s">
        <v>35</v>
      </c>
      <c r="F2900" t="s">
        <v>67</v>
      </c>
      <c r="G2900">
        <v>15.8</v>
      </c>
      <c r="I2900"/>
    </row>
    <row r="2901" spans="1:9" x14ac:dyDescent="0.3">
      <c r="A2901" t="s">
        <v>9</v>
      </c>
      <c r="B2901" t="s">
        <v>14</v>
      </c>
      <c r="C2901" t="s">
        <v>89</v>
      </c>
      <c r="D2901" s="9" t="s">
        <v>85</v>
      </c>
      <c r="E2901" t="s">
        <v>36</v>
      </c>
      <c r="F2901" t="s">
        <v>69</v>
      </c>
      <c r="G2901">
        <v>18.5</v>
      </c>
      <c r="I2901"/>
    </row>
    <row r="2902" spans="1:9" x14ac:dyDescent="0.3">
      <c r="A2902" t="s">
        <v>9</v>
      </c>
      <c r="B2902" t="s">
        <v>14</v>
      </c>
      <c r="C2902" t="s">
        <v>90</v>
      </c>
      <c r="D2902" s="9" t="s">
        <v>85</v>
      </c>
      <c r="E2902" t="s">
        <v>37</v>
      </c>
      <c r="F2902" t="s">
        <v>71</v>
      </c>
      <c r="G2902">
        <v>20.399999999999999</v>
      </c>
      <c r="I2902"/>
    </row>
    <row r="2903" spans="1:9" x14ac:dyDescent="0.3">
      <c r="A2903" t="s">
        <v>9</v>
      </c>
      <c r="B2903" t="s">
        <v>14</v>
      </c>
      <c r="C2903" t="s">
        <v>91</v>
      </c>
      <c r="D2903" s="9" t="s">
        <v>85</v>
      </c>
      <c r="E2903" t="s">
        <v>38</v>
      </c>
      <c r="F2903" t="s">
        <v>73</v>
      </c>
      <c r="G2903">
        <v>22.1</v>
      </c>
      <c r="I2903"/>
    </row>
    <row r="2904" spans="1:9" x14ac:dyDescent="0.3">
      <c r="A2904" t="s">
        <v>9</v>
      </c>
      <c r="B2904" t="s">
        <v>14</v>
      </c>
      <c r="C2904" t="s">
        <v>92</v>
      </c>
      <c r="D2904" s="9" t="s">
        <v>85</v>
      </c>
      <c r="E2904" t="s">
        <v>39</v>
      </c>
      <c r="F2904" t="s">
        <v>75</v>
      </c>
      <c r="G2904">
        <v>23.5</v>
      </c>
      <c r="I2904"/>
    </row>
    <row r="2905" spans="1:9" x14ac:dyDescent="0.3">
      <c r="A2905" t="s">
        <v>9</v>
      </c>
      <c r="B2905" t="s">
        <v>14</v>
      </c>
      <c r="C2905" t="s">
        <v>93</v>
      </c>
      <c r="D2905" s="9" t="s">
        <v>85</v>
      </c>
      <c r="E2905" t="s">
        <v>40</v>
      </c>
      <c r="F2905" t="s">
        <v>77</v>
      </c>
      <c r="G2905">
        <v>22.8</v>
      </c>
      <c r="I2905"/>
    </row>
    <row r="2906" spans="1:9" x14ac:dyDescent="0.3">
      <c r="A2906" t="s">
        <v>9</v>
      </c>
      <c r="B2906" t="s">
        <v>14</v>
      </c>
      <c r="C2906" t="s">
        <v>94</v>
      </c>
      <c r="D2906" s="9" t="s">
        <v>85</v>
      </c>
      <c r="E2906" t="s">
        <v>41</v>
      </c>
      <c r="F2906" t="s">
        <v>79</v>
      </c>
      <c r="G2906">
        <v>22.8</v>
      </c>
      <c r="I2906"/>
    </row>
    <row r="2907" spans="1:9" x14ac:dyDescent="0.3">
      <c r="A2907" t="s">
        <v>9</v>
      </c>
      <c r="B2907" t="s">
        <v>14</v>
      </c>
      <c r="C2907" t="s">
        <v>95</v>
      </c>
      <c r="D2907" s="9" t="s">
        <v>85</v>
      </c>
      <c r="E2907" t="s">
        <v>42</v>
      </c>
      <c r="F2907" t="s">
        <v>81</v>
      </c>
      <c r="G2907">
        <v>24</v>
      </c>
      <c r="I2907"/>
    </row>
    <row r="2908" spans="1:9" x14ac:dyDescent="0.3">
      <c r="A2908" t="s">
        <v>9</v>
      </c>
      <c r="B2908" t="s">
        <v>14</v>
      </c>
      <c r="C2908" t="s">
        <v>96</v>
      </c>
      <c r="D2908" s="9" t="s">
        <v>85</v>
      </c>
      <c r="E2908" t="s">
        <v>43</v>
      </c>
      <c r="F2908" t="s">
        <v>83</v>
      </c>
      <c r="G2908">
        <v>24.2</v>
      </c>
      <c r="I2908"/>
    </row>
    <row r="2909" spans="1:9" x14ac:dyDescent="0.3">
      <c r="A2909" t="s">
        <v>9</v>
      </c>
      <c r="B2909" t="s">
        <v>14</v>
      </c>
      <c r="C2909" t="s">
        <v>97</v>
      </c>
      <c r="D2909" s="9" t="s">
        <v>98</v>
      </c>
      <c r="E2909" t="s">
        <v>32</v>
      </c>
      <c r="F2909" t="s">
        <v>61</v>
      </c>
      <c r="G2909">
        <v>19.100000000000001</v>
      </c>
      <c r="I2909"/>
    </row>
    <row r="2910" spans="1:9" x14ac:dyDescent="0.3">
      <c r="A2910" t="s">
        <v>9</v>
      </c>
      <c r="B2910" t="s">
        <v>14</v>
      </c>
      <c r="C2910" t="s">
        <v>99</v>
      </c>
      <c r="D2910" s="9" t="s">
        <v>98</v>
      </c>
      <c r="E2910" t="s">
        <v>33</v>
      </c>
      <c r="F2910" t="s">
        <v>63</v>
      </c>
      <c r="G2910">
        <v>18.8</v>
      </c>
      <c r="I2910"/>
    </row>
    <row r="2911" spans="1:9" x14ac:dyDescent="0.3">
      <c r="A2911" t="s">
        <v>9</v>
      </c>
      <c r="B2911" t="s">
        <v>14</v>
      </c>
      <c r="C2911" t="s">
        <v>100</v>
      </c>
      <c r="D2911" s="9" t="s">
        <v>98</v>
      </c>
      <c r="E2911" t="s">
        <v>34</v>
      </c>
      <c r="F2911" t="s">
        <v>65</v>
      </c>
      <c r="G2911">
        <v>21.8</v>
      </c>
      <c r="I2911"/>
    </row>
    <row r="2912" spans="1:9" x14ac:dyDescent="0.3">
      <c r="A2912" t="s">
        <v>9</v>
      </c>
      <c r="B2912" t="s">
        <v>14</v>
      </c>
      <c r="C2912" t="s">
        <v>101</v>
      </c>
      <c r="D2912" s="9" t="s">
        <v>98</v>
      </c>
      <c r="E2912" t="s">
        <v>35</v>
      </c>
      <c r="F2912" t="s">
        <v>67</v>
      </c>
      <c r="G2912">
        <v>21.5</v>
      </c>
      <c r="H2912" s="9">
        <v>36.08</v>
      </c>
      <c r="I2912"/>
    </row>
    <row r="2913" spans="1:9" x14ac:dyDescent="0.3">
      <c r="A2913" t="s">
        <v>9</v>
      </c>
      <c r="B2913" t="s">
        <v>14</v>
      </c>
      <c r="C2913" t="s">
        <v>102</v>
      </c>
      <c r="D2913" s="9" t="s">
        <v>98</v>
      </c>
      <c r="E2913" t="s">
        <v>36</v>
      </c>
      <c r="F2913" t="s">
        <v>69</v>
      </c>
      <c r="G2913">
        <v>22</v>
      </c>
      <c r="H2913" s="9">
        <v>18.920000000000002</v>
      </c>
      <c r="I2913"/>
    </row>
    <row r="2914" spans="1:9" x14ac:dyDescent="0.3">
      <c r="A2914" t="s">
        <v>9</v>
      </c>
      <c r="B2914" t="s">
        <v>14</v>
      </c>
      <c r="C2914" t="s">
        <v>103</v>
      </c>
      <c r="D2914" s="9" t="s">
        <v>98</v>
      </c>
      <c r="E2914" t="s">
        <v>37</v>
      </c>
      <c r="F2914" t="s">
        <v>71</v>
      </c>
      <c r="G2914">
        <v>23.2</v>
      </c>
      <c r="H2914" s="9">
        <v>13.73</v>
      </c>
      <c r="I2914"/>
    </row>
    <row r="2915" spans="1:9" x14ac:dyDescent="0.3">
      <c r="A2915" t="s">
        <v>9</v>
      </c>
      <c r="B2915" t="s">
        <v>14</v>
      </c>
      <c r="C2915" t="s">
        <v>104</v>
      </c>
      <c r="D2915" s="9" t="s">
        <v>98</v>
      </c>
      <c r="E2915" t="s">
        <v>38</v>
      </c>
      <c r="F2915" t="s">
        <v>73</v>
      </c>
      <c r="G2915">
        <v>24.4</v>
      </c>
      <c r="H2915" s="9">
        <v>10.41</v>
      </c>
      <c r="I2915"/>
    </row>
    <row r="2916" spans="1:9" x14ac:dyDescent="0.3">
      <c r="A2916" t="s">
        <v>9</v>
      </c>
      <c r="B2916" t="s">
        <v>14</v>
      </c>
      <c r="C2916" t="s">
        <v>105</v>
      </c>
      <c r="D2916" s="9" t="s">
        <v>98</v>
      </c>
      <c r="E2916" t="s">
        <v>39</v>
      </c>
      <c r="F2916" t="s">
        <v>75</v>
      </c>
      <c r="G2916">
        <v>23.8</v>
      </c>
      <c r="H2916" s="9">
        <v>1.28</v>
      </c>
      <c r="I2916"/>
    </row>
    <row r="2917" spans="1:9" x14ac:dyDescent="0.3">
      <c r="A2917" t="s">
        <v>9</v>
      </c>
      <c r="B2917" t="s">
        <v>14</v>
      </c>
      <c r="C2917" t="s">
        <v>106</v>
      </c>
      <c r="D2917" s="9" t="s">
        <v>98</v>
      </c>
      <c r="E2917" t="s">
        <v>40</v>
      </c>
      <c r="F2917" t="s">
        <v>77</v>
      </c>
      <c r="G2917">
        <v>23.7</v>
      </c>
      <c r="H2917" s="9">
        <v>3.95</v>
      </c>
      <c r="I2917"/>
    </row>
    <row r="2918" spans="1:9" x14ac:dyDescent="0.3">
      <c r="A2918" t="s">
        <v>9</v>
      </c>
      <c r="B2918" t="s">
        <v>14</v>
      </c>
      <c r="C2918" t="s">
        <v>107</v>
      </c>
      <c r="D2918" s="9" t="s">
        <v>98</v>
      </c>
      <c r="E2918" t="s">
        <v>41</v>
      </c>
      <c r="F2918" t="s">
        <v>79</v>
      </c>
      <c r="G2918">
        <v>23</v>
      </c>
      <c r="H2918" s="9">
        <v>0.88</v>
      </c>
      <c r="I2918"/>
    </row>
    <row r="2919" spans="1:9" x14ac:dyDescent="0.3">
      <c r="A2919" t="s">
        <v>9</v>
      </c>
      <c r="B2919" t="s">
        <v>14</v>
      </c>
      <c r="C2919" t="s">
        <v>108</v>
      </c>
      <c r="D2919" s="9" t="s">
        <v>98</v>
      </c>
      <c r="E2919" t="s">
        <v>42</v>
      </c>
      <c r="F2919" t="s">
        <v>81</v>
      </c>
      <c r="G2919">
        <v>24.4</v>
      </c>
      <c r="H2919" s="9">
        <v>1.67</v>
      </c>
      <c r="I2919"/>
    </row>
    <row r="2920" spans="1:9" x14ac:dyDescent="0.3">
      <c r="A2920" t="s">
        <v>9</v>
      </c>
      <c r="B2920" t="s">
        <v>14</v>
      </c>
      <c r="C2920" t="s">
        <v>109</v>
      </c>
      <c r="D2920" s="9" t="s">
        <v>98</v>
      </c>
      <c r="E2920" t="s">
        <v>43</v>
      </c>
      <c r="F2920" t="s">
        <v>83</v>
      </c>
      <c r="G2920">
        <v>21.4</v>
      </c>
      <c r="H2920" s="9">
        <v>-11.57</v>
      </c>
      <c r="I2920"/>
    </row>
    <row r="2921" spans="1:9" x14ac:dyDescent="0.3">
      <c r="A2921" t="s">
        <v>9</v>
      </c>
      <c r="B2921" t="s">
        <v>14</v>
      </c>
      <c r="C2921" t="s">
        <v>110</v>
      </c>
      <c r="D2921" s="9" t="s">
        <v>111</v>
      </c>
      <c r="E2921" t="s">
        <v>32</v>
      </c>
      <c r="F2921" t="s">
        <v>61</v>
      </c>
      <c r="G2921">
        <v>18.5</v>
      </c>
      <c r="H2921" s="9">
        <v>-3.14</v>
      </c>
      <c r="I2921"/>
    </row>
    <row r="2922" spans="1:9" x14ac:dyDescent="0.3">
      <c r="A2922" t="s">
        <v>9</v>
      </c>
      <c r="B2922" t="s">
        <v>14</v>
      </c>
      <c r="C2922" t="s">
        <v>112</v>
      </c>
      <c r="D2922" s="9" t="s">
        <v>111</v>
      </c>
      <c r="E2922" t="s">
        <v>33</v>
      </c>
      <c r="F2922" t="s">
        <v>63</v>
      </c>
      <c r="G2922">
        <v>16.399999999999999</v>
      </c>
      <c r="H2922" s="9">
        <v>-12.77</v>
      </c>
      <c r="I2922"/>
    </row>
    <row r="2923" spans="1:9" x14ac:dyDescent="0.3">
      <c r="A2923" t="s">
        <v>9</v>
      </c>
      <c r="B2923" t="s">
        <v>14</v>
      </c>
      <c r="C2923" t="s">
        <v>113</v>
      </c>
      <c r="D2923" s="9" t="s">
        <v>111</v>
      </c>
      <c r="E2923" t="s">
        <v>34</v>
      </c>
      <c r="F2923" t="s">
        <v>65</v>
      </c>
      <c r="G2923">
        <v>19.100000000000001</v>
      </c>
      <c r="H2923" s="9">
        <v>-12.39</v>
      </c>
      <c r="I2923"/>
    </row>
    <row r="2924" spans="1:9" x14ac:dyDescent="0.3">
      <c r="A2924" t="s">
        <v>9</v>
      </c>
      <c r="B2924" t="s">
        <v>14</v>
      </c>
      <c r="C2924" t="s">
        <v>114</v>
      </c>
      <c r="D2924" s="9" t="s">
        <v>111</v>
      </c>
      <c r="E2924" t="s">
        <v>35</v>
      </c>
      <c r="F2924" t="s">
        <v>67</v>
      </c>
      <c r="G2924">
        <v>18</v>
      </c>
      <c r="H2924" s="9">
        <v>-16.28</v>
      </c>
      <c r="I2924"/>
    </row>
    <row r="2925" spans="1:9" x14ac:dyDescent="0.3">
      <c r="A2925" t="s">
        <v>9</v>
      </c>
      <c r="B2925" t="s">
        <v>14</v>
      </c>
      <c r="C2925" t="s">
        <v>115</v>
      </c>
      <c r="D2925" s="9" t="s">
        <v>111</v>
      </c>
      <c r="E2925" t="s">
        <v>36</v>
      </c>
      <c r="F2925" t="s">
        <v>69</v>
      </c>
      <c r="G2925">
        <v>19.399999999999999</v>
      </c>
      <c r="H2925" s="9">
        <v>-11.82</v>
      </c>
      <c r="I2925"/>
    </row>
    <row r="2926" spans="1:9" x14ac:dyDescent="0.3">
      <c r="A2926" t="s">
        <v>9</v>
      </c>
      <c r="B2926" t="s">
        <v>14</v>
      </c>
      <c r="C2926" t="s">
        <v>116</v>
      </c>
      <c r="D2926" s="9" t="s">
        <v>111</v>
      </c>
      <c r="E2926" t="s">
        <v>37</v>
      </c>
      <c r="F2926" t="s">
        <v>71</v>
      </c>
      <c r="G2926">
        <v>18.600000000000001</v>
      </c>
      <c r="H2926" s="9">
        <v>-19.829999999999998</v>
      </c>
      <c r="I2926"/>
    </row>
    <row r="2927" spans="1:9" x14ac:dyDescent="0.3">
      <c r="A2927" t="s">
        <v>9</v>
      </c>
      <c r="B2927" t="s">
        <v>14</v>
      </c>
      <c r="C2927" t="s">
        <v>117</v>
      </c>
      <c r="D2927" s="9" t="s">
        <v>111</v>
      </c>
      <c r="E2927" t="s">
        <v>38</v>
      </c>
      <c r="F2927" t="s">
        <v>73</v>
      </c>
      <c r="G2927">
        <v>21.3</v>
      </c>
      <c r="H2927" s="9">
        <v>-12.7</v>
      </c>
      <c r="I2927"/>
    </row>
    <row r="2928" spans="1:9" x14ac:dyDescent="0.3">
      <c r="A2928" t="s">
        <v>9</v>
      </c>
      <c r="B2928" t="s">
        <v>14</v>
      </c>
      <c r="C2928" t="s">
        <v>118</v>
      </c>
      <c r="D2928" s="9" t="s">
        <v>111</v>
      </c>
      <c r="E2928" t="s">
        <v>39</v>
      </c>
      <c r="F2928" t="s">
        <v>75</v>
      </c>
      <c r="G2928">
        <v>20.5</v>
      </c>
      <c r="H2928" s="9">
        <v>-13.87</v>
      </c>
      <c r="I2928"/>
    </row>
    <row r="2929" spans="1:9" x14ac:dyDescent="0.3">
      <c r="A2929" t="s">
        <v>9</v>
      </c>
      <c r="B2929" t="s">
        <v>14</v>
      </c>
      <c r="C2929" t="s">
        <v>119</v>
      </c>
      <c r="D2929" s="9" t="s">
        <v>111</v>
      </c>
      <c r="E2929" t="s">
        <v>40</v>
      </c>
      <c r="F2929" t="s">
        <v>77</v>
      </c>
      <c r="G2929">
        <v>20.5</v>
      </c>
      <c r="H2929" s="9">
        <v>-13.5</v>
      </c>
      <c r="I2929"/>
    </row>
    <row r="2930" spans="1:9" x14ac:dyDescent="0.3">
      <c r="A2930" t="s">
        <v>9</v>
      </c>
      <c r="B2930" t="s">
        <v>14</v>
      </c>
      <c r="C2930" t="s">
        <v>120</v>
      </c>
      <c r="D2930" s="9" t="s">
        <v>111</v>
      </c>
      <c r="E2930" t="s">
        <v>41</v>
      </c>
      <c r="F2930" t="s">
        <v>79</v>
      </c>
      <c r="G2930">
        <v>21.3</v>
      </c>
      <c r="H2930" s="9">
        <v>-7.39</v>
      </c>
      <c r="I2930"/>
    </row>
    <row r="2931" spans="1:9" x14ac:dyDescent="0.3">
      <c r="A2931" t="s">
        <v>9</v>
      </c>
      <c r="B2931" t="s">
        <v>14</v>
      </c>
      <c r="C2931" t="s">
        <v>121</v>
      </c>
      <c r="D2931" s="9" t="s">
        <v>111</v>
      </c>
      <c r="E2931" t="s">
        <v>42</v>
      </c>
      <c r="F2931" t="s">
        <v>81</v>
      </c>
      <c r="G2931">
        <v>23.4</v>
      </c>
      <c r="H2931" s="9">
        <v>-4.0999999999999996</v>
      </c>
      <c r="I2931"/>
    </row>
    <row r="2932" spans="1:9" x14ac:dyDescent="0.3">
      <c r="A2932" t="s">
        <v>9</v>
      </c>
      <c r="B2932" t="s">
        <v>14</v>
      </c>
      <c r="C2932" t="s">
        <v>122</v>
      </c>
      <c r="D2932" s="9" t="s">
        <v>111</v>
      </c>
      <c r="E2932" t="s">
        <v>43</v>
      </c>
      <c r="F2932" t="s">
        <v>83</v>
      </c>
      <c r="G2932">
        <v>21</v>
      </c>
      <c r="H2932" s="9">
        <v>-1.87</v>
      </c>
      <c r="I2932"/>
    </row>
    <row r="2933" spans="1:9" x14ac:dyDescent="0.3">
      <c r="A2933" t="s">
        <v>9</v>
      </c>
      <c r="B2933" t="s">
        <v>14</v>
      </c>
      <c r="C2933" t="s">
        <v>123</v>
      </c>
      <c r="D2933" s="9" t="s">
        <v>124</v>
      </c>
      <c r="E2933" t="s">
        <v>32</v>
      </c>
      <c r="F2933" t="s">
        <v>61</v>
      </c>
      <c r="G2933">
        <v>17.7</v>
      </c>
      <c r="H2933" s="9">
        <v>-4.32</v>
      </c>
      <c r="I2933"/>
    </row>
    <row r="2934" spans="1:9" x14ac:dyDescent="0.3">
      <c r="A2934" t="s">
        <v>9</v>
      </c>
      <c r="B2934" t="s">
        <v>14</v>
      </c>
      <c r="C2934" t="s">
        <v>125</v>
      </c>
      <c r="D2934" s="9" t="s">
        <v>124</v>
      </c>
      <c r="E2934" t="s">
        <v>33</v>
      </c>
      <c r="F2934" t="s">
        <v>63</v>
      </c>
      <c r="G2934">
        <v>16.600000000000001</v>
      </c>
      <c r="H2934" s="9">
        <v>1.22</v>
      </c>
      <c r="I2934"/>
    </row>
    <row r="2935" spans="1:9" x14ac:dyDescent="0.3">
      <c r="A2935" t="s">
        <v>9</v>
      </c>
      <c r="B2935" t="s">
        <v>14</v>
      </c>
      <c r="C2935" t="s">
        <v>126</v>
      </c>
      <c r="D2935" s="9" t="s">
        <v>124</v>
      </c>
      <c r="E2935" t="s">
        <v>34</v>
      </c>
      <c r="F2935" t="s">
        <v>65</v>
      </c>
      <c r="G2935">
        <v>19.100000000000001</v>
      </c>
      <c r="H2935" s="9">
        <v>0</v>
      </c>
      <c r="I2935"/>
    </row>
    <row r="2936" spans="1:9" x14ac:dyDescent="0.3">
      <c r="A2936" t="s">
        <v>9</v>
      </c>
      <c r="B2936" t="s">
        <v>14</v>
      </c>
      <c r="C2936" t="s">
        <v>127</v>
      </c>
      <c r="D2936" s="9" t="s">
        <v>124</v>
      </c>
      <c r="E2936" t="s">
        <v>35</v>
      </c>
      <c r="F2936" t="s">
        <v>67</v>
      </c>
      <c r="G2936">
        <v>18.2</v>
      </c>
      <c r="H2936" s="9">
        <v>1.1100000000000001</v>
      </c>
      <c r="I2936"/>
    </row>
    <row r="2937" spans="1:9" x14ac:dyDescent="0.3">
      <c r="A2937" t="s">
        <v>9</v>
      </c>
      <c r="B2937" t="s">
        <v>14</v>
      </c>
      <c r="C2937" t="s">
        <v>128</v>
      </c>
      <c r="D2937" s="9" t="s">
        <v>124</v>
      </c>
      <c r="E2937" t="s">
        <v>36</v>
      </c>
      <c r="F2937" t="s">
        <v>69</v>
      </c>
      <c r="G2937">
        <v>19.600000000000001</v>
      </c>
      <c r="H2937" s="9">
        <v>1.03</v>
      </c>
      <c r="I2937"/>
    </row>
    <row r="2938" spans="1:9" x14ac:dyDescent="0.3">
      <c r="A2938" t="s">
        <v>9</v>
      </c>
      <c r="B2938" t="s">
        <v>14</v>
      </c>
      <c r="C2938" t="s">
        <v>129</v>
      </c>
      <c r="D2938" s="9" t="s">
        <v>124</v>
      </c>
      <c r="E2938" t="s">
        <v>37</v>
      </c>
      <c r="F2938" t="s">
        <v>71</v>
      </c>
      <c r="G2938">
        <v>20.2</v>
      </c>
      <c r="H2938" s="9">
        <v>8.6</v>
      </c>
      <c r="I2938"/>
    </row>
    <row r="2939" spans="1:9" x14ac:dyDescent="0.3">
      <c r="A2939" t="s">
        <v>9</v>
      </c>
      <c r="B2939" t="s">
        <v>14</v>
      </c>
      <c r="C2939" t="s">
        <v>130</v>
      </c>
      <c r="D2939" s="9" t="s">
        <v>124</v>
      </c>
      <c r="E2939" t="s">
        <v>38</v>
      </c>
      <c r="F2939" t="s">
        <v>73</v>
      </c>
      <c r="G2939">
        <v>19.7</v>
      </c>
      <c r="H2939" s="9">
        <v>-7.51</v>
      </c>
      <c r="I2939"/>
    </row>
    <row r="2940" spans="1:9" x14ac:dyDescent="0.3">
      <c r="A2940" t="s">
        <v>9</v>
      </c>
      <c r="B2940" t="s">
        <v>14</v>
      </c>
      <c r="C2940" t="s">
        <v>131</v>
      </c>
      <c r="D2940" s="9" t="s">
        <v>124</v>
      </c>
      <c r="E2940" t="s">
        <v>39</v>
      </c>
      <c r="F2940" t="s">
        <v>75</v>
      </c>
      <c r="G2940">
        <v>20</v>
      </c>
      <c r="H2940" s="9">
        <v>-2.44</v>
      </c>
      <c r="I2940"/>
    </row>
    <row r="2941" spans="1:9" x14ac:dyDescent="0.3">
      <c r="A2941" t="s">
        <v>9</v>
      </c>
      <c r="B2941" t="s">
        <v>14</v>
      </c>
      <c r="C2941" t="s">
        <v>132</v>
      </c>
      <c r="D2941" s="9" t="s">
        <v>124</v>
      </c>
      <c r="E2941" t="s">
        <v>40</v>
      </c>
      <c r="F2941" t="s">
        <v>77</v>
      </c>
      <c r="G2941">
        <v>21.3</v>
      </c>
      <c r="H2941" s="9">
        <v>3.9</v>
      </c>
      <c r="I2941"/>
    </row>
    <row r="2942" spans="1:9" x14ac:dyDescent="0.3">
      <c r="A2942" t="s">
        <v>9</v>
      </c>
      <c r="B2942" t="s">
        <v>14</v>
      </c>
      <c r="C2942" t="s">
        <v>133</v>
      </c>
      <c r="D2942" s="9" t="s">
        <v>124</v>
      </c>
      <c r="E2942" t="s">
        <v>41</v>
      </c>
      <c r="F2942" t="s">
        <v>79</v>
      </c>
      <c r="G2942">
        <v>22.6</v>
      </c>
      <c r="H2942" s="9">
        <v>6.1</v>
      </c>
      <c r="I2942"/>
    </row>
    <row r="2943" spans="1:9" x14ac:dyDescent="0.3">
      <c r="A2943" t="s">
        <v>9</v>
      </c>
      <c r="B2943" t="s">
        <v>14</v>
      </c>
      <c r="C2943" t="s">
        <v>134</v>
      </c>
      <c r="D2943" s="9" t="s">
        <v>124</v>
      </c>
      <c r="E2943" t="s">
        <v>42</v>
      </c>
      <c r="F2943" t="s">
        <v>81</v>
      </c>
      <c r="G2943">
        <v>25</v>
      </c>
      <c r="H2943" s="9">
        <v>6.84</v>
      </c>
      <c r="I2943"/>
    </row>
    <row r="2944" spans="1:9" x14ac:dyDescent="0.3">
      <c r="A2944" t="s">
        <v>9</v>
      </c>
      <c r="B2944" t="s">
        <v>14</v>
      </c>
      <c r="C2944" t="s">
        <v>135</v>
      </c>
      <c r="D2944" s="9" t="s">
        <v>124</v>
      </c>
      <c r="E2944" t="s">
        <v>43</v>
      </c>
      <c r="F2944" t="s">
        <v>83</v>
      </c>
      <c r="G2944">
        <v>23.7</v>
      </c>
      <c r="H2944" s="9">
        <v>12.86</v>
      </c>
      <c r="I2944"/>
    </row>
    <row r="2945" spans="1:9" x14ac:dyDescent="0.3">
      <c r="A2945" t="s">
        <v>9</v>
      </c>
      <c r="B2945" t="s">
        <v>14</v>
      </c>
      <c r="C2945" t="s">
        <v>136</v>
      </c>
      <c r="D2945" s="9" t="s">
        <v>137</v>
      </c>
      <c r="E2945" t="s">
        <v>32</v>
      </c>
      <c r="F2945" t="s">
        <v>61</v>
      </c>
      <c r="G2945">
        <v>18.2</v>
      </c>
      <c r="H2945" s="9">
        <v>2.82</v>
      </c>
      <c r="I2945"/>
    </row>
    <row r="2946" spans="1:9" x14ac:dyDescent="0.3">
      <c r="A2946" t="s">
        <v>9</v>
      </c>
      <c r="B2946" t="s">
        <v>14</v>
      </c>
      <c r="C2946" t="s">
        <v>138</v>
      </c>
      <c r="D2946" s="9" t="s">
        <v>137</v>
      </c>
      <c r="E2946" t="s">
        <v>33</v>
      </c>
      <c r="F2946" t="s">
        <v>63</v>
      </c>
      <c r="G2946">
        <v>18.399999999999999</v>
      </c>
      <c r="H2946" s="9">
        <v>10.84</v>
      </c>
      <c r="I2946"/>
    </row>
    <row r="2947" spans="1:9" x14ac:dyDescent="0.3">
      <c r="A2947" t="s">
        <v>9</v>
      </c>
      <c r="B2947" t="s">
        <v>14</v>
      </c>
      <c r="C2947" t="s">
        <v>139</v>
      </c>
      <c r="D2947" s="9" t="s">
        <v>137</v>
      </c>
      <c r="E2947" t="s">
        <v>34</v>
      </c>
      <c r="F2947" t="s">
        <v>65</v>
      </c>
      <c r="G2947">
        <v>20.100000000000001</v>
      </c>
      <c r="H2947" s="9">
        <v>5.24</v>
      </c>
      <c r="I2947"/>
    </row>
    <row r="2948" spans="1:9" x14ac:dyDescent="0.3">
      <c r="A2948" t="s">
        <v>9</v>
      </c>
      <c r="B2948" t="s">
        <v>14</v>
      </c>
      <c r="C2948" t="s">
        <v>140</v>
      </c>
      <c r="D2948" s="9" t="s">
        <v>137</v>
      </c>
      <c r="E2948" t="s">
        <v>35</v>
      </c>
      <c r="F2948" t="s">
        <v>67</v>
      </c>
      <c r="G2948">
        <v>20.5</v>
      </c>
      <c r="H2948" s="9">
        <v>12.64</v>
      </c>
      <c r="I2948"/>
    </row>
    <row r="2949" spans="1:9" x14ac:dyDescent="0.3">
      <c r="A2949" t="s">
        <v>9</v>
      </c>
      <c r="B2949" t="s">
        <v>14</v>
      </c>
      <c r="C2949" t="s">
        <v>141</v>
      </c>
      <c r="D2949" s="9" t="s">
        <v>137</v>
      </c>
      <c r="E2949" t="s">
        <v>36</v>
      </c>
      <c r="F2949" t="s">
        <v>69</v>
      </c>
      <c r="G2949">
        <v>21.7</v>
      </c>
      <c r="H2949" s="9">
        <v>10.71</v>
      </c>
      <c r="I2949"/>
    </row>
    <row r="2950" spans="1:9" x14ac:dyDescent="0.3">
      <c r="A2950" t="s">
        <v>9</v>
      </c>
      <c r="B2950" t="s">
        <v>14</v>
      </c>
      <c r="C2950" t="s">
        <v>142</v>
      </c>
      <c r="D2950" s="9" t="s">
        <v>137</v>
      </c>
      <c r="E2950" t="s">
        <v>37</v>
      </c>
      <c r="F2950" t="s">
        <v>71</v>
      </c>
      <c r="G2950">
        <v>20.9</v>
      </c>
      <c r="H2950" s="9">
        <v>3.47</v>
      </c>
      <c r="I2950"/>
    </row>
    <row r="2951" spans="1:9" x14ac:dyDescent="0.3">
      <c r="A2951" t="s">
        <v>9</v>
      </c>
      <c r="B2951" t="s">
        <v>14</v>
      </c>
      <c r="C2951" t="s">
        <v>143</v>
      </c>
      <c r="D2951" s="9" t="s">
        <v>137</v>
      </c>
      <c r="E2951" t="s">
        <v>38</v>
      </c>
      <c r="F2951" t="s">
        <v>73</v>
      </c>
      <c r="G2951">
        <v>23.1</v>
      </c>
      <c r="H2951" s="9">
        <v>17.260000000000002</v>
      </c>
      <c r="I2951"/>
    </row>
    <row r="2952" spans="1:9" x14ac:dyDescent="0.3">
      <c r="A2952" t="s">
        <v>9</v>
      </c>
      <c r="B2952" t="s">
        <v>14</v>
      </c>
      <c r="C2952" t="s">
        <v>144</v>
      </c>
      <c r="D2952" s="9" t="s">
        <v>137</v>
      </c>
      <c r="E2952" t="s">
        <v>39</v>
      </c>
      <c r="F2952" t="s">
        <v>75</v>
      </c>
      <c r="G2952">
        <v>21.8</v>
      </c>
      <c r="H2952" s="9">
        <v>9</v>
      </c>
      <c r="I2952"/>
    </row>
    <row r="2953" spans="1:9" x14ac:dyDescent="0.3">
      <c r="A2953" t="s">
        <v>9</v>
      </c>
      <c r="B2953" t="s">
        <v>14</v>
      </c>
      <c r="C2953" t="s">
        <v>145</v>
      </c>
      <c r="D2953" s="9" t="s">
        <v>137</v>
      </c>
      <c r="E2953" t="s">
        <v>40</v>
      </c>
      <c r="F2953" t="s">
        <v>77</v>
      </c>
      <c r="G2953">
        <v>21.6</v>
      </c>
      <c r="H2953" s="9">
        <v>1.41</v>
      </c>
      <c r="I2953"/>
    </row>
    <row r="2954" spans="1:9" x14ac:dyDescent="0.3">
      <c r="A2954" t="s">
        <v>9</v>
      </c>
      <c r="B2954" t="s">
        <v>14</v>
      </c>
      <c r="C2954" t="s">
        <v>146</v>
      </c>
      <c r="D2954" s="9" t="s">
        <v>137</v>
      </c>
      <c r="E2954" t="s">
        <v>41</v>
      </c>
      <c r="F2954" t="s">
        <v>79</v>
      </c>
      <c r="G2954">
        <v>22.6</v>
      </c>
      <c r="H2954" s="9">
        <v>0</v>
      </c>
      <c r="I2954"/>
    </row>
    <row r="2955" spans="1:9" x14ac:dyDescent="0.3">
      <c r="A2955" t="s">
        <v>9</v>
      </c>
      <c r="B2955" t="s">
        <v>14</v>
      </c>
      <c r="C2955" t="s">
        <v>147</v>
      </c>
      <c r="D2955" s="9" t="s">
        <v>137</v>
      </c>
      <c r="E2955" t="s">
        <v>42</v>
      </c>
      <c r="F2955" t="s">
        <v>81</v>
      </c>
      <c r="G2955">
        <v>23.7</v>
      </c>
      <c r="H2955" s="9">
        <v>-5.2</v>
      </c>
      <c r="I2955"/>
    </row>
    <row r="2956" spans="1:9" x14ac:dyDescent="0.3">
      <c r="A2956" t="s">
        <v>9</v>
      </c>
      <c r="B2956" t="s">
        <v>14</v>
      </c>
      <c r="C2956" t="s">
        <v>148</v>
      </c>
      <c r="D2956" s="9" t="s">
        <v>137</v>
      </c>
      <c r="E2956" t="s">
        <v>43</v>
      </c>
      <c r="F2956" t="s">
        <v>83</v>
      </c>
      <c r="G2956">
        <v>21.7</v>
      </c>
      <c r="H2956" s="9">
        <v>-8.44</v>
      </c>
      <c r="I2956"/>
    </row>
    <row r="2957" spans="1:9" x14ac:dyDescent="0.3">
      <c r="A2957" t="s">
        <v>9</v>
      </c>
      <c r="B2957" t="s">
        <v>14</v>
      </c>
      <c r="C2957" t="s">
        <v>149</v>
      </c>
      <c r="D2957" s="9" t="s">
        <v>150</v>
      </c>
      <c r="E2957" t="s">
        <v>32</v>
      </c>
      <c r="F2957" t="s">
        <v>61</v>
      </c>
      <c r="G2957">
        <v>15.8</v>
      </c>
      <c r="H2957" s="9">
        <v>-13.19</v>
      </c>
      <c r="I2957"/>
    </row>
    <row r="2958" spans="1:9" x14ac:dyDescent="0.3">
      <c r="A2958" t="s">
        <v>9</v>
      </c>
      <c r="B2958" t="s">
        <v>14</v>
      </c>
      <c r="C2958" t="s">
        <v>151</v>
      </c>
      <c r="D2958" s="9" t="s">
        <v>150</v>
      </c>
      <c r="E2958" t="s">
        <v>33</v>
      </c>
      <c r="F2958" t="s">
        <v>63</v>
      </c>
      <c r="G2958">
        <v>15.6</v>
      </c>
      <c r="H2958" s="9">
        <v>-15.22</v>
      </c>
      <c r="I2958"/>
    </row>
    <row r="2959" spans="1:9" x14ac:dyDescent="0.3">
      <c r="A2959" t="s">
        <v>9</v>
      </c>
      <c r="B2959" t="s">
        <v>14</v>
      </c>
      <c r="C2959" t="s">
        <v>152</v>
      </c>
      <c r="D2959" s="9" t="s">
        <v>150</v>
      </c>
      <c r="E2959" t="s">
        <v>34</v>
      </c>
      <c r="F2959" t="s">
        <v>65</v>
      </c>
      <c r="G2959">
        <v>17.3</v>
      </c>
      <c r="H2959" s="9">
        <v>-13.93</v>
      </c>
      <c r="I2959"/>
    </row>
    <row r="2960" spans="1:9" x14ac:dyDescent="0.3">
      <c r="A2960" t="s">
        <v>9</v>
      </c>
      <c r="B2960" t="s">
        <v>14</v>
      </c>
      <c r="C2960" t="s">
        <v>153</v>
      </c>
      <c r="D2960" s="9" t="s">
        <v>150</v>
      </c>
      <c r="E2960" t="s">
        <v>35</v>
      </c>
      <c r="F2960" t="s">
        <v>67</v>
      </c>
      <c r="G2960">
        <v>17.899999999999999</v>
      </c>
      <c r="H2960" s="9">
        <v>-12.68</v>
      </c>
      <c r="I2960"/>
    </row>
    <row r="2961" spans="1:9" x14ac:dyDescent="0.3">
      <c r="A2961" t="s">
        <v>9</v>
      </c>
      <c r="B2961" t="s">
        <v>14</v>
      </c>
      <c r="C2961" t="s">
        <v>154</v>
      </c>
      <c r="D2961" s="9" t="s">
        <v>150</v>
      </c>
      <c r="E2961" t="s">
        <v>36</v>
      </c>
      <c r="F2961" t="s">
        <v>69</v>
      </c>
      <c r="G2961">
        <v>18.100000000000001</v>
      </c>
      <c r="H2961" s="9">
        <v>-16.59</v>
      </c>
      <c r="I2961"/>
    </row>
    <row r="2962" spans="1:9" x14ac:dyDescent="0.3">
      <c r="A2962" t="s">
        <v>9</v>
      </c>
      <c r="B2962" t="s">
        <v>14</v>
      </c>
      <c r="C2962" t="s">
        <v>155</v>
      </c>
      <c r="D2962" s="9" t="s">
        <v>150</v>
      </c>
      <c r="E2962" t="s">
        <v>37</v>
      </c>
      <c r="F2962" t="s">
        <v>71</v>
      </c>
      <c r="G2962">
        <v>18.399999999999999</v>
      </c>
      <c r="H2962" s="9">
        <v>-11.96</v>
      </c>
      <c r="I2962"/>
    </row>
    <row r="2963" spans="1:9" x14ac:dyDescent="0.3">
      <c r="A2963" t="s">
        <v>9</v>
      </c>
      <c r="B2963" t="s">
        <v>17</v>
      </c>
      <c r="C2963" t="s">
        <v>59</v>
      </c>
      <c r="D2963" s="9" t="s">
        <v>60</v>
      </c>
      <c r="E2963" t="s">
        <v>32</v>
      </c>
      <c r="F2963" t="s">
        <v>61</v>
      </c>
      <c r="G2963">
        <v>7.5</v>
      </c>
      <c r="I2963"/>
    </row>
    <row r="2964" spans="1:9" x14ac:dyDescent="0.3">
      <c r="A2964" t="s">
        <v>9</v>
      </c>
      <c r="B2964" t="s">
        <v>17</v>
      </c>
      <c r="C2964" t="s">
        <v>62</v>
      </c>
      <c r="D2964" s="9" t="s">
        <v>60</v>
      </c>
      <c r="E2964" t="s">
        <v>33</v>
      </c>
      <c r="F2964" t="s">
        <v>63</v>
      </c>
      <c r="G2964">
        <v>6.9</v>
      </c>
      <c r="I2964"/>
    </row>
    <row r="2965" spans="1:9" x14ac:dyDescent="0.3">
      <c r="A2965" t="s">
        <v>9</v>
      </c>
      <c r="B2965" t="s">
        <v>17</v>
      </c>
      <c r="C2965" t="s">
        <v>64</v>
      </c>
      <c r="D2965" s="9" t="s">
        <v>60</v>
      </c>
      <c r="E2965" t="s">
        <v>34</v>
      </c>
      <c r="F2965" t="s">
        <v>65</v>
      </c>
      <c r="G2965">
        <v>7.4</v>
      </c>
      <c r="I2965"/>
    </row>
    <row r="2966" spans="1:9" x14ac:dyDescent="0.3">
      <c r="A2966" t="s">
        <v>9</v>
      </c>
      <c r="B2966" t="s">
        <v>17</v>
      </c>
      <c r="C2966" t="s">
        <v>66</v>
      </c>
      <c r="D2966" s="9" t="s">
        <v>60</v>
      </c>
      <c r="E2966" t="s">
        <v>35</v>
      </c>
      <c r="F2966" t="s">
        <v>67</v>
      </c>
      <c r="G2966">
        <v>8.1</v>
      </c>
      <c r="I2966"/>
    </row>
    <row r="2967" spans="1:9" x14ac:dyDescent="0.3">
      <c r="A2967" t="s">
        <v>9</v>
      </c>
      <c r="B2967" t="s">
        <v>17</v>
      </c>
      <c r="C2967" t="s">
        <v>68</v>
      </c>
      <c r="D2967" s="9" t="s">
        <v>60</v>
      </c>
      <c r="E2967" t="s">
        <v>36</v>
      </c>
      <c r="F2967" t="s">
        <v>69</v>
      </c>
      <c r="G2967">
        <v>8.1999999999999993</v>
      </c>
      <c r="I2967"/>
    </row>
    <row r="2968" spans="1:9" x14ac:dyDescent="0.3">
      <c r="A2968" t="s">
        <v>9</v>
      </c>
      <c r="B2968" t="s">
        <v>17</v>
      </c>
      <c r="C2968" t="s">
        <v>70</v>
      </c>
      <c r="D2968" s="9" t="s">
        <v>60</v>
      </c>
      <c r="E2968" t="s">
        <v>37</v>
      </c>
      <c r="F2968" t="s">
        <v>71</v>
      </c>
      <c r="G2968">
        <v>6.9</v>
      </c>
      <c r="I2968"/>
    </row>
    <row r="2969" spans="1:9" x14ac:dyDescent="0.3">
      <c r="A2969" t="s">
        <v>9</v>
      </c>
      <c r="B2969" t="s">
        <v>17</v>
      </c>
      <c r="C2969" t="s">
        <v>72</v>
      </c>
      <c r="D2969" s="9" t="s">
        <v>60</v>
      </c>
      <c r="E2969" t="s">
        <v>38</v>
      </c>
      <c r="F2969" t="s">
        <v>73</v>
      </c>
      <c r="G2969">
        <v>7.1</v>
      </c>
      <c r="I2969"/>
    </row>
    <row r="2970" spans="1:9" x14ac:dyDescent="0.3">
      <c r="A2970" t="s">
        <v>9</v>
      </c>
      <c r="B2970" t="s">
        <v>17</v>
      </c>
      <c r="C2970" t="s">
        <v>74</v>
      </c>
      <c r="D2970" s="9" t="s">
        <v>60</v>
      </c>
      <c r="E2970" t="s">
        <v>39</v>
      </c>
      <c r="F2970" t="s">
        <v>75</v>
      </c>
      <c r="G2970">
        <v>7.3</v>
      </c>
      <c r="I2970"/>
    </row>
    <row r="2971" spans="1:9" x14ac:dyDescent="0.3">
      <c r="A2971" t="s">
        <v>9</v>
      </c>
      <c r="B2971" t="s">
        <v>17</v>
      </c>
      <c r="C2971" t="s">
        <v>76</v>
      </c>
      <c r="D2971" s="9" t="s">
        <v>60</v>
      </c>
      <c r="E2971" t="s">
        <v>40</v>
      </c>
      <c r="F2971" t="s">
        <v>77</v>
      </c>
      <c r="G2971">
        <v>6.2</v>
      </c>
      <c r="I2971"/>
    </row>
    <row r="2972" spans="1:9" x14ac:dyDescent="0.3">
      <c r="A2972" t="s">
        <v>9</v>
      </c>
      <c r="B2972" t="s">
        <v>17</v>
      </c>
      <c r="C2972" t="s">
        <v>78</v>
      </c>
      <c r="D2972" s="9" t="s">
        <v>60</v>
      </c>
      <c r="E2972" t="s">
        <v>41</v>
      </c>
      <c r="F2972" t="s">
        <v>79</v>
      </c>
      <c r="G2972">
        <v>7.1</v>
      </c>
      <c r="I2972"/>
    </row>
    <row r="2973" spans="1:9" x14ac:dyDescent="0.3">
      <c r="A2973" t="s">
        <v>9</v>
      </c>
      <c r="B2973" t="s">
        <v>17</v>
      </c>
      <c r="C2973" t="s">
        <v>80</v>
      </c>
      <c r="D2973" s="9" t="s">
        <v>60</v>
      </c>
      <c r="E2973" t="s">
        <v>42</v>
      </c>
      <c r="F2973" t="s">
        <v>81</v>
      </c>
      <c r="G2973">
        <v>7.2</v>
      </c>
      <c r="I2973"/>
    </row>
    <row r="2974" spans="1:9" x14ac:dyDescent="0.3">
      <c r="A2974" t="s">
        <v>9</v>
      </c>
      <c r="B2974" t="s">
        <v>17</v>
      </c>
      <c r="C2974" t="s">
        <v>82</v>
      </c>
      <c r="D2974" s="9" t="s">
        <v>60</v>
      </c>
      <c r="E2974" t="s">
        <v>43</v>
      </c>
      <c r="F2974" t="s">
        <v>83</v>
      </c>
      <c r="G2974">
        <v>7.8</v>
      </c>
      <c r="I2974"/>
    </row>
    <row r="2975" spans="1:9" x14ac:dyDescent="0.3">
      <c r="A2975" t="s">
        <v>9</v>
      </c>
      <c r="B2975" t="s">
        <v>17</v>
      </c>
      <c r="C2975" t="s">
        <v>84</v>
      </c>
      <c r="D2975" s="9" t="s">
        <v>85</v>
      </c>
      <c r="E2975" t="s">
        <v>32</v>
      </c>
      <c r="F2975" t="s">
        <v>61</v>
      </c>
      <c r="G2975">
        <v>6.2</v>
      </c>
      <c r="H2975" s="9">
        <v>-17.329999999999998</v>
      </c>
      <c r="I2975"/>
    </row>
    <row r="2976" spans="1:9" x14ac:dyDescent="0.3">
      <c r="A2976" t="s">
        <v>9</v>
      </c>
      <c r="B2976" t="s">
        <v>17</v>
      </c>
      <c r="C2976" t="s">
        <v>86</v>
      </c>
      <c r="D2976" s="9" t="s">
        <v>85</v>
      </c>
      <c r="E2976" t="s">
        <v>33</v>
      </c>
      <c r="F2976" t="s">
        <v>63</v>
      </c>
      <c r="G2976">
        <v>6.4</v>
      </c>
      <c r="H2976" s="9">
        <v>-7.25</v>
      </c>
      <c r="I2976"/>
    </row>
    <row r="2977" spans="1:9" x14ac:dyDescent="0.3">
      <c r="A2977" t="s">
        <v>9</v>
      </c>
      <c r="B2977" t="s">
        <v>17</v>
      </c>
      <c r="C2977" t="s">
        <v>87</v>
      </c>
      <c r="D2977" s="9" t="s">
        <v>85</v>
      </c>
      <c r="E2977" t="s">
        <v>34</v>
      </c>
      <c r="F2977" t="s">
        <v>65</v>
      </c>
      <c r="G2977">
        <v>8.4</v>
      </c>
      <c r="H2977" s="9">
        <v>13.51</v>
      </c>
      <c r="I2977"/>
    </row>
    <row r="2978" spans="1:9" x14ac:dyDescent="0.3">
      <c r="A2978" t="s">
        <v>9</v>
      </c>
      <c r="B2978" t="s">
        <v>17</v>
      </c>
      <c r="C2978" t="s">
        <v>88</v>
      </c>
      <c r="D2978" s="9" t="s">
        <v>85</v>
      </c>
      <c r="E2978" t="s">
        <v>35</v>
      </c>
      <c r="F2978" t="s">
        <v>67</v>
      </c>
      <c r="G2978">
        <v>6.3</v>
      </c>
      <c r="H2978" s="9">
        <v>-22.22</v>
      </c>
      <c r="I2978"/>
    </row>
    <row r="2979" spans="1:9" x14ac:dyDescent="0.3">
      <c r="A2979" t="s">
        <v>9</v>
      </c>
      <c r="B2979" t="s">
        <v>17</v>
      </c>
      <c r="C2979" t="s">
        <v>89</v>
      </c>
      <c r="D2979" s="9" t="s">
        <v>85</v>
      </c>
      <c r="E2979" t="s">
        <v>36</v>
      </c>
      <c r="F2979" t="s">
        <v>69</v>
      </c>
      <c r="G2979">
        <v>7.8</v>
      </c>
      <c r="H2979" s="9">
        <v>-4.88</v>
      </c>
      <c r="I2979"/>
    </row>
    <row r="2980" spans="1:9" x14ac:dyDescent="0.3">
      <c r="A2980" t="s">
        <v>9</v>
      </c>
      <c r="B2980" t="s">
        <v>17</v>
      </c>
      <c r="C2980" t="s">
        <v>90</v>
      </c>
      <c r="D2980" s="9" t="s">
        <v>85</v>
      </c>
      <c r="E2980" t="s">
        <v>37</v>
      </c>
      <c r="F2980" t="s">
        <v>71</v>
      </c>
      <c r="G2980">
        <v>8</v>
      </c>
      <c r="H2980" s="9">
        <v>15.94</v>
      </c>
      <c r="I2980"/>
    </row>
    <row r="2981" spans="1:9" x14ac:dyDescent="0.3">
      <c r="A2981" t="s">
        <v>9</v>
      </c>
      <c r="B2981" t="s">
        <v>17</v>
      </c>
      <c r="C2981" t="s">
        <v>91</v>
      </c>
      <c r="D2981" s="9" t="s">
        <v>85</v>
      </c>
      <c r="E2981" t="s">
        <v>38</v>
      </c>
      <c r="F2981" t="s">
        <v>73</v>
      </c>
      <c r="G2981">
        <v>9.1</v>
      </c>
      <c r="H2981" s="9">
        <v>28.17</v>
      </c>
      <c r="I2981"/>
    </row>
    <row r="2982" spans="1:9" x14ac:dyDescent="0.3">
      <c r="A2982" t="s">
        <v>9</v>
      </c>
      <c r="B2982" t="s">
        <v>17</v>
      </c>
      <c r="C2982" t="s">
        <v>92</v>
      </c>
      <c r="D2982" s="9" t="s">
        <v>85</v>
      </c>
      <c r="E2982" t="s">
        <v>39</v>
      </c>
      <c r="F2982" t="s">
        <v>75</v>
      </c>
      <c r="G2982">
        <v>8.4</v>
      </c>
      <c r="H2982" s="9">
        <v>15.07</v>
      </c>
      <c r="I2982"/>
    </row>
    <row r="2983" spans="1:9" x14ac:dyDescent="0.3">
      <c r="A2983" t="s">
        <v>9</v>
      </c>
      <c r="B2983" t="s">
        <v>17</v>
      </c>
      <c r="C2983" t="s">
        <v>93</v>
      </c>
      <c r="D2983" s="9" t="s">
        <v>85</v>
      </c>
      <c r="E2983" t="s">
        <v>40</v>
      </c>
      <c r="F2983" t="s">
        <v>77</v>
      </c>
      <c r="G2983">
        <v>8.6</v>
      </c>
      <c r="H2983" s="9">
        <v>38.71</v>
      </c>
      <c r="I2983"/>
    </row>
    <row r="2984" spans="1:9" x14ac:dyDescent="0.3">
      <c r="A2984" t="s">
        <v>9</v>
      </c>
      <c r="B2984" t="s">
        <v>17</v>
      </c>
      <c r="C2984" t="s">
        <v>94</v>
      </c>
      <c r="D2984" s="9" t="s">
        <v>85</v>
      </c>
      <c r="E2984" t="s">
        <v>41</v>
      </c>
      <c r="F2984" t="s">
        <v>79</v>
      </c>
      <c r="G2984">
        <v>8.1</v>
      </c>
      <c r="H2984" s="9">
        <v>14.08</v>
      </c>
      <c r="I2984"/>
    </row>
    <row r="2985" spans="1:9" x14ac:dyDescent="0.3">
      <c r="A2985" t="s">
        <v>9</v>
      </c>
      <c r="B2985" t="s">
        <v>17</v>
      </c>
      <c r="C2985" t="s">
        <v>95</v>
      </c>
      <c r="D2985" s="9" t="s">
        <v>85</v>
      </c>
      <c r="E2985" t="s">
        <v>42</v>
      </c>
      <c r="F2985" t="s">
        <v>81</v>
      </c>
      <c r="G2985">
        <v>8.1</v>
      </c>
      <c r="H2985" s="9">
        <v>12.5</v>
      </c>
      <c r="I2985"/>
    </row>
    <row r="2986" spans="1:9" x14ac:dyDescent="0.3">
      <c r="A2986" t="s">
        <v>9</v>
      </c>
      <c r="B2986" t="s">
        <v>17</v>
      </c>
      <c r="C2986" t="s">
        <v>96</v>
      </c>
      <c r="D2986" s="9" t="s">
        <v>85</v>
      </c>
      <c r="E2986" t="s">
        <v>43</v>
      </c>
      <c r="F2986" t="s">
        <v>83</v>
      </c>
      <c r="G2986">
        <v>9.9</v>
      </c>
      <c r="H2986" s="9">
        <v>26.92</v>
      </c>
      <c r="I2986"/>
    </row>
    <row r="2987" spans="1:9" x14ac:dyDescent="0.3">
      <c r="A2987" t="s">
        <v>9</v>
      </c>
      <c r="B2987" t="s">
        <v>17</v>
      </c>
      <c r="C2987" t="s">
        <v>97</v>
      </c>
      <c r="D2987" s="9" t="s">
        <v>98</v>
      </c>
      <c r="E2987" t="s">
        <v>32</v>
      </c>
      <c r="F2987" t="s">
        <v>61</v>
      </c>
      <c r="G2987">
        <v>8.6</v>
      </c>
      <c r="H2987" s="9">
        <v>38.71</v>
      </c>
      <c r="I2987"/>
    </row>
    <row r="2988" spans="1:9" x14ac:dyDescent="0.3">
      <c r="A2988" t="s">
        <v>9</v>
      </c>
      <c r="B2988" t="s">
        <v>17</v>
      </c>
      <c r="C2988" t="s">
        <v>99</v>
      </c>
      <c r="D2988" s="9" t="s">
        <v>98</v>
      </c>
      <c r="E2988" t="s">
        <v>33</v>
      </c>
      <c r="F2988" t="s">
        <v>63</v>
      </c>
      <c r="G2988">
        <v>8.4</v>
      </c>
      <c r="H2988" s="9">
        <v>31.25</v>
      </c>
      <c r="I2988"/>
    </row>
    <row r="2989" spans="1:9" x14ac:dyDescent="0.3">
      <c r="A2989" t="s">
        <v>9</v>
      </c>
      <c r="B2989" t="s">
        <v>17</v>
      </c>
      <c r="C2989" t="s">
        <v>100</v>
      </c>
      <c r="D2989" s="9" t="s">
        <v>98</v>
      </c>
      <c r="E2989" t="s">
        <v>34</v>
      </c>
      <c r="F2989" t="s">
        <v>65</v>
      </c>
      <c r="G2989">
        <v>9.8000000000000007</v>
      </c>
      <c r="H2989" s="9">
        <v>16.670000000000002</v>
      </c>
      <c r="I2989"/>
    </row>
    <row r="2990" spans="1:9" x14ac:dyDescent="0.3">
      <c r="A2990" t="s">
        <v>9</v>
      </c>
      <c r="B2990" t="s">
        <v>17</v>
      </c>
      <c r="C2990" t="s">
        <v>101</v>
      </c>
      <c r="D2990" s="9" t="s">
        <v>98</v>
      </c>
      <c r="E2990" t="s">
        <v>35</v>
      </c>
      <c r="F2990" t="s">
        <v>67</v>
      </c>
      <c r="G2990">
        <v>9.6</v>
      </c>
      <c r="H2990" s="9">
        <v>52.38</v>
      </c>
      <c r="I2990"/>
    </row>
    <row r="2991" spans="1:9" x14ac:dyDescent="0.3">
      <c r="A2991" t="s">
        <v>9</v>
      </c>
      <c r="B2991" t="s">
        <v>17</v>
      </c>
      <c r="C2991" t="s">
        <v>102</v>
      </c>
      <c r="D2991" s="9" t="s">
        <v>98</v>
      </c>
      <c r="E2991" t="s">
        <v>36</v>
      </c>
      <c r="F2991" t="s">
        <v>69</v>
      </c>
      <c r="G2991">
        <v>9.9</v>
      </c>
      <c r="H2991" s="9">
        <v>26.92</v>
      </c>
      <c r="I2991"/>
    </row>
    <row r="2992" spans="1:9" x14ac:dyDescent="0.3">
      <c r="A2992" t="s">
        <v>9</v>
      </c>
      <c r="B2992" t="s">
        <v>17</v>
      </c>
      <c r="C2992" t="s">
        <v>103</v>
      </c>
      <c r="D2992" s="9" t="s">
        <v>98</v>
      </c>
      <c r="E2992" t="s">
        <v>37</v>
      </c>
      <c r="F2992" t="s">
        <v>71</v>
      </c>
      <c r="G2992">
        <v>9.8000000000000007</v>
      </c>
      <c r="H2992" s="9">
        <v>22.5</v>
      </c>
      <c r="I2992"/>
    </row>
    <row r="2993" spans="1:9" x14ac:dyDescent="0.3">
      <c r="A2993" t="s">
        <v>9</v>
      </c>
      <c r="B2993" t="s">
        <v>17</v>
      </c>
      <c r="C2993" t="s">
        <v>104</v>
      </c>
      <c r="D2993" s="9" t="s">
        <v>98</v>
      </c>
      <c r="E2993" t="s">
        <v>38</v>
      </c>
      <c r="F2993" t="s">
        <v>73</v>
      </c>
      <c r="G2993">
        <v>11</v>
      </c>
      <c r="H2993" s="9">
        <v>20.88</v>
      </c>
      <c r="I2993"/>
    </row>
    <row r="2994" spans="1:9" x14ac:dyDescent="0.3">
      <c r="A2994" t="s">
        <v>9</v>
      </c>
      <c r="B2994" t="s">
        <v>17</v>
      </c>
      <c r="C2994" t="s">
        <v>105</v>
      </c>
      <c r="D2994" s="9" t="s">
        <v>98</v>
      </c>
      <c r="E2994" t="s">
        <v>39</v>
      </c>
      <c r="F2994" t="s">
        <v>75</v>
      </c>
      <c r="G2994">
        <v>11.2</v>
      </c>
      <c r="H2994" s="9">
        <v>33.33</v>
      </c>
      <c r="I2994"/>
    </row>
    <row r="2995" spans="1:9" x14ac:dyDescent="0.3">
      <c r="A2995" t="s">
        <v>9</v>
      </c>
      <c r="B2995" t="s">
        <v>17</v>
      </c>
      <c r="C2995" t="s">
        <v>106</v>
      </c>
      <c r="D2995" s="9" t="s">
        <v>98</v>
      </c>
      <c r="E2995" t="s">
        <v>40</v>
      </c>
      <c r="F2995" t="s">
        <v>77</v>
      </c>
      <c r="G2995">
        <v>10.8</v>
      </c>
      <c r="H2995" s="9">
        <v>25.58</v>
      </c>
      <c r="I2995"/>
    </row>
    <row r="2996" spans="1:9" x14ac:dyDescent="0.3">
      <c r="A2996" t="s">
        <v>9</v>
      </c>
      <c r="B2996" t="s">
        <v>17</v>
      </c>
      <c r="C2996" t="s">
        <v>107</v>
      </c>
      <c r="D2996" s="9" t="s">
        <v>98</v>
      </c>
      <c r="E2996" t="s">
        <v>41</v>
      </c>
      <c r="F2996" t="s">
        <v>79</v>
      </c>
      <c r="G2996">
        <v>10</v>
      </c>
      <c r="H2996" s="9">
        <v>23.46</v>
      </c>
      <c r="I2996"/>
    </row>
    <row r="2997" spans="1:9" x14ac:dyDescent="0.3">
      <c r="A2997" t="s">
        <v>9</v>
      </c>
      <c r="B2997" t="s">
        <v>17</v>
      </c>
      <c r="C2997" t="s">
        <v>108</v>
      </c>
      <c r="D2997" s="9" t="s">
        <v>98</v>
      </c>
      <c r="E2997" t="s">
        <v>42</v>
      </c>
      <c r="F2997" t="s">
        <v>81</v>
      </c>
      <c r="G2997">
        <v>10.4</v>
      </c>
      <c r="H2997" s="9">
        <v>28.4</v>
      </c>
      <c r="I2997"/>
    </row>
    <row r="2998" spans="1:9" x14ac:dyDescent="0.3">
      <c r="A2998" t="s">
        <v>9</v>
      </c>
      <c r="B2998" t="s">
        <v>17</v>
      </c>
      <c r="C2998" t="s">
        <v>109</v>
      </c>
      <c r="D2998" s="9" t="s">
        <v>98</v>
      </c>
      <c r="E2998" t="s">
        <v>43</v>
      </c>
      <c r="F2998" t="s">
        <v>83</v>
      </c>
      <c r="G2998">
        <v>11.8</v>
      </c>
      <c r="H2998" s="9">
        <v>19.190000000000001</v>
      </c>
      <c r="I2998"/>
    </row>
    <row r="2999" spans="1:9" x14ac:dyDescent="0.3">
      <c r="A2999" t="s">
        <v>9</v>
      </c>
      <c r="B2999" t="s">
        <v>17</v>
      </c>
      <c r="C2999" t="s">
        <v>110</v>
      </c>
      <c r="D2999" s="9" t="s">
        <v>111</v>
      </c>
      <c r="E2999" t="s">
        <v>32</v>
      </c>
      <c r="F2999" t="s">
        <v>61</v>
      </c>
      <c r="G2999">
        <v>9.5</v>
      </c>
      <c r="H2999" s="9">
        <v>10.47</v>
      </c>
      <c r="I2999"/>
    </row>
    <row r="3000" spans="1:9" x14ac:dyDescent="0.3">
      <c r="A3000" t="s">
        <v>9</v>
      </c>
      <c r="B3000" t="s">
        <v>17</v>
      </c>
      <c r="C3000" t="s">
        <v>112</v>
      </c>
      <c r="D3000" s="9" t="s">
        <v>111</v>
      </c>
      <c r="E3000" t="s">
        <v>33</v>
      </c>
      <c r="F3000" t="s">
        <v>63</v>
      </c>
      <c r="G3000">
        <v>9.4</v>
      </c>
      <c r="H3000" s="9">
        <v>11.9</v>
      </c>
      <c r="I3000"/>
    </row>
    <row r="3001" spans="1:9" x14ac:dyDescent="0.3">
      <c r="A3001" t="s">
        <v>9</v>
      </c>
      <c r="B3001" t="s">
        <v>17</v>
      </c>
      <c r="C3001" t="s">
        <v>113</v>
      </c>
      <c r="D3001" s="9" t="s">
        <v>111</v>
      </c>
      <c r="E3001" t="s">
        <v>34</v>
      </c>
      <c r="F3001" t="s">
        <v>65</v>
      </c>
      <c r="G3001">
        <v>9.3000000000000007</v>
      </c>
      <c r="H3001" s="9">
        <v>-5.0999999999999996</v>
      </c>
      <c r="I3001"/>
    </row>
    <row r="3002" spans="1:9" x14ac:dyDescent="0.3">
      <c r="A3002" t="s">
        <v>9</v>
      </c>
      <c r="B3002" t="s">
        <v>17</v>
      </c>
      <c r="C3002" t="s">
        <v>114</v>
      </c>
      <c r="D3002" s="9" t="s">
        <v>111</v>
      </c>
      <c r="E3002" t="s">
        <v>35</v>
      </c>
      <c r="F3002" t="s">
        <v>67</v>
      </c>
      <c r="G3002">
        <v>10.199999999999999</v>
      </c>
      <c r="H3002" s="9">
        <v>6.25</v>
      </c>
      <c r="I3002"/>
    </row>
    <row r="3003" spans="1:9" x14ac:dyDescent="0.3">
      <c r="A3003" t="s">
        <v>9</v>
      </c>
      <c r="B3003" t="s">
        <v>17</v>
      </c>
      <c r="C3003" t="s">
        <v>115</v>
      </c>
      <c r="D3003" s="9" t="s">
        <v>111</v>
      </c>
      <c r="E3003" t="s">
        <v>36</v>
      </c>
      <c r="F3003" t="s">
        <v>69</v>
      </c>
      <c r="G3003">
        <v>12.6</v>
      </c>
      <c r="H3003" s="9">
        <v>27.27</v>
      </c>
      <c r="I3003"/>
    </row>
    <row r="3004" spans="1:9" x14ac:dyDescent="0.3">
      <c r="A3004" t="s">
        <v>9</v>
      </c>
      <c r="B3004" t="s">
        <v>17</v>
      </c>
      <c r="C3004" t="s">
        <v>116</v>
      </c>
      <c r="D3004" s="9" t="s">
        <v>111</v>
      </c>
      <c r="E3004" t="s">
        <v>37</v>
      </c>
      <c r="F3004" t="s">
        <v>71</v>
      </c>
      <c r="G3004">
        <v>12.5</v>
      </c>
      <c r="H3004" s="9">
        <v>27.55</v>
      </c>
      <c r="I3004"/>
    </row>
    <row r="3005" spans="1:9" x14ac:dyDescent="0.3">
      <c r="A3005" t="s">
        <v>9</v>
      </c>
      <c r="B3005" t="s">
        <v>17</v>
      </c>
      <c r="C3005" t="s">
        <v>117</v>
      </c>
      <c r="D3005" s="9" t="s">
        <v>111</v>
      </c>
      <c r="E3005" t="s">
        <v>38</v>
      </c>
      <c r="F3005" t="s">
        <v>73</v>
      </c>
      <c r="G3005">
        <v>12.9</v>
      </c>
      <c r="H3005" s="9">
        <v>17.27</v>
      </c>
      <c r="I3005"/>
    </row>
    <row r="3006" spans="1:9" x14ac:dyDescent="0.3">
      <c r="A3006" t="s">
        <v>9</v>
      </c>
      <c r="B3006" t="s">
        <v>17</v>
      </c>
      <c r="C3006" t="s">
        <v>118</v>
      </c>
      <c r="D3006" s="9" t="s">
        <v>111</v>
      </c>
      <c r="E3006" t="s">
        <v>39</v>
      </c>
      <c r="F3006" t="s">
        <v>75</v>
      </c>
      <c r="G3006">
        <v>13.2</v>
      </c>
      <c r="H3006" s="9">
        <v>17.86</v>
      </c>
      <c r="I3006"/>
    </row>
    <row r="3007" spans="1:9" x14ac:dyDescent="0.3">
      <c r="A3007" t="s">
        <v>9</v>
      </c>
      <c r="B3007" t="s">
        <v>17</v>
      </c>
      <c r="C3007" t="s">
        <v>119</v>
      </c>
      <c r="D3007" s="9" t="s">
        <v>111</v>
      </c>
      <c r="E3007" t="s">
        <v>40</v>
      </c>
      <c r="F3007" t="s">
        <v>77</v>
      </c>
      <c r="G3007">
        <v>12.1</v>
      </c>
      <c r="H3007" s="9">
        <v>12.04</v>
      </c>
      <c r="I3007"/>
    </row>
    <row r="3008" spans="1:9" x14ac:dyDescent="0.3">
      <c r="A3008" t="s">
        <v>9</v>
      </c>
      <c r="B3008" t="s">
        <v>17</v>
      </c>
      <c r="C3008" t="s">
        <v>120</v>
      </c>
      <c r="D3008" s="9" t="s">
        <v>111</v>
      </c>
      <c r="E3008" t="s">
        <v>41</v>
      </c>
      <c r="F3008" t="s">
        <v>79</v>
      </c>
      <c r="G3008">
        <v>11.1</v>
      </c>
      <c r="H3008" s="9">
        <v>11</v>
      </c>
      <c r="I3008"/>
    </row>
    <row r="3009" spans="1:9" x14ac:dyDescent="0.3">
      <c r="A3009" t="s">
        <v>9</v>
      </c>
      <c r="B3009" t="s">
        <v>17</v>
      </c>
      <c r="C3009" t="s">
        <v>121</v>
      </c>
      <c r="D3009" s="9" t="s">
        <v>111</v>
      </c>
      <c r="E3009" t="s">
        <v>42</v>
      </c>
      <c r="F3009" t="s">
        <v>81</v>
      </c>
      <c r="G3009">
        <v>11.5</v>
      </c>
      <c r="H3009" s="9">
        <v>10.58</v>
      </c>
      <c r="I3009"/>
    </row>
    <row r="3010" spans="1:9" x14ac:dyDescent="0.3">
      <c r="A3010" t="s">
        <v>9</v>
      </c>
      <c r="B3010" t="s">
        <v>17</v>
      </c>
      <c r="C3010" t="s">
        <v>122</v>
      </c>
      <c r="D3010" s="9" t="s">
        <v>111</v>
      </c>
      <c r="E3010" t="s">
        <v>43</v>
      </c>
      <c r="F3010" t="s">
        <v>83</v>
      </c>
      <c r="G3010">
        <v>13</v>
      </c>
      <c r="H3010" s="9">
        <v>10.17</v>
      </c>
      <c r="I3010"/>
    </row>
    <row r="3011" spans="1:9" x14ac:dyDescent="0.3">
      <c r="A3011" t="s">
        <v>9</v>
      </c>
      <c r="B3011" t="s">
        <v>17</v>
      </c>
      <c r="C3011" t="s">
        <v>123</v>
      </c>
      <c r="D3011" s="9" t="s">
        <v>124</v>
      </c>
      <c r="E3011" t="s">
        <v>32</v>
      </c>
      <c r="F3011" t="s">
        <v>61</v>
      </c>
      <c r="G3011">
        <v>10.199999999999999</v>
      </c>
      <c r="H3011" s="9">
        <v>7.37</v>
      </c>
      <c r="I3011"/>
    </row>
    <row r="3012" spans="1:9" x14ac:dyDescent="0.3">
      <c r="A3012" t="s">
        <v>9</v>
      </c>
      <c r="B3012" t="s">
        <v>17</v>
      </c>
      <c r="C3012" t="s">
        <v>125</v>
      </c>
      <c r="D3012" s="9" t="s">
        <v>124</v>
      </c>
      <c r="E3012" t="s">
        <v>33</v>
      </c>
      <c r="F3012" t="s">
        <v>63</v>
      </c>
      <c r="G3012">
        <v>9.6999999999999993</v>
      </c>
      <c r="H3012" s="9">
        <v>3.19</v>
      </c>
      <c r="I3012"/>
    </row>
    <row r="3013" spans="1:9" x14ac:dyDescent="0.3">
      <c r="A3013" t="s">
        <v>9</v>
      </c>
      <c r="B3013" t="s">
        <v>17</v>
      </c>
      <c r="C3013" t="s">
        <v>126</v>
      </c>
      <c r="D3013" s="9" t="s">
        <v>124</v>
      </c>
      <c r="E3013" t="s">
        <v>34</v>
      </c>
      <c r="F3013" t="s">
        <v>65</v>
      </c>
      <c r="G3013">
        <v>11.3</v>
      </c>
      <c r="H3013" s="9">
        <v>21.51</v>
      </c>
      <c r="I3013"/>
    </row>
    <row r="3014" spans="1:9" x14ac:dyDescent="0.3">
      <c r="A3014" t="s">
        <v>9</v>
      </c>
      <c r="B3014" t="s">
        <v>17</v>
      </c>
      <c r="C3014" t="s">
        <v>127</v>
      </c>
      <c r="D3014" s="9" t="s">
        <v>124</v>
      </c>
      <c r="E3014" t="s">
        <v>35</v>
      </c>
      <c r="F3014" t="s">
        <v>67</v>
      </c>
      <c r="G3014">
        <v>11.4</v>
      </c>
      <c r="H3014" s="9">
        <v>11.76</v>
      </c>
      <c r="I3014"/>
    </row>
    <row r="3015" spans="1:9" x14ac:dyDescent="0.3">
      <c r="A3015" t="s">
        <v>9</v>
      </c>
      <c r="B3015" t="s">
        <v>17</v>
      </c>
      <c r="C3015" t="s">
        <v>128</v>
      </c>
      <c r="D3015" s="9" t="s">
        <v>124</v>
      </c>
      <c r="E3015" t="s">
        <v>36</v>
      </c>
      <c r="F3015" t="s">
        <v>69</v>
      </c>
      <c r="G3015">
        <v>13.1</v>
      </c>
      <c r="H3015" s="9">
        <v>3.97</v>
      </c>
      <c r="I3015"/>
    </row>
    <row r="3016" spans="1:9" x14ac:dyDescent="0.3">
      <c r="A3016" t="s">
        <v>9</v>
      </c>
      <c r="B3016" t="s">
        <v>17</v>
      </c>
      <c r="C3016" t="s">
        <v>129</v>
      </c>
      <c r="D3016" s="9" t="s">
        <v>124</v>
      </c>
      <c r="E3016" t="s">
        <v>37</v>
      </c>
      <c r="F3016" t="s">
        <v>71</v>
      </c>
      <c r="G3016">
        <v>12.8</v>
      </c>
      <c r="H3016" s="9">
        <v>2.4</v>
      </c>
      <c r="I3016"/>
    </row>
    <row r="3017" spans="1:9" x14ac:dyDescent="0.3">
      <c r="A3017" t="s">
        <v>9</v>
      </c>
      <c r="B3017" t="s">
        <v>17</v>
      </c>
      <c r="C3017" t="s">
        <v>130</v>
      </c>
      <c r="D3017" s="9" t="s">
        <v>124</v>
      </c>
      <c r="E3017" t="s">
        <v>38</v>
      </c>
      <c r="F3017" t="s">
        <v>73</v>
      </c>
      <c r="G3017">
        <v>14.1</v>
      </c>
      <c r="H3017" s="9">
        <v>9.3000000000000007</v>
      </c>
      <c r="I3017"/>
    </row>
    <row r="3018" spans="1:9" x14ac:dyDescent="0.3">
      <c r="A3018" t="s">
        <v>9</v>
      </c>
      <c r="B3018" t="s">
        <v>17</v>
      </c>
      <c r="C3018" t="s">
        <v>131</v>
      </c>
      <c r="D3018" s="9" t="s">
        <v>124</v>
      </c>
      <c r="E3018" t="s">
        <v>39</v>
      </c>
      <c r="F3018" t="s">
        <v>75</v>
      </c>
      <c r="G3018">
        <v>14.6</v>
      </c>
      <c r="H3018" s="9">
        <v>10.61</v>
      </c>
      <c r="I3018"/>
    </row>
    <row r="3019" spans="1:9" x14ac:dyDescent="0.3">
      <c r="A3019" t="s">
        <v>9</v>
      </c>
      <c r="B3019" t="s">
        <v>17</v>
      </c>
      <c r="C3019" t="s">
        <v>132</v>
      </c>
      <c r="D3019" s="9" t="s">
        <v>124</v>
      </c>
      <c r="E3019" t="s">
        <v>40</v>
      </c>
      <c r="F3019" t="s">
        <v>77</v>
      </c>
      <c r="G3019">
        <v>14</v>
      </c>
      <c r="H3019" s="9">
        <v>15.7</v>
      </c>
      <c r="I3019"/>
    </row>
    <row r="3020" spans="1:9" x14ac:dyDescent="0.3">
      <c r="A3020" t="s">
        <v>9</v>
      </c>
      <c r="B3020" t="s">
        <v>17</v>
      </c>
      <c r="C3020" t="s">
        <v>133</v>
      </c>
      <c r="D3020" s="9" t="s">
        <v>124</v>
      </c>
      <c r="E3020" t="s">
        <v>41</v>
      </c>
      <c r="F3020" t="s">
        <v>79</v>
      </c>
      <c r="G3020">
        <v>13</v>
      </c>
      <c r="H3020" s="9">
        <v>17.12</v>
      </c>
      <c r="I3020"/>
    </row>
    <row r="3021" spans="1:9" x14ac:dyDescent="0.3">
      <c r="A3021" t="s">
        <v>9</v>
      </c>
      <c r="B3021" t="s">
        <v>17</v>
      </c>
      <c r="C3021" t="s">
        <v>134</v>
      </c>
      <c r="D3021" s="9" t="s">
        <v>124</v>
      </c>
      <c r="E3021" t="s">
        <v>42</v>
      </c>
      <c r="F3021" t="s">
        <v>81</v>
      </c>
      <c r="G3021">
        <v>13.9</v>
      </c>
      <c r="H3021" s="9">
        <v>20.87</v>
      </c>
      <c r="I3021"/>
    </row>
    <row r="3022" spans="1:9" x14ac:dyDescent="0.3">
      <c r="A3022" t="s">
        <v>9</v>
      </c>
      <c r="B3022" t="s">
        <v>17</v>
      </c>
      <c r="C3022" t="s">
        <v>135</v>
      </c>
      <c r="D3022" s="9" t="s">
        <v>124</v>
      </c>
      <c r="E3022" t="s">
        <v>43</v>
      </c>
      <c r="F3022" t="s">
        <v>83</v>
      </c>
      <c r="G3022">
        <v>15.5</v>
      </c>
      <c r="H3022" s="9">
        <v>19.23</v>
      </c>
      <c r="I3022"/>
    </row>
    <row r="3023" spans="1:9" x14ac:dyDescent="0.3">
      <c r="A3023" t="s">
        <v>9</v>
      </c>
      <c r="B3023" t="s">
        <v>17</v>
      </c>
      <c r="C3023" t="s">
        <v>136</v>
      </c>
      <c r="D3023" s="9" t="s">
        <v>137</v>
      </c>
      <c r="E3023" t="s">
        <v>32</v>
      </c>
      <c r="F3023" t="s">
        <v>61</v>
      </c>
      <c r="G3023">
        <v>11.7</v>
      </c>
      <c r="H3023" s="9">
        <v>14.71</v>
      </c>
      <c r="I3023"/>
    </row>
    <row r="3024" spans="1:9" x14ac:dyDescent="0.3">
      <c r="A3024" t="s">
        <v>9</v>
      </c>
      <c r="B3024" t="s">
        <v>17</v>
      </c>
      <c r="C3024" t="s">
        <v>138</v>
      </c>
      <c r="D3024" s="9" t="s">
        <v>137</v>
      </c>
      <c r="E3024" t="s">
        <v>33</v>
      </c>
      <c r="F3024" t="s">
        <v>63</v>
      </c>
      <c r="G3024">
        <v>11.9</v>
      </c>
      <c r="H3024" s="9">
        <v>22.68</v>
      </c>
      <c r="I3024"/>
    </row>
    <row r="3025" spans="1:9" x14ac:dyDescent="0.3">
      <c r="A3025" t="s">
        <v>9</v>
      </c>
      <c r="B3025" t="s">
        <v>17</v>
      </c>
      <c r="C3025" t="s">
        <v>139</v>
      </c>
      <c r="D3025" s="9" t="s">
        <v>137</v>
      </c>
      <c r="E3025" t="s">
        <v>34</v>
      </c>
      <c r="F3025" t="s">
        <v>65</v>
      </c>
      <c r="G3025">
        <v>13.6</v>
      </c>
      <c r="H3025" s="9">
        <v>20.350000000000001</v>
      </c>
      <c r="I3025"/>
    </row>
    <row r="3026" spans="1:9" x14ac:dyDescent="0.3">
      <c r="A3026" t="s">
        <v>9</v>
      </c>
      <c r="B3026" t="s">
        <v>17</v>
      </c>
      <c r="C3026" t="s">
        <v>140</v>
      </c>
      <c r="D3026" s="9" t="s">
        <v>137</v>
      </c>
      <c r="E3026" t="s">
        <v>35</v>
      </c>
      <c r="F3026" t="s">
        <v>67</v>
      </c>
      <c r="G3026">
        <v>13</v>
      </c>
      <c r="H3026" s="9">
        <v>14.04</v>
      </c>
      <c r="I3026"/>
    </row>
    <row r="3027" spans="1:9" x14ac:dyDescent="0.3">
      <c r="A3027" t="s">
        <v>9</v>
      </c>
      <c r="B3027" t="s">
        <v>17</v>
      </c>
      <c r="C3027" t="s">
        <v>141</v>
      </c>
      <c r="D3027" s="9" t="s">
        <v>137</v>
      </c>
      <c r="E3027" t="s">
        <v>36</v>
      </c>
      <c r="F3027" t="s">
        <v>69</v>
      </c>
      <c r="G3027">
        <v>14.1</v>
      </c>
      <c r="H3027" s="9">
        <v>7.63</v>
      </c>
      <c r="I3027"/>
    </row>
    <row r="3028" spans="1:9" x14ac:dyDescent="0.3">
      <c r="A3028" t="s">
        <v>9</v>
      </c>
      <c r="B3028" t="s">
        <v>17</v>
      </c>
      <c r="C3028" t="s">
        <v>142</v>
      </c>
      <c r="D3028" s="9" t="s">
        <v>137</v>
      </c>
      <c r="E3028" t="s">
        <v>37</v>
      </c>
      <c r="F3028" t="s">
        <v>71</v>
      </c>
      <c r="G3028">
        <v>13.9</v>
      </c>
      <c r="H3028" s="9">
        <v>8.59</v>
      </c>
      <c r="I3028"/>
    </row>
    <row r="3029" spans="1:9" x14ac:dyDescent="0.3">
      <c r="A3029" t="s">
        <v>9</v>
      </c>
      <c r="B3029" t="s">
        <v>17</v>
      </c>
      <c r="C3029" t="s">
        <v>143</v>
      </c>
      <c r="D3029" s="9" t="s">
        <v>137</v>
      </c>
      <c r="E3029" t="s">
        <v>38</v>
      </c>
      <c r="F3029" t="s">
        <v>73</v>
      </c>
      <c r="G3029">
        <v>16</v>
      </c>
      <c r="H3029" s="9">
        <v>13.48</v>
      </c>
      <c r="I3029"/>
    </row>
    <row r="3030" spans="1:9" x14ac:dyDescent="0.3">
      <c r="A3030" t="s">
        <v>9</v>
      </c>
      <c r="B3030" t="s">
        <v>17</v>
      </c>
      <c r="C3030" t="s">
        <v>144</v>
      </c>
      <c r="D3030" s="9" t="s">
        <v>137</v>
      </c>
      <c r="E3030" t="s">
        <v>39</v>
      </c>
      <c r="F3030" t="s">
        <v>75</v>
      </c>
      <c r="G3030">
        <v>15.7</v>
      </c>
      <c r="H3030" s="9">
        <v>7.53</v>
      </c>
      <c r="I3030"/>
    </row>
    <row r="3031" spans="1:9" x14ac:dyDescent="0.3">
      <c r="A3031" t="s">
        <v>9</v>
      </c>
      <c r="B3031" t="s">
        <v>17</v>
      </c>
      <c r="C3031" t="s">
        <v>145</v>
      </c>
      <c r="D3031" s="9" t="s">
        <v>137</v>
      </c>
      <c r="E3031" t="s">
        <v>40</v>
      </c>
      <c r="F3031" t="s">
        <v>77</v>
      </c>
      <c r="G3031">
        <v>14</v>
      </c>
      <c r="H3031" s="9">
        <v>0</v>
      </c>
      <c r="I3031"/>
    </row>
    <row r="3032" spans="1:9" x14ac:dyDescent="0.3">
      <c r="A3032" t="s">
        <v>9</v>
      </c>
      <c r="B3032" t="s">
        <v>17</v>
      </c>
      <c r="C3032" t="s">
        <v>146</v>
      </c>
      <c r="D3032" s="9" t="s">
        <v>137</v>
      </c>
      <c r="E3032" t="s">
        <v>41</v>
      </c>
      <c r="F3032" t="s">
        <v>79</v>
      </c>
      <c r="G3032">
        <v>14.6</v>
      </c>
      <c r="H3032" s="9">
        <v>12.31</v>
      </c>
      <c r="I3032"/>
    </row>
    <row r="3033" spans="1:9" x14ac:dyDescent="0.3">
      <c r="A3033" t="s">
        <v>9</v>
      </c>
      <c r="B3033" t="s">
        <v>17</v>
      </c>
      <c r="C3033" t="s">
        <v>147</v>
      </c>
      <c r="D3033" s="9" t="s">
        <v>137</v>
      </c>
      <c r="E3033" t="s">
        <v>42</v>
      </c>
      <c r="F3033" t="s">
        <v>81</v>
      </c>
      <c r="G3033">
        <v>15.4</v>
      </c>
      <c r="H3033" s="9">
        <v>10.79</v>
      </c>
      <c r="I3033"/>
    </row>
    <row r="3034" spans="1:9" x14ac:dyDescent="0.3">
      <c r="A3034" t="s">
        <v>9</v>
      </c>
      <c r="B3034" t="s">
        <v>17</v>
      </c>
      <c r="C3034" t="s">
        <v>148</v>
      </c>
      <c r="D3034" s="9" t="s">
        <v>137</v>
      </c>
      <c r="E3034" t="s">
        <v>43</v>
      </c>
      <c r="F3034" t="s">
        <v>83</v>
      </c>
      <c r="G3034">
        <v>17.3</v>
      </c>
      <c r="H3034" s="9">
        <v>11.61</v>
      </c>
      <c r="I3034"/>
    </row>
    <row r="3035" spans="1:9" x14ac:dyDescent="0.3">
      <c r="A3035" t="s">
        <v>9</v>
      </c>
      <c r="B3035" t="s">
        <v>17</v>
      </c>
      <c r="C3035" t="s">
        <v>149</v>
      </c>
      <c r="D3035" s="9" t="s">
        <v>150</v>
      </c>
      <c r="E3035" t="s">
        <v>32</v>
      </c>
      <c r="F3035" t="s">
        <v>61</v>
      </c>
      <c r="G3035">
        <v>12.8</v>
      </c>
      <c r="H3035" s="9">
        <v>9.4</v>
      </c>
      <c r="I3035"/>
    </row>
    <row r="3036" spans="1:9" x14ac:dyDescent="0.3">
      <c r="A3036" t="s">
        <v>9</v>
      </c>
      <c r="B3036" t="s">
        <v>17</v>
      </c>
      <c r="C3036" t="s">
        <v>151</v>
      </c>
      <c r="D3036" s="9" t="s">
        <v>150</v>
      </c>
      <c r="E3036" t="s">
        <v>33</v>
      </c>
      <c r="F3036" t="s">
        <v>63</v>
      </c>
      <c r="G3036">
        <v>13.5</v>
      </c>
      <c r="H3036" s="9">
        <v>13.45</v>
      </c>
      <c r="I3036"/>
    </row>
    <row r="3037" spans="1:9" x14ac:dyDescent="0.3">
      <c r="A3037" t="s">
        <v>9</v>
      </c>
      <c r="B3037" t="s">
        <v>17</v>
      </c>
      <c r="C3037" t="s">
        <v>152</v>
      </c>
      <c r="D3037" s="9" t="s">
        <v>150</v>
      </c>
      <c r="E3037" t="s">
        <v>34</v>
      </c>
      <c r="F3037" t="s">
        <v>65</v>
      </c>
      <c r="G3037">
        <v>13.9</v>
      </c>
      <c r="H3037" s="9">
        <v>2.21</v>
      </c>
      <c r="I3037"/>
    </row>
    <row r="3038" spans="1:9" x14ac:dyDescent="0.3">
      <c r="A3038" t="s">
        <v>9</v>
      </c>
      <c r="B3038" t="s">
        <v>17</v>
      </c>
      <c r="C3038" t="s">
        <v>153</v>
      </c>
      <c r="D3038" s="9" t="s">
        <v>150</v>
      </c>
      <c r="E3038" t="s">
        <v>35</v>
      </c>
      <c r="F3038" t="s">
        <v>67</v>
      </c>
      <c r="G3038">
        <v>14.2</v>
      </c>
      <c r="H3038" s="9">
        <v>9.23</v>
      </c>
      <c r="I3038"/>
    </row>
    <row r="3039" spans="1:9" x14ac:dyDescent="0.3">
      <c r="A3039" t="s">
        <v>9</v>
      </c>
      <c r="B3039" t="s">
        <v>17</v>
      </c>
      <c r="C3039" t="s">
        <v>154</v>
      </c>
      <c r="D3039" s="9" t="s">
        <v>150</v>
      </c>
      <c r="E3039" t="s">
        <v>36</v>
      </c>
      <c r="F3039" t="s">
        <v>69</v>
      </c>
      <c r="G3039">
        <v>15.1</v>
      </c>
      <c r="H3039" s="9">
        <v>7.09</v>
      </c>
      <c r="I3039"/>
    </row>
    <row r="3040" spans="1:9" x14ac:dyDescent="0.3">
      <c r="A3040" t="s">
        <v>9</v>
      </c>
      <c r="B3040" t="s">
        <v>17</v>
      </c>
      <c r="C3040" t="s">
        <v>155</v>
      </c>
      <c r="D3040" s="9" t="s">
        <v>150</v>
      </c>
      <c r="E3040" t="s">
        <v>37</v>
      </c>
      <c r="F3040" t="s">
        <v>71</v>
      </c>
      <c r="G3040">
        <v>15</v>
      </c>
      <c r="H3040" s="9">
        <v>7.91</v>
      </c>
      <c r="I3040"/>
    </row>
    <row r="3041" spans="1:9" x14ac:dyDescent="0.3">
      <c r="A3041" t="s">
        <v>9</v>
      </c>
      <c r="B3041" t="s">
        <v>11</v>
      </c>
      <c r="C3041" t="s">
        <v>59</v>
      </c>
      <c r="D3041" s="9" t="s">
        <v>60</v>
      </c>
      <c r="E3041" t="s">
        <v>32</v>
      </c>
      <c r="F3041" t="s">
        <v>61</v>
      </c>
      <c r="G3041">
        <v>109.3</v>
      </c>
      <c r="I3041"/>
    </row>
    <row r="3042" spans="1:9" x14ac:dyDescent="0.3">
      <c r="A3042" t="s">
        <v>9</v>
      </c>
      <c r="B3042" t="s">
        <v>11</v>
      </c>
      <c r="C3042" t="s">
        <v>62</v>
      </c>
      <c r="D3042" s="9" t="s">
        <v>60</v>
      </c>
      <c r="E3042" t="s">
        <v>33</v>
      </c>
      <c r="F3042" t="s">
        <v>63</v>
      </c>
      <c r="G3042">
        <v>104</v>
      </c>
      <c r="I3042"/>
    </row>
    <row r="3043" spans="1:9" x14ac:dyDescent="0.3">
      <c r="A3043" t="s">
        <v>9</v>
      </c>
      <c r="B3043" t="s">
        <v>11</v>
      </c>
      <c r="C3043" t="s">
        <v>64</v>
      </c>
      <c r="D3043" s="9" t="s">
        <v>60</v>
      </c>
      <c r="E3043" t="s">
        <v>34</v>
      </c>
      <c r="F3043" t="s">
        <v>65</v>
      </c>
      <c r="G3043">
        <v>118.1</v>
      </c>
      <c r="I3043"/>
    </row>
    <row r="3044" spans="1:9" x14ac:dyDescent="0.3">
      <c r="A3044" t="s">
        <v>9</v>
      </c>
      <c r="B3044" t="s">
        <v>11</v>
      </c>
      <c r="C3044" t="s">
        <v>66</v>
      </c>
      <c r="D3044" s="9" t="s">
        <v>60</v>
      </c>
      <c r="E3044" t="s">
        <v>35</v>
      </c>
      <c r="F3044" t="s">
        <v>67</v>
      </c>
      <c r="G3044">
        <v>114.5</v>
      </c>
      <c r="I3044"/>
    </row>
    <row r="3045" spans="1:9" x14ac:dyDescent="0.3">
      <c r="A3045" t="s">
        <v>9</v>
      </c>
      <c r="B3045" t="s">
        <v>11</v>
      </c>
      <c r="C3045" t="s">
        <v>68</v>
      </c>
      <c r="D3045" s="9" t="s">
        <v>60</v>
      </c>
      <c r="E3045" t="s">
        <v>36</v>
      </c>
      <c r="F3045" t="s">
        <v>69</v>
      </c>
      <c r="G3045">
        <v>121</v>
      </c>
      <c r="I3045"/>
    </row>
    <row r="3046" spans="1:9" x14ac:dyDescent="0.3">
      <c r="A3046" t="s">
        <v>9</v>
      </c>
      <c r="B3046" t="s">
        <v>11</v>
      </c>
      <c r="C3046" t="s">
        <v>70</v>
      </c>
      <c r="D3046" s="9" t="s">
        <v>60</v>
      </c>
      <c r="E3046" t="s">
        <v>37</v>
      </c>
      <c r="F3046" t="s">
        <v>71</v>
      </c>
      <c r="G3046">
        <v>122.4</v>
      </c>
      <c r="I3046"/>
    </row>
    <row r="3047" spans="1:9" x14ac:dyDescent="0.3">
      <c r="A3047" t="s">
        <v>9</v>
      </c>
      <c r="B3047" t="s">
        <v>11</v>
      </c>
      <c r="C3047" t="s">
        <v>72</v>
      </c>
      <c r="D3047" s="9" t="s">
        <v>60</v>
      </c>
      <c r="E3047" t="s">
        <v>38</v>
      </c>
      <c r="F3047" t="s">
        <v>73</v>
      </c>
      <c r="G3047">
        <v>133.4</v>
      </c>
      <c r="I3047"/>
    </row>
    <row r="3048" spans="1:9" x14ac:dyDescent="0.3">
      <c r="A3048" t="s">
        <v>9</v>
      </c>
      <c r="B3048" t="s">
        <v>11</v>
      </c>
      <c r="C3048" t="s">
        <v>74</v>
      </c>
      <c r="D3048" s="9" t="s">
        <v>60</v>
      </c>
      <c r="E3048" t="s">
        <v>39</v>
      </c>
      <c r="F3048" t="s">
        <v>75</v>
      </c>
      <c r="G3048">
        <v>130.4</v>
      </c>
      <c r="I3048"/>
    </row>
    <row r="3049" spans="1:9" x14ac:dyDescent="0.3">
      <c r="A3049" t="s">
        <v>9</v>
      </c>
      <c r="B3049" t="s">
        <v>11</v>
      </c>
      <c r="C3049" t="s">
        <v>76</v>
      </c>
      <c r="D3049" s="9" t="s">
        <v>60</v>
      </c>
      <c r="E3049" t="s">
        <v>40</v>
      </c>
      <c r="F3049" t="s">
        <v>77</v>
      </c>
      <c r="G3049">
        <v>120.6</v>
      </c>
      <c r="I3049"/>
    </row>
    <row r="3050" spans="1:9" x14ac:dyDescent="0.3">
      <c r="A3050" t="s">
        <v>9</v>
      </c>
      <c r="B3050" t="s">
        <v>11</v>
      </c>
      <c r="C3050" t="s">
        <v>78</v>
      </c>
      <c r="D3050" s="9" t="s">
        <v>60</v>
      </c>
      <c r="E3050" t="s">
        <v>41</v>
      </c>
      <c r="F3050" t="s">
        <v>79</v>
      </c>
      <c r="G3050">
        <v>124.9</v>
      </c>
      <c r="I3050"/>
    </row>
    <row r="3051" spans="1:9" x14ac:dyDescent="0.3">
      <c r="A3051" t="s">
        <v>9</v>
      </c>
      <c r="B3051" t="s">
        <v>11</v>
      </c>
      <c r="C3051" t="s">
        <v>80</v>
      </c>
      <c r="D3051" s="9" t="s">
        <v>60</v>
      </c>
      <c r="E3051" t="s">
        <v>42</v>
      </c>
      <c r="F3051" t="s">
        <v>81</v>
      </c>
      <c r="G3051">
        <v>119.7</v>
      </c>
      <c r="I3051"/>
    </row>
    <row r="3052" spans="1:9" x14ac:dyDescent="0.3">
      <c r="A3052" t="s">
        <v>9</v>
      </c>
      <c r="B3052" t="s">
        <v>11</v>
      </c>
      <c r="C3052" t="s">
        <v>82</v>
      </c>
      <c r="D3052" s="9" t="s">
        <v>60</v>
      </c>
      <c r="E3052" t="s">
        <v>43</v>
      </c>
      <c r="F3052" t="s">
        <v>83</v>
      </c>
      <c r="G3052">
        <v>121.9</v>
      </c>
      <c r="I3052"/>
    </row>
    <row r="3053" spans="1:9" x14ac:dyDescent="0.3">
      <c r="A3053" t="s">
        <v>9</v>
      </c>
      <c r="B3053" t="s">
        <v>11</v>
      </c>
      <c r="C3053" t="s">
        <v>84</v>
      </c>
      <c r="D3053" s="9" t="s">
        <v>85</v>
      </c>
      <c r="E3053" t="s">
        <v>32</v>
      </c>
      <c r="F3053" t="s">
        <v>61</v>
      </c>
      <c r="G3053">
        <v>110.8</v>
      </c>
      <c r="H3053" s="9">
        <v>1.37</v>
      </c>
      <c r="I3053"/>
    </row>
    <row r="3054" spans="1:9" x14ac:dyDescent="0.3">
      <c r="A3054" t="s">
        <v>9</v>
      </c>
      <c r="B3054" t="s">
        <v>11</v>
      </c>
      <c r="C3054" t="s">
        <v>86</v>
      </c>
      <c r="D3054" s="9" t="s">
        <v>85</v>
      </c>
      <c r="E3054" t="s">
        <v>33</v>
      </c>
      <c r="F3054" t="s">
        <v>63</v>
      </c>
      <c r="G3054">
        <v>108.7</v>
      </c>
      <c r="H3054" s="9">
        <v>4.5199999999999996</v>
      </c>
      <c r="I3054"/>
    </row>
    <row r="3055" spans="1:9" x14ac:dyDescent="0.3">
      <c r="A3055" t="s">
        <v>9</v>
      </c>
      <c r="B3055" t="s">
        <v>11</v>
      </c>
      <c r="C3055" t="s">
        <v>87</v>
      </c>
      <c r="D3055" s="9" t="s">
        <v>85</v>
      </c>
      <c r="E3055" t="s">
        <v>34</v>
      </c>
      <c r="F3055" t="s">
        <v>65</v>
      </c>
      <c r="G3055">
        <v>135</v>
      </c>
      <c r="H3055" s="9">
        <v>14.31</v>
      </c>
      <c r="I3055"/>
    </row>
    <row r="3056" spans="1:9" x14ac:dyDescent="0.3">
      <c r="A3056" t="s">
        <v>9</v>
      </c>
      <c r="B3056" t="s">
        <v>11</v>
      </c>
      <c r="C3056" t="s">
        <v>88</v>
      </c>
      <c r="D3056" s="9" t="s">
        <v>85</v>
      </c>
      <c r="E3056" t="s">
        <v>35</v>
      </c>
      <c r="F3056" t="s">
        <v>67</v>
      </c>
      <c r="G3056">
        <v>131.6</v>
      </c>
      <c r="H3056" s="9">
        <v>14.93</v>
      </c>
      <c r="I3056"/>
    </row>
    <row r="3057" spans="1:9" x14ac:dyDescent="0.3">
      <c r="A3057" t="s">
        <v>9</v>
      </c>
      <c r="B3057" t="s">
        <v>11</v>
      </c>
      <c r="C3057" t="s">
        <v>89</v>
      </c>
      <c r="D3057" s="9" t="s">
        <v>85</v>
      </c>
      <c r="E3057" t="s">
        <v>36</v>
      </c>
      <c r="F3057" t="s">
        <v>69</v>
      </c>
      <c r="G3057">
        <v>140.4</v>
      </c>
      <c r="H3057" s="9">
        <v>16.03</v>
      </c>
      <c r="I3057"/>
    </row>
    <row r="3058" spans="1:9" x14ac:dyDescent="0.3">
      <c r="A3058" t="s">
        <v>9</v>
      </c>
      <c r="B3058" t="s">
        <v>11</v>
      </c>
      <c r="C3058" t="s">
        <v>90</v>
      </c>
      <c r="D3058" s="9" t="s">
        <v>85</v>
      </c>
      <c r="E3058" t="s">
        <v>37</v>
      </c>
      <c r="F3058" t="s">
        <v>71</v>
      </c>
      <c r="G3058">
        <v>130.4</v>
      </c>
      <c r="H3058" s="9">
        <v>6.54</v>
      </c>
      <c r="I3058"/>
    </row>
    <row r="3059" spans="1:9" x14ac:dyDescent="0.3">
      <c r="A3059" t="s">
        <v>9</v>
      </c>
      <c r="B3059" t="s">
        <v>11</v>
      </c>
      <c r="C3059" t="s">
        <v>91</v>
      </c>
      <c r="D3059" s="9" t="s">
        <v>85</v>
      </c>
      <c r="E3059" t="s">
        <v>38</v>
      </c>
      <c r="F3059" t="s">
        <v>73</v>
      </c>
      <c r="G3059">
        <v>141.4</v>
      </c>
      <c r="H3059" s="9">
        <v>6</v>
      </c>
      <c r="I3059"/>
    </row>
    <row r="3060" spans="1:9" x14ac:dyDescent="0.3">
      <c r="A3060" t="s">
        <v>9</v>
      </c>
      <c r="B3060" t="s">
        <v>11</v>
      </c>
      <c r="C3060" t="s">
        <v>92</v>
      </c>
      <c r="D3060" s="9" t="s">
        <v>85</v>
      </c>
      <c r="E3060" t="s">
        <v>39</v>
      </c>
      <c r="F3060" t="s">
        <v>75</v>
      </c>
      <c r="G3060">
        <v>141.9</v>
      </c>
      <c r="H3060" s="9">
        <v>8.82</v>
      </c>
      <c r="I3060"/>
    </row>
    <row r="3061" spans="1:9" x14ac:dyDescent="0.3">
      <c r="A3061" t="s">
        <v>9</v>
      </c>
      <c r="B3061" t="s">
        <v>11</v>
      </c>
      <c r="C3061" t="s">
        <v>93</v>
      </c>
      <c r="D3061" s="9" t="s">
        <v>85</v>
      </c>
      <c r="E3061" t="s">
        <v>40</v>
      </c>
      <c r="F3061" t="s">
        <v>77</v>
      </c>
      <c r="G3061">
        <v>136.30000000000001</v>
      </c>
      <c r="H3061" s="9">
        <v>13.02</v>
      </c>
      <c r="I3061"/>
    </row>
    <row r="3062" spans="1:9" x14ac:dyDescent="0.3">
      <c r="A3062" t="s">
        <v>9</v>
      </c>
      <c r="B3062" t="s">
        <v>11</v>
      </c>
      <c r="C3062" t="s">
        <v>94</v>
      </c>
      <c r="D3062" s="9" t="s">
        <v>85</v>
      </c>
      <c r="E3062" t="s">
        <v>41</v>
      </c>
      <c r="F3062" t="s">
        <v>79</v>
      </c>
      <c r="G3062">
        <v>138.4</v>
      </c>
      <c r="H3062" s="9">
        <v>10.81</v>
      </c>
      <c r="I3062"/>
    </row>
    <row r="3063" spans="1:9" x14ac:dyDescent="0.3">
      <c r="A3063" t="s">
        <v>9</v>
      </c>
      <c r="B3063" t="s">
        <v>11</v>
      </c>
      <c r="C3063" t="s">
        <v>95</v>
      </c>
      <c r="D3063" s="9" t="s">
        <v>85</v>
      </c>
      <c r="E3063" t="s">
        <v>42</v>
      </c>
      <c r="F3063" t="s">
        <v>81</v>
      </c>
      <c r="G3063">
        <v>129.80000000000001</v>
      </c>
      <c r="H3063" s="9">
        <v>8.44</v>
      </c>
      <c r="I3063"/>
    </row>
    <row r="3064" spans="1:9" x14ac:dyDescent="0.3">
      <c r="A3064" t="s">
        <v>9</v>
      </c>
      <c r="B3064" t="s">
        <v>11</v>
      </c>
      <c r="C3064" t="s">
        <v>96</v>
      </c>
      <c r="D3064" s="9" t="s">
        <v>85</v>
      </c>
      <c r="E3064" t="s">
        <v>43</v>
      </c>
      <c r="F3064" t="s">
        <v>83</v>
      </c>
      <c r="G3064">
        <v>137.4</v>
      </c>
      <c r="H3064" s="9">
        <v>12.72</v>
      </c>
      <c r="I3064"/>
    </row>
    <row r="3065" spans="1:9" x14ac:dyDescent="0.3">
      <c r="A3065" t="s">
        <v>9</v>
      </c>
      <c r="B3065" t="s">
        <v>11</v>
      </c>
      <c r="C3065" t="s">
        <v>97</v>
      </c>
      <c r="D3065" s="9" t="s">
        <v>98</v>
      </c>
      <c r="E3065" t="s">
        <v>32</v>
      </c>
      <c r="F3065" t="s">
        <v>61</v>
      </c>
      <c r="G3065">
        <v>128.19999999999999</v>
      </c>
      <c r="H3065" s="9">
        <v>15.7</v>
      </c>
      <c r="I3065"/>
    </row>
    <row r="3066" spans="1:9" x14ac:dyDescent="0.3">
      <c r="A3066" t="s">
        <v>9</v>
      </c>
      <c r="B3066" t="s">
        <v>11</v>
      </c>
      <c r="C3066" t="s">
        <v>99</v>
      </c>
      <c r="D3066" s="9" t="s">
        <v>98</v>
      </c>
      <c r="E3066" t="s">
        <v>33</v>
      </c>
      <c r="F3066" t="s">
        <v>63</v>
      </c>
      <c r="G3066">
        <v>117.8</v>
      </c>
      <c r="H3066" s="9">
        <v>8.3699999999999992</v>
      </c>
      <c r="I3066"/>
    </row>
    <row r="3067" spans="1:9" x14ac:dyDescent="0.3">
      <c r="A3067" t="s">
        <v>9</v>
      </c>
      <c r="B3067" t="s">
        <v>11</v>
      </c>
      <c r="C3067" t="s">
        <v>100</v>
      </c>
      <c r="D3067" s="9" t="s">
        <v>98</v>
      </c>
      <c r="E3067" t="s">
        <v>34</v>
      </c>
      <c r="F3067" t="s">
        <v>65</v>
      </c>
      <c r="G3067">
        <v>130</v>
      </c>
      <c r="H3067" s="9">
        <v>-3.7</v>
      </c>
      <c r="I3067"/>
    </row>
    <row r="3068" spans="1:9" x14ac:dyDescent="0.3">
      <c r="A3068" t="s">
        <v>9</v>
      </c>
      <c r="B3068" t="s">
        <v>11</v>
      </c>
      <c r="C3068" t="s">
        <v>101</v>
      </c>
      <c r="D3068" s="9" t="s">
        <v>98</v>
      </c>
      <c r="E3068" t="s">
        <v>35</v>
      </c>
      <c r="F3068" t="s">
        <v>67</v>
      </c>
      <c r="G3068">
        <v>129.1</v>
      </c>
      <c r="H3068" s="9">
        <v>-1.9</v>
      </c>
      <c r="I3068"/>
    </row>
    <row r="3069" spans="1:9" x14ac:dyDescent="0.3">
      <c r="A3069" t="s">
        <v>9</v>
      </c>
      <c r="B3069" t="s">
        <v>11</v>
      </c>
      <c r="C3069" t="s">
        <v>102</v>
      </c>
      <c r="D3069" s="9" t="s">
        <v>98</v>
      </c>
      <c r="E3069" t="s">
        <v>36</v>
      </c>
      <c r="F3069" t="s">
        <v>69</v>
      </c>
      <c r="G3069">
        <v>133.19999999999999</v>
      </c>
      <c r="H3069" s="9">
        <v>-5.13</v>
      </c>
      <c r="I3069"/>
    </row>
    <row r="3070" spans="1:9" x14ac:dyDescent="0.3">
      <c r="A3070" t="s">
        <v>9</v>
      </c>
      <c r="B3070" t="s">
        <v>11</v>
      </c>
      <c r="C3070" t="s">
        <v>103</v>
      </c>
      <c r="D3070" s="9" t="s">
        <v>98</v>
      </c>
      <c r="E3070" t="s">
        <v>37</v>
      </c>
      <c r="F3070" t="s">
        <v>71</v>
      </c>
      <c r="G3070">
        <v>136.1</v>
      </c>
      <c r="H3070" s="9">
        <v>4.37</v>
      </c>
      <c r="I3070"/>
    </row>
    <row r="3071" spans="1:9" x14ac:dyDescent="0.3">
      <c r="A3071" t="s">
        <v>9</v>
      </c>
      <c r="B3071" t="s">
        <v>11</v>
      </c>
      <c r="C3071" t="s">
        <v>104</v>
      </c>
      <c r="D3071" s="9" t="s">
        <v>98</v>
      </c>
      <c r="E3071" t="s">
        <v>38</v>
      </c>
      <c r="F3071" t="s">
        <v>73</v>
      </c>
      <c r="G3071">
        <v>145.30000000000001</v>
      </c>
      <c r="H3071" s="9">
        <v>2.76</v>
      </c>
      <c r="I3071"/>
    </row>
    <row r="3072" spans="1:9" x14ac:dyDescent="0.3">
      <c r="A3072" t="s">
        <v>9</v>
      </c>
      <c r="B3072" t="s">
        <v>11</v>
      </c>
      <c r="C3072" t="s">
        <v>105</v>
      </c>
      <c r="D3072" s="9" t="s">
        <v>98</v>
      </c>
      <c r="E3072" t="s">
        <v>39</v>
      </c>
      <c r="F3072" t="s">
        <v>75</v>
      </c>
      <c r="G3072">
        <v>142.30000000000001</v>
      </c>
      <c r="H3072" s="9">
        <v>0.28000000000000003</v>
      </c>
      <c r="I3072"/>
    </row>
    <row r="3073" spans="1:9" x14ac:dyDescent="0.3">
      <c r="A3073" t="s">
        <v>9</v>
      </c>
      <c r="B3073" t="s">
        <v>11</v>
      </c>
      <c r="C3073" t="s">
        <v>106</v>
      </c>
      <c r="D3073" s="9" t="s">
        <v>98</v>
      </c>
      <c r="E3073" t="s">
        <v>40</v>
      </c>
      <c r="F3073" t="s">
        <v>77</v>
      </c>
      <c r="G3073">
        <v>131.4</v>
      </c>
      <c r="H3073" s="9">
        <v>-3.6</v>
      </c>
      <c r="I3073"/>
    </row>
    <row r="3074" spans="1:9" x14ac:dyDescent="0.3">
      <c r="A3074" t="s">
        <v>9</v>
      </c>
      <c r="B3074" t="s">
        <v>11</v>
      </c>
      <c r="C3074" t="s">
        <v>107</v>
      </c>
      <c r="D3074" s="9" t="s">
        <v>98</v>
      </c>
      <c r="E3074" t="s">
        <v>41</v>
      </c>
      <c r="F3074" t="s">
        <v>79</v>
      </c>
      <c r="G3074">
        <v>135.19999999999999</v>
      </c>
      <c r="H3074" s="9">
        <v>-2.31</v>
      </c>
      <c r="I3074"/>
    </row>
    <row r="3075" spans="1:9" x14ac:dyDescent="0.3">
      <c r="A3075" t="s">
        <v>9</v>
      </c>
      <c r="B3075" t="s">
        <v>11</v>
      </c>
      <c r="C3075" t="s">
        <v>108</v>
      </c>
      <c r="D3075" s="9" t="s">
        <v>98</v>
      </c>
      <c r="E3075" t="s">
        <v>42</v>
      </c>
      <c r="F3075" t="s">
        <v>81</v>
      </c>
      <c r="G3075">
        <v>125.1</v>
      </c>
      <c r="H3075" s="9">
        <v>-3.62</v>
      </c>
      <c r="I3075"/>
    </row>
    <row r="3076" spans="1:9" x14ac:dyDescent="0.3">
      <c r="A3076" t="s">
        <v>9</v>
      </c>
      <c r="B3076" t="s">
        <v>11</v>
      </c>
      <c r="C3076" t="s">
        <v>109</v>
      </c>
      <c r="D3076" s="9" t="s">
        <v>98</v>
      </c>
      <c r="E3076" t="s">
        <v>43</v>
      </c>
      <c r="F3076" t="s">
        <v>83</v>
      </c>
      <c r="G3076">
        <v>136.9</v>
      </c>
      <c r="H3076" s="9">
        <v>-0.36</v>
      </c>
      <c r="I3076"/>
    </row>
    <row r="3077" spans="1:9" x14ac:dyDescent="0.3">
      <c r="A3077" t="s">
        <v>9</v>
      </c>
      <c r="B3077" t="s">
        <v>11</v>
      </c>
      <c r="C3077" t="s">
        <v>110</v>
      </c>
      <c r="D3077" s="9" t="s">
        <v>111</v>
      </c>
      <c r="E3077" t="s">
        <v>32</v>
      </c>
      <c r="F3077" t="s">
        <v>61</v>
      </c>
      <c r="G3077">
        <v>125.8</v>
      </c>
      <c r="H3077" s="9">
        <v>-1.87</v>
      </c>
      <c r="I3077"/>
    </row>
    <row r="3078" spans="1:9" x14ac:dyDescent="0.3">
      <c r="A3078" t="s">
        <v>9</v>
      </c>
      <c r="B3078" t="s">
        <v>11</v>
      </c>
      <c r="C3078" t="s">
        <v>112</v>
      </c>
      <c r="D3078" s="9" t="s">
        <v>111</v>
      </c>
      <c r="E3078" t="s">
        <v>33</v>
      </c>
      <c r="F3078" t="s">
        <v>63</v>
      </c>
      <c r="G3078">
        <v>113.1</v>
      </c>
      <c r="H3078" s="9">
        <v>-3.99</v>
      </c>
      <c r="I3078"/>
    </row>
    <row r="3079" spans="1:9" x14ac:dyDescent="0.3">
      <c r="A3079" t="s">
        <v>9</v>
      </c>
      <c r="B3079" t="s">
        <v>11</v>
      </c>
      <c r="C3079" t="s">
        <v>113</v>
      </c>
      <c r="D3079" s="9" t="s">
        <v>111</v>
      </c>
      <c r="E3079" t="s">
        <v>34</v>
      </c>
      <c r="F3079" t="s">
        <v>65</v>
      </c>
      <c r="G3079">
        <v>126.2</v>
      </c>
      <c r="H3079" s="9">
        <v>-2.92</v>
      </c>
      <c r="I3079"/>
    </row>
    <row r="3080" spans="1:9" x14ac:dyDescent="0.3">
      <c r="A3080" t="s">
        <v>9</v>
      </c>
      <c r="B3080" t="s">
        <v>11</v>
      </c>
      <c r="C3080" t="s">
        <v>114</v>
      </c>
      <c r="D3080" s="9" t="s">
        <v>111</v>
      </c>
      <c r="E3080" t="s">
        <v>35</v>
      </c>
      <c r="F3080" t="s">
        <v>67</v>
      </c>
      <c r="G3080">
        <v>128.9</v>
      </c>
      <c r="H3080" s="9">
        <v>-0.15</v>
      </c>
      <c r="I3080"/>
    </row>
    <row r="3081" spans="1:9" x14ac:dyDescent="0.3">
      <c r="A3081" t="s">
        <v>9</v>
      </c>
      <c r="B3081" t="s">
        <v>11</v>
      </c>
      <c r="C3081" t="s">
        <v>115</v>
      </c>
      <c r="D3081" s="9" t="s">
        <v>111</v>
      </c>
      <c r="E3081" t="s">
        <v>36</v>
      </c>
      <c r="F3081" t="s">
        <v>69</v>
      </c>
      <c r="G3081">
        <v>130.6</v>
      </c>
      <c r="H3081" s="9">
        <v>-1.95</v>
      </c>
      <c r="I3081"/>
    </row>
    <row r="3082" spans="1:9" x14ac:dyDescent="0.3">
      <c r="A3082" t="s">
        <v>9</v>
      </c>
      <c r="B3082" t="s">
        <v>11</v>
      </c>
      <c r="C3082" t="s">
        <v>116</v>
      </c>
      <c r="D3082" s="9" t="s">
        <v>111</v>
      </c>
      <c r="E3082" t="s">
        <v>37</v>
      </c>
      <c r="F3082" t="s">
        <v>71</v>
      </c>
      <c r="G3082">
        <v>131.6</v>
      </c>
      <c r="H3082" s="9">
        <v>-3.31</v>
      </c>
      <c r="I3082"/>
    </row>
    <row r="3083" spans="1:9" x14ac:dyDescent="0.3">
      <c r="A3083" t="s">
        <v>9</v>
      </c>
      <c r="B3083" t="s">
        <v>11</v>
      </c>
      <c r="C3083" t="s">
        <v>117</v>
      </c>
      <c r="D3083" s="9" t="s">
        <v>111</v>
      </c>
      <c r="E3083" t="s">
        <v>38</v>
      </c>
      <c r="F3083" t="s">
        <v>73</v>
      </c>
      <c r="G3083">
        <v>143.80000000000001</v>
      </c>
      <c r="H3083" s="9">
        <v>-1.03</v>
      </c>
      <c r="I3083"/>
    </row>
    <row r="3084" spans="1:9" x14ac:dyDescent="0.3">
      <c r="A3084" t="s">
        <v>9</v>
      </c>
      <c r="B3084" t="s">
        <v>11</v>
      </c>
      <c r="C3084" t="s">
        <v>118</v>
      </c>
      <c r="D3084" s="9" t="s">
        <v>111</v>
      </c>
      <c r="E3084" t="s">
        <v>39</v>
      </c>
      <c r="F3084" t="s">
        <v>75</v>
      </c>
      <c r="G3084">
        <v>137.69999999999999</v>
      </c>
      <c r="H3084" s="9">
        <v>-3.23</v>
      </c>
      <c r="I3084"/>
    </row>
    <row r="3085" spans="1:9" x14ac:dyDescent="0.3">
      <c r="A3085" t="s">
        <v>9</v>
      </c>
      <c r="B3085" t="s">
        <v>11</v>
      </c>
      <c r="C3085" t="s">
        <v>119</v>
      </c>
      <c r="D3085" s="9" t="s">
        <v>111</v>
      </c>
      <c r="E3085" t="s">
        <v>40</v>
      </c>
      <c r="F3085" t="s">
        <v>77</v>
      </c>
      <c r="G3085">
        <v>129.69999999999999</v>
      </c>
      <c r="H3085" s="9">
        <v>-1.29</v>
      </c>
      <c r="I3085"/>
    </row>
    <row r="3086" spans="1:9" x14ac:dyDescent="0.3">
      <c r="A3086" t="s">
        <v>9</v>
      </c>
      <c r="B3086" t="s">
        <v>11</v>
      </c>
      <c r="C3086" t="s">
        <v>120</v>
      </c>
      <c r="D3086" s="9" t="s">
        <v>111</v>
      </c>
      <c r="E3086" t="s">
        <v>41</v>
      </c>
      <c r="F3086" t="s">
        <v>79</v>
      </c>
      <c r="G3086">
        <v>132</v>
      </c>
      <c r="H3086" s="9">
        <v>-2.37</v>
      </c>
      <c r="I3086"/>
    </row>
    <row r="3087" spans="1:9" x14ac:dyDescent="0.3">
      <c r="A3087" t="s">
        <v>9</v>
      </c>
      <c r="B3087" t="s">
        <v>11</v>
      </c>
      <c r="C3087" t="s">
        <v>121</v>
      </c>
      <c r="D3087" s="9" t="s">
        <v>111</v>
      </c>
      <c r="E3087" t="s">
        <v>42</v>
      </c>
      <c r="F3087" t="s">
        <v>81</v>
      </c>
      <c r="G3087">
        <v>126.4</v>
      </c>
      <c r="H3087" s="9">
        <v>1.04</v>
      </c>
      <c r="I3087"/>
    </row>
    <row r="3088" spans="1:9" x14ac:dyDescent="0.3">
      <c r="A3088" t="s">
        <v>9</v>
      </c>
      <c r="B3088" t="s">
        <v>11</v>
      </c>
      <c r="C3088" t="s">
        <v>122</v>
      </c>
      <c r="D3088" s="9" t="s">
        <v>111</v>
      </c>
      <c r="E3088" t="s">
        <v>43</v>
      </c>
      <c r="F3088" t="s">
        <v>83</v>
      </c>
      <c r="G3088">
        <v>134.1</v>
      </c>
      <c r="H3088" s="9">
        <v>-2.0499999999999998</v>
      </c>
      <c r="I3088"/>
    </row>
    <row r="3089" spans="1:9" x14ac:dyDescent="0.3">
      <c r="A3089" t="s">
        <v>9</v>
      </c>
      <c r="B3089" t="s">
        <v>11</v>
      </c>
      <c r="C3089" t="s">
        <v>123</v>
      </c>
      <c r="D3089" s="9" t="s">
        <v>124</v>
      </c>
      <c r="E3089" t="s">
        <v>32</v>
      </c>
      <c r="F3089" t="s">
        <v>61</v>
      </c>
      <c r="G3089">
        <v>120.3</v>
      </c>
      <c r="H3089" s="9">
        <v>-4.37</v>
      </c>
      <c r="I3089"/>
    </row>
    <row r="3090" spans="1:9" x14ac:dyDescent="0.3">
      <c r="A3090" t="s">
        <v>9</v>
      </c>
      <c r="B3090" t="s">
        <v>11</v>
      </c>
      <c r="C3090" t="s">
        <v>125</v>
      </c>
      <c r="D3090" s="9" t="s">
        <v>124</v>
      </c>
      <c r="E3090" t="s">
        <v>33</v>
      </c>
      <c r="F3090" t="s">
        <v>63</v>
      </c>
      <c r="G3090">
        <v>114.2</v>
      </c>
      <c r="H3090" s="9">
        <v>0.97</v>
      </c>
      <c r="I3090"/>
    </row>
    <row r="3091" spans="1:9" x14ac:dyDescent="0.3">
      <c r="A3091" t="s">
        <v>9</v>
      </c>
      <c r="B3091" t="s">
        <v>11</v>
      </c>
      <c r="C3091" t="s">
        <v>126</v>
      </c>
      <c r="D3091" s="9" t="s">
        <v>124</v>
      </c>
      <c r="E3091" t="s">
        <v>34</v>
      </c>
      <c r="F3091" t="s">
        <v>65</v>
      </c>
      <c r="G3091">
        <v>128.69999999999999</v>
      </c>
      <c r="H3091" s="9">
        <v>1.98</v>
      </c>
      <c r="I3091"/>
    </row>
    <row r="3092" spans="1:9" x14ac:dyDescent="0.3">
      <c r="A3092" t="s">
        <v>9</v>
      </c>
      <c r="B3092" t="s">
        <v>11</v>
      </c>
      <c r="C3092" t="s">
        <v>127</v>
      </c>
      <c r="D3092" s="9" t="s">
        <v>124</v>
      </c>
      <c r="E3092" t="s">
        <v>35</v>
      </c>
      <c r="F3092" t="s">
        <v>67</v>
      </c>
      <c r="G3092">
        <v>129.4</v>
      </c>
      <c r="H3092" s="9">
        <v>0.39</v>
      </c>
      <c r="I3092"/>
    </row>
    <row r="3093" spans="1:9" x14ac:dyDescent="0.3">
      <c r="A3093" t="s">
        <v>9</v>
      </c>
      <c r="B3093" t="s">
        <v>11</v>
      </c>
      <c r="C3093" t="s">
        <v>128</v>
      </c>
      <c r="D3093" s="9" t="s">
        <v>124</v>
      </c>
      <c r="E3093" t="s">
        <v>36</v>
      </c>
      <c r="F3093" t="s">
        <v>69</v>
      </c>
      <c r="G3093">
        <v>137.4</v>
      </c>
      <c r="H3093" s="9">
        <v>5.21</v>
      </c>
      <c r="I3093"/>
    </row>
    <row r="3094" spans="1:9" x14ac:dyDescent="0.3">
      <c r="A3094" t="s">
        <v>9</v>
      </c>
      <c r="B3094" t="s">
        <v>11</v>
      </c>
      <c r="C3094" t="s">
        <v>129</v>
      </c>
      <c r="D3094" s="9" t="s">
        <v>124</v>
      </c>
      <c r="E3094" t="s">
        <v>37</v>
      </c>
      <c r="F3094" t="s">
        <v>71</v>
      </c>
      <c r="G3094">
        <v>137.9</v>
      </c>
      <c r="H3094" s="9">
        <v>4.79</v>
      </c>
      <c r="I3094"/>
    </row>
    <row r="3095" spans="1:9" x14ac:dyDescent="0.3">
      <c r="A3095" t="s">
        <v>9</v>
      </c>
      <c r="B3095" t="s">
        <v>11</v>
      </c>
      <c r="C3095" t="s">
        <v>130</v>
      </c>
      <c r="D3095" s="9" t="s">
        <v>124</v>
      </c>
      <c r="E3095" t="s">
        <v>38</v>
      </c>
      <c r="F3095" t="s">
        <v>73</v>
      </c>
      <c r="G3095">
        <v>149.1</v>
      </c>
      <c r="H3095" s="9">
        <v>3.69</v>
      </c>
      <c r="I3095"/>
    </row>
    <row r="3096" spans="1:9" x14ac:dyDescent="0.3">
      <c r="A3096" t="s">
        <v>9</v>
      </c>
      <c r="B3096" t="s">
        <v>11</v>
      </c>
      <c r="C3096" t="s">
        <v>131</v>
      </c>
      <c r="D3096" s="9" t="s">
        <v>124</v>
      </c>
      <c r="E3096" t="s">
        <v>39</v>
      </c>
      <c r="F3096" t="s">
        <v>75</v>
      </c>
      <c r="G3096">
        <v>142.9</v>
      </c>
      <c r="H3096" s="9">
        <v>3.78</v>
      </c>
      <c r="I3096"/>
    </row>
    <row r="3097" spans="1:9" x14ac:dyDescent="0.3">
      <c r="A3097" t="s">
        <v>9</v>
      </c>
      <c r="B3097" t="s">
        <v>11</v>
      </c>
      <c r="C3097" t="s">
        <v>132</v>
      </c>
      <c r="D3097" s="9" t="s">
        <v>124</v>
      </c>
      <c r="E3097" t="s">
        <v>40</v>
      </c>
      <c r="F3097" t="s">
        <v>77</v>
      </c>
      <c r="G3097">
        <v>138.1</v>
      </c>
      <c r="H3097" s="9">
        <v>6.48</v>
      </c>
      <c r="I3097"/>
    </row>
    <row r="3098" spans="1:9" x14ac:dyDescent="0.3">
      <c r="A3098" t="s">
        <v>9</v>
      </c>
      <c r="B3098" t="s">
        <v>11</v>
      </c>
      <c r="C3098" t="s">
        <v>133</v>
      </c>
      <c r="D3098" s="9" t="s">
        <v>124</v>
      </c>
      <c r="E3098" t="s">
        <v>41</v>
      </c>
      <c r="F3098" t="s">
        <v>79</v>
      </c>
      <c r="G3098">
        <v>138.9</v>
      </c>
      <c r="H3098" s="9">
        <v>5.23</v>
      </c>
      <c r="I3098"/>
    </row>
    <row r="3099" spans="1:9" x14ac:dyDescent="0.3">
      <c r="A3099" t="s">
        <v>9</v>
      </c>
      <c r="B3099" t="s">
        <v>11</v>
      </c>
      <c r="C3099" t="s">
        <v>134</v>
      </c>
      <c r="D3099" s="9" t="s">
        <v>124</v>
      </c>
      <c r="E3099" t="s">
        <v>42</v>
      </c>
      <c r="F3099" t="s">
        <v>81</v>
      </c>
      <c r="G3099">
        <v>132.5</v>
      </c>
      <c r="H3099" s="9">
        <v>4.83</v>
      </c>
      <c r="I3099"/>
    </row>
    <row r="3100" spans="1:9" x14ac:dyDescent="0.3">
      <c r="A3100" t="s">
        <v>9</v>
      </c>
      <c r="B3100" t="s">
        <v>11</v>
      </c>
      <c r="C3100" t="s">
        <v>135</v>
      </c>
      <c r="D3100" s="9" t="s">
        <v>124</v>
      </c>
      <c r="E3100" t="s">
        <v>43</v>
      </c>
      <c r="F3100" t="s">
        <v>83</v>
      </c>
      <c r="G3100">
        <v>139.4</v>
      </c>
      <c r="H3100" s="9">
        <v>3.95</v>
      </c>
      <c r="I3100"/>
    </row>
    <row r="3101" spans="1:9" x14ac:dyDescent="0.3">
      <c r="A3101" t="s">
        <v>9</v>
      </c>
      <c r="B3101" t="s">
        <v>11</v>
      </c>
      <c r="C3101" t="s">
        <v>136</v>
      </c>
      <c r="D3101" s="9" t="s">
        <v>137</v>
      </c>
      <c r="E3101" t="s">
        <v>32</v>
      </c>
      <c r="F3101" t="s">
        <v>61</v>
      </c>
      <c r="G3101">
        <v>127.9</v>
      </c>
      <c r="H3101" s="9">
        <v>6.32</v>
      </c>
      <c r="I3101"/>
    </row>
    <row r="3102" spans="1:9" x14ac:dyDescent="0.3">
      <c r="A3102" t="s">
        <v>9</v>
      </c>
      <c r="B3102" t="s">
        <v>11</v>
      </c>
      <c r="C3102" t="s">
        <v>138</v>
      </c>
      <c r="D3102" s="9" t="s">
        <v>137</v>
      </c>
      <c r="E3102" t="s">
        <v>33</v>
      </c>
      <c r="F3102" t="s">
        <v>63</v>
      </c>
      <c r="G3102">
        <v>125.2</v>
      </c>
      <c r="H3102" s="9">
        <v>9.6300000000000008</v>
      </c>
      <c r="I3102"/>
    </row>
    <row r="3103" spans="1:9" x14ac:dyDescent="0.3">
      <c r="A3103" t="s">
        <v>9</v>
      </c>
      <c r="B3103" t="s">
        <v>11</v>
      </c>
      <c r="C3103" t="s">
        <v>139</v>
      </c>
      <c r="D3103" s="9" t="s">
        <v>137</v>
      </c>
      <c r="E3103" t="s">
        <v>34</v>
      </c>
      <c r="F3103" t="s">
        <v>65</v>
      </c>
      <c r="G3103">
        <v>137.4</v>
      </c>
      <c r="H3103" s="9">
        <v>6.76</v>
      </c>
      <c r="I3103"/>
    </row>
    <row r="3104" spans="1:9" x14ac:dyDescent="0.3">
      <c r="A3104" t="s">
        <v>9</v>
      </c>
      <c r="B3104" t="s">
        <v>11</v>
      </c>
      <c r="C3104" t="s">
        <v>140</v>
      </c>
      <c r="D3104" s="9" t="s">
        <v>137</v>
      </c>
      <c r="E3104" t="s">
        <v>35</v>
      </c>
      <c r="F3104" t="s">
        <v>67</v>
      </c>
      <c r="G3104">
        <v>135.19999999999999</v>
      </c>
      <c r="H3104" s="9">
        <v>4.4800000000000004</v>
      </c>
      <c r="I3104"/>
    </row>
    <row r="3105" spans="1:9" x14ac:dyDescent="0.3">
      <c r="A3105" t="s">
        <v>9</v>
      </c>
      <c r="B3105" t="s">
        <v>11</v>
      </c>
      <c r="C3105" t="s">
        <v>141</v>
      </c>
      <c r="D3105" s="9" t="s">
        <v>137</v>
      </c>
      <c r="E3105" t="s">
        <v>36</v>
      </c>
      <c r="F3105" t="s">
        <v>69</v>
      </c>
      <c r="G3105">
        <v>145.30000000000001</v>
      </c>
      <c r="H3105" s="9">
        <v>5.75</v>
      </c>
      <c r="I3105"/>
    </row>
    <row r="3106" spans="1:9" x14ac:dyDescent="0.3">
      <c r="A3106" t="s">
        <v>9</v>
      </c>
      <c r="B3106" t="s">
        <v>11</v>
      </c>
      <c r="C3106" t="s">
        <v>142</v>
      </c>
      <c r="D3106" s="9" t="s">
        <v>137</v>
      </c>
      <c r="E3106" t="s">
        <v>37</v>
      </c>
      <c r="F3106" t="s">
        <v>71</v>
      </c>
      <c r="G3106">
        <v>146.19999999999999</v>
      </c>
      <c r="H3106" s="9">
        <v>6.02</v>
      </c>
      <c r="I3106"/>
    </row>
    <row r="3107" spans="1:9" x14ac:dyDescent="0.3">
      <c r="A3107" t="s">
        <v>9</v>
      </c>
      <c r="B3107" t="s">
        <v>11</v>
      </c>
      <c r="C3107" t="s">
        <v>143</v>
      </c>
      <c r="D3107" s="9" t="s">
        <v>137</v>
      </c>
      <c r="E3107" t="s">
        <v>38</v>
      </c>
      <c r="F3107" t="s">
        <v>73</v>
      </c>
      <c r="G3107">
        <v>159.80000000000001</v>
      </c>
      <c r="H3107" s="9">
        <v>7.18</v>
      </c>
      <c r="I3107"/>
    </row>
    <row r="3108" spans="1:9" x14ac:dyDescent="0.3">
      <c r="A3108" t="s">
        <v>9</v>
      </c>
      <c r="B3108" t="s">
        <v>11</v>
      </c>
      <c r="C3108" t="s">
        <v>144</v>
      </c>
      <c r="D3108" s="9" t="s">
        <v>137</v>
      </c>
      <c r="E3108" t="s">
        <v>39</v>
      </c>
      <c r="F3108" t="s">
        <v>75</v>
      </c>
      <c r="G3108">
        <v>155.5</v>
      </c>
      <c r="H3108" s="9">
        <v>8.82</v>
      </c>
      <c r="I3108"/>
    </row>
    <row r="3109" spans="1:9" x14ac:dyDescent="0.3">
      <c r="A3109" t="s">
        <v>9</v>
      </c>
      <c r="B3109" t="s">
        <v>11</v>
      </c>
      <c r="C3109" t="s">
        <v>145</v>
      </c>
      <c r="D3109" s="9" t="s">
        <v>137</v>
      </c>
      <c r="E3109" t="s">
        <v>40</v>
      </c>
      <c r="F3109" t="s">
        <v>77</v>
      </c>
      <c r="G3109">
        <v>146.9</v>
      </c>
      <c r="H3109" s="9">
        <v>6.37</v>
      </c>
      <c r="I3109"/>
    </row>
    <row r="3110" spans="1:9" x14ac:dyDescent="0.3">
      <c r="A3110" t="s">
        <v>9</v>
      </c>
      <c r="B3110" t="s">
        <v>11</v>
      </c>
      <c r="C3110" t="s">
        <v>146</v>
      </c>
      <c r="D3110" s="9" t="s">
        <v>137</v>
      </c>
      <c r="E3110" t="s">
        <v>41</v>
      </c>
      <c r="F3110" t="s">
        <v>79</v>
      </c>
      <c r="G3110">
        <v>146.19999999999999</v>
      </c>
      <c r="H3110" s="9">
        <v>5.26</v>
      </c>
      <c r="I3110"/>
    </row>
    <row r="3111" spans="1:9" x14ac:dyDescent="0.3">
      <c r="A3111" t="s">
        <v>9</v>
      </c>
      <c r="B3111" t="s">
        <v>11</v>
      </c>
      <c r="C3111" t="s">
        <v>147</v>
      </c>
      <c r="D3111" s="9" t="s">
        <v>137</v>
      </c>
      <c r="E3111" t="s">
        <v>42</v>
      </c>
      <c r="F3111" t="s">
        <v>81</v>
      </c>
      <c r="G3111">
        <v>142.5</v>
      </c>
      <c r="H3111" s="9">
        <v>7.55</v>
      </c>
      <c r="I3111"/>
    </row>
    <row r="3112" spans="1:9" x14ac:dyDescent="0.3">
      <c r="A3112" t="s">
        <v>9</v>
      </c>
      <c r="B3112" t="s">
        <v>11</v>
      </c>
      <c r="C3112" t="s">
        <v>148</v>
      </c>
      <c r="D3112" s="9" t="s">
        <v>137</v>
      </c>
      <c r="E3112" t="s">
        <v>43</v>
      </c>
      <c r="F3112" t="s">
        <v>83</v>
      </c>
      <c r="G3112">
        <v>146.80000000000001</v>
      </c>
      <c r="H3112" s="9">
        <v>5.31</v>
      </c>
      <c r="I3112"/>
    </row>
    <row r="3113" spans="1:9" x14ac:dyDescent="0.3">
      <c r="A3113" t="s">
        <v>9</v>
      </c>
      <c r="B3113" t="s">
        <v>11</v>
      </c>
      <c r="C3113" t="s">
        <v>149</v>
      </c>
      <c r="D3113" s="9" t="s">
        <v>150</v>
      </c>
      <c r="E3113" t="s">
        <v>32</v>
      </c>
      <c r="F3113" t="s">
        <v>61</v>
      </c>
      <c r="G3113">
        <v>136.30000000000001</v>
      </c>
      <c r="H3113" s="9">
        <v>6.57</v>
      </c>
      <c r="I3113"/>
    </row>
    <row r="3114" spans="1:9" x14ac:dyDescent="0.3">
      <c r="A3114" t="s">
        <v>9</v>
      </c>
      <c r="B3114" t="s">
        <v>11</v>
      </c>
      <c r="C3114" t="s">
        <v>151</v>
      </c>
      <c r="D3114" s="9" t="s">
        <v>150</v>
      </c>
      <c r="E3114" t="s">
        <v>33</v>
      </c>
      <c r="F3114" t="s">
        <v>63</v>
      </c>
      <c r="G3114">
        <v>127.4</v>
      </c>
      <c r="H3114" s="9">
        <v>1.76</v>
      </c>
      <c r="I3114"/>
    </row>
    <row r="3115" spans="1:9" x14ac:dyDescent="0.3">
      <c r="A3115" t="s">
        <v>9</v>
      </c>
      <c r="B3115" t="s">
        <v>11</v>
      </c>
      <c r="C3115" t="s">
        <v>152</v>
      </c>
      <c r="D3115" s="9" t="s">
        <v>150</v>
      </c>
      <c r="E3115" t="s">
        <v>34</v>
      </c>
      <c r="F3115" t="s">
        <v>65</v>
      </c>
      <c r="G3115">
        <v>143.9</v>
      </c>
      <c r="H3115" s="9">
        <v>4.7300000000000004</v>
      </c>
      <c r="I3115"/>
    </row>
    <row r="3116" spans="1:9" x14ac:dyDescent="0.3">
      <c r="A3116" t="s">
        <v>9</v>
      </c>
      <c r="B3116" t="s">
        <v>11</v>
      </c>
      <c r="C3116" t="s">
        <v>153</v>
      </c>
      <c r="D3116" s="9" t="s">
        <v>150</v>
      </c>
      <c r="E3116" t="s">
        <v>35</v>
      </c>
      <c r="F3116" t="s">
        <v>67</v>
      </c>
      <c r="G3116">
        <v>141.30000000000001</v>
      </c>
      <c r="H3116" s="9">
        <v>4.51</v>
      </c>
      <c r="I3116"/>
    </row>
    <row r="3117" spans="1:9" x14ac:dyDescent="0.3">
      <c r="A3117" t="s">
        <v>9</v>
      </c>
      <c r="B3117" t="s">
        <v>11</v>
      </c>
      <c r="C3117" t="s">
        <v>154</v>
      </c>
      <c r="D3117" s="9" t="s">
        <v>150</v>
      </c>
      <c r="E3117" t="s">
        <v>36</v>
      </c>
      <c r="F3117" t="s">
        <v>69</v>
      </c>
      <c r="G3117">
        <v>148</v>
      </c>
      <c r="H3117" s="9">
        <v>1.86</v>
      </c>
      <c r="I3117"/>
    </row>
    <row r="3118" spans="1:9" x14ac:dyDescent="0.3">
      <c r="A3118" t="s">
        <v>9</v>
      </c>
      <c r="B3118" t="s">
        <v>11</v>
      </c>
      <c r="C3118" t="s">
        <v>155</v>
      </c>
      <c r="D3118" s="9" t="s">
        <v>150</v>
      </c>
      <c r="E3118" t="s">
        <v>37</v>
      </c>
      <c r="F3118" t="s">
        <v>71</v>
      </c>
      <c r="G3118">
        <v>149</v>
      </c>
      <c r="H3118" s="9">
        <v>1.92</v>
      </c>
      <c r="I3118"/>
    </row>
    <row r="3119" spans="1:9" x14ac:dyDescent="0.3">
      <c r="A3119" t="s">
        <v>9</v>
      </c>
      <c r="B3119" t="s">
        <v>18</v>
      </c>
      <c r="C3119" t="s">
        <v>59</v>
      </c>
      <c r="D3119" s="9" t="s">
        <v>60</v>
      </c>
      <c r="E3119" t="s">
        <v>32</v>
      </c>
      <c r="F3119" t="s">
        <v>61</v>
      </c>
      <c r="G3119">
        <v>17.399999999999999</v>
      </c>
      <c r="I3119"/>
    </row>
    <row r="3120" spans="1:9" x14ac:dyDescent="0.3">
      <c r="A3120" t="s">
        <v>9</v>
      </c>
      <c r="B3120" t="s">
        <v>18</v>
      </c>
      <c r="C3120" t="s">
        <v>62</v>
      </c>
      <c r="D3120" s="9" t="s">
        <v>60</v>
      </c>
      <c r="E3120" t="s">
        <v>33</v>
      </c>
      <c r="F3120" t="s">
        <v>63</v>
      </c>
      <c r="G3120">
        <v>18.7</v>
      </c>
      <c r="I3120"/>
    </row>
    <row r="3121" spans="1:9" x14ac:dyDescent="0.3">
      <c r="A3121" t="s">
        <v>9</v>
      </c>
      <c r="B3121" t="s">
        <v>18</v>
      </c>
      <c r="C3121" t="s">
        <v>64</v>
      </c>
      <c r="D3121" s="9" t="s">
        <v>60</v>
      </c>
      <c r="E3121" t="s">
        <v>34</v>
      </c>
      <c r="F3121" t="s">
        <v>65</v>
      </c>
      <c r="G3121">
        <v>20.3</v>
      </c>
      <c r="I3121"/>
    </row>
    <row r="3122" spans="1:9" x14ac:dyDescent="0.3">
      <c r="A3122" t="s">
        <v>9</v>
      </c>
      <c r="B3122" t="s">
        <v>18</v>
      </c>
      <c r="C3122" t="s">
        <v>66</v>
      </c>
      <c r="D3122" s="9" t="s">
        <v>60</v>
      </c>
      <c r="E3122" t="s">
        <v>35</v>
      </c>
      <c r="F3122" t="s">
        <v>67</v>
      </c>
      <c r="G3122">
        <v>20.100000000000001</v>
      </c>
      <c r="I3122"/>
    </row>
    <row r="3123" spans="1:9" x14ac:dyDescent="0.3">
      <c r="A3123" t="s">
        <v>9</v>
      </c>
      <c r="B3123" t="s">
        <v>18</v>
      </c>
      <c r="C3123" t="s">
        <v>68</v>
      </c>
      <c r="D3123" s="9" t="s">
        <v>60</v>
      </c>
      <c r="E3123" t="s">
        <v>36</v>
      </c>
      <c r="F3123" t="s">
        <v>69</v>
      </c>
      <c r="G3123">
        <v>20.9</v>
      </c>
      <c r="I3123"/>
    </row>
    <row r="3124" spans="1:9" x14ac:dyDescent="0.3">
      <c r="A3124" t="s">
        <v>9</v>
      </c>
      <c r="B3124" t="s">
        <v>18</v>
      </c>
      <c r="C3124" t="s">
        <v>70</v>
      </c>
      <c r="D3124" s="9" t="s">
        <v>60</v>
      </c>
      <c r="E3124" t="s">
        <v>37</v>
      </c>
      <c r="F3124" t="s">
        <v>71</v>
      </c>
      <c r="G3124">
        <v>21.4</v>
      </c>
      <c r="I3124"/>
    </row>
    <row r="3125" spans="1:9" x14ac:dyDescent="0.3">
      <c r="A3125" t="s">
        <v>9</v>
      </c>
      <c r="B3125" t="s">
        <v>18</v>
      </c>
      <c r="C3125" t="s">
        <v>72</v>
      </c>
      <c r="D3125" s="9" t="s">
        <v>60</v>
      </c>
      <c r="E3125" t="s">
        <v>38</v>
      </c>
      <c r="F3125" t="s">
        <v>73</v>
      </c>
      <c r="G3125">
        <v>21</v>
      </c>
      <c r="I3125"/>
    </row>
    <row r="3126" spans="1:9" x14ac:dyDescent="0.3">
      <c r="A3126" t="s">
        <v>9</v>
      </c>
      <c r="B3126" t="s">
        <v>18</v>
      </c>
      <c r="C3126" t="s">
        <v>74</v>
      </c>
      <c r="D3126" s="9" t="s">
        <v>60</v>
      </c>
      <c r="E3126" t="s">
        <v>39</v>
      </c>
      <c r="F3126" t="s">
        <v>75</v>
      </c>
      <c r="G3126">
        <v>22</v>
      </c>
      <c r="I3126"/>
    </row>
    <row r="3127" spans="1:9" x14ac:dyDescent="0.3">
      <c r="A3127" t="s">
        <v>9</v>
      </c>
      <c r="B3127" t="s">
        <v>18</v>
      </c>
      <c r="C3127" t="s">
        <v>76</v>
      </c>
      <c r="D3127" s="9" t="s">
        <v>60</v>
      </c>
      <c r="E3127" t="s">
        <v>40</v>
      </c>
      <c r="F3127" t="s">
        <v>77</v>
      </c>
      <c r="G3127">
        <v>22.8</v>
      </c>
      <c r="I3127"/>
    </row>
    <row r="3128" spans="1:9" x14ac:dyDescent="0.3">
      <c r="A3128" t="s">
        <v>9</v>
      </c>
      <c r="B3128" t="s">
        <v>18</v>
      </c>
      <c r="C3128" t="s">
        <v>78</v>
      </c>
      <c r="D3128" s="9" t="s">
        <v>60</v>
      </c>
      <c r="E3128" t="s">
        <v>41</v>
      </c>
      <c r="F3128" t="s">
        <v>79</v>
      </c>
      <c r="G3128">
        <v>21.5</v>
      </c>
      <c r="I3128"/>
    </row>
    <row r="3129" spans="1:9" x14ac:dyDescent="0.3">
      <c r="A3129" t="s">
        <v>9</v>
      </c>
      <c r="B3129" t="s">
        <v>18</v>
      </c>
      <c r="C3129" t="s">
        <v>80</v>
      </c>
      <c r="D3129" s="9" t="s">
        <v>60</v>
      </c>
      <c r="E3129" t="s">
        <v>42</v>
      </c>
      <c r="F3129" t="s">
        <v>81</v>
      </c>
      <c r="G3129">
        <v>20.9</v>
      </c>
      <c r="I3129"/>
    </row>
    <row r="3130" spans="1:9" x14ac:dyDescent="0.3">
      <c r="A3130" t="s">
        <v>9</v>
      </c>
      <c r="B3130" t="s">
        <v>18</v>
      </c>
      <c r="C3130" t="s">
        <v>82</v>
      </c>
      <c r="D3130" s="9" t="s">
        <v>60</v>
      </c>
      <c r="E3130" t="s">
        <v>43</v>
      </c>
      <c r="F3130" t="s">
        <v>83</v>
      </c>
      <c r="G3130">
        <v>20.9</v>
      </c>
      <c r="I3130"/>
    </row>
    <row r="3131" spans="1:9" x14ac:dyDescent="0.3">
      <c r="A3131" t="s">
        <v>9</v>
      </c>
      <c r="B3131" t="s">
        <v>18</v>
      </c>
      <c r="C3131" t="s">
        <v>84</v>
      </c>
      <c r="D3131" s="9" t="s">
        <v>85</v>
      </c>
      <c r="E3131" t="s">
        <v>32</v>
      </c>
      <c r="F3131" t="s">
        <v>61</v>
      </c>
      <c r="G3131">
        <v>18.8</v>
      </c>
      <c r="H3131" s="9">
        <v>8.0500000000000007</v>
      </c>
      <c r="I3131"/>
    </row>
    <row r="3132" spans="1:9" x14ac:dyDescent="0.3">
      <c r="A3132" t="s">
        <v>9</v>
      </c>
      <c r="B3132" t="s">
        <v>18</v>
      </c>
      <c r="C3132" t="s">
        <v>86</v>
      </c>
      <c r="D3132" s="9" t="s">
        <v>85</v>
      </c>
      <c r="E3132" t="s">
        <v>33</v>
      </c>
      <c r="F3132" t="s">
        <v>63</v>
      </c>
      <c r="G3132">
        <v>18.399999999999999</v>
      </c>
      <c r="H3132" s="9">
        <v>-1.6</v>
      </c>
      <c r="I3132"/>
    </row>
    <row r="3133" spans="1:9" x14ac:dyDescent="0.3">
      <c r="A3133" t="s">
        <v>9</v>
      </c>
      <c r="B3133" t="s">
        <v>18</v>
      </c>
      <c r="C3133" t="s">
        <v>87</v>
      </c>
      <c r="D3133" s="9" t="s">
        <v>85</v>
      </c>
      <c r="E3133" t="s">
        <v>34</v>
      </c>
      <c r="F3133" t="s">
        <v>65</v>
      </c>
      <c r="G3133">
        <v>18.5</v>
      </c>
      <c r="H3133" s="9">
        <v>-8.8699999999999992</v>
      </c>
      <c r="I3133"/>
    </row>
    <row r="3134" spans="1:9" x14ac:dyDescent="0.3">
      <c r="A3134" t="s">
        <v>9</v>
      </c>
      <c r="B3134" t="s">
        <v>18</v>
      </c>
      <c r="C3134" t="s">
        <v>88</v>
      </c>
      <c r="D3134" s="9" t="s">
        <v>85</v>
      </c>
      <c r="E3134" t="s">
        <v>35</v>
      </c>
      <c r="F3134" t="s">
        <v>67</v>
      </c>
      <c r="G3134">
        <v>17.899999999999999</v>
      </c>
      <c r="H3134" s="9">
        <v>-10.95</v>
      </c>
      <c r="I3134"/>
    </row>
    <row r="3135" spans="1:9" x14ac:dyDescent="0.3">
      <c r="A3135" t="s">
        <v>9</v>
      </c>
      <c r="B3135" t="s">
        <v>18</v>
      </c>
      <c r="C3135" t="s">
        <v>89</v>
      </c>
      <c r="D3135" s="9" t="s">
        <v>85</v>
      </c>
      <c r="E3135" t="s">
        <v>36</v>
      </c>
      <c r="F3135" t="s">
        <v>69</v>
      </c>
      <c r="G3135">
        <v>19.899999999999999</v>
      </c>
      <c r="H3135" s="9">
        <v>-4.78</v>
      </c>
      <c r="I3135"/>
    </row>
    <row r="3136" spans="1:9" x14ac:dyDescent="0.3">
      <c r="A3136" t="s">
        <v>9</v>
      </c>
      <c r="B3136" t="s">
        <v>18</v>
      </c>
      <c r="C3136" t="s">
        <v>90</v>
      </c>
      <c r="D3136" s="9" t="s">
        <v>85</v>
      </c>
      <c r="E3136" t="s">
        <v>37</v>
      </c>
      <c r="F3136" t="s">
        <v>71</v>
      </c>
      <c r="G3136">
        <v>21.5</v>
      </c>
      <c r="H3136" s="9">
        <v>0.47</v>
      </c>
      <c r="I3136"/>
    </row>
    <row r="3137" spans="1:9" x14ac:dyDescent="0.3">
      <c r="A3137" t="s">
        <v>9</v>
      </c>
      <c r="B3137" t="s">
        <v>18</v>
      </c>
      <c r="C3137" t="s">
        <v>91</v>
      </c>
      <c r="D3137" s="9" t="s">
        <v>85</v>
      </c>
      <c r="E3137" t="s">
        <v>38</v>
      </c>
      <c r="F3137" t="s">
        <v>73</v>
      </c>
      <c r="G3137">
        <v>21.3</v>
      </c>
      <c r="H3137" s="9">
        <v>1.43</v>
      </c>
      <c r="I3137"/>
    </row>
    <row r="3138" spans="1:9" x14ac:dyDescent="0.3">
      <c r="A3138" t="s">
        <v>9</v>
      </c>
      <c r="B3138" t="s">
        <v>18</v>
      </c>
      <c r="C3138" t="s">
        <v>92</v>
      </c>
      <c r="D3138" s="9" t="s">
        <v>85</v>
      </c>
      <c r="E3138" t="s">
        <v>39</v>
      </c>
      <c r="F3138" t="s">
        <v>75</v>
      </c>
      <c r="G3138">
        <v>21.8</v>
      </c>
      <c r="H3138" s="9">
        <v>-0.91</v>
      </c>
      <c r="I3138"/>
    </row>
    <row r="3139" spans="1:9" x14ac:dyDescent="0.3">
      <c r="A3139" t="s">
        <v>9</v>
      </c>
      <c r="B3139" t="s">
        <v>18</v>
      </c>
      <c r="C3139" t="s">
        <v>93</v>
      </c>
      <c r="D3139" s="9" t="s">
        <v>85</v>
      </c>
      <c r="E3139" t="s">
        <v>40</v>
      </c>
      <c r="F3139" t="s">
        <v>77</v>
      </c>
      <c r="G3139">
        <v>22.4</v>
      </c>
      <c r="H3139" s="9">
        <v>-1.75</v>
      </c>
      <c r="I3139"/>
    </row>
    <row r="3140" spans="1:9" x14ac:dyDescent="0.3">
      <c r="A3140" t="s">
        <v>9</v>
      </c>
      <c r="B3140" t="s">
        <v>18</v>
      </c>
      <c r="C3140" t="s">
        <v>94</v>
      </c>
      <c r="D3140" s="9" t="s">
        <v>85</v>
      </c>
      <c r="E3140" t="s">
        <v>41</v>
      </c>
      <c r="F3140" t="s">
        <v>79</v>
      </c>
      <c r="G3140">
        <v>22.7</v>
      </c>
      <c r="H3140" s="9">
        <v>5.58</v>
      </c>
      <c r="I3140"/>
    </row>
    <row r="3141" spans="1:9" x14ac:dyDescent="0.3">
      <c r="A3141" t="s">
        <v>9</v>
      </c>
      <c r="B3141" t="s">
        <v>18</v>
      </c>
      <c r="C3141" t="s">
        <v>95</v>
      </c>
      <c r="D3141" s="9" t="s">
        <v>85</v>
      </c>
      <c r="E3141" t="s">
        <v>42</v>
      </c>
      <c r="F3141" t="s">
        <v>81</v>
      </c>
      <c r="G3141">
        <v>24</v>
      </c>
      <c r="H3141" s="9">
        <v>14.83</v>
      </c>
      <c r="I3141"/>
    </row>
    <row r="3142" spans="1:9" x14ac:dyDescent="0.3">
      <c r="A3142" t="s">
        <v>9</v>
      </c>
      <c r="B3142" t="s">
        <v>18</v>
      </c>
      <c r="C3142" t="s">
        <v>96</v>
      </c>
      <c r="D3142" s="9" t="s">
        <v>85</v>
      </c>
      <c r="E3142" t="s">
        <v>43</v>
      </c>
      <c r="F3142" t="s">
        <v>83</v>
      </c>
      <c r="G3142">
        <v>24</v>
      </c>
      <c r="H3142" s="9">
        <v>14.83</v>
      </c>
      <c r="I3142"/>
    </row>
    <row r="3143" spans="1:9" x14ac:dyDescent="0.3">
      <c r="A3143" t="s">
        <v>9</v>
      </c>
      <c r="B3143" t="s">
        <v>18</v>
      </c>
      <c r="C3143" t="s">
        <v>97</v>
      </c>
      <c r="D3143" s="9" t="s">
        <v>98</v>
      </c>
      <c r="E3143" t="s">
        <v>32</v>
      </c>
      <c r="F3143" t="s">
        <v>61</v>
      </c>
      <c r="G3143">
        <v>21.9</v>
      </c>
      <c r="H3143" s="9">
        <v>16.489999999999998</v>
      </c>
      <c r="I3143"/>
    </row>
    <row r="3144" spans="1:9" x14ac:dyDescent="0.3">
      <c r="A3144" t="s">
        <v>9</v>
      </c>
      <c r="B3144" t="s">
        <v>18</v>
      </c>
      <c r="C3144" t="s">
        <v>99</v>
      </c>
      <c r="D3144" s="9" t="s">
        <v>98</v>
      </c>
      <c r="E3144" t="s">
        <v>33</v>
      </c>
      <c r="F3144" t="s">
        <v>63</v>
      </c>
      <c r="G3144">
        <v>20.9</v>
      </c>
      <c r="H3144" s="9">
        <v>13.59</v>
      </c>
      <c r="I3144"/>
    </row>
    <row r="3145" spans="1:9" x14ac:dyDescent="0.3">
      <c r="A3145" t="s">
        <v>9</v>
      </c>
      <c r="B3145" t="s">
        <v>18</v>
      </c>
      <c r="C3145" t="s">
        <v>100</v>
      </c>
      <c r="D3145" s="9" t="s">
        <v>98</v>
      </c>
      <c r="E3145" t="s">
        <v>34</v>
      </c>
      <c r="F3145" t="s">
        <v>65</v>
      </c>
      <c r="G3145">
        <v>22.8</v>
      </c>
      <c r="H3145" s="9">
        <v>23.24</v>
      </c>
      <c r="I3145"/>
    </row>
    <row r="3146" spans="1:9" x14ac:dyDescent="0.3">
      <c r="A3146" t="s">
        <v>9</v>
      </c>
      <c r="B3146" t="s">
        <v>18</v>
      </c>
      <c r="C3146" t="s">
        <v>101</v>
      </c>
      <c r="D3146" s="9" t="s">
        <v>98</v>
      </c>
      <c r="E3146" t="s">
        <v>35</v>
      </c>
      <c r="F3146" t="s">
        <v>67</v>
      </c>
      <c r="G3146">
        <v>21.9</v>
      </c>
      <c r="H3146" s="9">
        <v>22.35</v>
      </c>
      <c r="I3146"/>
    </row>
    <row r="3147" spans="1:9" x14ac:dyDescent="0.3">
      <c r="A3147" t="s">
        <v>9</v>
      </c>
      <c r="B3147" t="s">
        <v>18</v>
      </c>
      <c r="C3147" t="s">
        <v>102</v>
      </c>
      <c r="D3147" s="9" t="s">
        <v>98</v>
      </c>
      <c r="E3147" t="s">
        <v>36</v>
      </c>
      <c r="F3147" t="s">
        <v>69</v>
      </c>
      <c r="G3147">
        <v>22.4</v>
      </c>
      <c r="H3147" s="9">
        <v>12.56</v>
      </c>
      <c r="I3147"/>
    </row>
    <row r="3148" spans="1:9" x14ac:dyDescent="0.3">
      <c r="A3148" t="s">
        <v>9</v>
      </c>
      <c r="B3148" t="s">
        <v>18</v>
      </c>
      <c r="C3148" t="s">
        <v>103</v>
      </c>
      <c r="D3148" s="9" t="s">
        <v>98</v>
      </c>
      <c r="E3148" t="s">
        <v>37</v>
      </c>
      <c r="F3148" t="s">
        <v>71</v>
      </c>
      <c r="G3148">
        <v>22.5</v>
      </c>
      <c r="H3148" s="9">
        <v>4.6500000000000004</v>
      </c>
      <c r="I3148"/>
    </row>
    <row r="3149" spans="1:9" x14ac:dyDescent="0.3">
      <c r="A3149" t="s">
        <v>9</v>
      </c>
      <c r="B3149" t="s">
        <v>18</v>
      </c>
      <c r="C3149" t="s">
        <v>104</v>
      </c>
      <c r="D3149" s="9" t="s">
        <v>98</v>
      </c>
      <c r="E3149" t="s">
        <v>38</v>
      </c>
      <c r="F3149" t="s">
        <v>73</v>
      </c>
      <c r="G3149">
        <v>23.1</v>
      </c>
      <c r="H3149" s="9">
        <v>8.4499999999999993</v>
      </c>
      <c r="I3149"/>
    </row>
    <row r="3150" spans="1:9" x14ac:dyDescent="0.3">
      <c r="A3150" t="s">
        <v>9</v>
      </c>
      <c r="B3150" t="s">
        <v>18</v>
      </c>
      <c r="C3150" t="s">
        <v>105</v>
      </c>
      <c r="D3150" s="9" t="s">
        <v>98</v>
      </c>
      <c r="E3150" t="s">
        <v>39</v>
      </c>
      <c r="F3150" t="s">
        <v>75</v>
      </c>
      <c r="G3150">
        <v>22.8</v>
      </c>
      <c r="H3150" s="9">
        <v>4.59</v>
      </c>
      <c r="I3150"/>
    </row>
    <row r="3151" spans="1:9" x14ac:dyDescent="0.3">
      <c r="A3151" t="s">
        <v>9</v>
      </c>
      <c r="B3151" t="s">
        <v>18</v>
      </c>
      <c r="C3151" t="s">
        <v>106</v>
      </c>
      <c r="D3151" s="9" t="s">
        <v>98</v>
      </c>
      <c r="E3151" t="s">
        <v>40</v>
      </c>
      <c r="F3151" t="s">
        <v>77</v>
      </c>
      <c r="G3151">
        <v>21.4</v>
      </c>
      <c r="H3151" s="9">
        <v>-4.46</v>
      </c>
      <c r="I3151"/>
    </row>
    <row r="3152" spans="1:9" x14ac:dyDescent="0.3">
      <c r="A3152" t="s">
        <v>9</v>
      </c>
      <c r="B3152" t="s">
        <v>18</v>
      </c>
      <c r="C3152" t="s">
        <v>107</v>
      </c>
      <c r="D3152" s="9" t="s">
        <v>98</v>
      </c>
      <c r="E3152" t="s">
        <v>41</v>
      </c>
      <c r="F3152" t="s">
        <v>79</v>
      </c>
      <c r="G3152">
        <v>21</v>
      </c>
      <c r="H3152" s="9">
        <v>-7.49</v>
      </c>
      <c r="I3152"/>
    </row>
    <row r="3153" spans="1:9" x14ac:dyDescent="0.3">
      <c r="A3153" t="s">
        <v>9</v>
      </c>
      <c r="B3153" t="s">
        <v>18</v>
      </c>
      <c r="C3153" t="s">
        <v>108</v>
      </c>
      <c r="D3153" s="9" t="s">
        <v>98</v>
      </c>
      <c r="E3153" t="s">
        <v>42</v>
      </c>
      <c r="F3153" t="s">
        <v>81</v>
      </c>
      <c r="G3153">
        <v>19.899999999999999</v>
      </c>
      <c r="H3153" s="9">
        <v>-17.079999999999998</v>
      </c>
      <c r="I3153"/>
    </row>
    <row r="3154" spans="1:9" x14ac:dyDescent="0.3">
      <c r="A3154" t="s">
        <v>9</v>
      </c>
      <c r="B3154" t="s">
        <v>18</v>
      </c>
      <c r="C3154" t="s">
        <v>109</v>
      </c>
      <c r="D3154" s="9" t="s">
        <v>98</v>
      </c>
      <c r="E3154" t="s">
        <v>43</v>
      </c>
      <c r="F3154" t="s">
        <v>83</v>
      </c>
      <c r="G3154">
        <v>20.7</v>
      </c>
      <c r="H3154" s="9">
        <v>-13.75</v>
      </c>
      <c r="I3154"/>
    </row>
    <row r="3155" spans="1:9" x14ac:dyDescent="0.3">
      <c r="A3155" t="s">
        <v>9</v>
      </c>
      <c r="B3155" t="s">
        <v>18</v>
      </c>
      <c r="C3155" t="s">
        <v>110</v>
      </c>
      <c r="D3155" s="9" t="s">
        <v>111</v>
      </c>
      <c r="E3155" t="s">
        <v>32</v>
      </c>
      <c r="F3155" t="s">
        <v>61</v>
      </c>
      <c r="G3155">
        <v>19</v>
      </c>
      <c r="H3155" s="9">
        <v>-13.24</v>
      </c>
      <c r="I3155"/>
    </row>
    <row r="3156" spans="1:9" x14ac:dyDescent="0.3">
      <c r="A3156" t="s">
        <v>9</v>
      </c>
      <c r="B3156" t="s">
        <v>18</v>
      </c>
      <c r="C3156" t="s">
        <v>112</v>
      </c>
      <c r="D3156" s="9" t="s">
        <v>111</v>
      </c>
      <c r="E3156" t="s">
        <v>33</v>
      </c>
      <c r="F3156" t="s">
        <v>63</v>
      </c>
      <c r="G3156">
        <v>17.8</v>
      </c>
      <c r="H3156" s="9">
        <v>-14.83</v>
      </c>
      <c r="I3156"/>
    </row>
    <row r="3157" spans="1:9" x14ac:dyDescent="0.3">
      <c r="A3157" t="s">
        <v>9</v>
      </c>
      <c r="B3157" t="s">
        <v>18</v>
      </c>
      <c r="C3157" t="s">
        <v>113</v>
      </c>
      <c r="D3157" s="9" t="s">
        <v>111</v>
      </c>
      <c r="E3157" t="s">
        <v>34</v>
      </c>
      <c r="F3157" t="s">
        <v>65</v>
      </c>
      <c r="G3157">
        <v>19.2</v>
      </c>
      <c r="H3157" s="9">
        <v>-15.79</v>
      </c>
      <c r="I3157"/>
    </row>
    <row r="3158" spans="1:9" x14ac:dyDescent="0.3">
      <c r="A3158" t="s">
        <v>9</v>
      </c>
      <c r="B3158" t="s">
        <v>18</v>
      </c>
      <c r="C3158" t="s">
        <v>114</v>
      </c>
      <c r="D3158" s="9" t="s">
        <v>111</v>
      </c>
      <c r="E3158" t="s">
        <v>35</v>
      </c>
      <c r="F3158" t="s">
        <v>67</v>
      </c>
      <c r="G3158">
        <v>20.3</v>
      </c>
      <c r="H3158" s="9">
        <v>-7.31</v>
      </c>
      <c r="I3158"/>
    </row>
    <row r="3159" spans="1:9" x14ac:dyDescent="0.3">
      <c r="A3159" t="s">
        <v>9</v>
      </c>
      <c r="B3159" t="s">
        <v>18</v>
      </c>
      <c r="C3159" t="s">
        <v>115</v>
      </c>
      <c r="D3159" s="9" t="s">
        <v>111</v>
      </c>
      <c r="E3159" t="s">
        <v>36</v>
      </c>
      <c r="F3159" t="s">
        <v>69</v>
      </c>
      <c r="G3159">
        <v>21.3</v>
      </c>
      <c r="H3159" s="9">
        <v>-4.91</v>
      </c>
      <c r="I3159"/>
    </row>
    <row r="3160" spans="1:9" x14ac:dyDescent="0.3">
      <c r="A3160" t="s">
        <v>9</v>
      </c>
      <c r="B3160" t="s">
        <v>18</v>
      </c>
      <c r="C3160" t="s">
        <v>116</v>
      </c>
      <c r="D3160" s="9" t="s">
        <v>111</v>
      </c>
      <c r="E3160" t="s">
        <v>37</v>
      </c>
      <c r="F3160" t="s">
        <v>71</v>
      </c>
      <c r="G3160">
        <v>21.9</v>
      </c>
      <c r="H3160" s="9">
        <v>-2.67</v>
      </c>
      <c r="I3160"/>
    </row>
    <row r="3161" spans="1:9" x14ac:dyDescent="0.3">
      <c r="A3161" t="s">
        <v>9</v>
      </c>
      <c r="B3161" t="s">
        <v>18</v>
      </c>
      <c r="C3161" t="s">
        <v>117</v>
      </c>
      <c r="D3161" s="9" t="s">
        <v>111</v>
      </c>
      <c r="E3161" t="s">
        <v>38</v>
      </c>
      <c r="F3161" t="s">
        <v>73</v>
      </c>
      <c r="G3161">
        <v>23.9</v>
      </c>
      <c r="H3161" s="9">
        <v>3.46</v>
      </c>
      <c r="I3161"/>
    </row>
    <row r="3162" spans="1:9" x14ac:dyDescent="0.3">
      <c r="A3162" t="s">
        <v>9</v>
      </c>
      <c r="B3162" t="s">
        <v>18</v>
      </c>
      <c r="C3162" t="s">
        <v>118</v>
      </c>
      <c r="D3162" s="9" t="s">
        <v>111</v>
      </c>
      <c r="E3162" t="s">
        <v>39</v>
      </c>
      <c r="F3162" t="s">
        <v>75</v>
      </c>
      <c r="G3162">
        <v>22.9</v>
      </c>
      <c r="H3162" s="9">
        <v>0.44</v>
      </c>
      <c r="I3162"/>
    </row>
    <row r="3163" spans="1:9" x14ac:dyDescent="0.3">
      <c r="A3163" t="s">
        <v>9</v>
      </c>
      <c r="B3163" t="s">
        <v>18</v>
      </c>
      <c r="C3163" t="s">
        <v>119</v>
      </c>
      <c r="D3163" s="9" t="s">
        <v>111</v>
      </c>
      <c r="E3163" t="s">
        <v>40</v>
      </c>
      <c r="F3163" t="s">
        <v>77</v>
      </c>
      <c r="G3163">
        <v>21.9</v>
      </c>
      <c r="H3163" s="9">
        <v>2.34</v>
      </c>
      <c r="I3163"/>
    </row>
    <row r="3164" spans="1:9" x14ac:dyDescent="0.3">
      <c r="A3164" t="s">
        <v>9</v>
      </c>
      <c r="B3164" t="s">
        <v>18</v>
      </c>
      <c r="C3164" t="s">
        <v>120</v>
      </c>
      <c r="D3164" s="9" t="s">
        <v>111</v>
      </c>
      <c r="E3164" t="s">
        <v>41</v>
      </c>
      <c r="F3164" t="s">
        <v>79</v>
      </c>
      <c r="G3164">
        <v>20.8</v>
      </c>
      <c r="H3164" s="9">
        <v>-0.95</v>
      </c>
      <c r="I3164"/>
    </row>
    <row r="3165" spans="1:9" x14ac:dyDescent="0.3">
      <c r="A3165" t="s">
        <v>9</v>
      </c>
      <c r="B3165" t="s">
        <v>18</v>
      </c>
      <c r="C3165" t="s">
        <v>121</v>
      </c>
      <c r="D3165" s="9" t="s">
        <v>111</v>
      </c>
      <c r="E3165" t="s">
        <v>42</v>
      </c>
      <c r="F3165" t="s">
        <v>81</v>
      </c>
      <c r="G3165">
        <v>20.5</v>
      </c>
      <c r="H3165" s="9">
        <v>3.02</v>
      </c>
      <c r="I3165"/>
    </row>
    <row r="3166" spans="1:9" x14ac:dyDescent="0.3">
      <c r="A3166" t="s">
        <v>9</v>
      </c>
      <c r="B3166" t="s">
        <v>18</v>
      </c>
      <c r="C3166" t="s">
        <v>122</v>
      </c>
      <c r="D3166" s="9" t="s">
        <v>111</v>
      </c>
      <c r="E3166" t="s">
        <v>43</v>
      </c>
      <c r="F3166" t="s">
        <v>83</v>
      </c>
      <c r="G3166">
        <v>21.3</v>
      </c>
      <c r="H3166" s="9">
        <v>2.9</v>
      </c>
      <c r="I3166"/>
    </row>
    <row r="3167" spans="1:9" x14ac:dyDescent="0.3">
      <c r="A3167" t="s">
        <v>9</v>
      </c>
      <c r="B3167" t="s">
        <v>18</v>
      </c>
      <c r="C3167" t="s">
        <v>123</v>
      </c>
      <c r="D3167" s="9" t="s">
        <v>124</v>
      </c>
      <c r="E3167" t="s">
        <v>32</v>
      </c>
      <c r="F3167" t="s">
        <v>61</v>
      </c>
      <c r="G3167">
        <v>18.3</v>
      </c>
      <c r="H3167" s="9">
        <v>-3.68</v>
      </c>
      <c r="I3167"/>
    </row>
    <row r="3168" spans="1:9" x14ac:dyDescent="0.3">
      <c r="A3168" t="s">
        <v>9</v>
      </c>
      <c r="B3168" t="s">
        <v>18</v>
      </c>
      <c r="C3168" t="s">
        <v>125</v>
      </c>
      <c r="D3168" s="9" t="s">
        <v>124</v>
      </c>
      <c r="E3168" t="s">
        <v>33</v>
      </c>
      <c r="F3168" t="s">
        <v>63</v>
      </c>
      <c r="G3168">
        <v>18</v>
      </c>
      <c r="H3168" s="9">
        <v>1.1200000000000001</v>
      </c>
      <c r="I3168"/>
    </row>
    <row r="3169" spans="1:9" x14ac:dyDescent="0.3">
      <c r="A3169" t="s">
        <v>9</v>
      </c>
      <c r="B3169" t="s">
        <v>18</v>
      </c>
      <c r="C3169" t="s">
        <v>126</v>
      </c>
      <c r="D3169" s="9" t="s">
        <v>124</v>
      </c>
      <c r="E3169" t="s">
        <v>34</v>
      </c>
      <c r="F3169" t="s">
        <v>65</v>
      </c>
      <c r="G3169">
        <v>20.6</v>
      </c>
      <c r="H3169" s="9">
        <v>7.29</v>
      </c>
      <c r="I3169"/>
    </row>
    <row r="3170" spans="1:9" x14ac:dyDescent="0.3">
      <c r="A3170" t="s">
        <v>9</v>
      </c>
      <c r="B3170" t="s">
        <v>18</v>
      </c>
      <c r="C3170" t="s">
        <v>127</v>
      </c>
      <c r="D3170" s="9" t="s">
        <v>124</v>
      </c>
      <c r="E3170" t="s">
        <v>35</v>
      </c>
      <c r="F3170" t="s">
        <v>67</v>
      </c>
      <c r="G3170">
        <v>20.2</v>
      </c>
      <c r="H3170" s="9">
        <v>-0.49</v>
      </c>
      <c r="I3170"/>
    </row>
    <row r="3171" spans="1:9" x14ac:dyDescent="0.3">
      <c r="A3171" t="s">
        <v>9</v>
      </c>
      <c r="B3171" t="s">
        <v>18</v>
      </c>
      <c r="C3171" t="s">
        <v>128</v>
      </c>
      <c r="D3171" s="9" t="s">
        <v>124</v>
      </c>
      <c r="E3171" t="s">
        <v>36</v>
      </c>
      <c r="F3171" t="s">
        <v>69</v>
      </c>
      <c r="G3171">
        <v>21.4</v>
      </c>
      <c r="H3171" s="9">
        <v>0.47</v>
      </c>
      <c r="I3171"/>
    </row>
    <row r="3172" spans="1:9" x14ac:dyDescent="0.3">
      <c r="A3172" t="s">
        <v>9</v>
      </c>
      <c r="B3172" t="s">
        <v>18</v>
      </c>
      <c r="C3172" t="s">
        <v>129</v>
      </c>
      <c r="D3172" s="9" t="s">
        <v>124</v>
      </c>
      <c r="E3172" t="s">
        <v>37</v>
      </c>
      <c r="F3172" t="s">
        <v>71</v>
      </c>
      <c r="G3172">
        <v>22.3</v>
      </c>
      <c r="H3172" s="9">
        <v>1.83</v>
      </c>
      <c r="I3172"/>
    </row>
    <row r="3173" spans="1:9" x14ac:dyDescent="0.3">
      <c r="A3173" t="s">
        <v>9</v>
      </c>
      <c r="B3173" t="s">
        <v>18</v>
      </c>
      <c r="C3173" t="s">
        <v>130</v>
      </c>
      <c r="D3173" s="9" t="s">
        <v>124</v>
      </c>
      <c r="E3173" t="s">
        <v>38</v>
      </c>
      <c r="F3173" t="s">
        <v>73</v>
      </c>
      <c r="G3173">
        <v>25.1</v>
      </c>
      <c r="H3173" s="9">
        <v>5.0199999999999996</v>
      </c>
      <c r="I3173"/>
    </row>
    <row r="3174" spans="1:9" x14ac:dyDescent="0.3">
      <c r="A3174" t="s">
        <v>9</v>
      </c>
      <c r="B3174" t="s">
        <v>18</v>
      </c>
      <c r="C3174" t="s">
        <v>131</v>
      </c>
      <c r="D3174" s="9" t="s">
        <v>124</v>
      </c>
      <c r="E3174" t="s">
        <v>39</v>
      </c>
      <c r="F3174" t="s">
        <v>75</v>
      </c>
      <c r="G3174">
        <v>24.2</v>
      </c>
      <c r="H3174" s="9">
        <v>5.68</v>
      </c>
      <c r="I3174"/>
    </row>
    <row r="3175" spans="1:9" x14ac:dyDescent="0.3">
      <c r="A3175" t="s">
        <v>9</v>
      </c>
      <c r="B3175" t="s">
        <v>18</v>
      </c>
      <c r="C3175" t="s">
        <v>132</v>
      </c>
      <c r="D3175" s="9" t="s">
        <v>124</v>
      </c>
      <c r="E3175" t="s">
        <v>40</v>
      </c>
      <c r="F3175" t="s">
        <v>77</v>
      </c>
      <c r="G3175">
        <v>22.8</v>
      </c>
      <c r="H3175" s="9">
        <v>4.1100000000000003</v>
      </c>
      <c r="I3175"/>
    </row>
    <row r="3176" spans="1:9" x14ac:dyDescent="0.3">
      <c r="A3176" t="s">
        <v>9</v>
      </c>
      <c r="B3176" t="s">
        <v>18</v>
      </c>
      <c r="C3176" t="s">
        <v>133</v>
      </c>
      <c r="D3176" s="9" t="s">
        <v>124</v>
      </c>
      <c r="E3176" t="s">
        <v>41</v>
      </c>
      <c r="F3176" t="s">
        <v>79</v>
      </c>
      <c r="G3176">
        <v>21.8</v>
      </c>
      <c r="H3176" s="9">
        <v>4.8099999999999996</v>
      </c>
      <c r="I3176"/>
    </row>
    <row r="3177" spans="1:9" x14ac:dyDescent="0.3">
      <c r="A3177" t="s">
        <v>9</v>
      </c>
      <c r="B3177" t="s">
        <v>18</v>
      </c>
      <c r="C3177" t="s">
        <v>134</v>
      </c>
      <c r="D3177" s="9" t="s">
        <v>124</v>
      </c>
      <c r="E3177" t="s">
        <v>42</v>
      </c>
      <c r="F3177" t="s">
        <v>81</v>
      </c>
      <c r="G3177">
        <v>21.7</v>
      </c>
      <c r="H3177" s="9">
        <v>5.85</v>
      </c>
      <c r="I3177"/>
    </row>
    <row r="3178" spans="1:9" x14ac:dyDescent="0.3">
      <c r="A3178" t="s">
        <v>9</v>
      </c>
      <c r="B3178" t="s">
        <v>18</v>
      </c>
      <c r="C3178" t="s">
        <v>135</v>
      </c>
      <c r="D3178" s="9" t="s">
        <v>124</v>
      </c>
      <c r="E3178" t="s">
        <v>43</v>
      </c>
      <c r="F3178" t="s">
        <v>83</v>
      </c>
      <c r="G3178">
        <v>21.9</v>
      </c>
      <c r="H3178" s="9">
        <v>2.82</v>
      </c>
      <c r="I3178"/>
    </row>
    <row r="3179" spans="1:9" x14ac:dyDescent="0.3">
      <c r="A3179" t="s">
        <v>9</v>
      </c>
      <c r="B3179" t="s">
        <v>18</v>
      </c>
      <c r="C3179" t="s">
        <v>136</v>
      </c>
      <c r="D3179" s="9" t="s">
        <v>137</v>
      </c>
      <c r="E3179" t="s">
        <v>32</v>
      </c>
      <c r="F3179" t="s">
        <v>61</v>
      </c>
      <c r="G3179">
        <v>19.5</v>
      </c>
      <c r="H3179" s="9">
        <v>6.56</v>
      </c>
      <c r="I3179"/>
    </row>
    <row r="3180" spans="1:9" x14ac:dyDescent="0.3">
      <c r="A3180" t="s">
        <v>9</v>
      </c>
      <c r="B3180" t="s">
        <v>18</v>
      </c>
      <c r="C3180" t="s">
        <v>138</v>
      </c>
      <c r="D3180" s="9" t="s">
        <v>137</v>
      </c>
      <c r="E3180" t="s">
        <v>33</v>
      </c>
      <c r="F3180" t="s">
        <v>63</v>
      </c>
      <c r="G3180">
        <v>20.100000000000001</v>
      </c>
      <c r="H3180" s="9">
        <v>11.67</v>
      </c>
      <c r="I3180"/>
    </row>
    <row r="3181" spans="1:9" x14ac:dyDescent="0.3">
      <c r="A3181" t="s">
        <v>9</v>
      </c>
      <c r="B3181" t="s">
        <v>18</v>
      </c>
      <c r="C3181" t="s">
        <v>139</v>
      </c>
      <c r="D3181" s="9" t="s">
        <v>137</v>
      </c>
      <c r="E3181" t="s">
        <v>34</v>
      </c>
      <c r="F3181" t="s">
        <v>65</v>
      </c>
      <c r="G3181">
        <v>21.8</v>
      </c>
      <c r="H3181" s="9">
        <v>5.83</v>
      </c>
      <c r="I3181"/>
    </row>
    <row r="3182" spans="1:9" x14ac:dyDescent="0.3">
      <c r="A3182" t="s">
        <v>9</v>
      </c>
      <c r="B3182" t="s">
        <v>18</v>
      </c>
      <c r="C3182" t="s">
        <v>140</v>
      </c>
      <c r="D3182" s="9" t="s">
        <v>137</v>
      </c>
      <c r="E3182" t="s">
        <v>35</v>
      </c>
      <c r="F3182" t="s">
        <v>67</v>
      </c>
      <c r="G3182">
        <v>21</v>
      </c>
      <c r="H3182" s="9">
        <v>3.96</v>
      </c>
      <c r="I3182"/>
    </row>
    <row r="3183" spans="1:9" x14ac:dyDescent="0.3">
      <c r="A3183" t="s">
        <v>9</v>
      </c>
      <c r="B3183" t="s">
        <v>18</v>
      </c>
      <c r="C3183" t="s">
        <v>141</v>
      </c>
      <c r="D3183" s="9" t="s">
        <v>137</v>
      </c>
      <c r="E3183" t="s">
        <v>36</v>
      </c>
      <c r="F3183" t="s">
        <v>69</v>
      </c>
      <c r="G3183">
        <v>22.4</v>
      </c>
      <c r="H3183" s="9">
        <v>4.67</v>
      </c>
      <c r="I3183"/>
    </row>
    <row r="3184" spans="1:9" x14ac:dyDescent="0.3">
      <c r="A3184" t="s">
        <v>9</v>
      </c>
      <c r="B3184" t="s">
        <v>18</v>
      </c>
      <c r="C3184" t="s">
        <v>142</v>
      </c>
      <c r="D3184" s="9" t="s">
        <v>137</v>
      </c>
      <c r="E3184" t="s">
        <v>37</v>
      </c>
      <c r="F3184" t="s">
        <v>71</v>
      </c>
      <c r="G3184">
        <v>23.3</v>
      </c>
      <c r="H3184" s="9">
        <v>4.4800000000000004</v>
      </c>
      <c r="I3184"/>
    </row>
    <row r="3185" spans="1:9" x14ac:dyDescent="0.3">
      <c r="A3185" t="s">
        <v>9</v>
      </c>
      <c r="B3185" t="s">
        <v>18</v>
      </c>
      <c r="C3185" t="s">
        <v>143</v>
      </c>
      <c r="D3185" s="9" t="s">
        <v>137</v>
      </c>
      <c r="E3185" t="s">
        <v>38</v>
      </c>
      <c r="F3185" t="s">
        <v>73</v>
      </c>
      <c r="G3185">
        <v>26.6</v>
      </c>
      <c r="H3185" s="9">
        <v>5.98</v>
      </c>
      <c r="I3185"/>
    </row>
    <row r="3186" spans="1:9" x14ac:dyDescent="0.3">
      <c r="A3186" t="s">
        <v>9</v>
      </c>
      <c r="B3186" t="s">
        <v>18</v>
      </c>
      <c r="C3186" t="s">
        <v>144</v>
      </c>
      <c r="D3186" s="9" t="s">
        <v>137</v>
      </c>
      <c r="E3186" t="s">
        <v>39</v>
      </c>
      <c r="F3186" t="s">
        <v>75</v>
      </c>
      <c r="G3186">
        <v>26.9</v>
      </c>
      <c r="H3186" s="9">
        <v>11.16</v>
      </c>
      <c r="I3186"/>
    </row>
    <row r="3187" spans="1:9" x14ac:dyDescent="0.3">
      <c r="A3187" t="s">
        <v>9</v>
      </c>
      <c r="B3187" t="s">
        <v>18</v>
      </c>
      <c r="C3187" t="s">
        <v>145</v>
      </c>
      <c r="D3187" s="9" t="s">
        <v>137</v>
      </c>
      <c r="E3187" t="s">
        <v>40</v>
      </c>
      <c r="F3187" t="s">
        <v>77</v>
      </c>
      <c r="G3187">
        <v>24.1</v>
      </c>
      <c r="H3187" s="9">
        <v>5.7</v>
      </c>
      <c r="I3187"/>
    </row>
    <row r="3188" spans="1:9" x14ac:dyDescent="0.3">
      <c r="A3188" t="s">
        <v>9</v>
      </c>
      <c r="B3188" t="s">
        <v>18</v>
      </c>
      <c r="C3188" t="s">
        <v>146</v>
      </c>
      <c r="D3188" s="9" t="s">
        <v>137</v>
      </c>
      <c r="E3188" t="s">
        <v>41</v>
      </c>
      <c r="F3188" t="s">
        <v>79</v>
      </c>
      <c r="G3188">
        <v>23</v>
      </c>
      <c r="H3188" s="9">
        <v>5.5</v>
      </c>
      <c r="I3188"/>
    </row>
    <row r="3189" spans="1:9" x14ac:dyDescent="0.3">
      <c r="A3189" t="s">
        <v>9</v>
      </c>
      <c r="B3189" t="s">
        <v>18</v>
      </c>
      <c r="C3189" t="s">
        <v>147</v>
      </c>
      <c r="D3189" s="9" t="s">
        <v>137</v>
      </c>
      <c r="E3189" t="s">
        <v>42</v>
      </c>
      <c r="F3189" t="s">
        <v>81</v>
      </c>
      <c r="G3189">
        <v>22.7</v>
      </c>
      <c r="H3189" s="9">
        <v>4.6100000000000003</v>
      </c>
      <c r="I3189"/>
    </row>
    <row r="3190" spans="1:9" x14ac:dyDescent="0.3">
      <c r="A3190" t="s">
        <v>9</v>
      </c>
      <c r="B3190" t="s">
        <v>18</v>
      </c>
      <c r="C3190" t="s">
        <v>148</v>
      </c>
      <c r="D3190" s="9" t="s">
        <v>137</v>
      </c>
      <c r="E3190" t="s">
        <v>43</v>
      </c>
      <c r="F3190" t="s">
        <v>83</v>
      </c>
      <c r="G3190">
        <v>22.1</v>
      </c>
      <c r="H3190" s="9">
        <v>0.91</v>
      </c>
      <c r="I3190"/>
    </row>
    <row r="3191" spans="1:9" x14ac:dyDescent="0.3">
      <c r="A3191" t="s">
        <v>9</v>
      </c>
      <c r="B3191" t="s">
        <v>18</v>
      </c>
      <c r="C3191" t="s">
        <v>149</v>
      </c>
      <c r="D3191" s="9" t="s">
        <v>150</v>
      </c>
      <c r="E3191" t="s">
        <v>32</v>
      </c>
      <c r="F3191" t="s">
        <v>61</v>
      </c>
      <c r="G3191">
        <v>20.5</v>
      </c>
      <c r="H3191" s="9">
        <v>5.13</v>
      </c>
      <c r="I3191"/>
    </row>
    <row r="3192" spans="1:9" x14ac:dyDescent="0.3">
      <c r="A3192" t="s">
        <v>9</v>
      </c>
      <c r="B3192" t="s">
        <v>18</v>
      </c>
      <c r="C3192" t="s">
        <v>151</v>
      </c>
      <c r="D3192" s="9" t="s">
        <v>150</v>
      </c>
      <c r="E3192" t="s">
        <v>33</v>
      </c>
      <c r="F3192" t="s">
        <v>63</v>
      </c>
      <c r="G3192">
        <v>18.899999999999999</v>
      </c>
      <c r="H3192" s="9">
        <v>-5.97</v>
      </c>
      <c r="I3192"/>
    </row>
    <row r="3193" spans="1:9" x14ac:dyDescent="0.3">
      <c r="A3193" t="s">
        <v>9</v>
      </c>
      <c r="B3193" t="s">
        <v>18</v>
      </c>
      <c r="C3193" t="s">
        <v>152</v>
      </c>
      <c r="D3193" s="9" t="s">
        <v>150</v>
      </c>
      <c r="E3193" t="s">
        <v>34</v>
      </c>
      <c r="F3193" t="s">
        <v>65</v>
      </c>
      <c r="G3193">
        <v>21.1</v>
      </c>
      <c r="H3193" s="9">
        <v>-3.21</v>
      </c>
      <c r="I3193"/>
    </row>
    <row r="3194" spans="1:9" x14ac:dyDescent="0.3">
      <c r="A3194" t="s">
        <v>9</v>
      </c>
      <c r="B3194" t="s">
        <v>18</v>
      </c>
      <c r="C3194" t="s">
        <v>153</v>
      </c>
      <c r="D3194" s="9" t="s">
        <v>150</v>
      </c>
      <c r="E3194" t="s">
        <v>35</v>
      </c>
      <c r="F3194" t="s">
        <v>67</v>
      </c>
      <c r="G3194">
        <v>22.2</v>
      </c>
      <c r="H3194" s="9">
        <v>5.71</v>
      </c>
      <c r="I3194"/>
    </row>
    <row r="3195" spans="1:9" x14ac:dyDescent="0.3">
      <c r="A3195" t="s">
        <v>9</v>
      </c>
      <c r="B3195" t="s">
        <v>18</v>
      </c>
      <c r="C3195" t="s">
        <v>154</v>
      </c>
      <c r="D3195" s="9" t="s">
        <v>150</v>
      </c>
      <c r="E3195" t="s">
        <v>36</v>
      </c>
      <c r="F3195" t="s">
        <v>69</v>
      </c>
      <c r="G3195">
        <v>24.3</v>
      </c>
      <c r="H3195" s="9">
        <v>8.48</v>
      </c>
      <c r="I3195"/>
    </row>
    <row r="3196" spans="1:9" x14ac:dyDescent="0.3">
      <c r="A3196" t="s">
        <v>9</v>
      </c>
      <c r="B3196" t="s">
        <v>18</v>
      </c>
      <c r="C3196" t="s">
        <v>155</v>
      </c>
      <c r="D3196" s="9" t="s">
        <v>150</v>
      </c>
      <c r="E3196" t="s">
        <v>37</v>
      </c>
      <c r="F3196" t="s">
        <v>71</v>
      </c>
      <c r="G3196">
        <v>23.8</v>
      </c>
      <c r="H3196" s="9">
        <v>2.15</v>
      </c>
      <c r="I3196"/>
    </row>
    <row r="3197" spans="1:9" x14ac:dyDescent="0.3">
      <c r="A3197" t="s">
        <v>4</v>
      </c>
      <c r="B3197" t="s">
        <v>12</v>
      </c>
      <c r="C3197" t="s">
        <v>59</v>
      </c>
      <c r="D3197" s="9" t="s">
        <v>60</v>
      </c>
      <c r="E3197" t="s">
        <v>32</v>
      </c>
      <c r="F3197" t="s">
        <v>61</v>
      </c>
      <c r="G3197">
        <v>387.8</v>
      </c>
      <c r="I3197"/>
    </row>
    <row r="3198" spans="1:9" x14ac:dyDescent="0.3">
      <c r="A3198" t="s">
        <v>4</v>
      </c>
      <c r="B3198" t="s">
        <v>12</v>
      </c>
      <c r="C3198" t="s">
        <v>62</v>
      </c>
      <c r="D3198" s="9" t="s">
        <v>60</v>
      </c>
      <c r="E3198" t="s">
        <v>33</v>
      </c>
      <c r="F3198" t="s">
        <v>63</v>
      </c>
      <c r="G3198">
        <v>355.7</v>
      </c>
      <c r="I3198"/>
    </row>
    <row r="3199" spans="1:9" x14ac:dyDescent="0.3">
      <c r="A3199" t="s">
        <v>4</v>
      </c>
      <c r="B3199" t="s">
        <v>12</v>
      </c>
      <c r="C3199" t="s">
        <v>64</v>
      </c>
      <c r="D3199" s="9" t="s">
        <v>60</v>
      </c>
      <c r="E3199" t="s">
        <v>34</v>
      </c>
      <c r="F3199" t="s">
        <v>65</v>
      </c>
      <c r="G3199">
        <v>405.7</v>
      </c>
      <c r="I3199"/>
    </row>
    <row r="3200" spans="1:9" x14ac:dyDescent="0.3">
      <c r="A3200" t="s">
        <v>4</v>
      </c>
      <c r="B3200" t="s">
        <v>12</v>
      </c>
      <c r="C3200" t="s">
        <v>66</v>
      </c>
      <c r="D3200" s="9" t="s">
        <v>60</v>
      </c>
      <c r="E3200" t="s">
        <v>35</v>
      </c>
      <c r="F3200" t="s">
        <v>67</v>
      </c>
      <c r="G3200">
        <v>413.1</v>
      </c>
      <c r="I3200"/>
    </row>
    <row r="3201" spans="1:9" x14ac:dyDescent="0.3">
      <c r="A3201" t="s">
        <v>4</v>
      </c>
      <c r="B3201" t="s">
        <v>12</v>
      </c>
      <c r="C3201" t="s">
        <v>68</v>
      </c>
      <c r="D3201" s="9" t="s">
        <v>60</v>
      </c>
      <c r="E3201" t="s">
        <v>36</v>
      </c>
      <c r="F3201" t="s">
        <v>69</v>
      </c>
      <c r="G3201">
        <v>426.9</v>
      </c>
      <c r="I3201"/>
    </row>
    <row r="3202" spans="1:9" x14ac:dyDescent="0.3">
      <c r="A3202" t="s">
        <v>4</v>
      </c>
      <c r="B3202" t="s">
        <v>12</v>
      </c>
      <c r="C3202" t="s">
        <v>70</v>
      </c>
      <c r="D3202" s="9" t="s">
        <v>60</v>
      </c>
      <c r="E3202" t="s">
        <v>37</v>
      </c>
      <c r="F3202" t="s">
        <v>71</v>
      </c>
      <c r="G3202">
        <v>395.8</v>
      </c>
      <c r="I3202"/>
    </row>
    <row r="3203" spans="1:9" x14ac:dyDescent="0.3">
      <c r="A3203" t="s">
        <v>4</v>
      </c>
      <c r="B3203" t="s">
        <v>12</v>
      </c>
      <c r="C3203" t="s">
        <v>72</v>
      </c>
      <c r="D3203" s="9" t="s">
        <v>60</v>
      </c>
      <c r="E3203" t="s">
        <v>38</v>
      </c>
      <c r="F3203" t="s">
        <v>73</v>
      </c>
      <c r="G3203">
        <v>411.5</v>
      </c>
      <c r="I3203"/>
    </row>
    <row r="3204" spans="1:9" x14ac:dyDescent="0.3">
      <c r="A3204" t="s">
        <v>4</v>
      </c>
      <c r="B3204" t="s">
        <v>12</v>
      </c>
      <c r="C3204" t="s">
        <v>74</v>
      </c>
      <c r="D3204" s="9" t="s">
        <v>60</v>
      </c>
      <c r="E3204" t="s">
        <v>39</v>
      </c>
      <c r="F3204" t="s">
        <v>75</v>
      </c>
      <c r="G3204">
        <v>426.2</v>
      </c>
      <c r="I3204"/>
    </row>
    <row r="3205" spans="1:9" x14ac:dyDescent="0.3">
      <c r="A3205" t="s">
        <v>4</v>
      </c>
      <c r="B3205" t="s">
        <v>12</v>
      </c>
      <c r="C3205" t="s">
        <v>76</v>
      </c>
      <c r="D3205" s="9" t="s">
        <v>60</v>
      </c>
      <c r="E3205" t="s">
        <v>40</v>
      </c>
      <c r="F3205" t="s">
        <v>77</v>
      </c>
      <c r="G3205">
        <v>414.1</v>
      </c>
      <c r="I3205"/>
    </row>
    <row r="3206" spans="1:9" x14ac:dyDescent="0.3">
      <c r="A3206" t="s">
        <v>4</v>
      </c>
      <c r="B3206" t="s">
        <v>12</v>
      </c>
      <c r="C3206" t="s">
        <v>78</v>
      </c>
      <c r="D3206" s="9" t="s">
        <v>60</v>
      </c>
      <c r="E3206" t="s">
        <v>41</v>
      </c>
      <c r="F3206" t="s">
        <v>79</v>
      </c>
      <c r="G3206">
        <v>447.3</v>
      </c>
      <c r="I3206"/>
    </row>
    <row r="3207" spans="1:9" x14ac:dyDescent="0.3">
      <c r="A3207" t="s">
        <v>4</v>
      </c>
      <c r="B3207" t="s">
        <v>12</v>
      </c>
      <c r="C3207" t="s">
        <v>80</v>
      </c>
      <c r="D3207" s="9" t="s">
        <v>60</v>
      </c>
      <c r="E3207" t="s">
        <v>42</v>
      </c>
      <c r="F3207" t="s">
        <v>81</v>
      </c>
      <c r="G3207">
        <v>441.7</v>
      </c>
      <c r="I3207"/>
    </row>
    <row r="3208" spans="1:9" x14ac:dyDescent="0.3">
      <c r="A3208" t="s">
        <v>4</v>
      </c>
      <c r="B3208" t="s">
        <v>12</v>
      </c>
      <c r="C3208" t="s">
        <v>82</v>
      </c>
      <c r="D3208" s="9" t="s">
        <v>60</v>
      </c>
      <c r="E3208" t="s">
        <v>43</v>
      </c>
      <c r="F3208" t="s">
        <v>83</v>
      </c>
      <c r="G3208">
        <v>474.7</v>
      </c>
      <c r="I3208"/>
    </row>
    <row r="3209" spans="1:9" x14ac:dyDescent="0.3">
      <c r="A3209" t="s">
        <v>4</v>
      </c>
      <c r="B3209" t="s">
        <v>12</v>
      </c>
      <c r="C3209" t="s">
        <v>84</v>
      </c>
      <c r="D3209" s="9" t="s">
        <v>85</v>
      </c>
      <c r="E3209" t="s">
        <v>32</v>
      </c>
      <c r="F3209" t="s">
        <v>61</v>
      </c>
      <c r="G3209">
        <v>403.7</v>
      </c>
      <c r="H3209" s="9">
        <v>4.0999999999999996</v>
      </c>
      <c r="I3209"/>
    </row>
    <row r="3210" spans="1:9" x14ac:dyDescent="0.3">
      <c r="A3210" t="s">
        <v>4</v>
      </c>
      <c r="B3210" t="s">
        <v>12</v>
      </c>
      <c r="C3210" t="s">
        <v>86</v>
      </c>
      <c r="D3210" s="9" t="s">
        <v>85</v>
      </c>
      <c r="E3210" t="s">
        <v>33</v>
      </c>
      <c r="F3210" t="s">
        <v>63</v>
      </c>
      <c r="G3210">
        <v>371.3</v>
      </c>
      <c r="H3210" s="9">
        <v>4.3899999999999997</v>
      </c>
      <c r="I3210"/>
    </row>
    <row r="3211" spans="1:9" x14ac:dyDescent="0.3">
      <c r="A3211" t="s">
        <v>4</v>
      </c>
      <c r="B3211" t="s">
        <v>12</v>
      </c>
      <c r="C3211" t="s">
        <v>87</v>
      </c>
      <c r="D3211" s="9" t="s">
        <v>85</v>
      </c>
      <c r="E3211" t="s">
        <v>34</v>
      </c>
      <c r="F3211" t="s">
        <v>65</v>
      </c>
      <c r="G3211">
        <v>274</v>
      </c>
      <c r="H3211" s="9">
        <v>-32.46</v>
      </c>
      <c r="I3211"/>
    </row>
    <row r="3212" spans="1:9" x14ac:dyDescent="0.3">
      <c r="A3212" t="s">
        <v>4</v>
      </c>
      <c r="B3212" t="s">
        <v>12</v>
      </c>
      <c r="C3212" t="s">
        <v>88</v>
      </c>
      <c r="D3212" s="9" t="s">
        <v>85</v>
      </c>
      <c r="E3212" t="s">
        <v>35</v>
      </c>
      <c r="F3212" t="s">
        <v>67</v>
      </c>
      <c r="G3212">
        <v>130.5</v>
      </c>
      <c r="H3212" s="9">
        <v>-68.41</v>
      </c>
      <c r="I3212"/>
    </row>
    <row r="3213" spans="1:9" x14ac:dyDescent="0.3">
      <c r="A3213" t="s">
        <v>4</v>
      </c>
      <c r="B3213" t="s">
        <v>12</v>
      </c>
      <c r="C3213" t="s">
        <v>89</v>
      </c>
      <c r="D3213" s="9" t="s">
        <v>85</v>
      </c>
      <c r="E3213" t="s">
        <v>36</v>
      </c>
      <c r="F3213" t="s">
        <v>69</v>
      </c>
      <c r="G3213">
        <v>193.2</v>
      </c>
      <c r="H3213" s="9">
        <v>-54.74</v>
      </c>
      <c r="I3213"/>
    </row>
    <row r="3214" spans="1:9" x14ac:dyDescent="0.3">
      <c r="A3214" t="s">
        <v>4</v>
      </c>
      <c r="B3214" t="s">
        <v>12</v>
      </c>
      <c r="C3214" t="s">
        <v>90</v>
      </c>
      <c r="D3214" s="9" t="s">
        <v>85</v>
      </c>
      <c r="E3214" t="s">
        <v>37</v>
      </c>
      <c r="F3214" t="s">
        <v>71</v>
      </c>
      <c r="G3214">
        <v>304.7</v>
      </c>
      <c r="H3214" s="9">
        <v>-23.02</v>
      </c>
      <c r="I3214"/>
    </row>
    <row r="3215" spans="1:9" x14ac:dyDescent="0.3">
      <c r="A3215" t="s">
        <v>4</v>
      </c>
      <c r="B3215" t="s">
        <v>12</v>
      </c>
      <c r="C3215" t="s">
        <v>91</v>
      </c>
      <c r="D3215" s="9" t="s">
        <v>85</v>
      </c>
      <c r="E3215" t="s">
        <v>38</v>
      </c>
      <c r="F3215" t="s">
        <v>73</v>
      </c>
      <c r="G3215">
        <v>404.8</v>
      </c>
      <c r="H3215" s="9">
        <v>-1.63</v>
      </c>
      <c r="I3215"/>
    </row>
    <row r="3216" spans="1:9" x14ac:dyDescent="0.3">
      <c r="A3216" t="s">
        <v>4</v>
      </c>
      <c r="B3216" t="s">
        <v>12</v>
      </c>
      <c r="C3216" t="s">
        <v>92</v>
      </c>
      <c r="D3216" s="9" t="s">
        <v>85</v>
      </c>
      <c r="E3216" t="s">
        <v>39</v>
      </c>
      <c r="F3216" t="s">
        <v>75</v>
      </c>
      <c r="G3216">
        <v>411.9</v>
      </c>
      <c r="H3216" s="9">
        <v>-3.36</v>
      </c>
      <c r="I3216"/>
    </row>
    <row r="3217" spans="1:9" x14ac:dyDescent="0.3">
      <c r="A3217" t="s">
        <v>4</v>
      </c>
      <c r="B3217" t="s">
        <v>12</v>
      </c>
      <c r="C3217" t="s">
        <v>93</v>
      </c>
      <c r="D3217" s="9" t="s">
        <v>85</v>
      </c>
      <c r="E3217" t="s">
        <v>40</v>
      </c>
      <c r="F3217" t="s">
        <v>77</v>
      </c>
      <c r="G3217">
        <v>408.4</v>
      </c>
      <c r="H3217" s="9">
        <v>-1.38</v>
      </c>
      <c r="I3217"/>
    </row>
    <row r="3218" spans="1:9" x14ac:dyDescent="0.3">
      <c r="A3218" t="s">
        <v>4</v>
      </c>
      <c r="B3218" t="s">
        <v>12</v>
      </c>
      <c r="C3218" t="s">
        <v>94</v>
      </c>
      <c r="D3218" s="9" t="s">
        <v>85</v>
      </c>
      <c r="E3218" t="s">
        <v>41</v>
      </c>
      <c r="F3218" t="s">
        <v>79</v>
      </c>
      <c r="G3218">
        <v>442</v>
      </c>
      <c r="H3218" s="9">
        <v>-1.18</v>
      </c>
      <c r="I3218"/>
    </row>
    <row r="3219" spans="1:9" x14ac:dyDescent="0.3">
      <c r="A3219" t="s">
        <v>4</v>
      </c>
      <c r="B3219" t="s">
        <v>12</v>
      </c>
      <c r="C3219" t="s">
        <v>95</v>
      </c>
      <c r="D3219" s="9" t="s">
        <v>85</v>
      </c>
      <c r="E3219" t="s">
        <v>42</v>
      </c>
      <c r="F3219" t="s">
        <v>81</v>
      </c>
      <c r="G3219">
        <v>424.4</v>
      </c>
      <c r="H3219" s="9">
        <v>-3.92</v>
      </c>
      <c r="I3219"/>
    </row>
    <row r="3220" spans="1:9" x14ac:dyDescent="0.3">
      <c r="A3220" t="s">
        <v>4</v>
      </c>
      <c r="B3220" t="s">
        <v>12</v>
      </c>
      <c r="C3220" t="s">
        <v>96</v>
      </c>
      <c r="D3220" s="9" t="s">
        <v>85</v>
      </c>
      <c r="E3220" t="s">
        <v>43</v>
      </c>
      <c r="F3220" t="s">
        <v>83</v>
      </c>
      <c r="G3220">
        <v>498.9</v>
      </c>
      <c r="H3220" s="9">
        <v>5.0999999999999996</v>
      </c>
      <c r="I3220"/>
    </row>
    <row r="3221" spans="1:9" x14ac:dyDescent="0.3">
      <c r="A3221" t="s">
        <v>4</v>
      </c>
      <c r="B3221" t="s">
        <v>12</v>
      </c>
      <c r="C3221" t="s">
        <v>97</v>
      </c>
      <c r="D3221" s="9" t="s">
        <v>98</v>
      </c>
      <c r="E3221" t="s">
        <v>32</v>
      </c>
      <c r="F3221" t="s">
        <v>61</v>
      </c>
      <c r="G3221">
        <v>422.6</v>
      </c>
      <c r="H3221" s="9">
        <v>4.68</v>
      </c>
      <c r="I3221"/>
    </row>
    <row r="3222" spans="1:9" x14ac:dyDescent="0.3">
      <c r="A3222" t="s">
        <v>4</v>
      </c>
      <c r="B3222" t="s">
        <v>12</v>
      </c>
      <c r="C3222" t="s">
        <v>99</v>
      </c>
      <c r="D3222" s="9" t="s">
        <v>98</v>
      </c>
      <c r="E3222" t="s">
        <v>33</v>
      </c>
      <c r="F3222" t="s">
        <v>63</v>
      </c>
      <c r="G3222">
        <v>383.1</v>
      </c>
      <c r="H3222" s="9">
        <v>3.18</v>
      </c>
      <c r="I3222"/>
    </row>
    <row r="3223" spans="1:9" x14ac:dyDescent="0.3">
      <c r="A3223" t="s">
        <v>4</v>
      </c>
      <c r="B3223" t="s">
        <v>12</v>
      </c>
      <c r="C3223" t="s">
        <v>100</v>
      </c>
      <c r="D3223" s="9" t="s">
        <v>98</v>
      </c>
      <c r="E3223" t="s">
        <v>34</v>
      </c>
      <c r="F3223" t="s">
        <v>65</v>
      </c>
      <c r="G3223">
        <v>432.4</v>
      </c>
      <c r="H3223" s="9">
        <v>57.81</v>
      </c>
      <c r="I3223"/>
    </row>
    <row r="3224" spans="1:9" x14ac:dyDescent="0.3">
      <c r="A3224" t="s">
        <v>4</v>
      </c>
      <c r="B3224" t="s">
        <v>12</v>
      </c>
      <c r="C3224" t="s">
        <v>101</v>
      </c>
      <c r="D3224" s="9" t="s">
        <v>98</v>
      </c>
      <c r="E3224" t="s">
        <v>35</v>
      </c>
      <c r="F3224" t="s">
        <v>67</v>
      </c>
      <c r="G3224">
        <v>439.3</v>
      </c>
      <c r="H3224" s="9">
        <v>236.63</v>
      </c>
      <c r="I3224"/>
    </row>
    <row r="3225" spans="1:9" x14ac:dyDescent="0.3">
      <c r="A3225" t="s">
        <v>4</v>
      </c>
      <c r="B3225" t="s">
        <v>12</v>
      </c>
      <c r="C3225" t="s">
        <v>102</v>
      </c>
      <c r="D3225" s="9" t="s">
        <v>98</v>
      </c>
      <c r="E3225" t="s">
        <v>36</v>
      </c>
      <c r="F3225" t="s">
        <v>69</v>
      </c>
      <c r="G3225">
        <v>453</v>
      </c>
      <c r="H3225" s="9">
        <v>134.47</v>
      </c>
      <c r="I3225"/>
    </row>
    <row r="3226" spans="1:9" x14ac:dyDescent="0.3">
      <c r="A3226" t="s">
        <v>4</v>
      </c>
      <c r="B3226" t="s">
        <v>12</v>
      </c>
      <c r="C3226" t="s">
        <v>103</v>
      </c>
      <c r="D3226" s="9" t="s">
        <v>98</v>
      </c>
      <c r="E3226" t="s">
        <v>37</v>
      </c>
      <c r="F3226" t="s">
        <v>71</v>
      </c>
      <c r="G3226">
        <v>401</v>
      </c>
      <c r="H3226" s="9">
        <v>31.6</v>
      </c>
      <c r="I3226"/>
    </row>
    <row r="3227" spans="1:9" x14ac:dyDescent="0.3">
      <c r="A3227" t="s">
        <v>4</v>
      </c>
      <c r="B3227" t="s">
        <v>12</v>
      </c>
      <c r="C3227" t="s">
        <v>104</v>
      </c>
      <c r="D3227" s="9" t="s">
        <v>98</v>
      </c>
      <c r="E3227" t="s">
        <v>38</v>
      </c>
      <c r="F3227" t="s">
        <v>73</v>
      </c>
      <c r="G3227">
        <v>428.2</v>
      </c>
      <c r="H3227" s="9">
        <v>5.78</v>
      </c>
      <c r="I3227"/>
    </row>
    <row r="3228" spans="1:9" x14ac:dyDescent="0.3">
      <c r="A3228" t="s">
        <v>4</v>
      </c>
      <c r="B3228" t="s">
        <v>12</v>
      </c>
      <c r="C3228" t="s">
        <v>105</v>
      </c>
      <c r="D3228" s="9" t="s">
        <v>98</v>
      </c>
      <c r="E3228" t="s">
        <v>39</v>
      </c>
      <c r="F3228" t="s">
        <v>75</v>
      </c>
      <c r="G3228">
        <v>390.9</v>
      </c>
      <c r="H3228" s="9">
        <v>-5.0999999999999996</v>
      </c>
      <c r="I3228"/>
    </row>
    <row r="3229" spans="1:9" x14ac:dyDescent="0.3">
      <c r="A3229" t="s">
        <v>4</v>
      </c>
      <c r="B3229" t="s">
        <v>12</v>
      </c>
      <c r="C3229" t="s">
        <v>106</v>
      </c>
      <c r="D3229" s="9" t="s">
        <v>98</v>
      </c>
      <c r="E3229" t="s">
        <v>40</v>
      </c>
      <c r="F3229" t="s">
        <v>77</v>
      </c>
      <c r="G3229">
        <v>469.2</v>
      </c>
      <c r="H3229" s="9">
        <v>14.89</v>
      </c>
      <c r="I3229"/>
    </row>
    <row r="3230" spans="1:9" x14ac:dyDescent="0.3">
      <c r="A3230" t="s">
        <v>4</v>
      </c>
      <c r="B3230" t="s">
        <v>12</v>
      </c>
      <c r="C3230" t="s">
        <v>107</v>
      </c>
      <c r="D3230" s="9" t="s">
        <v>98</v>
      </c>
      <c r="E3230" t="s">
        <v>41</v>
      </c>
      <c r="F3230" t="s">
        <v>79</v>
      </c>
      <c r="G3230">
        <v>501.8</v>
      </c>
      <c r="H3230" s="9">
        <v>13.53</v>
      </c>
      <c r="I3230"/>
    </row>
    <row r="3231" spans="1:9" x14ac:dyDescent="0.3">
      <c r="A3231" t="s">
        <v>4</v>
      </c>
      <c r="B3231" t="s">
        <v>12</v>
      </c>
      <c r="C3231" t="s">
        <v>108</v>
      </c>
      <c r="D3231" s="9" t="s">
        <v>98</v>
      </c>
      <c r="E3231" t="s">
        <v>42</v>
      </c>
      <c r="F3231" t="s">
        <v>81</v>
      </c>
      <c r="G3231">
        <v>481</v>
      </c>
      <c r="H3231" s="9">
        <v>13.34</v>
      </c>
      <c r="I3231"/>
    </row>
    <row r="3232" spans="1:9" x14ac:dyDescent="0.3">
      <c r="A3232" t="s">
        <v>4</v>
      </c>
      <c r="B3232" t="s">
        <v>12</v>
      </c>
      <c r="C3232" t="s">
        <v>109</v>
      </c>
      <c r="D3232" s="9" t="s">
        <v>98</v>
      </c>
      <c r="E3232" t="s">
        <v>43</v>
      </c>
      <c r="F3232" t="s">
        <v>83</v>
      </c>
      <c r="G3232">
        <v>567.70000000000005</v>
      </c>
      <c r="H3232" s="9">
        <v>13.79</v>
      </c>
      <c r="I3232"/>
    </row>
    <row r="3233" spans="1:9" x14ac:dyDescent="0.3">
      <c r="A3233" t="s">
        <v>4</v>
      </c>
      <c r="B3233" t="s">
        <v>12</v>
      </c>
      <c r="C3233" t="s">
        <v>110</v>
      </c>
      <c r="D3233" s="9" t="s">
        <v>111</v>
      </c>
      <c r="E3233" t="s">
        <v>32</v>
      </c>
      <c r="F3233" t="s">
        <v>61</v>
      </c>
      <c r="G3233">
        <v>490.9</v>
      </c>
      <c r="H3233" s="9">
        <v>16.16</v>
      </c>
      <c r="I3233"/>
    </row>
    <row r="3234" spans="1:9" x14ac:dyDescent="0.3">
      <c r="A3234" t="s">
        <v>4</v>
      </c>
      <c r="B3234" t="s">
        <v>12</v>
      </c>
      <c r="C3234" t="s">
        <v>112</v>
      </c>
      <c r="D3234" s="9" t="s">
        <v>111</v>
      </c>
      <c r="E3234" t="s">
        <v>33</v>
      </c>
      <c r="F3234" t="s">
        <v>63</v>
      </c>
      <c r="G3234">
        <v>460.5</v>
      </c>
      <c r="H3234" s="9">
        <v>20.2</v>
      </c>
      <c r="I3234"/>
    </row>
    <row r="3235" spans="1:9" x14ac:dyDescent="0.3">
      <c r="A3235" t="s">
        <v>4</v>
      </c>
      <c r="B3235" t="s">
        <v>12</v>
      </c>
      <c r="C3235" t="s">
        <v>113</v>
      </c>
      <c r="D3235" s="9" t="s">
        <v>111</v>
      </c>
      <c r="E3235" t="s">
        <v>34</v>
      </c>
      <c r="F3235" t="s">
        <v>65</v>
      </c>
      <c r="G3235">
        <v>543.79999999999995</v>
      </c>
      <c r="H3235" s="9">
        <v>25.76</v>
      </c>
      <c r="I3235"/>
    </row>
    <row r="3236" spans="1:9" x14ac:dyDescent="0.3">
      <c r="A3236" t="s">
        <v>4</v>
      </c>
      <c r="B3236" t="s">
        <v>12</v>
      </c>
      <c r="C3236" t="s">
        <v>114</v>
      </c>
      <c r="D3236" s="9" t="s">
        <v>111</v>
      </c>
      <c r="E3236" t="s">
        <v>35</v>
      </c>
      <c r="F3236" t="s">
        <v>67</v>
      </c>
      <c r="G3236">
        <v>571.9</v>
      </c>
      <c r="H3236" s="9">
        <v>30.18</v>
      </c>
      <c r="I3236"/>
    </row>
    <row r="3237" spans="1:9" x14ac:dyDescent="0.3">
      <c r="A3237" t="s">
        <v>4</v>
      </c>
      <c r="B3237" t="s">
        <v>12</v>
      </c>
      <c r="C3237" t="s">
        <v>115</v>
      </c>
      <c r="D3237" s="9" t="s">
        <v>111</v>
      </c>
      <c r="E3237" t="s">
        <v>36</v>
      </c>
      <c r="F3237" t="s">
        <v>69</v>
      </c>
      <c r="G3237">
        <v>580.6</v>
      </c>
      <c r="H3237" s="9">
        <v>28.17</v>
      </c>
      <c r="I3237"/>
    </row>
    <row r="3238" spans="1:9" x14ac:dyDescent="0.3">
      <c r="A3238" t="s">
        <v>4</v>
      </c>
      <c r="B3238" t="s">
        <v>12</v>
      </c>
      <c r="C3238" t="s">
        <v>116</v>
      </c>
      <c r="D3238" s="9" t="s">
        <v>111</v>
      </c>
      <c r="E3238" t="s">
        <v>37</v>
      </c>
      <c r="F3238" t="s">
        <v>71</v>
      </c>
      <c r="G3238">
        <v>555.5</v>
      </c>
      <c r="H3238" s="9">
        <v>38.53</v>
      </c>
      <c r="I3238"/>
    </row>
    <row r="3239" spans="1:9" x14ac:dyDescent="0.3">
      <c r="A3239" t="s">
        <v>4</v>
      </c>
      <c r="B3239" t="s">
        <v>12</v>
      </c>
      <c r="C3239" t="s">
        <v>117</v>
      </c>
      <c r="D3239" s="9" t="s">
        <v>111</v>
      </c>
      <c r="E3239" t="s">
        <v>38</v>
      </c>
      <c r="F3239" t="s">
        <v>73</v>
      </c>
      <c r="G3239">
        <v>623.70000000000005</v>
      </c>
      <c r="H3239" s="9">
        <v>45.66</v>
      </c>
      <c r="I3239"/>
    </row>
    <row r="3240" spans="1:9" x14ac:dyDescent="0.3">
      <c r="A3240" t="s">
        <v>4</v>
      </c>
      <c r="B3240" t="s">
        <v>12</v>
      </c>
      <c r="C3240" t="s">
        <v>118</v>
      </c>
      <c r="D3240" s="9" t="s">
        <v>111</v>
      </c>
      <c r="E3240" t="s">
        <v>39</v>
      </c>
      <c r="F3240" t="s">
        <v>75</v>
      </c>
      <c r="G3240">
        <v>609.29999999999995</v>
      </c>
      <c r="H3240" s="9">
        <v>55.87</v>
      </c>
      <c r="I3240"/>
    </row>
    <row r="3241" spans="1:9" x14ac:dyDescent="0.3">
      <c r="A3241" t="s">
        <v>4</v>
      </c>
      <c r="B3241" t="s">
        <v>12</v>
      </c>
      <c r="C3241" t="s">
        <v>119</v>
      </c>
      <c r="D3241" s="9" t="s">
        <v>111</v>
      </c>
      <c r="E3241" t="s">
        <v>40</v>
      </c>
      <c r="F3241" t="s">
        <v>77</v>
      </c>
      <c r="G3241">
        <v>642</v>
      </c>
      <c r="H3241" s="9">
        <v>36.83</v>
      </c>
      <c r="I3241"/>
    </row>
    <row r="3242" spans="1:9" x14ac:dyDescent="0.3">
      <c r="A3242" t="s">
        <v>4</v>
      </c>
      <c r="B3242" t="s">
        <v>12</v>
      </c>
      <c r="C3242" t="s">
        <v>120</v>
      </c>
      <c r="D3242" s="9" t="s">
        <v>111</v>
      </c>
      <c r="E3242" t="s">
        <v>41</v>
      </c>
      <c r="F3242" t="s">
        <v>79</v>
      </c>
      <c r="G3242">
        <v>638.4</v>
      </c>
      <c r="H3242" s="9">
        <v>27.22</v>
      </c>
      <c r="I3242"/>
    </row>
    <row r="3243" spans="1:9" x14ac:dyDescent="0.3">
      <c r="A3243" t="s">
        <v>4</v>
      </c>
      <c r="B3243" t="s">
        <v>12</v>
      </c>
      <c r="C3243" t="s">
        <v>121</v>
      </c>
      <c r="D3243" s="9" t="s">
        <v>111</v>
      </c>
      <c r="E3243" t="s">
        <v>42</v>
      </c>
      <c r="F3243" t="s">
        <v>81</v>
      </c>
      <c r="G3243">
        <v>630</v>
      </c>
      <c r="H3243" s="9">
        <v>30.98</v>
      </c>
      <c r="I3243"/>
    </row>
    <row r="3244" spans="1:9" x14ac:dyDescent="0.3">
      <c r="A3244" t="s">
        <v>4</v>
      </c>
      <c r="B3244" t="s">
        <v>12</v>
      </c>
      <c r="C3244" t="s">
        <v>122</v>
      </c>
      <c r="D3244" s="9" t="s">
        <v>111</v>
      </c>
      <c r="E3244" t="s">
        <v>43</v>
      </c>
      <c r="F3244" t="s">
        <v>83</v>
      </c>
      <c r="G3244">
        <v>692.8</v>
      </c>
      <c r="H3244" s="9">
        <v>22.04</v>
      </c>
      <c r="I3244"/>
    </row>
    <row r="3245" spans="1:9" x14ac:dyDescent="0.3">
      <c r="A3245" t="s">
        <v>4</v>
      </c>
      <c r="B3245" t="s">
        <v>12</v>
      </c>
      <c r="C3245" t="s">
        <v>123</v>
      </c>
      <c r="D3245" s="9" t="s">
        <v>124</v>
      </c>
      <c r="E3245" t="s">
        <v>32</v>
      </c>
      <c r="F3245" t="s">
        <v>61</v>
      </c>
      <c r="G3245">
        <v>600.1</v>
      </c>
      <c r="H3245" s="9">
        <v>22.24</v>
      </c>
      <c r="I3245"/>
    </row>
    <row r="3246" spans="1:9" x14ac:dyDescent="0.3">
      <c r="A3246" t="s">
        <v>4</v>
      </c>
      <c r="B3246" t="s">
        <v>12</v>
      </c>
      <c r="C3246" t="s">
        <v>125</v>
      </c>
      <c r="D3246" s="9" t="s">
        <v>124</v>
      </c>
      <c r="E3246" t="s">
        <v>33</v>
      </c>
      <c r="F3246" t="s">
        <v>63</v>
      </c>
      <c r="G3246">
        <v>505.9</v>
      </c>
      <c r="H3246" s="9">
        <v>9.86</v>
      </c>
      <c r="I3246"/>
    </row>
    <row r="3247" spans="1:9" x14ac:dyDescent="0.3">
      <c r="A3247" t="s">
        <v>4</v>
      </c>
      <c r="B3247" t="s">
        <v>12</v>
      </c>
      <c r="C3247" t="s">
        <v>126</v>
      </c>
      <c r="D3247" s="9" t="s">
        <v>124</v>
      </c>
      <c r="E3247" t="s">
        <v>34</v>
      </c>
      <c r="F3247" t="s">
        <v>65</v>
      </c>
      <c r="G3247">
        <v>603.79999999999995</v>
      </c>
      <c r="H3247" s="9">
        <v>11.03</v>
      </c>
      <c r="I3247"/>
    </row>
    <row r="3248" spans="1:9" x14ac:dyDescent="0.3">
      <c r="A3248" t="s">
        <v>4</v>
      </c>
      <c r="B3248" t="s">
        <v>12</v>
      </c>
      <c r="C3248" t="s">
        <v>127</v>
      </c>
      <c r="D3248" s="9" t="s">
        <v>124</v>
      </c>
      <c r="E3248" t="s">
        <v>35</v>
      </c>
      <c r="F3248" t="s">
        <v>67</v>
      </c>
      <c r="G3248">
        <v>630.6</v>
      </c>
      <c r="H3248" s="9">
        <v>10.26</v>
      </c>
      <c r="I3248"/>
    </row>
    <row r="3249" spans="1:9" x14ac:dyDescent="0.3">
      <c r="A3249" t="s">
        <v>4</v>
      </c>
      <c r="B3249" t="s">
        <v>12</v>
      </c>
      <c r="C3249" t="s">
        <v>128</v>
      </c>
      <c r="D3249" s="9" t="s">
        <v>124</v>
      </c>
      <c r="E3249" t="s">
        <v>36</v>
      </c>
      <c r="F3249" t="s">
        <v>69</v>
      </c>
      <c r="G3249">
        <v>637.9</v>
      </c>
      <c r="H3249" s="9">
        <v>9.8699999999999992</v>
      </c>
      <c r="I3249"/>
    </row>
    <row r="3250" spans="1:9" x14ac:dyDescent="0.3">
      <c r="A3250" t="s">
        <v>4</v>
      </c>
      <c r="B3250" t="s">
        <v>12</v>
      </c>
      <c r="C3250" t="s">
        <v>129</v>
      </c>
      <c r="D3250" s="9" t="s">
        <v>124</v>
      </c>
      <c r="E3250" t="s">
        <v>37</v>
      </c>
      <c r="F3250" t="s">
        <v>71</v>
      </c>
      <c r="G3250">
        <v>603.4</v>
      </c>
      <c r="H3250" s="9">
        <v>8.6199999999999992</v>
      </c>
      <c r="I3250"/>
    </row>
    <row r="3251" spans="1:9" x14ac:dyDescent="0.3">
      <c r="A3251" t="s">
        <v>4</v>
      </c>
      <c r="B3251" t="s">
        <v>12</v>
      </c>
      <c r="C3251" t="s">
        <v>130</v>
      </c>
      <c r="D3251" s="9" t="s">
        <v>124</v>
      </c>
      <c r="E3251" t="s">
        <v>38</v>
      </c>
      <c r="F3251" t="s">
        <v>73</v>
      </c>
      <c r="G3251">
        <v>686.5</v>
      </c>
      <c r="H3251" s="9">
        <v>10.07</v>
      </c>
      <c r="I3251"/>
    </row>
    <row r="3252" spans="1:9" x14ac:dyDescent="0.3">
      <c r="A3252" t="s">
        <v>4</v>
      </c>
      <c r="B3252" t="s">
        <v>12</v>
      </c>
      <c r="C3252" t="s">
        <v>131</v>
      </c>
      <c r="D3252" s="9" t="s">
        <v>124</v>
      </c>
      <c r="E3252" t="s">
        <v>39</v>
      </c>
      <c r="F3252" t="s">
        <v>75</v>
      </c>
      <c r="G3252">
        <v>691.7</v>
      </c>
      <c r="H3252" s="9">
        <v>13.52</v>
      </c>
      <c r="I3252"/>
    </row>
    <row r="3253" spans="1:9" x14ac:dyDescent="0.3">
      <c r="A3253" t="s">
        <v>4</v>
      </c>
      <c r="B3253" t="s">
        <v>12</v>
      </c>
      <c r="C3253" t="s">
        <v>132</v>
      </c>
      <c r="D3253" s="9" t="s">
        <v>124</v>
      </c>
      <c r="E3253" t="s">
        <v>40</v>
      </c>
      <c r="F3253" t="s">
        <v>77</v>
      </c>
      <c r="G3253">
        <v>703.5</v>
      </c>
      <c r="H3253" s="9">
        <v>9.58</v>
      </c>
      <c r="I3253"/>
    </row>
    <row r="3254" spans="1:9" x14ac:dyDescent="0.3">
      <c r="A3254" t="s">
        <v>4</v>
      </c>
      <c r="B3254" t="s">
        <v>12</v>
      </c>
      <c r="C3254" t="s">
        <v>133</v>
      </c>
      <c r="D3254" s="9" t="s">
        <v>124</v>
      </c>
      <c r="E3254" t="s">
        <v>41</v>
      </c>
      <c r="F3254" t="s">
        <v>79</v>
      </c>
      <c r="G3254">
        <v>696.4</v>
      </c>
      <c r="H3254" s="9">
        <v>9.09</v>
      </c>
      <c r="I3254"/>
    </row>
    <row r="3255" spans="1:9" x14ac:dyDescent="0.3">
      <c r="A3255" t="s">
        <v>4</v>
      </c>
      <c r="B3255" t="s">
        <v>12</v>
      </c>
      <c r="C3255" t="s">
        <v>134</v>
      </c>
      <c r="D3255" s="9" t="s">
        <v>124</v>
      </c>
      <c r="E3255" t="s">
        <v>42</v>
      </c>
      <c r="F3255" t="s">
        <v>81</v>
      </c>
      <c r="G3255">
        <v>653.70000000000005</v>
      </c>
      <c r="H3255" s="9">
        <v>3.76</v>
      </c>
      <c r="I3255"/>
    </row>
    <row r="3256" spans="1:9" x14ac:dyDescent="0.3">
      <c r="A3256" t="s">
        <v>4</v>
      </c>
      <c r="B3256" t="s">
        <v>12</v>
      </c>
      <c r="C3256" t="s">
        <v>135</v>
      </c>
      <c r="D3256" s="9" t="s">
        <v>124</v>
      </c>
      <c r="E3256" t="s">
        <v>43</v>
      </c>
      <c r="F3256" t="s">
        <v>83</v>
      </c>
      <c r="G3256">
        <v>748.9</v>
      </c>
      <c r="H3256" s="9">
        <v>8.1</v>
      </c>
      <c r="I3256"/>
    </row>
    <row r="3257" spans="1:9" x14ac:dyDescent="0.3">
      <c r="A3257" t="s">
        <v>4</v>
      </c>
      <c r="B3257" t="s">
        <v>12</v>
      </c>
      <c r="C3257" t="s">
        <v>136</v>
      </c>
      <c r="D3257" s="9" t="s">
        <v>137</v>
      </c>
      <c r="E3257" t="s">
        <v>32</v>
      </c>
      <c r="F3257" t="s">
        <v>61</v>
      </c>
      <c r="G3257">
        <v>655.1</v>
      </c>
      <c r="H3257" s="9">
        <v>9.17</v>
      </c>
      <c r="I3257"/>
    </row>
    <row r="3258" spans="1:9" x14ac:dyDescent="0.3">
      <c r="A3258" t="s">
        <v>4</v>
      </c>
      <c r="B3258" t="s">
        <v>12</v>
      </c>
      <c r="C3258" t="s">
        <v>138</v>
      </c>
      <c r="D3258" s="9" t="s">
        <v>137</v>
      </c>
      <c r="E3258" t="s">
        <v>33</v>
      </c>
      <c r="F3258" t="s">
        <v>63</v>
      </c>
      <c r="G3258">
        <v>575.6</v>
      </c>
      <c r="H3258" s="9">
        <v>13.78</v>
      </c>
      <c r="I3258"/>
    </row>
    <row r="3259" spans="1:9" x14ac:dyDescent="0.3">
      <c r="A3259" t="s">
        <v>4</v>
      </c>
      <c r="B3259" t="s">
        <v>12</v>
      </c>
      <c r="C3259" t="s">
        <v>139</v>
      </c>
      <c r="D3259" s="9" t="s">
        <v>137</v>
      </c>
      <c r="E3259" t="s">
        <v>34</v>
      </c>
      <c r="F3259" t="s">
        <v>65</v>
      </c>
      <c r="G3259">
        <v>640.1</v>
      </c>
      <c r="H3259" s="9">
        <v>6.01</v>
      </c>
      <c r="I3259"/>
    </row>
    <row r="3260" spans="1:9" x14ac:dyDescent="0.3">
      <c r="A3260" t="s">
        <v>4</v>
      </c>
      <c r="B3260" t="s">
        <v>12</v>
      </c>
      <c r="C3260" t="s">
        <v>140</v>
      </c>
      <c r="D3260" s="9" t="s">
        <v>137</v>
      </c>
      <c r="E3260" t="s">
        <v>35</v>
      </c>
      <c r="F3260" t="s">
        <v>67</v>
      </c>
      <c r="G3260">
        <v>657.1</v>
      </c>
      <c r="H3260" s="9">
        <v>4.2</v>
      </c>
      <c r="I3260"/>
    </row>
    <row r="3261" spans="1:9" x14ac:dyDescent="0.3">
      <c r="A3261" t="s">
        <v>4</v>
      </c>
      <c r="B3261" t="s">
        <v>12</v>
      </c>
      <c r="C3261" t="s">
        <v>141</v>
      </c>
      <c r="D3261" s="9" t="s">
        <v>137</v>
      </c>
      <c r="E3261" t="s">
        <v>36</v>
      </c>
      <c r="F3261" t="s">
        <v>69</v>
      </c>
      <c r="G3261">
        <v>643.20000000000005</v>
      </c>
      <c r="H3261" s="9">
        <v>0.83</v>
      </c>
      <c r="I3261"/>
    </row>
    <row r="3262" spans="1:9" x14ac:dyDescent="0.3">
      <c r="A3262" t="s">
        <v>4</v>
      </c>
      <c r="B3262" t="s">
        <v>12</v>
      </c>
      <c r="C3262" t="s">
        <v>142</v>
      </c>
      <c r="D3262" s="9" t="s">
        <v>137</v>
      </c>
      <c r="E3262" t="s">
        <v>37</v>
      </c>
      <c r="F3262" t="s">
        <v>71</v>
      </c>
      <c r="G3262">
        <v>592.6</v>
      </c>
      <c r="H3262" s="9">
        <v>-1.79</v>
      </c>
      <c r="I3262"/>
    </row>
    <row r="3263" spans="1:9" x14ac:dyDescent="0.3">
      <c r="A3263" t="s">
        <v>4</v>
      </c>
      <c r="B3263" t="s">
        <v>12</v>
      </c>
      <c r="C3263" t="s">
        <v>143</v>
      </c>
      <c r="D3263" s="9" t="s">
        <v>137</v>
      </c>
      <c r="E3263" t="s">
        <v>38</v>
      </c>
      <c r="F3263" t="s">
        <v>73</v>
      </c>
      <c r="G3263">
        <v>679.2</v>
      </c>
      <c r="H3263" s="9">
        <v>-1.06</v>
      </c>
      <c r="I3263"/>
    </row>
    <row r="3264" spans="1:9" x14ac:dyDescent="0.3">
      <c r="A3264" t="s">
        <v>4</v>
      </c>
      <c r="B3264" t="s">
        <v>12</v>
      </c>
      <c r="C3264" t="s">
        <v>144</v>
      </c>
      <c r="D3264" s="9" t="s">
        <v>137</v>
      </c>
      <c r="E3264" t="s">
        <v>39</v>
      </c>
      <c r="F3264" t="s">
        <v>75</v>
      </c>
      <c r="G3264">
        <v>686.9</v>
      </c>
      <c r="H3264" s="9">
        <v>-0.69</v>
      </c>
      <c r="I3264"/>
    </row>
    <row r="3265" spans="1:9" x14ac:dyDescent="0.3">
      <c r="A3265" t="s">
        <v>4</v>
      </c>
      <c r="B3265" t="s">
        <v>12</v>
      </c>
      <c r="C3265" t="s">
        <v>145</v>
      </c>
      <c r="D3265" s="9" t="s">
        <v>137</v>
      </c>
      <c r="E3265" t="s">
        <v>40</v>
      </c>
      <c r="F3265" t="s">
        <v>77</v>
      </c>
      <c r="G3265">
        <v>693.3</v>
      </c>
      <c r="H3265" s="9">
        <v>-1.45</v>
      </c>
      <c r="I3265"/>
    </row>
    <row r="3266" spans="1:9" x14ac:dyDescent="0.3">
      <c r="A3266" t="s">
        <v>4</v>
      </c>
      <c r="B3266" t="s">
        <v>12</v>
      </c>
      <c r="C3266" t="s">
        <v>146</v>
      </c>
      <c r="D3266" s="9" t="s">
        <v>137</v>
      </c>
      <c r="E3266" t="s">
        <v>41</v>
      </c>
      <c r="F3266" t="s">
        <v>79</v>
      </c>
      <c r="G3266">
        <v>680.1</v>
      </c>
      <c r="H3266" s="9">
        <v>-2.34</v>
      </c>
      <c r="I3266"/>
    </row>
    <row r="3267" spans="1:9" x14ac:dyDescent="0.3">
      <c r="A3267" t="s">
        <v>4</v>
      </c>
      <c r="B3267" t="s">
        <v>12</v>
      </c>
      <c r="C3267" t="s">
        <v>147</v>
      </c>
      <c r="D3267" s="9" t="s">
        <v>137</v>
      </c>
      <c r="E3267" t="s">
        <v>42</v>
      </c>
      <c r="F3267" t="s">
        <v>81</v>
      </c>
      <c r="G3267">
        <v>671</v>
      </c>
      <c r="H3267" s="9">
        <v>2.65</v>
      </c>
      <c r="I3267"/>
    </row>
    <row r="3268" spans="1:9" x14ac:dyDescent="0.3">
      <c r="A3268" t="s">
        <v>4</v>
      </c>
      <c r="B3268" t="s">
        <v>12</v>
      </c>
      <c r="C3268" t="s">
        <v>148</v>
      </c>
      <c r="D3268" s="9" t="s">
        <v>137</v>
      </c>
      <c r="E3268" t="s">
        <v>43</v>
      </c>
      <c r="F3268" t="s">
        <v>83</v>
      </c>
      <c r="G3268">
        <v>723.1</v>
      </c>
      <c r="H3268" s="9">
        <v>-3.45</v>
      </c>
      <c r="I3268"/>
    </row>
    <row r="3269" spans="1:9" x14ac:dyDescent="0.3">
      <c r="A3269" t="s">
        <v>4</v>
      </c>
      <c r="B3269" t="s">
        <v>12</v>
      </c>
      <c r="C3269" t="s">
        <v>149</v>
      </c>
      <c r="D3269" s="9" t="s">
        <v>150</v>
      </c>
      <c r="E3269" t="s">
        <v>32</v>
      </c>
      <c r="F3269" t="s">
        <v>61</v>
      </c>
      <c r="G3269">
        <v>649</v>
      </c>
      <c r="H3269" s="9">
        <v>-0.93</v>
      </c>
      <c r="I3269"/>
    </row>
    <row r="3270" spans="1:9" x14ac:dyDescent="0.3">
      <c r="A3270" t="s">
        <v>4</v>
      </c>
      <c r="B3270" t="s">
        <v>12</v>
      </c>
      <c r="C3270" t="s">
        <v>151</v>
      </c>
      <c r="D3270" s="9" t="s">
        <v>150</v>
      </c>
      <c r="E3270" t="s">
        <v>33</v>
      </c>
      <c r="F3270" t="s">
        <v>63</v>
      </c>
      <c r="G3270">
        <v>559.4</v>
      </c>
      <c r="H3270" s="9">
        <v>-2.81</v>
      </c>
      <c r="I3270"/>
    </row>
    <row r="3271" spans="1:9" x14ac:dyDescent="0.3">
      <c r="A3271" t="s">
        <v>4</v>
      </c>
      <c r="B3271" t="s">
        <v>12</v>
      </c>
      <c r="C3271" t="s">
        <v>152</v>
      </c>
      <c r="D3271" s="9" t="s">
        <v>150</v>
      </c>
      <c r="E3271" t="s">
        <v>34</v>
      </c>
      <c r="F3271" t="s">
        <v>65</v>
      </c>
      <c r="G3271">
        <v>567.20000000000005</v>
      </c>
      <c r="H3271" s="9">
        <v>-11.39</v>
      </c>
      <c r="I3271"/>
    </row>
    <row r="3272" spans="1:9" x14ac:dyDescent="0.3">
      <c r="A3272" t="s">
        <v>4</v>
      </c>
      <c r="B3272" t="s">
        <v>12</v>
      </c>
      <c r="C3272" t="s">
        <v>153</v>
      </c>
      <c r="D3272" s="9" t="s">
        <v>150</v>
      </c>
      <c r="E3272" t="s">
        <v>35</v>
      </c>
      <c r="F3272" t="s">
        <v>67</v>
      </c>
      <c r="G3272">
        <v>641.20000000000005</v>
      </c>
      <c r="H3272" s="9">
        <v>-2.42</v>
      </c>
      <c r="I3272"/>
    </row>
    <row r="3273" spans="1:9" x14ac:dyDescent="0.3">
      <c r="A3273" t="s">
        <v>4</v>
      </c>
      <c r="B3273" t="s">
        <v>12</v>
      </c>
      <c r="C3273" t="s">
        <v>154</v>
      </c>
      <c r="D3273" s="9" t="s">
        <v>150</v>
      </c>
      <c r="E3273" t="s">
        <v>36</v>
      </c>
      <c r="F3273" t="s">
        <v>69</v>
      </c>
      <c r="G3273">
        <v>637.79999999999995</v>
      </c>
      <c r="H3273" s="9">
        <v>-0.84</v>
      </c>
      <c r="I3273"/>
    </row>
    <row r="3274" spans="1:9" x14ac:dyDescent="0.3">
      <c r="A3274" t="s">
        <v>4</v>
      </c>
      <c r="B3274" t="s">
        <v>12</v>
      </c>
      <c r="C3274" t="s">
        <v>155</v>
      </c>
      <c r="D3274" s="9" t="s">
        <v>150</v>
      </c>
      <c r="E3274" t="s">
        <v>37</v>
      </c>
      <c r="F3274" t="s">
        <v>71</v>
      </c>
      <c r="G3274">
        <v>564.4</v>
      </c>
      <c r="H3274" s="9">
        <v>-4.76</v>
      </c>
      <c r="I3274"/>
    </row>
    <row r="3275" spans="1:9" x14ac:dyDescent="0.3">
      <c r="A3275" t="s">
        <v>4</v>
      </c>
      <c r="B3275" t="s">
        <v>19</v>
      </c>
      <c r="C3275" t="s">
        <v>59</v>
      </c>
      <c r="D3275" s="9" t="s">
        <v>60</v>
      </c>
      <c r="E3275" t="s">
        <v>32</v>
      </c>
      <c r="F3275" t="s">
        <v>61</v>
      </c>
      <c r="G3275">
        <v>255.5</v>
      </c>
      <c r="I3275"/>
    </row>
    <row r="3276" spans="1:9" x14ac:dyDescent="0.3">
      <c r="A3276" t="s">
        <v>4</v>
      </c>
      <c r="B3276" t="s">
        <v>19</v>
      </c>
      <c r="C3276" t="s">
        <v>62</v>
      </c>
      <c r="D3276" s="9" t="s">
        <v>60</v>
      </c>
      <c r="E3276" t="s">
        <v>33</v>
      </c>
      <c r="F3276" t="s">
        <v>63</v>
      </c>
      <c r="G3276">
        <v>199.8</v>
      </c>
      <c r="I3276"/>
    </row>
    <row r="3277" spans="1:9" x14ac:dyDescent="0.3">
      <c r="A3277" t="s">
        <v>4</v>
      </c>
      <c r="B3277" t="s">
        <v>19</v>
      </c>
      <c r="C3277" t="s">
        <v>64</v>
      </c>
      <c r="D3277" s="9" t="s">
        <v>60</v>
      </c>
      <c r="E3277" t="s">
        <v>34</v>
      </c>
      <c r="F3277" t="s">
        <v>65</v>
      </c>
      <c r="G3277">
        <v>235.3</v>
      </c>
      <c r="I3277"/>
    </row>
    <row r="3278" spans="1:9" x14ac:dyDescent="0.3">
      <c r="A3278" t="s">
        <v>4</v>
      </c>
      <c r="B3278" t="s">
        <v>19</v>
      </c>
      <c r="C3278" t="s">
        <v>66</v>
      </c>
      <c r="D3278" s="9" t="s">
        <v>60</v>
      </c>
      <c r="E3278" t="s">
        <v>35</v>
      </c>
      <c r="F3278" t="s">
        <v>67</v>
      </c>
      <c r="G3278">
        <v>249</v>
      </c>
      <c r="I3278"/>
    </row>
    <row r="3279" spans="1:9" x14ac:dyDescent="0.3">
      <c r="A3279" t="s">
        <v>4</v>
      </c>
      <c r="B3279" t="s">
        <v>19</v>
      </c>
      <c r="C3279" t="s">
        <v>68</v>
      </c>
      <c r="D3279" s="9" t="s">
        <v>60</v>
      </c>
      <c r="E3279" t="s">
        <v>36</v>
      </c>
      <c r="F3279" t="s">
        <v>69</v>
      </c>
      <c r="G3279">
        <v>257</v>
      </c>
      <c r="I3279"/>
    </row>
    <row r="3280" spans="1:9" x14ac:dyDescent="0.3">
      <c r="A3280" t="s">
        <v>4</v>
      </c>
      <c r="B3280" t="s">
        <v>19</v>
      </c>
      <c r="C3280" t="s">
        <v>70</v>
      </c>
      <c r="D3280" s="9" t="s">
        <v>60</v>
      </c>
      <c r="E3280" t="s">
        <v>37</v>
      </c>
      <c r="F3280" t="s">
        <v>71</v>
      </c>
      <c r="G3280">
        <v>269.7</v>
      </c>
      <c r="I3280"/>
    </row>
    <row r="3281" spans="1:9" x14ac:dyDescent="0.3">
      <c r="A3281" t="s">
        <v>4</v>
      </c>
      <c r="B3281" t="s">
        <v>19</v>
      </c>
      <c r="C3281" t="s">
        <v>72</v>
      </c>
      <c r="D3281" s="9" t="s">
        <v>60</v>
      </c>
      <c r="E3281" t="s">
        <v>38</v>
      </c>
      <c r="F3281" t="s">
        <v>73</v>
      </c>
      <c r="G3281">
        <v>267.2</v>
      </c>
      <c r="I3281"/>
    </row>
    <row r="3282" spans="1:9" x14ac:dyDescent="0.3">
      <c r="A3282" t="s">
        <v>4</v>
      </c>
      <c r="B3282" t="s">
        <v>19</v>
      </c>
      <c r="C3282" t="s">
        <v>74</v>
      </c>
      <c r="D3282" s="9" t="s">
        <v>60</v>
      </c>
      <c r="E3282" t="s">
        <v>39</v>
      </c>
      <c r="F3282" t="s">
        <v>75</v>
      </c>
      <c r="G3282">
        <v>258.5</v>
      </c>
      <c r="I3282"/>
    </row>
    <row r="3283" spans="1:9" x14ac:dyDescent="0.3">
      <c r="A3283" t="s">
        <v>4</v>
      </c>
      <c r="B3283" t="s">
        <v>19</v>
      </c>
      <c r="C3283" t="s">
        <v>76</v>
      </c>
      <c r="D3283" s="9" t="s">
        <v>60</v>
      </c>
      <c r="E3283" t="s">
        <v>40</v>
      </c>
      <c r="F3283" t="s">
        <v>77</v>
      </c>
      <c r="G3283">
        <v>269</v>
      </c>
      <c r="I3283"/>
    </row>
    <row r="3284" spans="1:9" x14ac:dyDescent="0.3">
      <c r="A3284" t="s">
        <v>4</v>
      </c>
      <c r="B3284" t="s">
        <v>19</v>
      </c>
      <c r="C3284" t="s">
        <v>78</v>
      </c>
      <c r="D3284" s="9" t="s">
        <v>60</v>
      </c>
      <c r="E3284" t="s">
        <v>41</v>
      </c>
      <c r="F3284" t="s">
        <v>79</v>
      </c>
      <c r="G3284">
        <v>284.39999999999998</v>
      </c>
      <c r="I3284"/>
    </row>
    <row r="3285" spans="1:9" x14ac:dyDescent="0.3">
      <c r="A3285" t="s">
        <v>4</v>
      </c>
      <c r="B3285" t="s">
        <v>19</v>
      </c>
      <c r="C3285" t="s">
        <v>80</v>
      </c>
      <c r="D3285" s="9" t="s">
        <v>60</v>
      </c>
      <c r="E3285" t="s">
        <v>42</v>
      </c>
      <c r="F3285" t="s">
        <v>81</v>
      </c>
      <c r="G3285">
        <v>322.39999999999998</v>
      </c>
      <c r="I3285"/>
    </row>
    <row r="3286" spans="1:9" x14ac:dyDescent="0.3">
      <c r="A3286" t="s">
        <v>4</v>
      </c>
      <c r="B3286" t="s">
        <v>19</v>
      </c>
      <c r="C3286" t="s">
        <v>82</v>
      </c>
      <c r="D3286" s="9" t="s">
        <v>60</v>
      </c>
      <c r="E3286" t="s">
        <v>43</v>
      </c>
      <c r="F3286" t="s">
        <v>83</v>
      </c>
      <c r="G3286">
        <v>439.6</v>
      </c>
      <c r="I3286"/>
    </row>
    <row r="3287" spans="1:9" x14ac:dyDescent="0.3">
      <c r="A3287" t="s">
        <v>4</v>
      </c>
      <c r="B3287" t="s">
        <v>19</v>
      </c>
      <c r="C3287" t="s">
        <v>84</v>
      </c>
      <c r="D3287" s="9" t="s">
        <v>85</v>
      </c>
      <c r="E3287" t="s">
        <v>32</v>
      </c>
      <c r="F3287" t="s">
        <v>61</v>
      </c>
      <c r="G3287">
        <v>279.60000000000002</v>
      </c>
      <c r="H3287" s="9">
        <v>9.43</v>
      </c>
      <c r="I3287"/>
    </row>
    <row r="3288" spans="1:9" x14ac:dyDescent="0.3">
      <c r="A3288" t="s">
        <v>4</v>
      </c>
      <c r="B3288" t="s">
        <v>19</v>
      </c>
      <c r="C3288" t="s">
        <v>86</v>
      </c>
      <c r="D3288" s="9" t="s">
        <v>85</v>
      </c>
      <c r="E3288" t="s">
        <v>33</v>
      </c>
      <c r="F3288" t="s">
        <v>63</v>
      </c>
      <c r="G3288">
        <v>210.2</v>
      </c>
      <c r="H3288" s="9">
        <v>5.21</v>
      </c>
      <c r="I3288"/>
    </row>
    <row r="3289" spans="1:9" x14ac:dyDescent="0.3">
      <c r="A3289" t="s">
        <v>4</v>
      </c>
      <c r="B3289" t="s">
        <v>19</v>
      </c>
      <c r="C3289" t="s">
        <v>87</v>
      </c>
      <c r="D3289" s="9" t="s">
        <v>85</v>
      </c>
      <c r="E3289" t="s">
        <v>34</v>
      </c>
      <c r="F3289" t="s">
        <v>65</v>
      </c>
      <c r="G3289">
        <v>181.7</v>
      </c>
      <c r="H3289" s="9">
        <v>-22.78</v>
      </c>
      <c r="I3289"/>
    </row>
    <row r="3290" spans="1:9" x14ac:dyDescent="0.3">
      <c r="A3290" t="s">
        <v>4</v>
      </c>
      <c r="B3290" t="s">
        <v>19</v>
      </c>
      <c r="C3290" t="s">
        <v>88</v>
      </c>
      <c r="D3290" s="9" t="s">
        <v>85</v>
      </c>
      <c r="E3290" t="s">
        <v>35</v>
      </c>
      <c r="F3290" t="s">
        <v>67</v>
      </c>
      <c r="G3290">
        <v>87.3</v>
      </c>
      <c r="H3290" s="9">
        <v>-64.94</v>
      </c>
      <c r="I3290"/>
    </row>
    <row r="3291" spans="1:9" x14ac:dyDescent="0.3">
      <c r="A3291" t="s">
        <v>4</v>
      </c>
      <c r="B3291" t="s">
        <v>19</v>
      </c>
      <c r="C3291" t="s">
        <v>89</v>
      </c>
      <c r="D3291" s="9" t="s">
        <v>85</v>
      </c>
      <c r="E3291" t="s">
        <v>36</v>
      </c>
      <c r="F3291" t="s">
        <v>69</v>
      </c>
      <c r="G3291">
        <v>233.9</v>
      </c>
      <c r="H3291" s="9">
        <v>-8.99</v>
      </c>
      <c r="I3291"/>
    </row>
    <row r="3292" spans="1:9" x14ac:dyDescent="0.3">
      <c r="A3292" t="s">
        <v>4</v>
      </c>
      <c r="B3292" t="s">
        <v>19</v>
      </c>
      <c r="C3292" t="s">
        <v>90</v>
      </c>
      <c r="D3292" s="9" t="s">
        <v>85</v>
      </c>
      <c r="E3292" t="s">
        <v>37</v>
      </c>
      <c r="F3292" t="s">
        <v>71</v>
      </c>
      <c r="G3292">
        <v>277.10000000000002</v>
      </c>
      <c r="H3292" s="9">
        <v>2.74</v>
      </c>
      <c r="I3292"/>
    </row>
    <row r="3293" spans="1:9" x14ac:dyDescent="0.3">
      <c r="A3293" t="s">
        <v>4</v>
      </c>
      <c r="B3293" t="s">
        <v>19</v>
      </c>
      <c r="C3293" t="s">
        <v>91</v>
      </c>
      <c r="D3293" s="9" t="s">
        <v>85</v>
      </c>
      <c r="E3293" t="s">
        <v>38</v>
      </c>
      <c r="F3293" t="s">
        <v>73</v>
      </c>
      <c r="G3293">
        <v>318.89999999999998</v>
      </c>
      <c r="H3293" s="9">
        <v>19.350000000000001</v>
      </c>
      <c r="I3293"/>
    </row>
    <row r="3294" spans="1:9" x14ac:dyDescent="0.3">
      <c r="A3294" t="s">
        <v>4</v>
      </c>
      <c r="B3294" t="s">
        <v>19</v>
      </c>
      <c r="C3294" t="s">
        <v>92</v>
      </c>
      <c r="D3294" s="9" t="s">
        <v>85</v>
      </c>
      <c r="E3294" t="s">
        <v>39</v>
      </c>
      <c r="F3294" t="s">
        <v>75</v>
      </c>
      <c r="G3294">
        <v>279.2</v>
      </c>
      <c r="H3294" s="9">
        <v>8.01</v>
      </c>
      <c r="I3294"/>
    </row>
    <row r="3295" spans="1:9" x14ac:dyDescent="0.3">
      <c r="A3295" t="s">
        <v>4</v>
      </c>
      <c r="B3295" t="s">
        <v>19</v>
      </c>
      <c r="C3295" t="s">
        <v>93</v>
      </c>
      <c r="D3295" s="9" t="s">
        <v>85</v>
      </c>
      <c r="E3295" t="s">
        <v>40</v>
      </c>
      <c r="F3295" t="s">
        <v>77</v>
      </c>
      <c r="G3295">
        <v>296</v>
      </c>
      <c r="H3295" s="9">
        <v>10.039999999999999</v>
      </c>
      <c r="I3295"/>
    </row>
    <row r="3296" spans="1:9" x14ac:dyDescent="0.3">
      <c r="A3296" t="s">
        <v>4</v>
      </c>
      <c r="B3296" t="s">
        <v>19</v>
      </c>
      <c r="C3296" t="s">
        <v>94</v>
      </c>
      <c r="D3296" s="9" t="s">
        <v>85</v>
      </c>
      <c r="E3296" t="s">
        <v>41</v>
      </c>
      <c r="F3296" t="s">
        <v>79</v>
      </c>
      <c r="G3296">
        <v>310</v>
      </c>
      <c r="H3296" s="9">
        <v>9</v>
      </c>
      <c r="I3296"/>
    </row>
    <row r="3297" spans="1:9" x14ac:dyDescent="0.3">
      <c r="A3297" t="s">
        <v>4</v>
      </c>
      <c r="B3297" t="s">
        <v>19</v>
      </c>
      <c r="C3297" t="s">
        <v>95</v>
      </c>
      <c r="D3297" s="9" t="s">
        <v>85</v>
      </c>
      <c r="E3297" t="s">
        <v>42</v>
      </c>
      <c r="F3297" t="s">
        <v>81</v>
      </c>
      <c r="G3297">
        <v>368.7</v>
      </c>
      <c r="H3297" s="9">
        <v>14.36</v>
      </c>
      <c r="I3297"/>
    </row>
    <row r="3298" spans="1:9" x14ac:dyDescent="0.3">
      <c r="A3298" t="s">
        <v>4</v>
      </c>
      <c r="B3298" t="s">
        <v>19</v>
      </c>
      <c r="C3298" t="s">
        <v>96</v>
      </c>
      <c r="D3298" s="9" t="s">
        <v>85</v>
      </c>
      <c r="E3298" t="s">
        <v>43</v>
      </c>
      <c r="F3298" t="s">
        <v>83</v>
      </c>
      <c r="G3298">
        <v>498.9</v>
      </c>
      <c r="H3298" s="9">
        <v>13.49</v>
      </c>
      <c r="I3298"/>
    </row>
    <row r="3299" spans="1:9" x14ac:dyDescent="0.3">
      <c r="A3299" t="s">
        <v>4</v>
      </c>
      <c r="B3299" t="s">
        <v>19</v>
      </c>
      <c r="C3299" t="s">
        <v>97</v>
      </c>
      <c r="D3299" s="9" t="s">
        <v>98</v>
      </c>
      <c r="E3299" t="s">
        <v>32</v>
      </c>
      <c r="F3299" t="s">
        <v>61</v>
      </c>
      <c r="G3299">
        <v>282.2</v>
      </c>
      <c r="H3299" s="9">
        <v>0.93</v>
      </c>
      <c r="I3299"/>
    </row>
    <row r="3300" spans="1:9" x14ac:dyDescent="0.3">
      <c r="A3300" t="s">
        <v>4</v>
      </c>
      <c r="B3300" t="s">
        <v>19</v>
      </c>
      <c r="C3300" t="s">
        <v>99</v>
      </c>
      <c r="D3300" s="9" t="s">
        <v>98</v>
      </c>
      <c r="E3300" t="s">
        <v>33</v>
      </c>
      <c r="F3300" t="s">
        <v>63</v>
      </c>
      <c r="G3300">
        <v>235.4</v>
      </c>
      <c r="H3300" s="9">
        <v>11.99</v>
      </c>
      <c r="I3300"/>
    </row>
    <row r="3301" spans="1:9" x14ac:dyDescent="0.3">
      <c r="A3301" t="s">
        <v>4</v>
      </c>
      <c r="B3301" t="s">
        <v>19</v>
      </c>
      <c r="C3301" t="s">
        <v>100</v>
      </c>
      <c r="D3301" s="9" t="s">
        <v>98</v>
      </c>
      <c r="E3301" t="s">
        <v>34</v>
      </c>
      <c r="F3301" t="s">
        <v>65</v>
      </c>
      <c r="G3301">
        <v>270.7</v>
      </c>
      <c r="H3301" s="9">
        <v>48.98</v>
      </c>
      <c r="I3301"/>
    </row>
    <row r="3302" spans="1:9" x14ac:dyDescent="0.3">
      <c r="A3302" t="s">
        <v>4</v>
      </c>
      <c r="B3302" t="s">
        <v>19</v>
      </c>
      <c r="C3302" t="s">
        <v>101</v>
      </c>
      <c r="D3302" s="9" t="s">
        <v>98</v>
      </c>
      <c r="E3302" t="s">
        <v>35</v>
      </c>
      <c r="F3302" t="s">
        <v>67</v>
      </c>
      <c r="G3302">
        <v>278.60000000000002</v>
      </c>
      <c r="H3302" s="9">
        <v>219.13</v>
      </c>
      <c r="I3302"/>
    </row>
    <row r="3303" spans="1:9" x14ac:dyDescent="0.3">
      <c r="A3303" t="s">
        <v>4</v>
      </c>
      <c r="B3303" t="s">
        <v>19</v>
      </c>
      <c r="C3303" t="s">
        <v>102</v>
      </c>
      <c r="D3303" s="9" t="s">
        <v>98</v>
      </c>
      <c r="E3303" t="s">
        <v>36</v>
      </c>
      <c r="F3303" t="s">
        <v>69</v>
      </c>
      <c r="G3303">
        <v>313.60000000000002</v>
      </c>
      <c r="H3303" s="9">
        <v>34.07</v>
      </c>
      <c r="I3303"/>
    </row>
    <row r="3304" spans="1:9" x14ac:dyDescent="0.3">
      <c r="A3304" t="s">
        <v>4</v>
      </c>
      <c r="B3304" t="s">
        <v>19</v>
      </c>
      <c r="C3304" t="s">
        <v>103</v>
      </c>
      <c r="D3304" s="9" t="s">
        <v>98</v>
      </c>
      <c r="E3304" t="s">
        <v>37</v>
      </c>
      <c r="F3304" t="s">
        <v>71</v>
      </c>
      <c r="G3304">
        <v>311.3</v>
      </c>
      <c r="H3304" s="9">
        <v>12.34</v>
      </c>
      <c r="I3304"/>
    </row>
    <row r="3305" spans="1:9" x14ac:dyDescent="0.3">
      <c r="A3305" t="s">
        <v>4</v>
      </c>
      <c r="B3305" t="s">
        <v>19</v>
      </c>
      <c r="C3305" t="s">
        <v>104</v>
      </c>
      <c r="D3305" s="9" t="s">
        <v>98</v>
      </c>
      <c r="E3305" t="s">
        <v>38</v>
      </c>
      <c r="F3305" t="s">
        <v>73</v>
      </c>
      <c r="G3305">
        <v>267.2</v>
      </c>
      <c r="H3305" s="9">
        <v>-16.21</v>
      </c>
      <c r="I3305"/>
    </row>
    <row r="3306" spans="1:9" x14ac:dyDescent="0.3">
      <c r="A3306" t="s">
        <v>4</v>
      </c>
      <c r="B3306" t="s">
        <v>19</v>
      </c>
      <c r="C3306" t="s">
        <v>105</v>
      </c>
      <c r="D3306" s="9" t="s">
        <v>98</v>
      </c>
      <c r="E3306" t="s">
        <v>39</v>
      </c>
      <c r="F3306" t="s">
        <v>75</v>
      </c>
      <c r="G3306">
        <v>238.6</v>
      </c>
      <c r="H3306" s="9">
        <v>-14.54</v>
      </c>
      <c r="I3306"/>
    </row>
    <row r="3307" spans="1:9" x14ac:dyDescent="0.3">
      <c r="A3307" t="s">
        <v>4</v>
      </c>
      <c r="B3307" t="s">
        <v>19</v>
      </c>
      <c r="C3307" t="s">
        <v>106</v>
      </c>
      <c r="D3307" s="9" t="s">
        <v>98</v>
      </c>
      <c r="E3307" t="s">
        <v>40</v>
      </c>
      <c r="F3307" t="s">
        <v>77</v>
      </c>
      <c r="G3307">
        <v>321.8</v>
      </c>
      <c r="H3307" s="9">
        <v>8.7200000000000006</v>
      </c>
      <c r="I3307"/>
    </row>
    <row r="3308" spans="1:9" x14ac:dyDescent="0.3">
      <c r="A3308" t="s">
        <v>4</v>
      </c>
      <c r="B3308" t="s">
        <v>19</v>
      </c>
      <c r="C3308" t="s">
        <v>107</v>
      </c>
      <c r="D3308" s="9" t="s">
        <v>98</v>
      </c>
      <c r="E3308" t="s">
        <v>41</v>
      </c>
      <c r="F3308" t="s">
        <v>79</v>
      </c>
      <c r="G3308">
        <v>324.39999999999998</v>
      </c>
      <c r="H3308" s="9">
        <v>4.6500000000000004</v>
      </c>
      <c r="I3308"/>
    </row>
    <row r="3309" spans="1:9" x14ac:dyDescent="0.3">
      <c r="A3309" t="s">
        <v>4</v>
      </c>
      <c r="B3309" t="s">
        <v>19</v>
      </c>
      <c r="C3309" t="s">
        <v>108</v>
      </c>
      <c r="D3309" s="9" t="s">
        <v>98</v>
      </c>
      <c r="E3309" t="s">
        <v>42</v>
      </c>
      <c r="F3309" t="s">
        <v>81</v>
      </c>
      <c r="G3309">
        <v>385.5</v>
      </c>
      <c r="H3309" s="9">
        <v>4.5599999999999996</v>
      </c>
      <c r="I3309"/>
    </row>
    <row r="3310" spans="1:9" x14ac:dyDescent="0.3">
      <c r="A3310" t="s">
        <v>4</v>
      </c>
      <c r="B3310" t="s">
        <v>19</v>
      </c>
      <c r="C3310" t="s">
        <v>109</v>
      </c>
      <c r="D3310" s="9" t="s">
        <v>98</v>
      </c>
      <c r="E3310" t="s">
        <v>43</v>
      </c>
      <c r="F3310" t="s">
        <v>83</v>
      </c>
      <c r="G3310">
        <v>475.9</v>
      </c>
      <c r="H3310" s="9">
        <v>-4.6100000000000003</v>
      </c>
      <c r="I3310"/>
    </row>
    <row r="3311" spans="1:9" x14ac:dyDescent="0.3">
      <c r="A3311" t="s">
        <v>4</v>
      </c>
      <c r="B3311" t="s">
        <v>19</v>
      </c>
      <c r="C3311" t="s">
        <v>110</v>
      </c>
      <c r="D3311" s="9" t="s">
        <v>111</v>
      </c>
      <c r="E3311" t="s">
        <v>32</v>
      </c>
      <c r="F3311" t="s">
        <v>61</v>
      </c>
      <c r="G3311">
        <v>281.5</v>
      </c>
      <c r="H3311" s="9">
        <v>-0.25</v>
      </c>
      <c r="I3311"/>
    </row>
    <row r="3312" spans="1:9" x14ac:dyDescent="0.3">
      <c r="A3312" t="s">
        <v>4</v>
      </c>
      <c r="B3312" t="s">
        <v>19</v>
      </c>
      <c r="C3312" t="s">
        <v>112</v>
      </c>
      <c r="D3312" s="9" t="s">
        <v>111</v>
      </c>
      <c r="E3312" t="s">
        <v>33</v>
      </c>
      <c r="F3312" t="s">
        <v>63</v>
      </c>
      <c r="G3312">
        <v>258.5</v>
      </c>
      <c r="H3312" s="9">
        <v>9.81</v>
      </c>
      <c r="I3312"/>
    </row>
    <row r="3313" spans="1:9" x14ac:dyDescent="0.3">
      <c r="A3313" t="s">
        <v>4</v>
      </c>
      <c r="B3313" t="s">
        <v>19</v>
      </c>
      <c r="C3313" t="s">
        <v>113</v>
      </c>
      <c r="D3313" s="9" t="s">
        <v>111</v>
      </c>
      <c r="E3313" t="s">
        <v>34</v>
      </c>
      <c r="F3313" t="s">
        <v>65</v>
      </c>
      <c r="G3313">
        <v>306.5</v>
      </c>
      <c r="H3313" s="9">
        <v>13.22</v>
      </c>
      <c r="I3313"/>
    </row>
    <row r="3314" spans="1:9" x14ac:dyDescent="0.3">
      <c r="A3314" t="s">
        <v>4</v>
      </c>
      <c r="B3314" t="s">
        <v>19</v>
      </c>
      <c r="C3314" t="s">
        <v>114</v>
      </c>
      <c r="D3314" s="9" t="s">
        <v>111</v>
      </c>
      <c r="E3314" t="s">
        <v>35</v>
      </c>
      <c r="F3314" t="s">
        <v>67</v>
      </c>
      <c r="G3314">
        <v>337.2</v>
      </c>
      <c r="H3314" s="9">
        <v>21.03</v>
      </c>
      <c r="I3314"/>
    </row>
    <row r="3315" spans="1:9" x14ac:dyDescent="0.3">
      <c r="A3315" t="s">
        <v>4</v>
      </c>
      <c r="B3315" t="s">
        <v>19</v>
      </c>
      <c r="C3315" t="s">
        <v>115</v>
      </c>
      <c r="D3315" s="9" t="s">
        <v>111</v>
      </c>
      <c r="E3315" t="s">
        <v>36</v>
      </c>
      <c r="F3315" t="s">
        <v>69</v>
      </c>
      <c r="G3315">
        <v>337.1</v>
      </c>
      <c r="H3315" s="9">
        <v>7.49</v>
      </c>
      <c r="I3315"/>
    </row>
    <row r="3316" spans="1:9" x14ac:dyDescent="0.3">
      <c r="A3316" t="s">
        <v>4</v>
      </c>
      <c r="B3316" t="s">
        <v>19</v>
      </c>
      <c r="C3316" t="s">
        <v>116</v>
      </c>
      <c r="D3316" s="9" t="s">
        <v>111</v>
      </c>
      <c r="E3316" t="s">
        <v>37</v>
      </c>
      <c r="F3316" t="s">
        <v>71</v>
      </c>
      <c r="G3316">
        <v>372.6</v>
      </c>
      <c r="H3316" s="9">
        <v>19.690000000000001</v>
      </c>
      <c r="I3316"/>
    </row>
    <row r="3317" spans="1:9" x14ac:dyDescent="0.3">
      <c r="A3317" t="s">
        <v>4</v>
      </c>
      <c r="B3317" t="s">
        <v>19</v>
      </c>
      <c r="C3317" t="s">
        <v>117</v>
      </c>
      <c r="D3317" s="9" t="s">
        <v>111</v>
      </c>
      <c r="E3317" t="s">
        <v>38</v>
      </c>
      <c r="F3317" t="s">
        <v>73</v>
      </c>
      <c r="G3317">
        <v>366.5</v>
      </c>
      <c r="H3317" s="9">
        <v>37.159999999999997</v>
      </c>
      <c r="I3317"/>
    </row>
    <row r="3318" spans="1:9" x14ac:dyDescent="0.3">
      <c r="A3318" t="s">
        <v>4</v>
      </c>
      <c r="B3318" t="s">
        <v>19</v>
      </c>
      <c r="C3318" t="s">
        <v>118</v>
      </c>
      <c r="D3318" s="9" t="s">
        <v>111</v>
      </c>
      <c r="E3318" t="s">
        <v>39</v>
      </c>
      <c r="F3318" t="s">
        <v>75</v>
      </c>
      <c r="G3318">
        <v>350.5</v>
      </c>
      <c r="H3318" s="9">
        <v>46.9</v>
      </c>
      <c r="I3318"/>
    </row>
    <row r="3319" spans="1:9" x14ac:dyDescent="0.3">
      <c r="A3319" t="s">
        <v>4</v>
      </c>
      <c r="B3319" t="s">
        <v>19</v>
      </c>
      <c r="C3319" t="s">
        <v>119</v>
      </c>
      <c r="D3319" s="9" t="s">
        <v>111</v>
      </c>
      <c r="E3319" t="s">
        <v>40</v>
      </c>
      <c r="F3319" t="s">
        <v>77</v>
      </c>
      <c r="G3319">
        <v>362.6</v>
      </c>
      <c r="H3319" s="9">
        <v>12.68</v>
      </c>
      <c r="I3319"/>
    </row>
    <row r="3320" spans="1:9" x14ac:dyDescent="0.3">
      <c r="A3320" t="s">
        <v>4</v>
      </c>
      <c r="B3320" t="s">
        <v>19</v>
      </c>
      <c r="C3320" t="s">
        <v>120</v>
      </c>
      <c r="D3320" s="9" t="s">
        <v>111</v>
      </c>
      <c r="E3320" t="s">
        <v>41</v>
      </c>
      <c r="F3320" t="s">
        <v>79</v>
      </c>
      <c r="G3320">
        <v>373.9</v>
      </c>
      <c r="H3320" s="9">
        <v>15.26</v>
      </c>
      <c r="I3320"/>
    </row>
    <row r="3321" spans="1:9" x14ac:dyDescent="0.3">
      <c r="A3321" t="s">
        <v>4</v>
      </c>
      <c r="B3321" t="s">
        <v>19</v>
      </c>
      <c r="C3321" t="s">
        <v>121</v>
      </c>
      <c r="D3321" s="9" t="s">
        <v>111</v>
      </c>
      <c r="E3321" t="s">
        <v>42</v>
      </c>
      <c r="F3321" t="s">
        <v>81</v>
      </c>
      <c r="G3321">
        <v>446.5</v>
      </c>
      <c r="H3321" s="9">
        <v>15.82</v>
      </c>
      <c r="I3321"/>
    </row>
    <row r="3322" spans="1:9" x14ac:dyDescent="0.3">
      <c r="A3322" t="s">
        <v>4</v>
      </c>
      <c r="B3322" t="s">
        <v>19</v>
      </c>
      <c r="C3322" t="s">
        <v>122</v>
      </c>
      <c r="D3322" s="9" t="s">
        <v>111</v>
      </c>
      <c r="E3322" t="s">
        <v>43</v>
      </c>
      <c r="F3322" t="s">
        <v>83</v>
      </c>
      <c r="G3322">
        <v>555.4</v>
      </c>
      <c r="H3322" s="9">
        <v>16.71</v>
      </c>
      <c r="I3322"/>
    </row>
    <row r="3323" spans="1:9" x14ac:dyDescent="0.3">
      <c r="A3323" t="s">
        <v>4</v>
      </c>
      <c r="B3323" t="s">
        <v>19</v>
      </c>
      <c r="C3323" t="s">
        <v>123</v>
      </c>
      <c r="D3323" s="9" t="s">
        <v>124</v>
      </c>
      <c r="E3323" t="s">
        <v>32</v>
      </c>
      <c r="F3323" t="s">
        <v>61</v>
      </c>
      <c r="G3323">
        <v>333.2</v>
      </c>
      <c r="H3323" s="9">
        <v>18.37</v>
      </c>
      <c r="I3323"/>
    </row>
    <row r="3324" spans="1:9" x14ac:dyDescent="0.3">
      <c r="A3324" t="s">
        <v>4</v>
      </c>
      <c r="B3324" t="s">
        <v>19</v>
      </c>
      <c r="C3324" t="s">
        <v>125</v>
      </c>
      <c r="D3324" s="9" t="s">
        <v>124</v>
      </c>
      <c r="E3324" t="s">
        <v>33</v>
      </c>
      <c r="F3324" t="s">
        <v>63</v>
      </c>
      <c r="G3324">
        <v>268.2</v>
      </c>
      <c r="H3324" s="9">
        <v>3.75</v>
      </c>
      <c r="I3324"/>
    </row>
    <row r="3325" spans="1:9" x14ac:dyDescent="0.3">
      <c r="A3325" t="s">
        <v>4</v>
      </c>
      <c r="B3325" t="s">
        <v>19</v>
      </c>
      <c r="C3325" t="s">
        <v>126</v>
      </c>
      <c r="D3325" s="9" t="s">
        <v>124</v>
      </c>
      <c r="E3325" t="s">
        <v>34</v>
      </c>
      <c r="F3325" t="s">
        <v>65</v>
      </c>
      <c r="G3325">
        <v>311.60000000000002</v>
      </c>
      <c r="H3325" s="9">
        <v>1.66</v>
      </c>
      <c r="I3325"/>
    </row>
    <row r="3326" spans="1:9" x14ac:dyDescent="0.3">
      <c r="A3326" t="s">
        <v>4</v>
      </c>
      <c r="B3326" t="s">
        <v>19</v>
      </c>
      <c r="C3326" t="s">
        <v>127</v>
      </c>
      <c r="D3326" s="9" t="s">
        <v>124</v>
      </c>
      <c r="E3326" t="s">
        <v>35</v>
      </c>
      <c r="F3326" t="s">
        <v>67</v>
      </c>
      <c r="G3326">
        <v>336.5</v>
      </c>
      <c r="H3326" s="9">
        <v>-0.21</v>
      </c>
      <c r="I3326"/>
    </row>
    <row r="3327" spans="1:9" x14ac:dyDescent="0.3">
      <c r="A3327" t="s">
        <v>4</v>
      </c>
      <c r="B3327" t="s">
        <v>19</v>
      </c>
      <c r="C3327" t="s">
        <v>128</v>
      </c>
      <c r="D3327" s="9" t="s">
        <v>124</v>
      </c>
      <c r="E3327" t="s">
        <v>36</v>
      </c>
      <c r="F3327" t="s">
        <v>69</v>
      </c>
      <c r="G3327">
        <v>360.1</v>
      </c>
      <c r="H3327" s="9">
        <v>6.82</v>
      </c>
      <c r="I3327"/>
    </row>
    <row r="3328" spans="1:9" x14ac:dyDescent="0.3">
      <c r="A3328" t="s">
        <v>4</v>
      </c>
      <c r="B3328" t="s">
        <v>19</v>
      </c>
      <c r="C3328" t="s">
        <v>129</v>
      </c>
      <c r="D3328" s="9" t="s">
        <v>124</v>
      </c>
      <c r="E3328" t="s">
        <v>37</v>
      </c>
      <c r="F3328" t="s">
        <v>71</v>
      </c>
      <c r="G3328">
        <v>348.4</v>
      </c>
      <c r="H3328" s="9">
        <v>-6.49</v>
      </c>
      <c r="I3328"/>
    </row>
    <row r="3329" spans="1:9" x14ac:dyDescent="0.3">
      <c r="A3329" t="s">
        <v>4</v>
      </c>
      <c r="B3329" t="s">
        <v>19</v>
      </c>
      <c r="C3329" t="s">
        <v>130</v>
      </c>
      <c r="D3329" s="9" t="s">
        <v>124</v>
      </c>
      <c r="E3329" t="s">
        <v>38</v>
      </c>
      <c r="F3329" t="s">
        <v>73</v>
      </c>
      <c r="G3329">
        <v>352.7</v>
      </c>
      <c r="H3329" s="9">
        <v>-3.77</v>
      </c>
      <c r="I3329"/>
    </row>
    <row r="3330" spans="1:9" x14ac:dyDescent="0.3">
      <c r="A3330" t="s">
        <v>4</v>
      </c>
      <c r="B3330" t="s">
        <v>19</v>
      </c>
      <c r="C3330" t="s">
        <v>131</v>
      </c>
      <c r="D3330" s="9" t="s">
        <v>124</v>
      </c>
      <c r="E3330" t="s">
        <v>39</v>
      </c>
      <c r="F3330" t="s">
        <v>75</v>
      </c>
      <c r="G3330">
        <v>332.6</v>
      </c>
      <c r="H3330" s="9">
        <v>-5.1100000000000003</v>
      </c>
      <c r="I3330"/>
    </row>
    <row r="3331" spans="1:9" x14ac:dyDescent="0.3">
      <c r="A3331" t="s">
        <v>4</v>
      </c>
      <c r="B3331" t="s">
        <v>19</v>
      </c>
      <c r="C3331" t="s">
        <v>132</v>
      </c>
      <c r="D3331" s="9" t="s">
        <v>124</v>
      </c>
      <c r="E3331" t="s">
        <v>40</v>
      </c>
      <c r="F3331" t="s">
        <v>77</v>
      </c>
      <c r="G3331">
        <v>351.4</v>
      </c>
      <c r="H3331" s="9">
        <v>-3.09</v>
      </c>
      <c r="I3331"/>
    </row>
    <row r="3332" spans="1:9" x14ac:dyDescent="0.3">
      <c r="A3332" t="s">
        <v>4</v>
      </c>
      <c r="B3332" t="s">
        <v>19</v>
      </c>
      <c r="C3332" t="s">
        <v>133</v>
      </c>
      <c r="D3332" s="9" t="s">
        <v>124</v>
      </c>
      <c r="E3332" t="s">
        <v>41</v>
      </c>
      <c r="F3332" t="s">
        <v>79</v>
      </c>
      <c r="G3332">
        <v>347.4</v>
      </c>
      <c r="H3332" s="9">
        <v>-7.09</v>
      </c>
      <c r="I3332"/>
    </row>
    <row r="3333" spans="1:9" x14ac:dyDescent="0.3">
      <c r="A3333" t="s">
        <v>4</v>
      </c>
      <c r="B3333" t="s">
        <v>19</v>
      </c>
      <c r="C3333" t="s">
        <v>134</v>
      </c>
      <c r="D3333" s="9" t="s">
        <v>124</v>
      </c>
      <c r="E3333" t="s">
        <v>42</v>
      </c>
      <c r="F3333" t="s">
        <v>81</v>
      </c>
      <c r="G3333">
        <v>426.3</v>
      </c>
      <c r="H3333" s="9">
        <v>-4.5199999999999996</v>
      </c>
      <c r="I3333"/>
    </row>
    <row r="3334" spans="1:9" x14ac:dyDescent="0.3">
      <c r="A3334" t="s">
        <v>4</v>
      </c>
      <c r="B3334" t="s">
        <v>19</v>
      </c>
      <c r="C3334" t="s">
        <v>135</v>
      </c>
      <c r="D3334" s="9" t="s">
        <v>124</v>
      </c>
      <c r="E3334" t="s">
        <v>43</v>
      </c>
      <c r="F3334" t="s">
        <v>83</v>
      </c>
      <c r="G3334">
        <v>525.4</v>
      </c>
      <c r="H3334" s="9">
        <v>-5.4</v>
      </c>
      <c r="I3334"/>
    </row>
    <row r="3335" spans="1:9" x14ac:dyDescent="0.3">
      <c r="A3335" t="s">
        <v>4</v>
      </c>
      <c r="B3335" t="s">
        <v>19</v>
      </c>
      <c r="C3335" t="s">
        <v>136</v>
      </c>
      <c r="D3335" s="9" t="s">
        <v>137</v>
      </c>
      <c r="E3335" t="s">
        <v>32</v>
      </c>
      <c r="F3335" t="s">
        <v>61</v>
      </c>
      <c r="G3335">
        <v>336.6</v>
      </c>
      <c r="H3335" s="9">
        <v>1.02</v>
      </c>
      <c r="I3335"/>
    </row>
    <row r="3336" spans="1:9" x14ac:dyDescent="0.3">
      <c r="A3336" t="s">
        <v>4</v>
      </c>
      <c r="B3336" t="s">
        <v>19</v>
      </c>
      <c r="C3336" t="s">
        <v>138</v>
      </c>
      <c r="D3336" s="9" t="s">
        <v>137</v>
      </c>
      <c r="E3336" t="s">
        <v>33</v>
      </c>
      <c r="F3336" t="s">
        <v>63</v>
      </c>
      <c r="G3336">
        <v>278.7</v>
      </c>
      <c r="H3336" s="9">
        <v>3.91</v>
      </c>
      <c r="I3336"/>
    </row>
    <row r="3337" spans="1:9" x14ac:dyDescent="0.3">
      <c r="A3337" t="s">
        <v>4</v>
      </c>
      <c r="B3337" t="s">
        <v>19</v>
      </c>
      <c r="C3337" t="s">
        <v>139</v>
      </c>
      <c r="D3337" s="9" t="s">
        <v>137</v>
      </c>
      <c r="E3337" t="s">
        <v>34</v>
      </c>
      <c r="F3337" t="s">
        <v>65</v>
      </c>
      <c r="G3337">
        <v>314.89999999999998</v>
      </c>
      <c r="H3337" s="9">
        <v>1.06</v>
      </c>
      <c r="I3337"/>
    </row>
    <row r="3338" spans="1:9" x14ac:dyDescent="0.3">
      <c r="A3338" t="s">
        <v>4</v>
      </c>
      <c r="B3338" t="s">
        <v>19</v>
      </c>
      <c r="C3338" t="s">
        <v>140</v>
      </c>
      <c r="D3338" s="9" t="s">
        <v>137</v>
      </c>
      <c r="E3338" t="s">
        <v>35</v>
      </c>
      <c r="F3338" t="s">
        <v>67</v>
      </c>
      <c r="G3338">
        <v>322.10000000000002</v>
      </c>
      <c r="H3338" s="9">
        <v>-4.28</v>
      </c>
      <c r="I3338"/>
    </row>
    <row r="3339" spans="1:9" x14ac:dyDescent="0.3">
      <c r="A3339" t="s">
        <v>4</v>
      </c>
      <c r="B3339" t="s">
        <v>19</v>
      </c>
      <c r="C3339" t="s">
        <v>141</v>
      </c>
      <c r="D3339" s="9" t="s">
        <v>137</v>
      </c>
      <c r="E3339" t="s">
        <v>36</v>
      </c>
      <c r="F3339" t="s">
        <v>69</v>
      </c>
      <c r="G3339">
        <v>347.8</v>
      </c>
      <c r="H3339" s="9">
        <v>-3.42</v>
      </c>
      <c r="I3339"/>
    </row>
    <row r="3340" spans="1:9" x14ac:dyDescent="0.3">
      <c r="A3340" t="s">
        <v>4</v>
      </c>
      <c r="B3340" t="s">
        <v>19</v>
      </c>
      <c r="C3340" t="s">
        <v>142</v>
      </c>
      <c r="D3340" s="9" t="s">
        <v>137</v>
      </c>
      <c r="E3340" t="s">
        <v>37</v>
      </c>
      <c r="F3340" t="s">
        <v>71</v>
      </c>
      <c r="G3340">
        <v>363.1</v>
      </c>
      <c r="H3340" s="9">
        <v>4.22</v>
      </c>
      <c r="I3340"/>
    </row>
    <row r="3341" spans="1:9" x14ac:dyDescent="0.3">
      <c r="A3341" t="s">
        <v>4</v>
      </c>
      <c r="B3341" t="s">
        <v>19</v>
      </c>
      <c r="C3341" t="s">
        <v>143</v>
      </c>
      <c r="D3341" s="9" t="s">
        <v>137</v>
      </c>
      <c r="E3341" t="s">
        <v>38</v>
      </c>
      <c r="F3341" t="s">
        <v>73</v>
      </c>
      <c r="G3341">
        <v>350.6</v>
      </c>
      <c r="H3341" s="9">
        <v>-0.6</v>
      </c>
      <c r="I3341"/>
    </row>
    <row r="3342" spans="1:9" x14ac:dyDescent="0.3">
      <c r="A3342" t="s">
        <v>4</v>
      </c>
      <c r="B3342" t="s">
        <v>19</v>
      </c>
      <c r="C3342" t="s">
        <v>144</v>
      </c>
      <c r="D3342" s="9" t="s">
        <v>137</v>
      </c>
      <c r="E3342" t="s">
        <v>39</v>
      </c>
      <c r="F3342" t="s">
        <v>75</v>
      </c>
      <c r="G3342">
        <v>352.8</v>
      </c>
      <c r="H3342" s="9">
        <v>6.07</v>
      </c>
      <c r="I3342"/>
    </row>
    <row r="3343" spans="1:9" x14ac:dyDescent="0.3">
      <c r="A3343" t="s">
        <v>4</v>
      </c>
      <c r="B3343" t="s">
        <v>19</v>
      </c>
      <c r="C3343" t="s">
        <v>145</v>
      </c>
      <c r="D3343" s="9" t="s">
        <v>137</v>
      </c>
      <c r="E3343" t="s">
        <v>40</v>
      </c>
      <c r="F3343" t="s">
        <v>77</v>
      </c>
      <c r="G3343">
        <v>355.2</v>
      </c>
      <c r="H3343" s="9">
        <v>1.08</v>
      </c>
      <c r="I3343"/>
    </row>
    <row r="3344" spans="1:9" x14ac:dyDescent="0.3">
      <c r="A3344" t="s">
        <v>4</v>
      </c>
      <c r="B3344" t="s">
        <v>19</v>
      </c>
      <c r="C3344" t="s">
        <v>146</v>
      </c>
      <c r="D3344" s="9" t="s">
        <v>137</v>
      </c>
      <c r="E3344" t="s">
        <v>41</v>
      </c>
      <c r="F3344" t="s">
        <v>79</v>
      </c>
      <c r="G3344">
        <v>364.4</v>
      </c>
      <c r="H3344" s="9">
        <v>4.8899999999999997</v>
      </c>
      <c r="I3344"/>
    </row>
    <row r="3345" spans="1:9" x14ac:dyDescent="0.3">
      <c r="A3345" t="s">
        <v>4</v>
      </c>
      <c r="B3345" t="s">
        <v>19</v>
      </c>
      <c r="C3345" t="s">
        <v>147</v>
      </c>
      <c r="D3345" s="9" t="s">
        <v>137</v>
      </c>
      <c r="E3345" t="s">
        <v>42</v>
      </c>
      <c r="F3345" t="s">
        <v>81</v>
      </c>
      <c r="G3345">
        <v>441.6</v>
      </c>
      <c r="H3345" s="9">
        <v>3.59</v>
      </c>
      <c r="I3345"/>
    </row>
    <row r="3346" spans="1:9" x14ac:dyDescent="0.3">
      <c r="A3346" t="s">
        <v>4</v>
      </c>
      <c r="B3346" t="s">
        <v>19</v>
      </c>
      <c r="C3346" t="s">
        <v>148</v>
      </c>
      <c r="D3346" s="9" t="s">
        <v>137</v>
      </c>
      <c r="E3346" t="s">
        <v>43</v>
      </c>
      <c r="F3346" t="s">
        <v>83</v>
      </c>
      <c r="G3346">
        <v>556.20000000000005</v>
      </c>
      <c r="H3346" s="9">
        <v>5.86</v>
      </c>
      <c r="I3346"/>
    </row>
    <row r="3347" spans="1:9" x14ac:dyDescent="0.3">
      <c r="A3347" t="s">
        <v>4</v>
      </c>
      <c r="B3347" t="s">
        <v>19</v>
      </c>
      <c r="C3347" t="s">
        <v>149</v>
      </c>
      <c r="D3347" s="9" t="s">
        <v>150</v>
      </c>
      <c r="E3347" t="s">
        <v>32</v>
      </c>
      <c r="F3347" t="s">
        <v>61</v>
      </c>
      <c r="G3347">
        <v>371.8</v>
      </c>
      <c r="H3347" s="9">
        <v>10.46</v>
      </c>
      <c r="I3347"/>
    </row>
    <row r="3348" spans="1:9" x14ac:dyDescent="0.3">
      <c r="A3348" t="s">
        <v>4</v>
      </c>
      <c r="B3348" t="s">
        <v>19</v>
      </c>
      <c r="C3348" t="s">
        <v>151</v>
      </c>
      <c r="D3348" s="9" t="s">
        <v>150</v>
      </c>
      <c r="E3348" t="s">
        <v>33</v>
      </c>
      <c r="F3348" t="s">
        <v>63</v>
      </c>
      <c r="G3348">
        <v>293.60000000000002</v>
      </c>
      <c r="H3348" s="9">
        <v>5.35</v>
      </c>
      <c r="I3348"/>
    </row>
    <row r="3349" spans="1:9" x14ac:dyDescent="0.3">
      <c r="A3349" t="s">
        <v>4</v>
      </c>
      <c r="B3349" t="s">
        <v>19</v>
      </c>
      <c r="C3349" t="s">
        <v>152</v>
      </c>
      <c r="D3349" s="9" t="s">
        <v>150</v>
      </c>
      <c r="E3349" t="s">
        <v>34</v>
      </c>
      <c r="F3349" t="s">
        <v>65</v>
      </c>
      <c r="G3349">
        <v>320.3</v>
      </c>
      <c r="H3349" s="9">
        <v>1.71</v>
      </c>
      <c r="I3349"/>
    </row>
    <row r="3350" spans="1:9" x14ac:dyDescent="0.3">
      <c r="A3350" t="s">
        <v>4</v>
      </c>
      <c r="B3350" t="s">
        <v>19</v>
      </c>
      <c r="C3350" t="s">
        <v>153</v>
      </c>
      <c r="D3350" s="9" t="s">
        <v>150</v>
      </c>
      <c r="E3350" t="s">
        <v>35</v>
      </c>
      <c r="F3350" t="s">
        <v>67</v>
      </c>
      <c r="G3350">
        <v>345.3</v>
      </c>
      <c r="H3350" s="9">
        <v>7.2</v>
      </c>
      <c r="I3350"/>
    </row>
    <row r="3351" spans="1:9" x14ac:dyDescent="0.3">
      <c r="A3351" t="s">
        <v>4</v>
      </c>
      <c r="B3351" t="s">
        <v>19</v>
      </c>
      <c r="C3351" t="s">
        <v>154</v>
      </c>
      <c r="D3351" s="9" t="s">
        <v>150</v>
      </c>
      <c r="E3351" t="s">
        <v>36</v>
      </c>
      <c r="F3351" t="s">
        <v>69</v>
      </c>
      <c r="G3351">
        <v>366.7</v>
      </c>
      <c r="H3351" s="9">
        <v>5.43</v>
      </c>
      <c r="I3351"/>
    </row>
    <row r="3352" spans="1:9" x14ac:dyDescent="0.3">
      <c r="A3352" t="s">
        <v>4</v>
      </c>
      <c r="B3352" t="s">
        <v>19</v>
      </c>
      <c r="C3352" t="s">
        <v>155</v>
      </c>
      <c r="D3352" s="9" t="s">
        <v>150</v>
      </c>
      <c r="E3352" t="s">
        <v>37</v>
      </c>
      <c r="F3352" t="s">
        <v>71</v>
      </c>
      <c r="G3352">
        <v>392.4</v>
      </c>
      <c r="H3352" s="9">
        <v>8.07</v>
      </c>
      <c r="I3352"/>
    </row>
    <row r="3353" spans="1:9" x14ac:dyDescent="0.3">
      <c r="A3353" t="s">
        <v>4</v>
      </c>
      <c r="B3353" t="s">
        <v>16</v>
      </c>
      <c r="C3353" t="s">
        <v>59</v>
      </c>
      <c r="D3353" s="9" t="s">
        <v>60</v>
      </c>
      <c r="E3353" t="s">
        <v>32</v>
      </c>
      <c r="F3353" t="s">
        <v>61</v>
      </c>
      <c r="G3353">
        <v>279.39999999999998</v>
      </c>
      <c r="I3353"/>
    </row>
    <row r="3354" spans="1:9" x14ac:dyDescent="0.3">
      <c r="A3354" t="s">
        <v>4</v>
      </c>
      <c r="B3354" t="s">
        <v>16</v>
      </c>
      <c r="C3354" t="s">
        <v>62</v>
      </c>
      <c r="D3354" s="9" t="s">
        <v>60</v>
      </c>
      <c r="E3354" t="s">
        <v>33</v>
      </c>
      <c r="F3354" t="s">
        <v>63</v>
      </c>
      <c r="G3354">
        <v>220.6</v>
      </c>
      <c r="I3354"/>
    </row>
    <row r="3355" spans="1:9" x14ac:dyDescent="0.3">
      <c r="A3355" t="s">
        <v>4</v>
      </c>
      <c r="B3355" t="s">
        <v>16</v>
      </c>
      <c r="C3355" t="s">
        <v>64</v>
      </c>
      <c r="D3355" s="9" t="s">
        <v>60</v>
      </c>
      <c r="E3355" t="s">
        <v>34</v>
      </c>
      <c r="F3355" t="s">
        <v>65</v>
      </c>
      <c r="G3355">
        <v>260.3</v>
      </c>
      <c r="I3355"/>
    </row>
    <row r="3356" spans="1:9" x14ac:dyDescent="0.3">
      <c r="A3356" t="s">
        <v>4</v>
      </c>
      <c r="B3356" t="s">
        <v>16</v>
      </c>
      <c r="C3356" t="s">
        <v>66</v>
      </c>
      <c r="D3356" s="9" t="s">
        <v>60</v>
      </c>
      <c r="E3356" t="s">
        <v>35</v>
      </c>
      <c r="F3356" t="s">
        <v>67</v>
      </c>
      <c r="G3356">
        <v>279.2</v>
      </c>
      <c r="I3356"/>
    </row>
    <row r="3357" spans="1:9" x14ac:dyDescent="0.3">
      <c r="A3357" t="s">
        <v>4</v>
      </c>
      <c r="B3357" t="s">
        <v>16</v>
      </c>
      <c r="C3357" t="s">
        <v>68</v>
      </c>
      <c r="D3357" s="9" t="s">
        <v>60</v>
      </c>
      <c r="E3357" t="s">
        <v>36</v>
      </c>
      <c r="F3357" t="s">
        <v>69</v>
      </c>
      <c r="G3357">
        <v>283.89999999999998</v>
      </c>
      <c r="I3357"/>
    </row>
    <row r="3358" spans="1:9" x14ac:dyDescent="0.3">
      <c r="A3358" t="s">
        <v>4</v>
      </c>
      <c r="B3358" t="s">
        <v>16</v>
      </c>
      <c r="C3358" t="s">
        <v>70</v>
      </c>
      <c r="D3358" s="9" t="s">
        <v>60</v>
      </c>
      <c r="E3358" t="s">
        <v>37</v>
      </c>
      <c r="F3358" t="s">
        <v>71</v>
      </c>
      <c r="G3358">
        <v>307.7</v>
      </c>
      <c r="I3358"/>
    </row>
    <row r="3359" spans="1:9" x14ac:dyDescent="0.3">
      <c r="A3359" t="s">
        <v>4</v>
      </c>
      <c r="B3359" t="s">
        <v>16</v>
      </c>
      <c r="C3359" t="s">
        <v>72</v>
      </c>
      <c r="D3359" s="9" t="s">
        <v>60</v>
      </c>
      <c r="E3359" t="s">
        <v>38</v>
      </c>
      <c r="F3359" t="s">
        <v>73</v>
      </c>
      <c r="G3359">
        <v>295.60000000000002</v>
      </c>
      <c r="I3359"/>
    </row>
    <row r="3360" spans="1:9" x14ac:dyDescent="0.3">
      <c r="A3360" t="s">
        <v>4</v>
      </c>
      <c r="B3360" t="s">
        <v>16</v>
      </c>
      <c r="C3360" t="s">
        <v>74</v>
      </c>
      <c r="D3360" s="9" t="s">
        <v>60</v>
      </c>
      <c r="E3360" t="s">
        <v>39</v>
      </c>
      <c r="F3360" t="s">
        <v>75</v>
      </c>
      <c r="G3360">
        <v>282.10000000000002</v>
      </c>
      <c r="I3360"/>
    </row>
    <row r="3361" spans="1:9" x14ac:dyDescent="0.3">
      <c r="A3361" t="s">
        <v>4</v>
      </c>
      <c r="B3361" t="s">
        <v>16</v>
      </c>
      <c r="C3361" t="s">
        <v>76</v>
      </c>
      <c r="D3361" s="9" t="s">
        <v>60</v>
      </c>
      <c r="E3361" t="s">
        <v>40</v>
      </c>
      <c r="F3361" t="s">
        <v>77</v>
      </c>
      <c r="G3361">
        <v>282.39999999999998</v>
      </c>
      <c r="I3361"/>
    </row>
    <row r="3362" spans="1:9" x14ac:dyDescent="0.3">
      <c r="A3362" t="s">
        <v>4</v>
      </c>
      <c r="B3362" t="s">
        <v>16</v>
      </c>
      <c r="C3362" t="s">
        <v>78</v>
      </c>
      <c r="D3362" s="9" t="s">
        <v>60</v>
      </c>
      <c r="E3362" t="s">
        <v>41</v>
      </c>
      <c r="F3362" t="s">
        <v>79</v>
      </c>
      <c r="G3362">
        <v>304.3</v>
      </c>
      <c r="I3362"/>
    </row>
    <row r="3363" spans="1:9" x14ac:dyDescent="0.3">
      <c r="A3363" t="s">
        <v>4</v>
      </c>
      <c r="B3363" t="s">
        <v>16</v>
      </c>
      <c r="C3363" t="s">
        <v>80</v>
      </c>
      <c r="D3363" s="9" t="s">
        <v>60</v>
      </c>
      <c r="E3363" t="s">
        <v>42</v>
      </c>
      <c r="F3363" t="s">
        <v>81</v>
      </c>
      <c r="G3363">
        <v>357.7</v>
      </c>
      <c r="I3363"/>
    </row>
    <row r="3364" spans="1:9" x14ac:dyDescent="0.3">
      <c r="A3364" t="s">
        <v>4</v>
      </c>
      <c r="B3364" t="s">
        <v>16</v>
      </c>
      <c r="C3364" t="s">
        <v>82</v>
      </c>
      <c r="D3364" s="9" t="s">
        <v>60</v>
      </c>
      <c r="E3364" t="s">
        <v>43</v>
      </c>
      <c r="F3364" t="s">
        <v>83</v>
      </c>
      <c r="G3364">
        <v>542.70000000000005</v>
      </c>
      <c r="I3364"/>
    </row>
    <row r="3365" spans="1:9" x14ac:dyDescent="0.3">
      <c r="A3365" t="s">
        <v>4</v>
      </c>
      <c r="B3365" t="s">
        <v>16</v>
      </c>
      <c r="C3365" t="s">
        <v>84</v>
      </c>
      <c r="D3365" s="9" t="s">
        <v>85</v>
      </c>
      <c r="E3365" t="s">
        <v>32</v>
      </c>
      <c r="F3365" t="s">
        <v>61</v>
      </c>
      <c r="G3365">
        <v>286.2</v>
      </c>
      <c r="H3365" s="9">
        <v>2.4300000000000002</v>
      </c>
      <c r="I3365"/>
    </row>
    <row r="3366" spans="1:9" x14ac:dyDescent="0.3">
      <c r="A3366" t="s">
        <v>4</v>
      </c>
      <c r="B3366" t="s">
        <v>16</v>
      </c>
      <c r="C3366" t="s">
        <v>86</v>
      </c>
      <c r="D3366" s="9" t="s">
        <v>85</v>
      </c>
      <c r="E3366" t="s">
        <v>33</v>
      </c>
      <c r="F3366" t="s">
        <v>63</v>
      </c>
      <c r="G3366">
        <v>234.6</v>
      </c>
      <c r="H3366" s="9">
        <v>6.35</v>
      </c>
      <c r="I3366"/>
    </row>
    <row r="3367" spans="1:9" x14ac:dyDescent="0.3">
      <c r="A3367" t="s">
        <v>4</v>
      </c>
      <c r="B3367" t="s">
        <v>16</v>
      </c>
      <c r="C3367" t="s">
        <v>87</v>
      </c>
      <c r="D3367" s="9" t="s">
        <v>85</v>
      </c>
      <c r="E3367" t="s">
        <v>34</v>
      </c>
      <c r="F3367" t="s">
        <v>65</v>
      </c>
      <c r="G3367">
        <v>239.4</v>
      </c>
      <c r="H3367" s="9">
        <v>-8.0299999999999994</v>
      </c>
      <c r="I3367"/>
    </row>
    <row r="3368" spans="1:9" x14ac:dyDescent="0.3">
      <c r="A3368" t="s">
        <v>4</v>
      </c>
      <c r="B3368" t="s">
        <v>16</v>
      </c>
      <c r="C3368" t="s">
        <v>88</v>
      </c>
      <c r="D3368" s="9" t="s">
        <v>85</v>
      </c>
      <c r="E3368" t="s">
        <v>35</v>
      </c>
      <c r="F3368" t="s">
        <v>67</v>
      </c>
      <c r="G3368">
        <v>232.5</v>
      </c>
      <c r="H3368" s="9">
        <v>-16.73</v>
      </c>
      <c r="I3368"/>
    </row>
    <row r="3369" spans="1:9" x14ac:dyDescent="0.3">
      <c r="A3369" t="s">
        <v>4</v>
      </c>
      <c r="B3369" t="s">
        <v>16</v>
      </c>
      <c r="C3369" t="s">
        <v>89</v>
      </c>
      <c r="D3369" s="9" t="s">
        <v>85</v>
      </c>
      <c r="E3369" t="s">
        <v>36</v>
      </c>
      <c r="F3369" t="s">
        <v>69</v>
      </c>
      <c r="G3369">
        <v>349.9</v>
      </c>
      <c r="H3369" s="9">
        <v>23.25</v>
      </c>
      <c r="I3369"/>
    </row>
    <row r="3370" spans="1:9" x14ac:dyDescent="0.3">
      <c r="A3370" t="s">
        <v>4</v>
      </c>
      <c r="B3370" t="s">
        <v>16</v>
      </c>
      <c r="C3370" t="s">
        <v>90</v>
      </c>
      <c r="D3370" s="9" t="s">
        <v>85</v>
      </c>
      <c r="E3370" t="s">
        <v>37</v>
      </c>
      <c r="F3370" t="s">
        <v>71</v>
      </c>
      <c r="G3370">
        <v>306.10000000000002</v>
      </c>
      <c r="H3370" s="9">
        <v>-0.52</v>
      </c>
      <c r="I3370"/>
    </row>
    <row r="3371" spans="1:9" x14ac:dyDescent="0.3">
      <c r="A3371" t="s">
        <v>4</v>
      </c>
      <c r="B3371" t="s">
        <v>16</v>
      </c>
      <c r="C3371" t="s">
        <v>91</v>
      </c>
      <c r="D3371" s="9" t="s">
        <v>85</v>
      </c>
      <c r="E3371" t="s">
        <v>38</v>
      </c>
      <c r="F3371" t="s">
        <v>73</v>
      </c>
      <c r="G3371">
        <v>336.3</v>
      </c>
      <c r="H3371" s="9">
        <v>13.77</v>
      </c>
      <c r="I3371"/>
    </row>
    <row r="3372" spans="1:9" x14ac:dyDescent="0.3">
      <c r="A3372" t="s">
        <v>4</v>
      </c>
      <c r="B3372" t="s">
        <v>16</v>
      </c>
      <c r="C3372" t="s">
        <v>92</v>
      </c>
      <c r="D3372" s="9" t="s">
        <v>85</v>
      </c>
      <c r="E3372" t="s">
        <v>39</v>
      </c>
      <c r="F3372" t="s">
        <v>75</v>
      </c>
      <c r="G3372">
        <v>283.5</v>
      </c>
      <c r="H3372" s="9">
        <v>0.5</v>
      </c>
      <c r="I3372"/>
    </row>
    <row r="3373" spans="1:9" x14ac:dyDescent="0.3">
      <c r="A3373" t="s">
        <v>4</v>
      </c>
      <c r="B3373" t="s">
        <v>16</v>
      </c>
      <c r="C3373" t="s">
        <v>93</v>
      </c>
      <c r="D3373" s="9" t="s">
        <v>85</v>
      </c>
      <c r="E3373" t="s">
        <v>40</v>
      </c>
      <c r="F3373" t="s">
        <v>77</v>
      </c>
      <c r="G3373">
        <v>312.7</v>
      </c>
      <c r="H3373" s="9">
        <v>10.73</v>
      </c>
      <c r="I3373"/>
    </row>
    <row r="3374" spans="1:9" x14ac:dyDescent="0.3">
      <c r="A3374" t="s">
        <v>4</v>
      </c>
      <c r="B3374" t="s">
        <v>16</v>
      </c>
      <c r="C3374" t="s">
        <v>94</v>
      </c>
      <c r="D3374" s="9" t="s">
        <v>85</v>
      </c>
      <c r="E3374" t="s">
        <v>41</v>
      </c>
      <c r="F3374" t="s">
        <v>79</v>
      </c>
      <c r="G3374">
        <v>336.5</v>
      </c>
      <c r="H3374" s="9">
        <v>10.58</v>
      </c>
      <c r="I3374"/>
    </row>
    <row r="3375" spans="1:9" x14ac:dyDescent="0.3">
      <c r="A3375" t="s">
        <v>4</v>
      </c>
      <c r="B3375" t="s">
        <v>16</v>
      </c>
      <c r="C3375" t="s">
        <v>95</v>
      </c>
      <c r="D3375" s="9" t="s">
        <v>85</v>
      </c>
      <c r="E3375" t="s">
        <v>42</v>
      </c>
      <c r="F3375" t="s">
        <v>81</v>
      </c>
      <c r="G3375">
        <v>397</v>
      </c>
      <c r="H3375" s="9">
        <v>10.99</v>
      </c>
      <c r="I3375"/>
    </row>
    <row r="3376" spans="1:9" x14ac:dyDescent="0.3">
      <c r="A3376" t="s">
        <v>4</v>
      </c>
      <c r="B3376" t="s">
        <v>16</v>
      </c>
      <c r="C3376" t="s">
        <v>96</v>
      </c>
      <c r="D3376" s="9" t="s">
        <v>85</v>
      </c>
      <c r="E3376" t="s">
        <v>43</v>
      </c>
      <c r="F3376" t="s">
        <v>83</v>
      </c>
      <c r="G3376">
        <v>607.4</v>
      </c>
      <c r="H3376" s="9">
        <v>11.92</v>
      </c>
      <c r="I3376"/>
    </row>
    <row r="3377" spans="1:9" x14ac:dyDescent="0.3">
      <c r="A3377" t="s">
        <v>4</v>
      </c>
      <c r="B3377" t="s">
        <v>16</v>
      </c>
      <c r="C3377" t="s">
        <v>97</v>
      </c>
      <c r="D3377" s="9" t="s">
        <v>98</v>
      </c>
      <c r="E3377" t="s">
        <v>32</v>
      </c>
      <c r="F3377" t="s">
        <v>61</v>
      </c>
      <c r="G3377">
        <v>296.8</v>
      </c>
      <c r="H3377" s="9">
        <v>3.7</v>
      </c>
      <c r="I3377"/>
    </row>
    <row r="3378" spans="1:9" x14ac:dyDescent="0.3">
      <c r="A3378" t="s">
        <v>4</v>
      </c>
      <c r="B3378" t="s">
        <v>16</v>
      </c>
      <c r="C3378" t="s">
        <v>99</v>
      </c>
      <c r="D3378" s="9" t="s">
        <v>98</v>
      </c>
      <c r="E3378" t="s">
        <v>33</v>
      </c>
      <c r="F3378" t="s">
        <v>63</v>
      </c>
      <c r="G3378">
        <v>252.1</v>
      </c>
      <c r="H3378" s="9">
        <v>7.46</v>
      </c>
      <c r="I3378"/>
    </row>
    <row r="3379" spans="1:9" x14ac:dyDescent="0.3">
      <c r="A3379" t="s">
        <v>4</v>
      </c>
      <c r="B3379" t="s">
        <v>16</v>
      </c>
      <c r="C3379" t="s">
        <v>100</v>
      </c>
      <c r="D3379" s="9" t="s">
        <v>98</v>
      </c>
      <c r="E3379" t="s">
        <v>34</v>
      </c>
      <c r="F3379" t="s">
        <v>65</v>
      </c>
      <c r="G3379">
        <v>303.5</v>
      </c>
      <c r="H3379" s="9">
        <v>26.78</v>
      </c>
      <c r="I3379"/>
    </row>
    <row r="3380" spans="1:9" x14ac:dyDescent="0.3">
      <c r="A3380" t="s">
        <v>4</v>
      </c>
      <c r="B3380" t="s">
        <v>16</v>
      </c>
      <c r="C3380" t="s">
        <v>101</v>
      </c>
      <c r="D3380" s="9" t="s">
        <v>98</v>
      </c>
      <c r="E3380" t="s">
        <v>35</v>
      </c>
      <c r="F3380" t="s">
        <v>67</v>
      </c>
      <c r="G3380">
        <v>307.39999999999998</v>
      </c>
      <c r="H3380" s="9">
        <v>32.22</v>
      </c>
      <c r="I3380"/>
    </row>
    <row r="3381" spans="1:9" x14ac:dyDescent="0.3">
      <c r="A3381" t="s">
        <v>4</v>
      </c>
      <c r="B3381" t="s">
        <v>16</v>
      </c>
      <c r="C3381" t="s">
        <v>102</v>
      </c>
      <c r="D3381" s="9" t="s">
        <v>98</v>
      </c>
      <c r="E3381" t="s">
        <v>36</v>
      </c>
      <c r="F3381" t="s">
        <v>69</v>
      </c>
      <c r="G3381">
        <v>325</v>
      </c>
      <c r="H3381" s="9">
        <v>-7.12</v>
      </c>
      <c r="I3381"/>
    </row>
    <row r="3382" spans="1:9" x14ac:dyDescent="0.3">
      <c r="A3382" t="s">
        <v>4</v>
      </c>
      <c r="B3382" t="s">
        <v>16</v>
      </c>
      <c r="C3382" t="s">
        <v>103</v>
      </c>
      <c r="D3382" s="9" t="s">
        <v>98</v>
      </c>
      <c r="E3382" t="s">
        <v>37</v>
      </c>
      <c r="F3382" t="s">
        <v>71</v>
      </c>
      <c r="G3382">
        <v>341.1</v>
      </c>
      <c r="H3382" s="9">
        <v>11.43</v>
      </c>
      <c r="I3382"/>
    </row>
    <row r="3383" spans="1:9" x14ac:dyDescent="0.3">
      <c r="A3383" t="s">
        <v>4</v>
      </c>
      <c r="B3383" t="s">
        <v>16</v>
      </c>
      <c r="C3383" t="s">
        <v>104</v>
      </c>
      <c r="D3383" s="9" t="s">
        <v>98</v>
      </c>
      <c r="E3383" t="s">
        <v>38</v>
      </c>
      <c r="F3383" t="s">
        <v>73</v>
      </c>
      <c r="G3383">
        <v>310.2</v>
      </c>
      <c r="H3383" s="9">
        <v>-7.76</v>
      </c>
      <c r="I3383"/>
    </row>
    <row r="3384" spans="1:9" x14ac:dyDescent="0.3">
      <c r="A3384" t="s">
        <v>4</v>
      </c>
      <c r="B3384" t="s">
        <v>16</v>
      </c>
      <c r="C3384" t="s">
        <v>105</v>
      </c>
      <c r="D3384" s="9" t="s">
        <v>98</v>
      </c>
      <c r="E3384" t="s">
        <v>39</v>
      </c>
      <c r="F3384" t="s">
        <v>75</v>
      </c>
      <c r="G3384">
        <v>283.89999999999998</v>
      </c>
      <c r="H3384" s="9">
        <v>0.14000000000000001</v>
      </c>
      <c r="I3384"/>
    </row>
    <row r="3385" spans="1:9" x14ac:dyDescent="0.3">
      <c r="A3385" t="s">
        <v>4</v>
      </c>
      <c r="B3385" t="s">
        <v>16</v>
      </c>
      <c r="C3385" t="s">
        <v>106</v>
      </c>
      <c r="D3385" s="9" t="s">
        <v>98</v>
      </c>
      <c r="E3385" t="s">
        <v>40</v>
      </c>
      <c r="F3385" t="s">
        <v>77</v>
      </c>
      <c r="G3385">
        <v>329.4</v>
      </c>
      <c r="H3385" s="9">
        <v>5.34</v>
      </c>
      <c r="I3385"/>
    </row>
    <row r="3386" spans="1:9" x14ac:dyDescent="0.3">
      <c r="A3386" t="s">
        <v>4</v>
      </c>
      <c r="B3386" t="s">
        <v>16</v>
      </c>
      <c r="C3386" t="s">
        <v>107</v>
      </c>
      <c r="D3386" s="9" t="s">
        <v>98</v>
      </c>
      <c r="E3386" t="s">
        <v>41</v>
      </c>
      <c r="F3386" t="s">
        <v>79</v>
      </c>
      <c r="G3386">
        <v>362.3</v>
      </c>
      <c r="H3386" s="9">
        <v>7.67</v>
      </c>
      <c r="I3386"/>
    </row>
    <row r="3387" spans="1:9" x14ac:dyDescent="0.3">
      <c r="A3387" t="s">
        <v>4</v>
      </c>
      <c r="B3387" t="s">
        <v>16</v>
      </c>
      <c r="C3387" t="s">
        <v>108</v>
      </c>
      <c r="D3387" s="9" t="s">
        <v>98</v>
      </c>
      <c r="E3387" t="s">
        <v>42</v>
      </c>
      <c r="F3387" t="s">
        <v>81</v>
      </c>
      <c r="G3387">
        <v>423.7</v>
      </c>
      <c r="H3387" s="9">
        <v>6.73</v>
      </c>
      <c r="I3387"/>
    </row>
    <row r="3388" spans="1:9" x14ac:dyDescent="0.3">
      <c r="A3388" t="s">
        <v>4</v>
      </c>
      <c r="B3388" t="s">
        <v>16</v>
      </c>
      <c r="C3388" t="s">
        <v>109</v>
      </c>
      <c r="D3388" s="9" t="s">
        <v>98</v>
      </c>
      <c r="E3388" t="s">
        <v>43</v>
      </c>
      <c r="F3388" t="s">
        <v>83</v>
      </c>
      <c r="G3388">
        <v>578.29999999999995</v>
      </c>
      <c r="H3388" s="9">
        <v>-4.79</v>
      </c>
      <c r="I3388"/>
    </row>
    <row r="3389" spans="1:9" x14ac:dyDescent="0.3">
      <c r="A3389" t="s">
        <v>4</v>
      </c>
      <c r="B3389" t="s">
        <v>16</v>
      </c>
      <c r="C3389" t="s">
        <v>110</v>
      </c>
      <c r="D3389" s="9" t="s">
        <v>111</v>
      </c>
      <c r="E3389" t="s">
        <v>32</v>
      </c>
      <c r="F3389" t="s">
        <v>61</v>
      </c>
      <c r="G3389">
        <v>297.39999999999998</v>
      </c>
      <c r="H3389" s="9">
        <v>0.2</v>
      </c>
      <c r="I3389"/>
    </row>
    <row r="3390" spans="1:9" x14ac:dyDescent="0.3">
      <c r="A3390" t="s">
        <v>4</v>
      </c>
      <c r="B3390" t="s">
        <v>16</v>
      </c>
      <c r="C3390" t="s">
        <v>112</v>
      </c>
      <c r="D3390" s="9" t="s">
        <v>111</v>
      </c>
      <c r="E3390" t="s">
        <v>33</v>
      </c>
      <c r="F3390" t="s">
        <v>63</v>
      </c>
      <c r="G3390">
        <v>266.7</v>
      </c>
      <c r="H3390" s="9">
        <v>5.79</v>
      </c>
      <c r="I3390"/>
    </row>
    <row r="3391" spans="1:9" x14ac:dyDescent="0.3">
      <c r="A3391" t="s">
        <v>4</v>
      </c>
      <c r="B3391" t="s">
        <v>16</v>
      </c>
      <c r="C3391" t="s">
        <v>113</v>
      </c>
      <c r="D3391" s="9" t="s">
        <v>111</v>
      </c>
      <c r="E3391" t="s">
        <v>34</v>
      </c>
      <c r="F3391" t="s">
        <v>65</v>
      </c>
      <c r="G3391">
        <v>340.7</v>
      </c>
      <c r="H3391" s="9">
        <v>12.26</v>
      </c>
      <c r="I3391"/>
    </row>
    <row r="3392" spans="1:9" x14ac:dyDescent="0.3">
      <c r="A3392" t="s">
        <v>4</v>
      </c>
      <c r="B3392" t="s">
        <v>16</v>
      </c>
      <c r="C3392" t="s">
        <v>114</v>
      </c>
      <c r="D3392" s="9" t="s">
        <v>111</v>
      </c>
      <c r="E3392" t="s">
        <v>35</v>
      </c>
      <c r="F3392" t="s">
        <v>67</v>
      </c>
      <c r="G3392">
        <v>360.4</v>
      </c>
      <c r="H3392" s="9">
        <v>17.239999999999998</v>
      </c>
      <c r="I3392"/>
    </row>
    <row r="3393" spans="1:9" x14ac:dyDescent="0.3">
      <c r="A3393" t="s">
        <v>4</v>
      </c>
      <c r="B3393" t="s">
        <v>16</v>
      </c>
      <c r="C3393" t="s">
        <v>115</v>
      </c>
      <c r="D3393" s="9" t="s">
        <v>111</v>
      </c>
      <c r="E3393" t="s">
        <v>36</v>
      </c>
      <c r="F3393" t="s">
        <v>69</v>
      </c>
      <c r="G3393">
        <v>369.9</v>
      </c>
      <c r="H3393" s="9">
        <v>13.82</v>
      </c>
      <c r="I3393"/>
    </row>
    <row r="3394" spans="1:9" x14ac:dyDescent="0.3">
      <c r="A3394" t="s">
        <v>4</v>
      </c>
      <c r="B3394" t="s">
        <v>16</v>
      </c>
      <c r="C3394" t="s">
        <v>116</v>
      </c>
      <c r="D3394" s="9" t="s">
        <v>111</v>
      </c>
      <c r="E3394" t="s">
        <v>37</v>
      </c>
      <c r="F3394" t="s">
        <v>71</v>
      </c>
      <c r="G3394">
        <v>398.7</v>
      </c>
      <c r="H3394" s="9">
        <v>16.89</v>
      </c>
      <c r="I3394"/>
    </row>
    <row r="3395" spans="1:9" x14ac:dyDescent="0.3">
      <c r="A3395" t="s">
        <v>4</v>
      </c>
      <c r="B3395" t="s">
        <v>16</v>
      </c>
      <c r="C3395" t="s">
        <v>117</v>
      </c>
      <c r="D3395" s="9" t="s">
        <v>111</v>
      </c>
      <c r="E3395" t="s">
        <v>38</v>
      </c>
      <c r="F3395" t="s">
        <v>73</v>
      </c>
      <c r="G3395">
        <v>382.6</v>
      </c>
      <c r="H3395" s="9">
        <v>23.34</v>
      </c>
      <c r="I3395"/>
    </row>
    <row r="3396" spans="1:9" x14ac:dyDescent="0.3">
      <c r="A3396" t="s">
        <v>4</v>
      </c>
      <c r="B3396" t="s">
        <v>16</v>
      </c>
      <c r="C3396" t="s">
        <v>118</v>
      </c>
      <c r="D3396" s="9" t="s">
        <v>111</v>
      </c>
      <c r="E3396" t="s">
        <v>39</v>
      </c>
      <c r="F3396" t="s">
        <v>75</v>
      </c>
      <c r="G3396">
        <v>352</v>
      </c>
      <c r="H3396" s="9">
        <v>23.99</v>
      </c>
      <c r="I3396"/>
    </row>
    <row r="3397" spans="1:9" x14ac:dyDescent="0.3">
      <c r="A3397" t="s">
        <v>4</v>
      </c>
      <c r="B3397" t="s">
        <v>16</v>
      </c>
      <c r="C3397" t="s">
        <v>119</v>
      </c>
      <c r="D3397" s="9" t="s">
        <v>111</v>
      </c>
      <c r="E3397" t="s">
        <v>40</v>
      </c>
      <c r="F3397" t="s">
        <v>77</v>
      </c>
      <c r="G3397">
        <v>384.1</v>
      </c>
      <c r="H3397" s="9">
        <v>16.61</v>
      </c>
      <c r="I3397"/>
    </row>
    <row r="3398" spans="1:9" x14ac:dyDescent="0.3">
      <c r="A3398" t="s">
        <v>4</v>
      </c>
      <c r="B3398" t="s">
        <v>16</v>
      </c>
      <c r="C3398" t="s">
        <v>120</v>
      </c>
      <c r="D3398" s="9" t="s">
        <v>111</v>
      </c>
      <c r="E3398" t="s">
        <v>41</v>
      </c>
      <c r="F3398" t="s">
        <v>79</v>
      </c>
      <c r="G3398">
        <v>398.6</v>
      </c>
      <c r="H3398" s="9">
        <v>10.02</v>
      </c>
      <c r="I3398"/>
    </row>
    <row r="3399" spans="1:9" x14ac:dyDescent="0.3">
      <c r="A3399" t="s">
        <v>4</v>
      </c>
      <c r="B3399" t="s">
        <v>16</v>
      </c>
      <c r="C3399" t="s">
        <v>121</v>
      </c>
      <c r="D3399" s="9" t="s">
        <v>111</v>
      </c>
      <c r="E3399" t="s">
        <v>42</v>
      </c>
      <c r="F3399" t="s">
        <v>81</v>
      </c>
      <c r="G3399">
        <v>492</v>
      </c>
      <c r="H3399" s="9">
        <v>16.12</v>
      </c>
      <c r="I3399"/>
    </row>
    <row r="3400" spans="1:9" x14ac:dyDescent="0.3">
      <c r="A3400" t="s">
        <v>4</v>
      </c>
      <c r="B3400" t="s">
        <v>16</v>
      </c>
      <c r="C3400" t="s">
        <v>122</v>
      </c>
      <c r="D3400" s="9" t="s">
        <v>111</v>
      </c>
      <c r="E3400" t="s">
        <v>43</v>
      </c>
      <c r="F3400" t="s">
        <v>83</v>
      </c>
      <c r="G3400">
        <v>653.5</v>
      </c>
      <c r="H3400" s="9">
        <v>13</v>
      </c>
      <c r="I3400"/>
    </row>
    <row r="3401" spans="1:9" x14ac:dyDescent="0.3">
      <c r="A3401" t="s">
        <v>4</v>
      </c>
      <c r="B3401" t="s">
        <v>16</v>
      </c>
      <c r="C3401" t="s">
        <v>123</v>
      </c>
      <c r="D3401" s="9" t="s">
        <v>124</v>
      </c>
      <c r="E3401" t="s">
        <v>32</v>
      </c>
      <c r="F3401" t="s">
        <v>61</v>
      </c>
      <c r="G3401">
        <v>358.2</v>
      </c>
      <c r="H3401" s="9">
        <v>20.440000000000001</v>
      </c>
      <c r="I3401"/>
    </row>
    <row r="3402" spans="1:9" x14ac:dyDescent="0.3">
      <c r="A3402" t="s">
        <v>4</v>
      </c>
      <c r="B3402" t="s">
        <v>16</v>
      </c>
      <c r="C3402" t="s">
        <v>125</v>
      </c>
      <c r="D3402" s="9" t="s">
        <v>124</v>
      </c>
      <c r="E3402" t="s">
        <v>33</v>
      </c>
      <c r="F3402" t="s">
        <v>63</v>
      </c>
      <c r="G3402">
        <v>293.5</v>
      </c>
      <c r="H3402" s="9">
        <v>10.050000000000001</v>
      </c>
      <c r="I3402"/>
    </row>
    <row r="3403" spans="1:9" x14ac:dyDescent="0.3">
      <c r="A3403" t="s">
        <v>4</v>
      </c>
      <c r="B3403" t="s">
        <v>16</v>
      </c>
      <c r="C3403" t="s">
        <v>126</v>
      </c>
      <c r="D3403" s="9" t="s">
        <v>124</v>
      </c>
      <c r="E3403" t="s">
        <v>34</v>
      </c>
      <c r="F3403" t="s">
        <v>65</v>
      </c>
      <c r="G3403">
        <v>350.8</v>
      </c>
      <c r="H3403" s="9">
        <v>2.96</v>
      </c>
      <c r="I3403"/>
    </row>
    <row r="3404" spans="1:9" x14ac:dyDescent="0.3">
      <c r="A3404" t="s">
        <v>4</v>
      </c>
      <c r="B3404" t="s">
        <v>16</v>
      </c>
      <c r="C3404" t="s">
        <v>127</v>
      </c>
      <c r="D3404" s="9" t="s">
        <v>124</v>
      </c>
      <c r="E3404" t="s">
        <v>35</v>
      </c>
      <c r="F3404" t="s">
        <v>67</v>
      </c>
      <c r="G3404">
        <v>367.7</v>
      </c>
      <c r="H3404" s="9">
        <v>2.0299999999999998</v>
      </c>
      <c r="I3404"/>
    </row>
    <row r="3405" spans="1:9" x14ac:dyDescent="0.3">
      <c r="A3405" t="s">
        <v>4</v>
      </c>
      <c r="B3405" t="s">
        <v>16</v>
      </c>
      <c r="C3405" t="s">
        <v>128</v>
      </c>
      <c r="D3405" s="9" t="s">
        <v>124</v>
      </c>
      <c r="E3405" t="s">
        <v>36</v>
      </c>
      <c r="F3405" t="s">
        <v>69</v>
      </c>
      <c r="G3405">
        <v>389.9</v>
      </c>
      <c r="H3405" s="9">
        <v>5.41</v>
      </c>
      <c r="I3405"/>
    </row>
    <row r="3406" spans="1:9" x14ac:dyDescent="0.3">
      <c r="A3406" t="s">
        <v>4</v>
      </c>
      <c r="B3406" t="s">
        <v>16</v>
      </c>
      <c r="C3406" t="s">
        <v>129</v>
      </c>
      <c r="D3406" s="9" t="s">
        <v>124</v>
      </c>
      <c r="E3406" t="s">
        <v>37</v>
      </c>
      <c r="F3406" t="s">
        <v>71</v>
      </c>
      <c r="G3406">
        <v>377.2</v>
      </c>
      <c r="H3406" s="9">
        <v>-5.39</v>
      </c>
      <c r="I3406"/>
    </row>
    <row r="3407" spans="1:9" x14ac:dyDescent="0.3">
      <c r="A3407" t="s">
        <v>4</v>
      </c>
      <c r="B3407" t="s">
        <v>16</v>
      </c>
      <c r="C3407" t="s">
        <v>130</v>
      </c>
      <c r="D3407" s="9" t="s">
        <v>124</v>
      </c>
      <c r="E3407" t="s">
        <v>38</v>
      </c>
      <c r="F3407" t="s">
        <v>73</v>
      </c>
      <c r="G3407">
        <v>386.7</v>
      </c>
      <c r="H3407" s="9">
        <v>1.07</v>
      </c>
      <c r="I3407"/>
    </row>
    <row r="3408" spans="1:9" x14ac:dyDescent="0.3">
      <c r="A3408" t="s">
        <v>4</v>
      </c>
      <c r="B3408" t="s">
        <v>16</v>
      </c>
      <c r="C3408" t="s">
        <v>131</v>
      </c>
      <c r="D3408" s="9" t="s">
        <v>124</v>
      </c>
      <c r="E3408" t="s">
        <v>39</v>
      </c>
      <c r="F3408" t="s">
        <v>75</v>
      </c>
      <c r="G3408">
        <v>359.5</v>
      </c>
      <c r="H3408" s="9">
        <v>2.13</v>
      </c>
      <c r="I3408"/>
    </row>
    <row r="3409" spans="1:9" x14ac:dyDescent="0.3">
      <c r="A3409" t="s">
        <v>4</v>
      </c>
      <c r="B3409" t="s">
        <v>16</v>
      </c>
      <c r="C3409" t="s">
        <v>132</v>
      </c>
      <c r="D3409" s="9" t="s">
        <v>124</v>
      </c>
      <c r="E3409" t="s">
        <v>40</v>
      </c>
      <c r="F3409" t="s">
        <v>77</v>
      </c>
      <c r="G3409">
        <v>389.5</v>
      </c>
      <c r="H3409" s="9">
        <v>1.41</v>
      </c>
      <c r="I3409"/>
    </row>
    <row r="3410" spans="1:9" x14ac:dyDescent="0.3">
      <c r="A3410" t="s">
        <v>4</v>
      </c>
      <c r="B3410" t="s">
        <v>16</v>
      </c>
      <c r="C3410" t="s">
        <v>133</v>
      </c>
      <c r="D3410" s="9" t="s">
        <v>124</v>
      </c>
      <c r="E3410" t="s">
        <v>41</v>
      </c>
      <c r="F3410" t="s">
        <v>79</v>
      </c>
      <c r="G3410">
        <v>397.8</v>
      </c>
      <c r="H3410" s="9">
        <v>-0.2</v>
      </c>
      <c r="I3410"/>
    </row>
    <row r="3411" spans="1:9" x14ac:dyDescent="0.3">
      <c r="A3411" t="s">
        <v>4</v>
      </c>
      <c r="B3411" t="s">
        <v>16</v>
      </c>
      <c r="C3411" t="s">
        <v>134</v>
      </c>
      <c r="D3411" s="9" t="s">
        <v>124</v>
      </c>
      <c r="E3411" t="s">
        <v>42</v>
      </c>
      <c r="F3411" t="s">
        <v>81</v>
      </c>
      <c r="G3411">
        <v>506</v>
      </c>
      <c r="H3411" s="9">
        <v>2.85</v>
      </c>
      <c r="I3411"/>
    </row>
    <row r="3412" spans="1:9" x14ac:dyDescent="0.3">
      <c r="A3412" t="s">
        <v>4</v>
      </c>
      <c r="B3412" t="s">
        <v>16</v>
      </c>
      <c r="C3412" t="s">
        <v>135</v>
      </c>
      <c r="D3412" s="9" t="s">
        <v>124</v>
      </c>
      <c r="E3412" t="s">
        <v>43</v>
      </c>
      <c r="F3412" t="s">
        <v>83</v>
      </c>
      <c r="G3412">
        <v>680.4</v>
      </c>
      <c r="H3412" s="9">
        <v>4.12</v>
      </c>
      <c r="I3412"/>
    </row>
    <row r="3413" spans="1:9" x14ac:dyDescent="0.3">
      <c r="A3413" t="s">
        <v>4</v>
      </c>
      <c r="B3413" t="s">
        <v>16</v>
      </c>
      <c r="C3413" t="s">
        <v>136</v>
      </c>
      <c r="D3413" s="9" t="s">
        <v>137</v>
      </c>
      <c r="E3413" t="s">
        <v>32</v>
      </c>
      <c r="F3413" t="s">
        <v>61</v>
      </c>
      <c r="G3413">
        <v>359.1</v>
      </c>
      <c r="H3413" s="9">
        <v>0.25</v>
      </c>
      <c r="I3413"/>
    </row>
    <row r="3414" spans="1:9" x14ac:dyDescent="0.3">
      <c r="A3414" t="s">
        <v>4</v>
      </c>
      <c r="B3414" t="s">
        <v>16</v>
      </c>
      <c r="C3414" t="s">
        <v>138</v>
      </c>
      <c r="D3414" s="9" t="s">
        <v>137</v>
      </c>
      <c r="E3414" t="s">
        <v>33</v>
      </c>
      <c r="F3414" t="s">
        <v>63</v>
      </c>
      <c r="G3414">
        <v>309.3</v>
      </c>
      <c r="H3414" s="9">
        <v>5.38</v>
      </c>
      <c r="I3414"/>
    </row>
    <row r="3415" spans="1:9" x14ac:dyDescent="0.3">
      <c r="A3415" t="s">
        <v>4</v>
      </c>
      <c r="B3415" t="s">
        <v>16</v>
      </c>
      <c r="C3415" t="s">
        <v>139</v>
      </c>
      <c r="D3415" s="9" t="s">
        <v>137</v>
      </c>
      <c r="E3415" t="s">
        <v>34</v>
      </c>
      <c r="F3415" t="s">
        <v>65</v>
      </c>
      <c r="G3415">
        <v>374.5</v>
      </c>
      <c r="H3415" s="9">
        <v>6.76</v>
      </c>
      <c r="I3415"/>
    </row>
    <row r="3416" spans="1:9" x14ac:dyDescent="0.3">
      <c r="A3416" t="s">
        <v>4</v>
      </c>
      <c r="B3416" t="s">
        <v>16</v>
      </c>
      <c r="C3416" t="s">
        <v>140</v>
      </c>
      <c r="D3416" s="9" t="s">
        <v>137</v>
      </c>
      <c r="E3416" t="s">
        <v>35</v>
      </c>
      <c r="F3416" t="s">
        <v>67</v>
      </c>
      <c r="G3416">
        <v>353.9</v>
      </c>
      <c r="H3416" s="9">
        <v>-3.75</v>
      </c>
      <c r="I3416"/>
    </row>
    <row r="3417" spans="1:9" x14ac:dyDescent="0.3">
      <c r="A3417" t="s">
        <v>4</v>
      </c>
      <c r="B3417" t="s">
        <v>16</v>
      </c>
      <c r="C3417" t="s">
        <v>141</v>
      </c>
      <c r="D3417" s="9" t="s">
        <v>137</v>
      </c>
      <c r="E3417" t="s">
        <v>36</v>
      </c>
      <c r="F3417" t="s">
        <v>69</v>
      </c>
      <c r="G3417">
        <v>384.5</v>
      </c>
      <c r="H3417" s="9">
        <v>-1.38</v>
      </c>
      <c r="I3417"/>
    </row>
    <row r="3418" spans="1:9" x14ac:dyDescent="0.3">
      <c r="A3418" t="s">
        <v>4</v>
      </c>
      <c r="B3418" t="s">
        <v>16</v>
      </c>
      <c r="C3418" t="s">
        <v>142</v>
      </c>
      <c r="D3418" s="9" t="s">
        <v>137</v>
      </c>
      <c r="E3418" t="s">
        <v>37</v>
      </c>
      <c r="F3418" t="s">
        <v>71</v>
      </c>
      <c r="G3418">
        <v>407.5</v>
      </c>
      <c r="H3418" s="9">
        <v>8.0299999999999994</v>
      </c>
      <c r="I3418"/>
    </row>
    <row r="3419" spans="1:9" x14ac:dyDescent="0.3">
      <c r="A3419" t="s">
        <v>4</v>
      </c>
      <c r="B3419" t="s">
        <v>16</v>
      </c>
      <c r="C3419" t="s">
        <v>143</v>
      </c>
      <c r="D3419" s="9" t="s">
        <v>137</v>
      </c>
      <c r="E3419" t="s">
        <v>38</v>
      </c>
      <c r="F3419" t="s">
        <v>73</v>
      </c>
      <c r="G3419">
        <v>387.7</v>
      </c>
      <c r="H3419" s="9">
        <v>0.26</v>
      </c>
      <c r="I3419"/>
    </row>
    <row r="3420" spans="1:9" x14ac:dyDescent="0.3">
      <c r="A3420" t="s">
        <v>4</v>
      </c>
      <c r="B3420" t="s">
        <v>16</v>
      </c>
      <c r="C3420" t="s">
        <v>144</v>
      </c>
      <c r="D3420" s="9" t="s">
        <v>137</v>
      </c>
      <c r="E3420" t="s">
        <v>39</v>
      </c>
      <c r="F3420" t="s">
        <v>75</v>
      </c>
      <c r="G3420">
        <v>389.5</v>
      </c>
      <c r="H3420" s="9">
        <v>8.34</v>
      </c>
      <c r="I3420"/>
    </row>
    <row r="3421" spans="1:9" x14ac:dyDescent="0.3">
      <c r="A3421" t="s">
        <v>4</v>
      </c>
      <c r="B3421" t="s">
        <v>16</v>
      </c>
      <c r="C3421" t="s">
        <v>145</v>
      </c>
      <c r="D3421" s="9" t="s">
        <v>137</v>
      </c>
      <c r="E3421" t="s">
        <v>40</v>
      </c>
      <c r="F3421" t="s">
        <v>77</v>
      </c>
      <c r="G3421">
        <v>389.6</v>
      </c>
      <c r="H3421" s="9">
        <v>0.03</v>
      </c>
      <c r="I3421"/>
    </row>
    <row r="3422" spans="1:9" x14ac:dyDescent="0.3">
      <c r="A3422" t="s">
        <v>4</v>
      </c>
      <c r="B3422" t="s">
        <v>16</v>
      </c>
      <c r="C3422" t="s">
        <v>146</v>
      </c>
      <c r="D3422" s="9" t="s">
        <v>137</v>
      </c>
      <c r="E3422" t="s">
        <v>41</v>
      </c>
      <c r="F3422" t="s">
        <v>79</v>
      </c>
      <c r="G3422">
        <v>410.5</v>
      </c>
      <c r="H3422" s="9">
        <v>3.19</v>
      </c>
      <c r="I3422"/>
    </row>
    <row r="3423" spans="1:9" x14ac:dyDescent="0.3">
      <c r="A3423" t="s">
        <v>4</v>
      </c>
      <c r="B3423" t="s">
        <v>16</v>
      </c>
      <c r="C3423" t="s">
        <v>147</v>
      </c>
      <c r="D3423" s="9" t="s">
        <v>137</v>
      </c>
      <c r="E3423" t="s">
        <v>42</v>
      </c>
      <c r="F3423" t="s">
        <v>81</v>
      </c>
      <c r="G3423">
        <v>517.29999999999995</v>
      </c>
      <c r="H3423" s="9">
        <v>2.23</v>
      </c>
      <c r="I3423"/>
    </row>
    <row r="3424" spans="1:9" x14ac:dyDescent="0.3">
      <c r="A3424" t="s">
        <v>4</v>
      </c>
      <c r="B3424" t="s">
        <v>16</v>
      </c>
      <c r="C3424" t="s">
        <v>148</v>
      </c>
      <c r="D3424" s="9" t="s">
        <v>137</v>
      </c>
      <c r="E3424" t="s">
        <v>43</v>
      </c>
      <c r="F3424" t="s">
        <v>83</v>
      </c>
      <c r="G3424">
        <v>689.2</v>
      </c>
      <c r="H3424" s="9">
        <v>1.29</v>
      </c>
      <c r="I3424"/>
    </row>
    <row r="3425" spans="1:9" x14ac:dyDescent="0.3">
      <c r="A3425" t="s">
        <v>4</v>
      </c>
      <c r="B3425" t="s">
        <v>16</v>
      </c>
      <c r="C3425" t="s">
        <v>149</v>
      </c>
      <c r="D3425" s="9" t="s">
        <v>150</v>
      </c>
      <c r="E3425" t="s">
        <v>32</v>
      </c>
      <c r="F3425" t="s">
        <v>61</v>
      </c>
      <c r="G3425">
        <v>382</v>
      </c>
      <c r="H3425" s="9">
        <v>6.38</v>
      </c>
      <c r="I3425"/>
    </row>
    <row r="3426" spans="1:9" x14ac:dyDescent="0.3">
      <c r="A3426" t="s">
        <v>4</v>
      </c>
      <c r="B3426" t="s">
        <v>16</v>
      </c>
      <c r="C3426" t="s">
        <v>151</v>
      </c>
      <c r="D3426" s="9" t="s">
        <v>150</v>
      </c>
      <c r="E3426" t="s">
        <v>33</v>
      </c>
      <c r="F3426" t="s">
        <v>63</v>
      </c>
      <c r="G3426">
        <v>309.2</v>
      </c>
      <c r="H3426" s="9">
        <v>-0.03</v>
      </c>
      <c r="I3426"/>
    </row>
    <row r="3427" spans="1:9" x14ac:dyDescent="0.3">
      <c r="A3427" t="s">
        <v>4</v>
      </c>
      <c r="B3427" t="s">
        <v>16</v>
      </c>
      <c r="C3427" t="s">
        <v>152</v>
      </c>
      <c r="D3427" s="9" t="s">
        <v>150</v>
      </c>
      <c r="E3427" t="s">
        <v>34</v>
      </c>
      <c r="F3427" t="s">
        <v>65</v>
      </c>
      <c r="G3427">
        <v>368.2</v>
      </c>
      <c r="H3427" s="9">
        <v>-1.68</v>
      </c>
      <c r="I3427"/>
    </row>
    <row r="3428" spans="1:9" x14ac:dyDescent="0.3">
      <c r="A3428" t="s">
        <v>4</v>
      </c>
      <c r="B3428" t="s">
        <v>16</v>
      </c>
      <c r="C3428" t="s">
        <v>153</v>
      </c>
      <c r="D3428" s="9" t="s">
        <v>150</v>
      </c>
      <c r="E3428" t="s">
        <v>35</v>
      </c>
      <c r="F3428" t="s">
        <v>67</v>
      </c>
      <c r="G3428">
        <v>384.2</v>
      </c>
      <c r="H3428" s="9">
        <v>8.56</v>
      </c>
      <c r="I3428"/>
    </row>
    <row r="3429" spans="1:9" x14ac:dyDescent="0.3">
      <c r="A3429" t="s">
        <v>4</v>
      </c>
      <c r="B3429" t="s">
        <v>16</v>
      </c>
      <c r="C3429" t="s">
        <v>154</v>
      </c>
      <c r="D3429" s="9" t="s">
        <v>150</v>
      </c>
      <c r="E3429" t="s">
        <v>36</v>
      </c>
      <c r="F3429" t="s">
        <v>69</v>
      </c>
      <c r="G3429">
        <v>400.1</v>
      </c>
      <c r="H3429" s="9">
        <v>4.0599999999999996</v>
      </c>
      <c r="I3429"/>
    </row>
    <row r="3430" spans="1:9" x14ac:dyDescent="0.3">
      <c r="A3430" t="s">
        <v>4</v>
      </c>
      <c r="B3430" t="s">
        <v>16</v>
      </c>
      <c r="C3430" t="s">
        <v>155</v>
      </c>
      <c r="D3430" s="9" t="s">
        <v>150</v>
      </c>
      <c r="E3430" t="s">
        <v>37</v>
      </c>
      <c r="F3430" t="s">
        <v>71</v>
      </c>
      <c r="G3430">
        <v>439.5</v>
      </c>
      <c r="H3430" s="9">
        <v>7.85</v>
      </c>
      <c r="I3430"/>
    </row>
    <row r="3431" spans="1:9" x14ac:dyDescent="0.3">
      <c r="A3431" t="s">
        <v>4</v>
      </c>
      <c r="B3431" t="s">
        <v>13</v>
      </c>
      <c r="C3431" t="s">
        <v>59</v>
      </c>
      <c r="D3431" s="9" t="s">
        <v>60</v>
      </c>
      <c r="E3431" t="s">
        <v>32</v>
      </c>
      <c r="F3431" t="s">
        <v>61</v>
      </c>
      <c r="G3431">
        <v>349.5</v>
      </c>
      <c r="I3431"/>
    </row>
    <row r="3432" spans="1:9" x14ac:dyDescent="0.3">
      <c r="A3432" t="s">
        <v>4</v>
      </c>
      <c r="B3432" t="s">
        <v>13</v>
      </c>
      <c r="C3432" t="s">
        <v>62</v>
      </c>
      <c r="D3432" s="9" t="s">
        <v>60</v>
      </c>
      <c r="E3432" t="s">
        <v>33</v>
      </c>
      <c r="F3432" t="s">
        <v>63</v>
      </c>
      <c r="G3432">
        <v>307.10000000000002</v>
      </c>
      <c r="I3432"/>
    </row>
    <row r="3433" spans="1:9" x14ac:dyDescent="0.3">
      <c r="A3433" t="s">
        <v>4</v>
      </c>
      <c r="B3433" t="s">
        <v>13</v>
      </c>
      <c r="C3433" t="s">
        <v>64</v>
      </c>
      <c r="D3433" s="9" t="s">
        <v>60</v>
      </c>
      <c r="E3433" t="s">
        <v>34</v>
      </c>
      <c r="F3433" t="s">
        <v>65</v>
      </c>
      <c r="G3433">
        <v>330.8</v>
      </c>
      <c r="I3433"/>
    </row>
    <row r="3434" spans="1:9" x14ac:dyDescent="0.3">
      <c r="A3434" t="s">
        <v>4</v>
      </c>
      <c r="B3434" t="s">
        <v>13</v>
      </c>
      <c r="C3434" t="s">
        <v>66</v>
      </c>
      <c r="D3434" s="9" t="s">
        <v>60</v>
      </c>
      <c r="E3434" t="s">
        <v>35</v>
      </c>
      <c r="F3434" t="s">
        <v>67</v>
      </c>
      <c r="G3434">
        <v>303.8</v>
      </c>
      <c r="I3434"/>
    </row>
    <row r="3435" spans="1:9" x14ac:dyDescent="0.3">
      <c r="A3435" t="s">
        <v>4</v>
      </c>
      <c r="B3435" t="s">
        <v>13</v>
      </c>
      <c r="C3435" t="s">
        <v>68</v>
      </c>
      <c r="D3435" s="9" t="s">
        <v>60</v>
      </c>
      <c r="E3435" t="s">
        <v>36</v>
      </c>
      <c r="F3435" t="s">
        <v>69</v>
      </c>
      <c r="G3435">
        <v>319.39999999999998</v>
      </c>
      <c r="I3435"/>
    </row>
    <row r="3436" spans="1:9" x14ac:dyDescent="0.3">
      <c r="A3436" t="s">
        <v>4</v>
      </c>
      <c r="B3436" t="s">
        <v>13</v>
      </c>
      <c r="C3436" t="s">
        <v>70</v>
      </c>
      <c r="D3436" s="9" t="s">
        <v>60</v>
      </c>
      <c r="E3436" t="s">
        <v>37</v>
      </c>
      <c r="F3436" t="s">
        <v>71</v>
      </c>
      <c r="G3436">
        <v>368.4</v>
      </c>
      <c r="I3436"/>
    </row>
    <row r="3437" spans="1:9" x14ac:dyDescent="0.3">
      <c r="A3437" t="s">
        <v>4</v>
      </c>
      <c r="B3437" t="s">
        <v>13</v>
      </c>
      <c r="C3437" t="s">
        <v>72</v>
      </c>
      <c r="D3437" s="9" t="s">
        <v>60</v>
      </c>
      <c r="E3437" t="s">
        <v>38</v>
      </c>
      <c r="F3437" t="s">
        <v>73</v>
      </c>
      <c r="G3437">
        <v>346</v>
      </c>
      <c r="I3437"/>
    </row>
    <row r="3438" spans="1:9" x14ac:dyDescent="0.3">
      <c r="A3438" t="s">
        <v>4</v>
      </c>
      <c r="B3438" t="s">
        <v>13</v>
      </c>
      <c r="C3438" t="s">
        <v>74</v>
      </c>
      <c r="D3438" s="9" t="s">
        <v>60</v>
      </c>
      <c r="E3438" t="s">
        <v>39</v>
      </c>
      <c r="F3438" t="s">
        <v>75</v>
      </c>
      <c r="G3438">
        <v>334.7</v>
      </c>
      <c r="I3438"/>
    </row>
    <row r="3439" spans="1:9" x14ac:dyDescent="0.3">
      <c r="A3439" t="s">
        <v>4</v>
      </c>
      <c r="B3439" t="s">
        <v>13</v>
      </c>
      <c r="C3439" t="s">
        <v>76</v>
      </c>
      <c r="D3439" s="9" t="s">
        <v>60</v>
      </c>
      <c r="E3439" t="s">
        <v>40</v>
      </c>
      <c r="F3439" t="s">
        <v>77</v>
      </c>
      <c r="G3439">
        <v>331.1</v>
      </c>
      <c r="I3439"/>
    </row>
    <row r="3440" spans="1:9" x14ac:dyDescent="0.3">
      <c r="A3440" t="s">
        <v>4</v>
      </c>
      <c r="B3440" t="s">
        <v>13</v>
      </c>
      <c r="C3440" t="s">
        <v>78</v>
      </c>
      <c r="D3440" s="9" t="s">
        <v>60</v>
      </c>
      <c r="E3440" t="s">
        <v>41</v>
      </c>
      <c r="F3440" t="s">
        <v>79</v>
      </c>
      <c r="G3440">
        <v>345.3</v>
      </c>
      <c r="I3440"/>
    </row>
    <row r="3441" spans="1:9" x14ac:dyDescent="0.3">
      <c r="A3441" t="s">
        <v>4</v>
      </c>
      <c r="B3441" t="s">
        <v>13</v>
      </c>
      <c r="C3441" t="s">
        <v>80</v>
      </c>
      <c r="D3441" s="9" t="s">
        <v>60</v>
      </c>
      <c r="E3441" t="s">
        <v>42</v>
      </c>
      <c r="F3441" t="s">
        <v>81</v>
      </c>
      <c r="G3441">
        <v>412</v>
      </c>
      <c r="I3441"/>
    </row>
    <row r="3442" spans="1:9" x14ac:dyDescent="0.3">
      <c r="A3442" t="s">
        <v>4</v>
      </c>
      <c r="B3442" t="s">
        <v>13</v>
      </c>
      <c r="C3442" t="s">
        <v>82</v>
      </c>
      <c r="D3442" s="9" t="s">
        <v>60</v>
      </c>
      <c r="E3442" t="s">
        <v>43</v>
      </c>
      <c r="F3442" t="s">
        <v>83</v>
      </c>
      <c r="G3442">
        <v>547.6</v>
      </c>
      <c r="I3442"/>
    </row>
    <row r="3443" spans="1:9" x14ac:dyDescent="0.3">
      <c r="A3443" t="s">
        <v>4</v>
      </c>
      <c r="B3443" t="s">
        <v>13</v>
      </c>
      <c r="C3443" t="s">
        <v>84</v>
      </c>
      <c r="D3443" s="9" t="s">
        <v>85</v>
      </c>
      <c r="E3443" t="s">
        <v>32</v>
      </c>
      <c r="F3443" t="s">
        <v>61</v>
      </c>
      <c r="G3443">
        <v>380</v>
      </c>
      <c r="H3443" s="9">
        <v>8.73</v>
      </c>
      <c r="I3443"/>
    </row>
    <row r="3444" spans="1:9" x14ac:dyDescent="0.3">
      <c r="A3444" t="s">
        <v>4</v>
      </c>
      <c r="B3444" t="s">
        <v>13</v>
      </c>
      <c r="C3444" t="s">
        <v>86</v>
      </c>
      <c r="D3444" s="9" t="s">
        <v>85</v>
      </c>
      <c r="E3444" t="s">
        <v>33</v>
      </c>
      <c r="F3444" t="s">
        <v>63</v>
      </c>
      <c r="G3444">
        <v>337.6</v>
      </c>
      <c r="H3444" s="9">
        <v>9.93</v>
      </c>
      <c r="I3444"/>
    </row>
    <row r="3445" spans="1:9" x14ac:dyDescent="0.3">
      <c r="A3445" t="s">
        <v>4</v>
      </c>
      <c r="B3445" t="s">
        <v>13</v>
      </c>
      <c r="C3445" t="s">
        <v>87</v>
      </c>
      <c r="D3445" s="9" t="s">
        <v>85</v>
      </c>
      <c r="E3445" t="s">
        <v>34</v>
      </c>
      <c r="F3445" t="s">
        <v>65</v>
      </c>
      <c r="G3445">
        <v>362.5</v>
      </c>
      <c r="H3445" s="9">
        <v>9.58</v>
      </c>
      <c r="I3445"/>
    </row>
    <row r="3446" spans="1:9" x14ac:dyDescent="0.3">
      <c r="A3446" t="s">
        <v>4</v>
      </c>
      <c r="B3446" t="s">
        <v>13</v>
      </c>
      <c r="C3446" t="s">
        <v>88</v>
      </c>
      <c r="D3446" s="9" t="s">
        <v>85</v>
      </c>
      <c r="E3446" t="s">
        <v>35</v>
      </c>
      <c r="F3446" t="s">
        <v>67</v>
      </c>
      <c r="G3446">
        <v>325.3</v>
      </c>
      <c r="H3446" s="9">
        <v>7.08</v>
      </c>
      <c r="I3446"/>
    </row>
    <row r="3447" spans="1:9" x14ac:dyDescent="0.3">
      <c r="A3447" t="s">
        <v>4</v>
      </c>
      <c r="B3447" t="s">
        <v>13</v>
      </c>
      <c r="C3447" t="s">
        <v>89</v>
      </c>
      <c r="D3447" s="9" t="s">
        <v>85</v>
      </c>
      <c r="E3447" t="s">
        <v>36</v>
      </c>
      <c r="F3447" t="s">
        <v>69</v>
      </c>
      <c r="G3447">
        <v>417.3</v>
      </c>
      <c r="H3447" s="9">
        <v>30.65</v>
      </c>
      <c r="I3447"/>
    </row>
    <row r="3448" spans="1:9" x14ac:dyDescent="0.3">
      <c r="A3448" t="s">
        <v>4</v>
      </c>
      <c r="B3448" t="s">
        <v>13</v>
      </c>
      <c r="C3448" t="s">
        <v>90</v>
      </c>
      <c r="D3448" s="9" t="s">
        <v>85</v>
      </c>
      <c r="E3448" t="s">
        <v>37</v>
      </c>
      <c r="F3448" t="s">
        <v>71</v>
      </c>
      <c r="G3448">
        <v>454.5</v>
      </c>
      <c r="H3448" s="9">
        <v>23.37</v>
      </c>
      <c r="I3448"/>
    </row>
    <row r="3449" spans="1:9" x14ac:dyDescent="0.3">
      <c r="A3449" t="s">
        <v>4</v>
      </c>
      <c r="B3449" t="s">
        <v>13</v>
      </c>
      <c r="C3449" t="s">
        <v>91</v>
      </c>
      <c r="D3449" s="9" t="s">
        <v>85</v>
      </c>
      <c r="E3449" t="s">
        <v>38</v>
      </c>
      <c r="F3449" t="s">
        <v>73</v>
      </c>
      <c r="G3449">
        <v>463.8</v>
      </c>
      <c r="H3449" s="9">
        <v>34.049999999999997</v>
      </c>
      <c r="I3449"/>
    </row>
    <row r="3450" spans="1:9" x14ac:dyDescent="0.3">
      <c r="A3450" t="s">
        <v>4</v>
      </c>
      <c r="B3450" t="s">
        <v>13</v>
      </c>
      <c r="C3450" t="s">
        <v>92</v>
      </c>
      <c r="D3450" s="9" t="s">
        <v>85</v>
      </c>
      <c r="E3450" t="s">
        <v>39</v>
      </c>
      <c r="F3450" t="s">
        <v>75</v>
      </c>
      <c r="G3450">
        <v>439.2</v>
      </c>
      <c r="H3450" s="9">
        <v>31.22</v>
      </c>
      <c r="I3450"/>
    </row>
    <row r="3451" spans="1:9" x14ac:dyDescent="0.3">
      <c r="A3451" t="s">
        <v>4</v>
      </c>
      <c r="B3451" t="s">
        <v>13</v>
      </c>
      <c r="C3451" t="s">
        <v>93</v>
      </c>
      <c r="D3451" s="9" t="s">
        <v>85</v>
      </c>
      <c r="E3451" t="s">
        <v>40</v>
      </c>
      <c r="F3451" t="s">
        <v>77</v>
      </c>
      <c r="G3451">
        <v>391</v>
      </c>
      <c r="H3451" s="9">
        <v>18.09</v>
      </c>
      <c r="I3451"/>
    </row>
    <row r="3452" spans="1:9" x14ac:dyDescent="0.3">
      <c r="A3452" t="s">
        <v>4</v>
      </c>
      <c r="B3452" t="s">
        <v>13</v>
      </c>
      <c r="C3452" t="s">
        <v>94</v>
      </c>
      <c r="D3452" s="9" t="s">
        <v>85</v>
      </c>
      <c r="E3452" t="s">
        <v>41</v>
      </c>
      <c r="F3452" t="s">
        <v>79</v>
      </c>
      <c r="G3452">
        <v>391.8</v>
      </c>
      <c r="H3452" s="9">
        <v>13.47</v>
      </c>
      <c r="I3452"/>
    </row>
    <row r="3453" spans="1:9" x14ac:dyDescent="0.3">
      <c r="A3453" t="s">
        <v>4</v>
      </c>
      <c r="B3453" t="s">
        <v>13</v>
      </c>
      <c r="C3453" t="s">
        <v>95</v>
      </c>
      <c r="D3453" s="9" t="s">
        <v>85</v>
      </c>
      <c r="E3453" t="s">
        <v>42</v>
      </c>
      <c r="F3453" t="s">
        <v>81</v>
      </c>
      <c r="G3453">
        <v>498</v>
      </c>
      <c r="H3453" s="9">
        <v>20.87</v>
      </c>
      <c r="I3453"/>
    </row>
    <row r="3454" spans="1:9" x14ac:dyDescent="0.3">
      <c r="A3454" t="s">
        <v>4</v>
      </c>
      <c r="B3454" t="s">
        <v>13</v>
      </c>
      <c r="C3454" t="s">
        <v>96</v>
      </c>
      <c r="D3454" s="9" t="s">
        <v>85</v>
      </c>
      <c r="E3454" t="s">
        <v>43</v>
      </c>
      <c r="F3454" t="s">
        <v>83</v>
      </c>
      <c r="G3454">
        <v>618.4</v>
      </c>
      <c r="H3454" s="9">
        <v>12.93</v>
      </c>
      <c r="I3454"/>
    </row>
    <row r="3455" spans="1:9" x14ac:dyDescent="0.3">
      <c r="A3455" t="s">
        <v>4</v>
      </c>
      <c r="B3455" t="s">
        <v>13</v>
      </c>
      <c r="C3455" t="s">
        <v>97</v>
      </c>
      <c r="D3455" s="9" t="s">
        <v>98</v>
      </c>
      <c r="E3455" t="s">
        <v>32</v>
      </c>
      <c r="F3455" t="s">
        <v>61</v>
      </c>
      <c r="G3455">
        <v>413.6</v>
      </c>
      <c r="H3455" s="9">
        <v>8.84</v>
      </c>
      <c r="I3455"/>
    </row>
    <row r="3456" spans="1:9" x14ac:dyDescent="0.3">
      <c r="A3456" t="s">
        <v>4</v>
      </c>
      <c r="B3456" t="s">
        <v>13</v>
      </c>
      <c r="C3456" t="s">
        <v>99</v>
      </c>
      <c r="D3456" s="9" t="s">
        <v>98</v>
      </c>
      <c r="E3456" t="s">
        <v>33</v>
      </c>
      <c r="F3456" t="s">
        <v>63</v>
      </c>
      <c r="G3456">
        <v>363.6</v>
      </c>
      <c r="H3456" s="9">
        <v>7.7</v>
      </c>
      <c r="I3456"/>
    </row>
    <row r="3457" spans="1:9" x14ac:dyDescent="0.3">
      <c r="A3457" t="s">
        <v>4</v>
      </c>
      <c r="B3457" t="s">
        <v>13</v>
      </c>
      <c r="C3457" t="s">
        <v>100</v>
      </c>
      <c r="D3457" s="9" t="s">
        <v>98</v>
      </c>
      <c r="E3457" t="s">
        <v>34</v>
      </c>
      <c r="F3457" t="s">
        <v>65</v>
      </c>
      <c r="G3457">
        <v>385.5</v>
      </c>
      <c r="H3457" s="9">
        <v>6.34</v>
      </c>
      <c r="I3457"/>
    </row>
    <row r="3458" spans="1:9" x14ac:dyDescent="0.3">
      <c r="A3458" t="s">
        <v>4</v>
      </c>
      <c r="B3458" t="s">
        <v>13</v>
      </c>
      <c r="C3458" t="s">
        <v>101</v>
      </c>
      <c r="D3458" s="9" t="s">
        <v>98</v>
      </c>
      <c r="E3458" t="s">
        <v>35</v>
      </c>
      <c r="F3458" t="s">
        <v>67</v>
      </c>
      <c r="G3458">
        <v>331.1</v>
      </c>
      <c r="H3458" s="9">
        <v>1.78</v>
      </c>
      <c r="I3458"/>
    </row>
    <row r="3459" spans="1:9" x14ac:dyDescent="0.3">
      <c r="A3459" t="s">
        <v>4</v>
      </c>
      <c r="B3459" t="s">
        <v>13</v>
      </c>
      <c r="C3459" t="s">
        <v>102</v>
      </c>
      <c r="D3459" s="9" t="s">
        <v>98</v>
      </c>
      <c r="E3459" t="s">
        <v>36</v>
      </c>
      <c r="F3459" t="s">
        <v>69</v>
      </c>
      <c r="G3459">
        <v>378.2</v>
      </c>
      <c r="H3459" s="9">
        <v>-9.3699999999999992</v>
      </c>
      <c r="I3459"/>
    </row>
    <row r="3460" spans="1:9" x14ac:dyDescent="0.3">
      <c r="A3460" t="s">
        <v>4</v>
      </c>
      <c r="B3460" t="s">
        <v>13</v>
      </c>
      <c r="C3460" t="s">
        <v>103</v>
      </c>
      <c r="D3460" s="9" t="s">
        <v>98</v>
      </c>
      <c r="E3460" t="s">
        <v>37</v>
      </c>
      <c r="F3460" t="s">
        <v>71</v>
      </c>
      <c r="G3460">
        <v>425.8</v>
      </c>
      <c r="H3460" s="9">
        <v>-6.31</v>
      </c>
      <c r="I3460"/>
    </row>
    <row r="3461" spans="1:9" x14ac:dyDescent="0.3">
      <c r="A3461" t="s">
        <v>4</v>
      </c>
      <c r="B3461" t="s">
        <v>13</v>
      </c>
      <c r="C3461" t="s">
        <v>104</v>
      </c>
      <c r="D3461" s="9" t="s">
        <v>98</v>
      </c>
      <c r="E3461" t="s">
        <v>38</v>
      </c>
      <c r="F3461" t="s">
        <v>73</v>
      </c>
      <c r="G3461">
        <v>405.2</v>
      </c>
      <c r="H3461" s="9">
        <v>-12.63</v>
      </c>
      <c r="I3461"/>
    </row>
    <row r="3462" spans="1:9" x14ac:dyDescent="0.3">
      <c r="A3462" t="s">
        <v>4</v>
      </c>
      <c r="B3462" t="s">
        <v>13</v>
      </c>
      <c r="C3462" t="s">
        <v>105</v>
      </c>
      <c r="D3462" s="9" t="s">
        <v>98</v>
      </c>
      <c r="E3462" t="s">
        <v>39</v>
      </c>
      <c r="F3462" t="s">
        <v>75</v>
      </c>
      <c r="G3462">
        <v>384.1</v>
      </c>
      <c r="H3462" s="9">
        <v>-12.55</v>
      </c>
      <c r="I3462"/>
    </row>
    <row r="3463" spans="1:9" x14ac:dyDescent="0.3">
      <c r="A3463" t="s">
        <v>4</v>
      </c>
      <c r="B3463" t="s">
        <v>13</v>
      </c>
      <c r="C3463" t="s">
        <v>106</v>
      </c>
      <c r="D3463" s="9" t="s">
        <v>98</v>
      </c>
      <c r="E3463" t="s">
        <v>40</v>
      </c>
      <c r="F3463" t="s">
        <v>77</v>
      </c>
      <c r="G3463">
        <v>403.6</v>
      </c>
      <c r="H3463" s="9">
        <v>3.22</v>
      </c>
      <c r="I3463"/>
    </row>
    <row r="3464" spans="1:9" x14ac:dyDescent="0.3">
      <c r="A3464" t="s">
        <v>4</v>
      </c>
      <c r="B3464" t="s">
        <v>13</v>
      </c>
      <c r="C3464" t="s">
        <v>107</v>
      </c>
      <c r="D3464" s="9" t="s">
        <v>98</v>
      </c>
      <c r="E3464" t="s">
        <v>41</v>
      </c>
      <c r="F3464" t="s">
        <v>79</v>
      </c>
      <c r="G3464">
        <v>423.2</v>
      </c>
      <c r="H3464" s="9">
        <v>8.01</v>
      </c>
      <c r="I3464"/>
    </row>
    <row r="3465" spans="1:9" x14ac:dyDescent="0.3">
      <c r="A3465" t="s">
        <v>4</v>
      </c>
      <c r="B3465" t="s">
        <v>13</v>
      </c>
      <c r="C3465" t="s">
        <v>108</v>
      </c>
      <c r="D3465" s="9" t="s">
        <v>98</v>
      </c>
      <c r="E3465" t="s">
        <v>42</v>
      </c>
      <c r="F3465" t="s">
        <v>81</v>
      </c>
      <c r="G3465">
        <v>495.2</v>
      </c>
      <c r="H3465" s="9">
        <v>-0.56000000000000005</v>
      </c>
      <c r="I3465"/>
    </row>
    <row r="3466" spans="1:9" x14ac:dyDescent="0.3">
      <c r="A3466" t="s">
        <v>4</v>
      </c>
      <c r="B3466" t="s">
        <v>13</v>
      </c>
      <c r="C3466" t="s">
        <v>109</v>
      </c>
      <c r="D3466" s="9" t="s">
        <v>98</v>
      </c>
      <c r="E3466" t="s">
        <v>43</v>
      </c>
      <c r="F3466" t="s">
        <v>83</v>
      </c>
      <c r="G3466">
        <v>590.9</v>
      </c>
      <c r="H3466" s="9">
        <v>-4.45</v>
      </c>
      <c r="I3466"/>
    </row>
    <row r="3467" spans="1:9" x14ac:dyDescent="0.3">
      <c r="A3467" t="s">
        <v>4</v>
      </c>
      <c r="B3467" t="s">
        <v>13</v>
      </c>
      <c r="C3467" t="s">
        <v>110</v>
      </c>
      <c r="D3467" s="9" t="s">
        <v>111</v>
      </c>
      <c r="E3467" t="s">
        <v>32</v>
      </c>
      <c r="F3467" t="s">
        <v>61</v>
      </c>
      <c r="G3467">
        <v>396.5</v>
      </c>
      <c r="H3467" s="9">
        <v>-4.13</v>
      </c>
      <c r="I3467"/>
    </row>
    <row r="3468" spans="1:9" x14ac:dyDescent="0.3">
      <c r="A3468" t="s">
        <v>4</v>
      </c>
      <c r="B3468" t="s">
        <v>13</v>
      </c>
      <c r="C3468" t="s">
        <v>112</v>
      </c>
      <c r="D3468" s="9" t="s">
        <v>111</v>
      </c>
      <c r="E3468" t="s">
        <v>33</v>
      </c>
      <c r="F3468" t="s">
        <v>63</v>
      </c>
      <c r="G3468">
        <v>364.7</v>
      </c>
      <c r="H3468" s="9">
        <v>0.3</v>
      </c>
      <c r="I3468"/>
    </row>
    <row r="3469" spans="1:9" x14ac:dyDescent="0.3">
      <c r="A3469" t="s">
        <v>4</v>
      </c>
      <c r="B3469" t="s">
        <v>13</v>
      </c>
      <c r="C3469" t="s">
        <v>113</v>
      </c>
      <c r="D3469" s="9" t="s">
        <v>111</v>
      </c>
      <c r="E3469" t="s">
        <v>34</v>
      </c>
      <c r="F3469" t="s">
        <v>65</v>
      </c>
      <c r="G3469">
        <v>423.6</v>
      </c>
      <c r="H3469" s="9">
        <v>9.8800000000000008</v>
      </c>
      <c r="I3469"/>
    </row>
    <row r="3470" spans="1:9" x14ac:dyDescent="0.3">
      <c r="A3470" t="s">
        <v>4</v>
      </c>
      <c r="B3470" t="s">
        <v>13</v>
      </c>
      <c r="C3470" t="s">
        <v>114</v>
      </c>
      <c r="D3470" s="9" t="s">
        <v>111</v>
      </c>
      <c r="E3470" t="s">
        <v>35</v>
      </c>
      <c r="F3470" t="s">
        <v>67</v>
      </c>
      <c r="G3470">
        <v>381.8</v>
      </c>
      <c r="H3470" s="9">
        <v>15.31</v>
      </c>
      <c r="I3470"/>
    </row>
    <row r="3471" spans="1:9" x14ac:dyDescent="0.3">
      <c r="A3471" t="s">
        <v>4</v>
      </c>
      <c r="B3471" t="s">
        <v>13</v>
      </c>
      <c r="C3471" t="s">
        <v>115</v>
      </c>
      <c r="D3471" s="9" t="s">
        <v>111</v>
      </c>
      <c r="E3471" t="s">
        <v>36</v>
      </c>
      <c r="F3471" t="s">
        <v>69</v>
      </c>
      <c r="G3471">
        <v>424.9</v>
      </c>
      <c r="H3471" s="9">
        <v>12.35</v>
      </c>
      <c r="I3471"/>
    </row>
    <row r="3472" spans="1:9" x14ac:dyDescent="0.3">
      <c r="A3472" t="s">
        <v>4</v>
      </c>
      <c r="B3472" t="s">
        <v>13</v>
      </c>
      <c r="C3472" t="s">
        <v>116</v>
      </c>
      <c r="D3472" s="9" t="s">
        <v>111</v>
      </c>
      <c r="E3472" t="s">
        <v>37</v>
      </c>
      <c r="F3472" t="s">
        <v>71</v>
      </c>
      <c r="G3472">
        <v>454.9</v>
      </c>
      <c r="H3472" s="9">
        <v>6.83</v>
      </c>
      <c r="I3472"/>
    </row>
    <row r="3473" spans="1:9" x14ac:dyDescent="0.3">
      <c r="A3473" t="s">
        <v>4</v>
      </c>
      <c r="B3473" t="s">
        <v>13</v>
      </c>
      <c r="C3473" t="s">
        <v>117</v>
      </c>
      <c r="D3473" s="9" t="s">
        <v>111</v>
      </c>
      <c r="E3473" t="s">
        <v>38</v>
      </c>
      <c r="F3473" t="s">
        <v>73</v>
      </c>
      <c r="G3473">
        <v>425.5</v>
      </c>
      <c r="H3473" s="9">
        <v>5.01</v>
      </c>
      <c r="I3473"/>
    </row>
    <row r="3474" spans="1:9" x14ac:dyDescent="0.3">
      <c r="A3474" t="s">
        <v>4</v>
      </c>
      <c r="B3474" t="s">
        <v>13</v>
      </c>
      <c r="C3474" t="s">
        <v>118</v>
      </c>
      <c r="D3474" s="9" t="s">
        <v>111</v>
      </c>
      <c r="E3474" t="s">
        <v>39</v>
      </c>
      <c r="F3474" t="s">
        <v>75</v>
      </c>
      <c r="G3474">
        <v>411</v>
      </c>
      <c r="H3474" s="9">
        <v>7</v>
      </c>
      <c r="I3474"/>
    </row>
    <row r="3475" spans="1:9" x14ac:dyDescent="0.3">
      <c r="A3475" t="s">
        <v>4</v>
      </c>
      <c r="B3475" t="s">
        <v>13</v>
      </c>
      <c r="C3475" t="s">
        <v>119</v>
      </c>
      <c r="D3475" s="9" t="s">
        <v>111</v>
      </c>
      <c r="E3475" t="s">
        <v>40</v>
      </c>
      <c r="F3475" t="s">
        <v>77</v>
      </c>
      <c r="G3475">
        <v>423.3</v>
      </c>
      <c r="H3475" s="9">
        <v>4.88</v>
      </c>
      <c r="I3475"/>
    </row>
    <row r="3476" spans="1:9" x14ac:dyDescent="0.3">
      <c r="A3476" t="s">
        <v>4</v>
      </c>
      <c r="B3476" t="s">
        <v>13</v>
      </c>
      <c r="C3476" t="s">
        <v>120</v>
      </c>
      <c r="D3476" s="9" t="s">
        <v>111</v>
      </c>
      <c r="E3476" t="s">
        <v>41</v>
      </c>
      <c r="F3476" t="s">
        <v>79</v>
      </c>
      <c r="G3476">
        <v>426.5</v>
      </c>
      <c r="H3476" s="9">
        <v>0.78</v>
      </c>
      <c r="I3476"/>
    </row>
    <row r="3477" spans="1:9" x14ac:dyDescent="0.3">
      <c r="A3477" t="s">
        <v>4</v>
      </c>
      <c r="B3477" t="s">
        <v>13</v>
      </c>
      <c r="C3477" t="s">
        <v>121</v>
      </c>
      <c r="D3477" s="9" t="s">
        <v>111</v>
      </c>
      <c r="E3477" t="s">
        <v>42</v>
      </c>
      <c r="F3477" t="s">
        <v>81</v>
      </c>
      <c r="G3477">
        <v>506.9</v>
      </c>
      <c r="H3477" s="9">
        <v>2.36</v>
      </c>
      <c r="I3477"/>
    </row>
    <row r="3478" spans="1:9" x14ac:dyDescent="0.3">
      <c r="A3478" t="s">
        <v>4</v>
      </c>
      <c r="B3478" t="s">
        <v>13</v>
      </c>
      <c r="C3478" t="s">
        <v>122</v>
      </c>
      <c r="D3478" s="9" t="s">
        <v>111</v>
      </c>
      <c r="E3478" t="s">
        <v>43</v>
      </c>
      <c r="F3478" t="s">
        <v>83</v>
      </c>
      <c r="G3478">
        <v>598.20000000000005</v>
      </c>
      <c r="H3478" s="9">
        <v>1.24</v>
      </c>
      <c r="I3478"/>
    </row>
    <row r="3479" spans="1:9" x14ac:dyDescent="0.3">
      <c r="A3479" t="s">
        <v>4</v>
      </c>
      <c r="B3479" t="s">
        <v>13</v>
      </c>
      <c r="C3479" t="s">
        <v>123</v>
      </c>
      <c r="D3479" s="9" t="s">
        <v>124</v>
      </c>
      <c r="E3479" t="s">
        <v>32</v>
      </c>
      <c r="F3479" t="s">
        <v>61</v>
      </c>
      <c r="G3479">
        <v>405.2</v>
      </c>
      <c r="H3479" s="9">
        <v>2.19</v>
      </c>
      <c r="I3479"/>
    </row>
    <row r="3480" spans="1:9" x14ac:dyDescent="0.3">
      <c r="A3480" t="s">
        <v>4</v>
      </c>
      <c r="B3480" t="s">
        <v>13</v>
      </c>
      <c r="C3480" t="s">
        <v>125</v>
      </c>
      <c r="D3480" s="9" t="s">
        <v>124</v>
      </c>
      <c r="E3480" t="s">
        <v>33</v>
      </c>
      <c r="F3480" t="s">
        <v>63</v>
      </c>
      <c r="G3480">
        <v>356.6</v>
      </c>
      <c r="H3480" s="9">
        <v>-2.2200000000000002</v>
      </c>
      <c r="I3480"/>
    </row>
    <row r="3481" spans="1:9" x14ac:dyDescent="0.3">
      <c r="A3481" t="s">
        <v>4</v>
      </c>
      <c r="B3481" t="s">
        <v>13</v>
      </c>
      <c r="C3481" t="s">
        <v>126</v>
      </c>
      <c r="D3481" s="9" t="s">
        <v>124</v>
      </c>
      <c r="E3481" t="s">
        <v>34</v>
      </c>
      <c r="F3481" t="s">
        <v>65</v>
      </c>
      <c r="G3481">
        <v>380</v>
      </c>
      <c r="H3481" s="9">
        <v>-10.29</v>
      </c>
      <c r="I3481"/>
    </row>
    <row r="3482" spans="1:9" x14ac:dyDescent="0.3">
      <c r="A3482" t="s">
        <v>4</v>
      </c>
      <c r="B3482" t="s">
        <v>13</v>
      </c>
      <c r="C3482" t="s">
        <v>127</v>
      </c>
      <c r="D3482" s="9" t="s">
        <v>124</v>
      </c>
      <c r="E3482" t="s">
        <v>35</v>
      </c>
      <c r="F3482" t="s">
        <v>67</v>
      </c>
      <c r="G3482">
        <v>344.3</v>
      </c>
      <c r="H3482" s="9">
        <v>-9.82</v>
      </c>
      <c r="I3482"/>
    </row>
    <row r="3483" spans="1:9" x14ac:dyDescent="0.3">
      <c r="A3483" t="s">
        <v>4</v>
      </c>
      <c r="B3483" t="s">
        <v>13</v>
      </c>
      <c r="C3483" t="s">
        <v>128</v>
      </c>
      <c r="D3483" s="9" t="s">
        <v>124</v>
      </c>
      <c r="E3483" t="s">
        <v>36</v>
      </c>
      <c r="F3483" t="s">
        <v>69</v>
      </c>
      <c r="G3483">
        <v>370.9</v>
      </c>
      <c r="H3483" s="9">
        <v>-12.71</v>
      </c>
      <c r="I3483"/>
    </row>
    <row r="3484" spans="1:9" x14ac:dyDescent="0.3">
      <c r="A3484" t="s">
        <v>4</v>
      </c>
      <c r="B3484" t="s">
        <v>13</v>
      </c>
      <c r="C3484" t="s">
        <v>129</v>
      </c>
      <c r="D3484" s="9" t="s">
        <v>124</v>
      </c>
      <c r="E3484" t="s">
        <v>37</v>
      </c>
      <c r="F3484" t="s">
        <v>71</v>
      </c>
      <c r="G3484">
        <v>426.7</v>
      </c>
      <c r="H3484" s="9">
        <v>-6.2</v>
      </c>
      <c r="I3484"/>
    </row>
    <row r="3485" spans="1:9" x14ac:dyDescent="0.3">
      <c r="A3485" t="s">
        <v>4</v>
      </c>
      <c r="B3485" t="s">
        <v>13</v>
      </c>
      <c r="C3485" t="s">
        <v>130</v>
      </c>
      <c r="D3485" s="9" t="s">
        <v>124</v>
      </c>
      <c r="E3485" t="s">
        <v>38</v>
      </c>
      <c r="F3485" t="s">
        <v>73</v>
      </c>
      <c r="G3485">
        <v>366</v>
      </c>
      <c r="H3485" s="9">
        <v>-13.98</v>
      </c>
      <c r="I3485"/>
    </row>
    <row r="3486" spans="1:9" x14ac:dyDescent="0.3">
      <c r="A3486" t="s">
        <v>4</v>
      </c>
      <c r="B3486" t="s">
        <v>13</v>
      </c>
      <c r="C3486" t="s">
        <v>131</v>
      </c>
      <c r="D3486" s="9" t="s">
        <v>124</v>
      </c>
      <c r="E3486" t="s">
        <v>39</v>
      </c>
      <c r="F3486" t="s">
        <v>75</v>
      </c>
      <c r="G3486">
        <v>367.9</v>
      </c>
      <c r="H3486" s="9">
        <v>-10.49</v>
      </c>
      <c r="I3486"/>
    </row>
    <row r="3487" spans="1:9" x14ac:dyDescent="0.3">
      <c r="A3487" t="s">
        <v>4</v>
      </c>
      <c r="B3487" t="s">
        <v>13</v>
      </c>
      <c r="C3487" t="s">
        <v>132</v>
      </c>
      <c r="D3487" s="9" t="s">
        <v>124</v>
      </c>
      <c r="E3487" t="s">
        <v>40</v>
      </c>
      <c r="F3487" t="s">
        <v>77</v>
      </c>
      <c r="G3487">
        <v>412.1</v>
      </c>
      <c r="H3487" s="9">
        <v>-2.65</v>
      </c>
      <c r="I3487"/>
    </row>
    <row r="3488" spans="1:9" x14ac:dyDescent="0.3">
      <c r="A3488" t="s">
        <v>4</v>
      </c>
      <c r="B3488" t="s">
        <v>13</v>
      </c>
      <c r="C3488" t="s">
        <v>133</v>
      </c>
      <c r="D3488" s="9" t="s">
        <v>124</v>
      </c>
      <c r="E3488" t="s">
        <v>41</v>
      </c>
      <c r="F3488" t="s">
        <v>79</v>
      </c>
      <c r="G3488">
        <v>398.1</v>
      </c>
      <c r="H3488" s="9">
        <v>-6.66</v>
      </c>
      <c r="I3488"/>
    </row>
    <row r="3489" spans="1:9" x14ac:dyDescent="0.3">
      <c r="A3489" t="s">
        <v>4</v>
      </c>
      <c r="B3489" t="s">
        <v>13</v>
      </c>
      <c r="C3489" t="s">
        <v>134</v>
      </c>
      <c r="D3489" s="9" t="s">
        <v>124</v>
      </c>
      <c r="E3489" t="s">
        <v>42</v>
      </c>
      <c r="F3489" t="s">
        <v>81</v>
      </c>
      <c r="G3489">
        <v>531.79999999999995</v>
      </c>
      <c r="H3489" s="9">
        <v>4.91</v>
      </c>
      <c r="I3489"/>
    </row>
    <row r="3490" spans="1:9" x14ac:dyDescent="0.3">
      <c r="A3490" t="s">
        <v>4</v>
      </c>
      <c r="B3490" t="s">
        <v>13</v>
      </c>
      <c r="C3490" t="s">
        <v>135</v>
      </c>
      <c r="D3490" s="9" t="s">
        <v>124</v>
      </c>
      <c r="E3490" t="s">
        <v>43</v>
      </c>
      <c r="F3490" t="s">
        <v>83</v>
      </c>
      <c r="G3490">
        <v>564.5</v>
      </c>
      <c r="H3490" s="9">
        <v>-5.63</v>
      </c>
      <c r="I3490"/>
    </row>
    <row r="3491" spans="1:9" x14ac:dyDescent="0.3">
      <c r="A3491" t="s">
        <v>4</v>
      </c>
      <c r="B3491" t="s">
        <v>13</v>
      </c>
      <c r="C3491" t="s">
        <v>136</v>
      </c>
      <c r="D3491" s="9" t="s">
        <v>137</v>
      </c>
      <c r="E3491" t="s">
        <v>32</v>
      </c>
      <c r="F3491" t="s">
        <v>61</v>
      </c>
      <c r="G3491">
        <v>413.4</v>
      </c>
      <c r="H3491" s="9">
        <v>2.02</v>
      </c>
      <c r="I3491"/>
    </row>
    <row r="3492" spans="1:9" x14ac:dyDescent="0.3">
      <c r="A3492" t="s">
        <v>4</v>
      </c>
      <c r="B3492" t="s">
        <v>13</v>
      </c>
      <c r="C3492" t="s">
        <v>138</v>
      </c>
      <c r="D3492" s="9" t="s">
        <v>137</v>
      </c>
      <c r="E3492" t="s">
        <v>33</v>
      </c>
      <c r="F3492" t="s">
        <v>63</v>
      </c>
      <c r="G3492">
        <v>363.2</v>
      </c>
      <c r="H3492" s="9">
        <v>1.85</v>
      </c>
      <c r="I3492"/>
    </row>
    <row r="3493" spans="1:9" x14ac:dyDescent="0.3">
      <c r="A3493" t="s">
        <v>4</v>
      </c>
      <c r="B3493" t="s">
        <v>13</v>
      </c>
      <c r="C3493" t="s">
        <v>139</v>
      </c>
      <c r="D3493" s="9" t="s">
        <v>137</v>
      </c>
      <c r="E3493" t="s">
        <v>34</v>
      </c>
      <c r="F3493" t="s">
        <v>65</v>
      </c>
      <c r="G3493">
        <v>360</v>
      </c>
      <c r="H3493" s="9">
        <v>-5.26</v>
      </c>
      <c r="I3493"/>
    </row>
    <row r="3494" spans="1:9" x14ac:dyDescent="0.3">
      <c r="A3494" t="s">
        <v>4</v>
      </c>
      <c r="B3494" t="s">
        <v>13</v>
      </c>
      <c r="C3494" t="s">
        <v>140</v>
      </c>
      <c r="D3494" s="9" t="s">
        <v>137</v>
      </c>
      <c r="E3494" t="s">
        <v>35</v>
      </c>
      <c r="F3494" t="s">
        <v>67</v>
      </c>
      <c r="G3494">
        <v>350.7</v>
      </c>
      <c r="H3494" s="9">
        <v>1.86</v>
      </c>
      <c r="I3494"/>
    </row>
    <row r="3495" spans="1:9" x14ac:dyDescent="0.3">
      <c r="A3495" t="s">
        <v>4</v>
      </c>
      <c r="B3495" t="s">
        <v>13</v>
      </c>
      <c r="C3495" t="s">
        <v>141</v>
      </c>
      <c r="D3495" s="9" t="s">
        <v>137</v>
      </c>
      <c r="E3495" t="s">
        <v>36</v>
      </c>
      <c r="F3495" t="s">
        <v>69</v>
      </c>
      <c r="G3495">
        <v>376.9</v>
      </c>
      <c r="H3495" s="9">
        <v>1.62</v>
      </c>
      <c r="I3495"/>
    </row>
    <row r="3496" spans="1:9" x14ac:dyDescent="0.3">
      <c r="A3496" t="s">
        <v>4</v>
      </c>
      <c r="B3496" t="s">
        <v>13</v>
      </c>
      <c r="C3496" t="s">
        <v>142</v>
      </c>
      <c r="D3496" s="9" t="s">
        <v>137</v>
      </c>
      <c r="E3496" t="s">
        <v>37</v>
      </c>
      <c r="F3496" t="s">
        <v>71</v>
      </c>
      <c r="G3496">
        <v>443</v>
      </c>
      <c r="H3496" s="9">
        <v>3.82</v>
      </c>
      <c r="I3496"/>
    </row>
    <row r="3497" spans="1:9" x14ac:dyDescent="0.3">
      <c r="A3497" t="s">
        <v>4</v>
      </c>
      <c r="B3497" t="s">
        <v>13</v>
      </c>
      <c r="C3497" t="s">
        <v>143</v>
      </c>
      <c r="D3497" s="9" t="s">
        <v>137</v>
      </c>
      <c r="E3497" t="s">
        <v>38</v>
      </c>
      <c r="F3497" t="s">
        <v>73</v>
      </c>
      <c r="G3497">
        <v>395.3</v>
      </c>
      <c r="H3497" s="9">
        <v>8.01</v>
      </c>
      <c r="I3497"/>
    </row>
    <row r="3498" spans="1:9" x14ac:dyDescent="0.3">
      <c r="A3498" t="s">
        <v>4</v>
      </c>
      <c r="B3498" t="s">
        <v>13</v>
      </c>
      <c r="C3498" t="s">
        <v>144</v>
      </c>
      <c r="D3498" s="9" t="s">
        <v>137</v>
      </c>
      <c r="E3498" t="s">
        <v>39</v>
      </c>
      <c r="F3498" t="s">
        <v>75</v>
      </c>
      <c r="G3498">
        <v>387.5</v>
      </c>
      <c r="H3498" s="9">
        <v>5.33</v>
      </c>
      <c r="I3498"/>
    </row>
    <row r="3499" spans="1:9" x14ac:dyDescent="0.3">
      <c r="A3499" t="s">
        <v>4</v>
      </c>
      <c r="B3499" t="s">
        <v>13</v>
      </c>
      <c r="C3499" t="s">
        <v>145</v>
      </c>
      <c r="D3499" s="9" t="s">
        <v>137</v>
      </c>
      <c r="E3499" t="s">
        <v>40</v>
      </c>
      <c r="F3499" t="s">
        <v>77</v>
      </c>
      <c r="G3499">
        <v>398.9</v>
      </c>
      <c r="H3499" s="9">
        <v>-3.2</v>
      </c>
      <c r="I3499"/>
    </row>
    <row r="3500" spans="1:9" x14ac:dyDescent="0.3">
      <c r="A3500" t="s">
        <v>4</v>
      </c>
      <c r="B3500" t="s">
        <v>13</v>
      </c>
      <c r="C3500" t="s">
        <v>146</v>
      </c>
      <c r="D3500" s="9" t="s">
        <v>137</v>
      </c>
      <c r="E3500" t="s">
        <v>41</v>
      </c>
      <c r="F3500" t="s">
        <v>79</v>
      </c>
      <c r="G3500">
        <v>419.8</v>
      </c>
      <c r="H3500" s="9">
        <v>5.45</v>
      </c>
      <c r="I3500"/>
    </row>
    <row r="3501" spans="1:9" x14ac:dyDescent="0.3">
      <c r="A3501" t="s">
        <v>4</v>
      </c>
      <c r="B3501" t="s">
        <v>13</v>
      </c>
      <c r="C3501" t="s">
        <v>147</v>
      </c>
      <c r="D3501" s="9" t="s">
        <v>137</v>
      </c>
      <c r="E3501" t="s">
        <v>42</v>
      </c>
      <c r="F3501" t="s">
        <v>81</v>
      </c>
      <c r="G3501">
        <v>558.4</v>
      </c>
      <c r="H3501" s="9">
        <v>5</v>
      </c>
      <c r="I3501"/>
    </row>
    <row r="3502" spans="1:9" x14ac:dyDescent="0.3">
      <c r="A3502" t="s">
        <v>4</v>
      </c>
      <c r="B3502" t="s">
        <v>13</v>
      </c>
      <c r="C3502" t="s">
        <v>148</v>
      </c>
      <c r="D3502" s="9" t="s">
        <v>137</v>
      </c>
      <c r="E3502" t="s">
        <v>43</v>
      </c>
      <c r="F3502" t="s">
        <v>83</v>
      </c>
      <c r="G3502">
        <v>626.20000000000005</v>
      </c>
      <c r="H3502" s="9">
        <v>10.93</v>
      </c>
      <c r="I3502"/>
    </row>
    <row r="3503" spans="1:9" x14ac:dyDescent="0.3">
      <c r="A3503" t="s">
        <v>4</v>
      </c>
      <c r="B3503" t="s">
        <v>13</v>
      </c>
      <c r="C3503" t="s">
        <v>149</v>
      </c>
      <c r="D3503" s="9" t="s">
        <v>150</v>
      </c>
      <c r="E3503" t="s">
        <v>32</v>
      </c>
      <c r="F3503" t="s">
        <v>61</v>
      </c>
      <c r="G3503">
        <v>415.7</v>
      </c>
      <c r="H3503" s="9">
        <v>0.56000000000000005</v>
      </c>
      <c r="I3503"/>
    </row>
    <row r="3504" spans="1:9" x14ac:dyDescent="0.3">
      <c r="A3504" t="s">
        <v>4</v>
      </c>
      <c r="B3504" t="s">
        <v>13</v>
      </c>
      <c r="C3504" t="s">
        <v>151</v>
      </c>
      <c r="D3504" s="9" t="s">
        <v>150</v>
      </c>
      <c r="E3504" t="s">
        <v>33</v>
      </c>
      <c r="F3504" t="s">
        <v>63</v>
      </c>
      <c r="G3504">
        <v>359.2</v>
      </c>
      <c r="H3504" s="9">
        <v>-1.1000000000000001</v>
      </c>
      <c r="I3504"/>
    </row>
    <row r="3505" spans="1:9" x14ac:dyDescent="0.3">
      <c r="A3505" t="s">
        <v>4</v>
      </c>
      <c r="B3505" t="s">
        <v>13</v>
      </c>
      <c r="C3505" t="s">
        <v>152</v>
      </c>
      <c r="D3505" s="9" t="s">
        <v>150</v>
      </c>
      <c r="E3505" t="s">
        <v>34</v>
      </c>
      <c r="F3505" t="s">
        <v>65</v>
      </c>
      <c r="G3505">
        <v>383.8</v>
      </c>
      <c r="H3505" s="9">
        <v>6.61</v>
      </c>
      <c r="I3505"/>
    </row>
    <row r="3506" spans="1:9" x14ac:dyDescent="0.3">
      <c r="A3506" t="s">
        <v>4</v>
      </c>
      <c r="B3506" t="s">
        <v>13</v>
      </c>
      <c r="C3506" t="s">
        <v>153</v>
      </c>
      <c r="D3506" s="9" t="s">
        <v>150</v>
      </c>
      <c r="E3506" t="s">
        <v>35</v>
      </c>
      <c r="F3506" t="s">
        <v>67</v>
      </c>
      <c r="G3506">
        <v>372.7</v>
      </c>
      <c r="H3506" s="9">
        <v>6.27</v>
      </c>
      <c r="I3506"/>
    </row>
    <row r="3507" spans="1:9" x14ac:dyDescent="0.3">
      <c r="A3507" t="s">
        <v>4</v>
      </c>
      <c r="B3507" t="s">
        <v>13</v>
      </c>
      <c r="C3507" t="s">
        <v>154</v>
      </c>
      <c r="D3507" s="9" t="s">
        <v>150</v>
      </c>
      <c r="E3507" t="s">
        <v>36</v>
      </c>
      <c r="F3507" t="s">
        <v>69</v>
      </c>
      <c r="G3507">
        <v>390.9</v>
      </c>
      <c r="H3507" s="9">
        <v>3.71</v>
      </c>
      <c r="I3507"/>
    </row>
    <row r="3508" spans="1:9" x14ac:dyDescent="0.3">
      <c r="A3508" t="s">
        <v>4</v>
      </c>
      <c r="B3508" t="s">
        <v>13</v>
      </c>
      <c r="C3508" t="s">
        <v>155</v>
      </c>
      <c r="D3508" s="9" t="s">
        <v>150</v>
      </c>
      <c r="E3508" t="s">
        <v>37</v>
      </c>
      <c r="F3508" t="s">
        <v>71</v>
      </c>
      <c r="G3508">
        <v>464</v>
      </c>
      <c r="H3508" s="9">
        <v>4.74</v>
      </c>
      <c r="I3508"/>
    </row>
    <row r="3509" spans="1:9" x14ac:dyDescent="0.3">
      <c r="A3509" t="s">
        <v>4</v>
      </c>
      <c r="B3509" t="s">
        <v>22</v>
      </c>
      <c r="C3509" t="s">
        <v>59</v>
      </c>
      <c r="D3509" s="9" t="s">
        <v>60</v>
      </c>
      <c r="E3509" t="s">
        <v>32</v>
      </c>
      <c r="F3509" t="s">
        <v>61</v>
      </c>
      <c r="G3509">
        <v>109.1</v>
      </c>
      <c r="I3509"/>
    </row>
    <row r="3510" spans="1:9" x14ac:dyDescent="0.3">
      <c r="A3510" t="s">
        <v>4</v>
      </c>
      <c r="B3510" t="s">
        <v>22</v>
      </c>
      <c r="C3510" t="s">
        <v>62</v>
      </c>
      <c r="D3510" s="9" t="s">
        <v>60</v>
      </c>
      <c r="E3510" t="s">
        <v>33</v>
      </c>
      <c r="F3510" t="s">
        <v>63</v>
      </c>
      <c r="G3510">
        <v>86.8</v>
      </c>
      <c r="I3510"/>
    </row>
    <row r="3511" spans="1:9" x14ac:dyDescent="0.3">
      <c r="A3511" t="s">
        <v>4</v>
      </c>
      <c r="B3511" t="s">
        <v>22</v>
      </c>
      <c r="C3511" t="s">
        <v>64</v>
      </c>
      <c r="D3511" s="9" t="s">
        <v>60</v>
      </c>
      <c r="E3511" t="s">
        <v>34</v>
      </c>
      <c r="F3511" t="s">
        <v>65</v>
      </c>
      <c r="G3511">
        <v>98.3</v>
      </c>
      <c r="I3511"/>
    </row>
    <row r="3512" spans="1:9" x14ac:dyDescent="0.3">
      <c r="A3512" t="s">
        <v>4</v>
      </c>
      <c r="B3512" t="s">
        <v>22</v>
      </c>
      <c r="C3512" t="s">
        <v>66</v>
      </c>
      <c r="D3512" s="9" t="s">
        <v>60</v>
      </c>
      <c r="E3512" t="s">
        <v>35</v>
      </c>
      <c r="F3512" t="s">
        <v>67</v>
      </c>
      <c r="G3512">
        <v>93.1</v>
      </c>
      <c r="I3512"/>
    </row>
    <row r="3513" spans="1:9" x14ac:dyDescent="0.3">
      <c r="A3513" t="s">
        <v>4</v>
      </c>
      <c r="B3513" t="s">
        <v>22</v>
      </c>
      <c r="C3513" t="s">
        <v>68</v>
      </c>
      <c r="D3513" s="9" t="s">
        <v>60</v>
      </c>
      <c r="E3513" t="s">
        <v>36</v>
      </c>
      <c r="F3513" t="s">
        <v>69</v>
      </c>
      <c r="G3513">
        <v>102</v>
      </c>
      <c r="I3513"/>
    </row>
    <row r="3514" spans="1:9" x14ac:dyDescent="0.3">
      <c r="A3514" t="s">
        <v>4</v>
      </c>
      <c r="B3514" t="s">
        <v>22</v>
      </c>
      <c r="C3514" t="s">
        <v>70</v>
      </c>
      <c r="D3514" s="9" t="s">
        <v>60</v>
      </c>
      <c r="E3514" t="s">
        <v>37</v>
      </c>
      <c r="F3514" t="s">
        <v>71</v>
      </c>
      <c r="G3514">
        <v>103.6</v>
      </c>
      <c r="I3514"/>
    </row>
    <row r="3515" spans="1:9" x14ac:dyDescent="0.3">
      <c r="A3515" t="s">
        <v>4</v>
      </c>
      <c r="B3515" t="s">
        <v>22</v>
      </c>
      <c r="C3515" t="s">
        <v>72</v>
      </c>
      <c r="D3515" s="9" t="s">
        <v>60</v>
      </c>
      <c r="E3515" t="s">
        <v>38</v>
      </c>
      <c r="F3515" t="s">
        <v>73</v>
      </c>
      <c r="G3515">
        <v>108.5</v>
      </c>
      <c r="I3515"/>
    </row>
    <row r="3516" spans="1:9" x14ac:dyDescent="0.3">
      <c r="A3516" t="s">
        <v>4</v>
      </c>
      <c r="B3516" t="s">
        <v>22</v>
      </c>
      <c r="C3516" t="s">
        <v>74</v>
      </c>
      <c r="D3516" s="9" t="s">
        <v>60</v>
      </c>
      <c r="E3516" t="s">
        <v>39</v>
      </c>
      <c r="F3516" t="s">
        <v>75</v>
      </c>
      <c r="G3516">
        <v>117.3</v>
      </c>
      <c r="I3516"/>
    </row>
    <row r="3517" spans="1:9" x14ac:dyDescent="0.3">
      <c r="A3517" t="s">
        <v>4</v>
      </c>
      <c r="B3517" t="s">
        <v>22</v>
      </c>
      <c r="C3517" t="s">
        <v>76</v>
      </c>
      <c r="D3517" s="9" t="s">
        <v>60</v>
      </c>
      <c r="E3517" t="s">
        <v>40</v>
      </c>
      <c r="F3517" t="s">
        <v>77</v>
      </c>
      <c r="G3517">
        <v>106.7</v>
      </c>
      <c r="I3517"/>
    </row>
    <row r="3518" spans="1:9" x14ac:dyDescent="0.3">
      <c r="A3518" t="s">
        <v>4</v>
      </c>
      <c r="B3518" t="s">
        <v>22</v>
      </c>
      <c r="C3518" t="s">
        <v>78</v>
      </c>
      <c r="D3518" s="9" t="s">
        <v>60</v>
      </c>
      <c r="E3518" t="s">
        <v>41</v>
      </c>
      <c r="F3518" t="s">
        <v>79</v>
      </c>
      <c r="G3518">
        <v>108.4</v>
      </c>
      <c r="I3518"/>
    </row>
    <row r="3519" spans="1:9" x14ac:dyDescent="0.3">
      <c r="A3519" t="s">
        <v>4</v>
      </c>
      <c r="B3519" t="s">
        <v>22</v>
      </c>
      <c r="C3519" t="s">
        <v>80</v>
      </c>
      <c r="D3519" s="9" t="s">
        <v>60</v>
      </c>
      <c r="E3519" t="s">
        <v>42</v>
      </c>
      <c r="F3519" t="s">
        <v>81</v>
      </c>
      <c r="G3519">
        <v>121.5</v>
      </c>
      <c r="I3519"/>
    </row>
    <row r="3520" spans="1:9" x14ac:dyDescent="0.3">
      <c r="A3520" t="s">
        <v>4</v>
      </c>
      <c r="B3520" t="s">
        <v>22</v>
      </c>
      <c r="C3520" t="s">
        <v>82</v>
      </c>
      <c r="D3520" s="9" t="s">
        <v>60</v>
      </c>
      <c r="E3520" t="s">
        <v>43</v>
      </c>
      <c r="F3520" t="s">
        <v>83</v>
      </c>
      <c r="G3520">
        <v>206.5</v>
      </c>
      <c r="I3520"/>
    </row>
    <row r="3521" spans="1:9" x14ac:dyDescent="0.3">
      <c r="A3521" t="s">
        <v>4</v>
      </c>
      <c r="B3521" t="s">
        <v>22</v>
      </c>
      <c r="C3521" t="s">
        <v>84</v>
      </c>
      <c r="D3521" s="9" t="s">
        <v>85</v>
      </c>
      <c r="E3521" t="s">
        <v>32</v>
      </c>
      <c r="F3521" t="s">
        <v>61</v>
      </c>
      <c r="G3521">
        <v>120.5</v>
      </c>
      <c r="H3521" s="9">
        <v>10.45</v>
      </c>
      <c r="I3521"/>
    </row>
    <row r="3522" spans="1:9" x14ac:dyDescent="0.3">
      <c r="A3522" t="s">
        <v>4</v>
      </c>
      <c r="B3522" t="s">
        <v>22</v>
      </c>
      <c r="C3522" t="s">
        <v>86</v>
      </c>
      <c r="D3522" s="9" t="s">
        <v>85</v>
      </c>
      <c r="E3522" t="s">
        <v>33</v>
      </c>
      <c r="F3522" t="s">
        <v>63</v>
      </c>
      <c r="G3522">
        <v>92.3</v>
      </c>
      <c r="H3522" s="9">
        <v>6.34</v>
      </c>
      <c r="I3522"/>
    </row>
    <row r="3523" spans="1:9" x14ac:dyDescent="0.3">
      <c r="A3523" t="s">
        <v>4</v>
      </c>
      <c r="B3523" t="s">
        <v>22</v>
      </c>
      <c r="C3523" t="s">
        <v>87</v>
      </c>
      <c r="D3523" s="9" t="s">
        <v>85</v>
      </c>
      <c r="E3523" t="s">
        <v>34</v>
      </c>
      <c r="F3523" t="s">
        <v>65</v>
      </c>
      <c r="G3523">
        <v>79.599999999999994</v>
      </c>
      <c r="H3523" s="9">
        <v>-19.02</v>
      </c>
      <c r="I3523"/>
    </row>
    <row r="3524" spans="1:9" x14ac:dyDescent="0.3">
      <c r="A3524" t="s">
        <v>4</v>
      </c>
      <c r="B3524" t="s">
        <v>22</v>
      </c>
      <c r="C3524" t="s">
        <v>88</v>
      </c>
      <c r="D3524" s="9" t="s">
        <v>85</v>
      </c>
      <c r="E3524" t="s">
        <v>35</v>
      </c>
      <c r="F3524" t="s">
        <v>67</v>
      </c>
      <c r="G3524">
        <v>35.9</v>
      </c>
      <c r="H3524" s="9">
        <v>-61.44</v>
      </c>
      <c r="I3524"/>
    </row>
    <row r="3525" spans="1:9" x14ac:dyDescent="0.3">
      <c r="A3525" t="s">
        <v>4</v>
      </c>
      <c r="B3525" t="s">
        <v>22</v>
      </c>
      <c r="C3525" t="s">
        <v>89</v>
      </c>
      <c r="D3525" s="9" t="s">
        <v>85</v>
      </c>
      <c r="E3525" t="s">
        <v>36</v>
      </c>
      <c r="F3525" t="s">
        <v>69</v>
      </c>
      <c r="G3525">
        <v>100.7</v>
      </c>
      <c r="H3525" s="9">
        <v>-1.27</v>
      </c>
      <c r="I3525"/>
    </row>
    <row r="3526" spans="1:9" x14ac:dyDescent="0.3">
      <c r="A3526" t="s">
        <v>4</v>
      </c>
      <c r="B3526" t="s">
        <v>22</v>
      </c>
      <c r="C3526" t="s">
        <v>90</v>
      </c>
      <c r="D3526" s="9" t="s">
        <v>85</v>
      </c>
      <c r="E3526" t="s">
        <v>37</v>
      </c>
      <c r="F3526" t="s">
        <v>71</v>
      </c>
      <c r="G3526">
        <v>97.3</v>
      </c>
      <c r="H3526" s="9">
        <v>-6.08</v>
      </c>
      <c r="I3526"/>
    </row>
    <row r="3527" spans="1:9" x14ac:dyDescent="0.3">
      <c r="A3527" t="s">
        <v>4</v>
      </c>
      <c r="B3527" t="s">
        <v>22</v>
      </c>
      <c r="C3527" t="s">
        <v>91</v>
      </c>
      <c r="D3527" s="9" t="s">
        <v>85</v>
      </c>
      <c r="E3527" t="s">
        <v>38</v>
      </c>
      <c r="F3527" t="s">
        <v>73</v>
      </c>
      <c r="G3527">
        <v>128.80000000000001</v>
      </c>
      <c r="H3527" s="9">
        <v>18.71</v>
      </c>
      <c r="I3527"/>
    </row>
    <row r="3528" spans="1:9" x14ac:dyDescent="0.3">
      <c r="A3528" t="s">
        <v>4</v>
      </c>
      <c r="B3528" t="s">
        <v>22</v>
      </c>
      <c r="C3528" t="s">
        <v>92</v>
      </c>
      <c r="D3528" s="9" t="s">
        <v>85</v>
      </c>
      <c r="E3528" t="s">
        <v>39</v>
      </c>
      <c r="F3528" t="s">
        <v>75</v>
      </c>
      <c r="G3528">
        <v>124.3</v>
      </c>
      <c r="H3528" s="9">
        <v>5.97</v>
      </c>
      <c r="I3528"/>
    </row>
    <row r="3529" spans="1:9" x14ac:dyDescent="0.3">
      <c r="A3529" t="s">
        <v>4</v>
      </c>
      <c r="B3529" t="s">
        <v>22</v>
      </c>
      <c r="C3529" t="s">
        <v>93</v>
      </c>
      <c r="D3529" s="9" t="s">
        <v>85</v>
      </c>
      <c r="E3529" t="s">
        <v>40</v>
      </c>
      <c r="F3529" t="s">
        <v>77</v>
      </c>
      <c r="G3529">
        <v>117.7</v>
      </c>
      <c r="H3529" s="9">
        <v>10.31</v>
      </c>
      <c r="I3529"/>
    </row>
    <row r="3530" spans="1:9" x14ac:dyDescent="0.3">
      <c r="A3530" t="s">
        <v>4</v>
      </c>
      <c r="B3530" t="s">
        <v>22</v>
      </c>
      <c r="C3530" t="s">
        <v>94</v>
      </c>
      <c r="D3530" s="9" t="s">
        <v>85</v>
      </c>
      <c r="E3530" t="s">
        <v>41</v>
      </c>
      <c r="F3530" t="s">
        <v>79</v>
      </c>
      <c r="G3530">
        <v>120.8</v>
      </c>
      <c r="H3530" s="9">
        <v>11.44</v>
      </c>
      <c r="I3530"/>
    </row>
    <row r="3531" spans="1:9" x14ac:dyDescent="0.3">
      <c r="A3531" t="s">
        <v>4</v>
      </c>
      <c r="B3531" t="s">
        <v>22</v>
      </c>
      <c r="C3531" t="s">
        <v>95</v>
      </c>
      <c r="D3531" s="9" t="s">
        <v>85</v>
      </c>
      <c r="E3531" t="s">
        <v>42</v>
      </c>
      <c r="F3531" t="s">
        <v>81</v>
      </c>
      <c r="G3531">
        <v>140.19999999999999</v>
      </c>
      <c r="H3531" s="9">
        <v>15.39</v>
      </c>
      <c r="I3531"/>
    </row>
    <row r="3532" spans="1:9" x14ac:dyDescent="0.3">
      <c r="A3532" t="s">
        <v>4</v>
      </c>
      <c r="B3532" t="s">
        <v>22</v>
      </c>
      <c r="C3532" t="s">
        <v>96</v>
      </c>
      <c r="D3532" s="9" t="s">
        <v>85</v>
      </c>
      <c r="E3532" t="s">
        <v>43</v>
      </c>
      <c r="F3532" t="s">
        <v>83</v>
      </c>
      <c r="G3532">
        <v>242.3</v>
      </c>
      <c r="H3532" s="9">
        <v>17.34</v>
      </c>
      <c r="I3532"/>
    </row>
    <row r="3533" spans="1:9" x14ac:dyDescent="0.3">
      <c r="A3533" t="s">
        <v>4</v>
      </c>
      <c r="B3533" t="s">
        <v>22</v>
      </c>
      <c r="C3533" t="s">
        <v>97</v>
      </c>
      <c r="D3533" s="9" t="s">
        <v>98</v>
      </c>
      <c r="E3533" t="s">
        <v>32</v>
      </c>
      <c r="F3533" t="s">
        <v>61</v>
      </c>
      <c r="G3533">
        <v>140.30000000000001</v>
      </c>
      <c r="H3533" s="9">
        <v>16.43</v>
      </c>
      <c r="I3533"/>
    </row>
    <row r="3534" spans="1:9" x14ac:dyDescent="0.3">
      <c r="A3534" t="s">
        <v>4</v>
      </c>
      <c r="B3534" t="s">
        <v>22</v>
      </c>
      <c r="C3534" t="s">
        <v>99</v>
      </c>
      <c r="D3534" s="9" t="s">
        <v>98</v>
      </c>
      <c r="E3534" t="s">
        <v>33</v>
      </c>
      <c r="F3534" t="s">
        <v>63</v>
      </c>
      <c r="G3534">
        <v>122.4</v>
      </c>
      <c r="H3534" s="9">
        <v>32.61</v>
      </c>
      <c r="I3534"/>
    </row>
    <row r="3535" spans="1:9" x14ac:dyDescent="0.3">
      <c r="A3535" t="s">
        <v>4</v>
      </c>
      <c r="B3535" t="s">
        <v>22</v>
      </c>
      <c r="C3535" t="s">
        <v>100</v>
      </c>
      <c r="D3535" s="9" t="s">
        <v>98</v>
      </c>
      <c r="E3535" t="s">
        <v>34</v>
      </c>
      <c r="F3535" t="s">
        <v>65</v>
      </c>
      <c r="G3535">
        <v>118.3</v>
      </c>
      <c r="H3535" s="9">
        <v>48.62</v>
      </c>
      <c r="I3535"/>
    </row>
    <row r="3536" spans="1:9" x14ac:dyDescent="0.3">
      <c r="A3536" t="s">
        <v>4</v>
      </c>
      <c r="B3536" t="s">
        <v>22</v>
      </c>
      <c r="C3536" t="s">
        <v>101</v>
      </c>
      <c r="D3536" s="9" t="s">
        <v>98</v>
      </c>
      <c r="E3536" t="s">
        <v>35</v>
      </c>
      <c r="F3536" t="s">
        <v>67</v>
      </c>
      <c r="G3536">
        <v>108.9</v>
      </c>
      <c r="H3536" s="9">
        <v>203.34</v>
      </c>
      <c r="I3536"/>
    </row>
    <row r="3537" spans="1:9" x14ac:dyDescent="0.3">
      <c r="A3537" t="s">
        <v>4</v>
      </c>
      <c r="B3537" t="s">
        <v>22</v>
      </c>
      <c r="C3537" t="s">
        <v>102</v>
      </c>
      <c r="D3537" s="9" t="s">
        <v>98</v>
      </c>
      <c r="E3537" t="s">
        <v>36</v>
      </c>
      <c r="F3537" t="s">
        <v>69</v>
      </c>
      <c r="G3537">
        <v>129</v>
      </c>
      <c r="H3537" s="9">
        <v>28.1</v>
      </c>
      <c r="I3537"/>
    </row>
    <row r="3538" spans="1:9" x14ac:dyDescent="0.3">
      <c r="A3538" t="s">
        <v>4</v>
      </c>
      <c r="B3538" t="s">
        <v>22</v>
      </c>
      <c r="C3538" t="s">
        <v>103</v>
      </c>
      <c r="D3538" s="9" t="s">
        <v>98</v>
      </c>
      <c r="E3538" t="s">
        <v>37</v>
      </c>
      <c r="F3538" t="s">
        <v>71</v>
      </c>
      <c r="G3538">
        <v>124.5</v>
      </c>
      <c r="H3538" s="9">
        <v>27.95</v>
      </c>
      <c r="I3538"/>
    </row>
    <row r="3539" spans="1:9" x14ac:dyDescent="0.3">
      <c r="A3539" t="s">
        <v>4</v>
      </c>
      <c r="B3539" t="s">
        <v>22</v>
      </c>
      <c r="C3539" t="s">
        <v>104</v>
      </c>
      <c r="D3539" s="9" t="s">
        <v>98</v>
      </c>
      <c r="E3539" t="s">
        <v>38</v>
      </c>
      <c r="F3539" t="s">
        <v>73</v>
      </c>
      <c r="G3539">
        <v>132.5</v>
      </c>
      <c r="H3539" s="9">
        <v>2.87</v>
      </c>
      <c r="I3539"/>
    </row>
    <row r="3540" spans="1:9" x14ac:dyDescent="0.3">
      <c r="A3540" t="s">
        <v>4</v>
      </c>
      <c r="B3540" t="s">
        <v>22</v>
      </c>
      <c r="C3540" t="s">
        <v>105</v>
      </c>
      <c r="D3540" s="9" t="s">
        <v>98</v>
      </c>
      <c r="E3540" t="s">
        <v>39</v>
      </c>
      <c r="F3540" t="s">
        <v>75</v>
      </c>
      <c r="G3540">
        <v>109</v>
      </c>
      <c r="H3540" s="9">
        <v>-12.31</v>
      </c>
      <c r="I3540"/>
    </row>
    <row r="3541" spans="1:9" x14ac:dyDescent="0.3">
      <c r="A3541" t="s">
        <v>4</v>
      </c>
      <c r="B3541" t="s">
        <v>22</v>
      </c>
      <c r="C3541" t="s">
        <v>106</v>
      </c>
      <c r="D3541" s="9" t="s">
        <v>98</v>
      </c>
      <c r="E3541" t="s">
        <v>40</v>
      </c>
      <c r="F3541" t="s">
        <v>77</v>
      </c>
      <c r="G3541">
        <v>140.19999999999999</v>
      </c>
      <c r="H3541" s="9">
        <v>19.12</v>
      </c>
      <c r="I3541"/>
    </row>
    <row r="3542" spans="1:9" x14ac:dyDescent="0.3">
      <c r="A3542" t="s">
        <v>4</v>
      </c>
      <c r="B3542" t="s">
        <v>22</v>
      </c>
      <c r="C3542" t="s">
        <v>107</v>
      </c>
      <c r="D3542" s="9" t="s">
        <v>98</v>
      </c>
      <c r="E3542" t="s">
        <v>41</v>
      </c>
      <c r="F3542" t="s">
        <v>79</v>
      </c>
      <c r="G3542">
        <v>142.19999999999999</v>
      </c>
      <c r="H3542" s="9">
        <v>17.72</v>
      </c>
      <c r="I3542"/>
    </row>
    <row r="3543" spans="1:9" x14ac:dyDescent="0.3">
      <c r="A3543" t="s">
        <v>4</v>
      </c>
      <c r="B3543" t="s">
        <v>22</v>
      </c>
      <c r="C3543" t="s">
        <v>108</v>
      </c>
      <c r="D3543" s="9" t="s">
        <v>98</v>
      </c>
      <c r="E3543" t="s">
        <v>42</v>
      </c>
      <c r="F3543" t="s">
        <v>81</v>
      </c>
      <c r="G3543">
        <v>167</v>
      </c>
      <c r="H3543" s="9">
        <v>19.12</v>
      </c>
      <c r="I3543"/>
    </row>
    <row r="3544" spans="1:9" x14ac:dyDescent="0.3">
      <c r="A3544" t="s">
        <v>4</v>
      </c>
      <c r="B3544" t="s">
        <v>22</v>
      </c>
      <c r="C3544" t="s">
        <v>109</v>
      </c>
      <c r="D3544" s="9" t="s">
        <v>98</v>
      </c>
      <c r="E3544" t="s">
        <v>43</v>
      </c>
      <c r="F3544" t="s">
        <v>83</v>
      </c>
      <c r="G3544">
        <v>256.60000000000002</v>
      </c>
      <c r="H3544" s="9">
        <v>5.9</v>
      </c>
      <c r="I3544"/>
    </row>
    <row r="3545" spans="1:9" x14ac:dyDescent="0.3">
      <c r="A3545" t="s">
        <v>4</v>
      </c>
      <c r="B3545" t="s">
        <v>22</v>
      </c>
      <c r="C3545" t="s">
        <v>110</v>
      </c>
      <c r="D3545" s="9" t="s">
        <v>111</v>
      </c>
      <c r="E3545" t="s">
        <v>32</v>
      </c>
      <c r="F3545" t="s">
        <v>61</v>
      </c>
      <c r="G3545">
        <v>138.1</v>
      </c>
      <c r="H3545" s="9">
        <v>-1.57</v>
      </c>
      <c r="I3545"/>
    </row>
    <row r="3546" spans="1:9" x14ac:dyDescent="0.3">
      <c r="A3546" t="s">
        <v>4</v>
      </c>
      <c r="B3546" t="s">
        <v>22</v>
      </c>
      <c r="C3546" t="s">
        <v>112</v>
      </c>
      <c r="D3546" s="9" t="s">
        <v>111</v>
      </c>
      <c r="E3546" t="s">
        <v>33</v>
      </c>
      <c r="F3546" t="s">
        <v>63</v>
      </c>
      <c r="G3546">
        <v>134.6</v>
      </c>
      <c r="H3546" s="9">
        <v>9.9700000000000006</v>
      </c>
      <c r="I3546"/>
    </row>
    <row r="3547" spans="1:9" x14ac:dyDescent="0.3">
      <c r="A3547" t="s">
        <v>4</v>
      </c>
      <c r="B3547" t="s">
        <v>22</v>
      </c>
      <c r="C3547" t="s">
        <v>113</v>
      </c>
      <c r="D3547" s="9" t="s">
        <v>111</v>
      </c>
      <c r="E3547" t="s">
        <v>34</v>
      </c>
      <c r="F3547" t="s">
        <v>65</v>
      </c>
      <c r="G3547">
        <v>144.4</v>
      </c>
      <c r="H3547" s="9">
        <v>22.06</v>
      </c>
      <c r="I3547"/>
    </row>
    <row r="3548" spans="1:9" x14ac:dyDescent="0.3">
      <c r="A3548" t="s">
        <v>4</v>
      </c>
      <c r="B3548" t="s">
        <v>22</v>
      </c>
      <c r="C3548" t="s">
        <v>114</v>
      </c>
      <c r="D3548" s="9" t="s">
        <v>111</v>
      </c>
      <c r="E3548" t="s">
        <v>35</v>
      </c>
      <c r="F3548" t="s">
        <v>67</v>
      </c>
      <c r="G3548">
        <v>146.30000000000001</v>
      </c>
      <c r="H3548" s="9">
        <v>34.340000000000003</v>
      </c>
      <c r="I3548"/>
    </row>
    <row r="3549" spans="1:9" x14ac:dyDescent="0.3">
      <c r="A3549" t="s">
        <v>4</v>
      </c>
      <c r="B3549" t="s">
        <v>22</v>
      </c>
      <c r="C3549" t="s">
        <v>115</v>
      </c>
      <c r="D3549" s="9" t="s">
        <v>111</v>
      </c>
      <c r="E3549" t="s">
        <v>36</v>
      </c>
      <c r="F3549" t="s">
        <v>69</v>
      </c>
      <c r="G3549">
        <v>153.69999999999999</v>
      </c>
      <c r="H3549" s="9">
        <v>19.149999999999999</v>
      </c>
      <c r="I3549"/>
    </row>
    <row r="3550" spans="1:9" x14ac:dyDescent="0.3">
      <c r="A3550" t="s">
        <v>4</v>
      </c>
      <c r="B3550" t="s">
        <v>22</v>
      </c>
      <c r="C3550" t="s">
        <v>116</v>
      </c>
      <c r="D3550" s="9" t="s">
        <v>111</v>
      </c>
      <c r="E3550" t="s">
        <v>37</v>
      </c>
      <c r="F3550" t="s">
        <v>71</v>
      </c>
      <c r="G3550">
        <v>156.1</v>
      </c>
      <c r="H3550" s="9">
        <v>25.38</v>
      </c>
      <c r="I3550"/>
    </row>
    <row r="3551" spans="1:9" x14ac:dyDescent="0.3">
      <c r="A3551" t="s">
        <v>4</v>
      </c>
      <c r="B3551" t="s">
        <v>22</v>
      </c>
      <c r="C3551" t="s">
        <v>117</v>
      </c>
      <c r="D3551" s="9" t="s">
        <v>111</v>
      </c>
      <c r="E3551" t="s">
        <v>38</v>
      </c>
      <c r="F3551" t="s">
        <v>73</v>
      </c>
      <c r="G3551">
        <v>162.19999999999999</v>
      </c>
      <c r="H3551" s="9">
        <v>22.42</v>
      </c>
      <c r="I3551"/>
    </row>
    <row r="3552" spans="1:9" x14ac:dyDescent="0.3">
      <c r="A3552" t="s">
        <v>4</v>
      </c>
      <c r="B3552" t="s">
        <v>22</v>
      </c>
      <c r="C3552" t="s">
        <v>118</v>
      </c>
      <c r="D3552" s="9" t="s">
        <v>111</v>
      </c>
      <c r="E3552" t="s">
        <v>39</v>
      </c>
      <c r="F3552" t="s">
        <v>75</v>
      </c>
      <c r="G3552">
        <v>155.9</v>
      </c>
      <c r="H3552" s="9">
        <v>43.03</v>
      </c>
      <c r="I3552"/>
    </row>
    <row r="3553" spans="1:9" x14ac:dyDescent="0.3">
      <c r="A3553" t="s">
        <v>4</v>
      </c>
      <c r="B3553" t="s">
        <v>22</v>
      </c>
      <c r="C3553" t="s">
        <v>119</v>
      </c>
      <c r="D3553" s="9" t="s">
        <v>111</v>
      </c>
      <c r="E3553" t="s">
        <v>40</v>
      </c>
      <c r="F3553" t="s">
        <v>77</v>
      </c>
      <c r="G3553">
        <v>163.5</v>
      </c>
      <c r="H3553" s="9">
        <v>16.62</v>
      </c>
      <c r="I3553"/>
    </row>
    <row r="3554" spans="1:9" x14ac:dyDescent="0.3">
      <c r="A3554" t="s">
        <v>4</v>
      </c>
      <c r="B3554" t="s">
        <v>22</v>
      </c>
      <c r="C3554" t="s">
        <v>120</v>
      </c>
      <c r="D3554" s="9" t="s">
        <v>111</v>
      </c>
      <c r="E3554" t="s">
        <v>41</v>
      </c>
      <c r="F3554" t="s">
        <v>79</v>
      </c>
      <c r="G3554">
        <v>163.80000000000001</v>
      </c>
      <c r="H3554" s="9">
        <v>15.19</v>
      </c>
      <c r="I3554"/>
    </row>
    <row r="3555" spans="1:9" x14ac:dyDescent="0.3">
      <c r="A3555" t="s">
        <v>4</v>
      </c>
      <c r="B3555" t="s">
        <v>22</v>
      </c>
      <c r="C3555" t="s">
        <v>121</v>
      </c>
      <c r="D3555" s="9" t="s">
        <v>111</v>
      </c>
      <c r="E3555" t="s">
        <v>42</v>
      </c>
      <c r="F3555" t="s">
        <v>81</v>
      </c>
      <c r="G3555">
        <v>200.7</v>
      </c>
      <c r="H3555" s="9">
        <v>20.18</v>
      </c>
      <c r="I3555"/>
    </row>
    <row r="3556" spans="1:9" x14ac:dyDescent="0.3">
      <c r="A3556" t="s">
        <v>4</v>
      </c>
      <c r="B3556" t="s">
        <v>22</v>
      </c>
      <c r="C3556" t="s">
        <v>122</v>
      </c>
      <c r="D3556" s="9" t="s">
        <v>111</v>
      </c>
      <c r="E3556" t="s">
        <v>43</v>
      </c>
      <c r="F3556" t="s">
        <v>83</v>
      </c>
      <c r="G3556">
        <v>288.39999999999998</v>
      </c>
      <c r="H3556" s="9">
        <v>12.39</v>
      </c>
      <c r="I3556"/>
    </row>
    <row r="3557" spans="1:9" x14ac:dyDescent="0.3">
      <c r="A3557" t="s">
        <v>4</v>
      </c>
      <c r="B3557" t="s">
        <v>22</v>
      </c>
      <c r="C3557" t="s">
        <v>123</v>
      </c>
      <c r="D3557" s="9" t="s">
        <v>124</v>
      </c>
      <c r="E3557" t="s">
        <v>32</v>
      </c>
      <c r="F3557" t="s">
        <v>61</v>
      </c>
      <c r="G3557">
        <v>185</v>
      </c>
      <c r="H3557" s="9">
        <v>33.96</v>
      </c>
      <c r="I3557"/>
    </row>
    <row r="3558" spans="1:9" x14ac:dyDescent="0.3">
      <c r="A3558" t="s">
        <v>4</v>
      </c>
      <c r="B3558" t="s">
        <v>22</v>
      </c>
      <c r="C3558" t="s">
        <v>125</v>
      </c>
      <c r="D3558" s="9" t="s">
        <v>124</v>
      </c>
      <c r="E3558" t="s">
        <v>33</v>
      </c>
      <c r="F3558" t="s">
        <v>63</v>
      </c>
      <c r="G3558">
        <v>144.30000000000001</v>
      </c>
      <c r="H3558" s="9">
        <v>7.21</v>
      </c>
      <c r="I3558"/>
    </row>
    <row r="3559" spans="1:9" x14ac:dyDescent="0.3">
      <c r="A3559" t="s">
        <v>4</v>
      </c>
      <c r="B3559" t="s">
        <v>22</v>
      </c>
      <c r="C3559" t="s">
        <v>126</v>
      </c>
      <c r="D3559" s="9" t="s">
        <v>124</v>
      </c>
      <c r="E3559" t="s">
        <v>34</v>
      </c>
      <c r="F3559" t="s">
        <v>65</v>
      </c>
      <c r="G3559">
        <v>150.1</v>
      </c>
      <c r="H3559" s="9">
        <v>3.95</v>
      </c>
      <c r="I3559"/>
    </row>
    <row r="3560" spans="1:9" x14ac:dyDescent="0.3">
      <c r="A3560" t="s">
        <v>4</v>
      </c>
      <c r="B3560" t="s">
        <v>22</v>
      </c>
      <c r="C3560" t="s">
        <v>127</v>
      </c>
      <c r="D3560" s="9" t="s">
        <v>124</v>
      </c>
      <c r="E3560" t="s">
        <v>35</v>
      </c>
      <c r="F3560" t="s">
        <v>67</v>
      </c>
      <c r="G3560">
        <v>144.4</v>
      </c>
      <c r="H3560" s="9">
        <v>-1.3</v>
      </c>
      <c r="I3560"/>
    </row>
    <row r="3561" spans="1:9" x14ac:dyDescent="0.3">
      <c r="A3561" t="s">
        <v>4</v>
      </c>
      <c r="B3561" t="s">
        <v>22</v>
      </c>
      <c r="C3561" t="s">
        <v>128</v>
      </c>
      <c r="D3561" s="9" t="s">
        <v>124</v>
      </c>
      <c r="E3561" t="s">
        <v>36</v>
      </c>
      <c r="F3561" t="s">
        <v>69</v>
      </c>
      <c r="G3561">
        <v>162.1</v>
      </c>
      <c r="H3561" s="9">
        <v>5.47</v>
      </c>
      <c r="I3561"/>
    </row>
    <row r="3562" spans="1:9" x14ac:dyDescent="0.3">
      <c r="A3562" t="s">
        <v>4</v>
      </c>
      <c r="B3562" t="s">
        <v>22</v>
      </c>
      <c r="C3562" t="s">
        <v>129</v>
      </c>
      <c r="D3562" s="9" t="s">
        <v>124</v>
      </c>
      <c r="E3562" t="s">
        <v>37</v>
      </c>
      <c r="F3562" t="s">
        <v>71</v>
      </c>
      <c r="G3562">
        <v>160.6</v>
      </c>
      <c r="H3562" s="9">
        <v>2.88</v>
      </c>
      <c r="I3562"/>
    </row>
    <row r="3563" spans="1:9" x14ac:dyDescent="0.3">
      <c r="A3563" t="s">
        <v>4</v>
      </c>
      <c r="B3563" t="s">
        <v>22</v>
      </c>
      <c r="C3563" t="s">
        <v>130</v>
      </c>
      <c r="D3563" s="9" t="s">
        <v>124</v>
      </c>
      <c r="E3563" t="s">
        <v>38</v>
      </c>
      <c r="F3563" t="s">
        <v>73</v>
      </c>
      <c r="G3563">
        <v>159.9</v>
      </c>
      <c r="H3563" s="9">
        <v>-1.42</v>
      </c>
      <c r="I3563"/>
    </row>
    <row r="3564" spans="1:9" x14ac:dyDescent="0.3">
      <c r="A3564" t="s">
        <v>4</v>
      </c>
      <c r="B3564" t="s">
        <v>22</v>
      </c>
      <c r="C3564" t="s">
        <v>131</v>
      </c>
      <c r="D3564" s="9" t="s">
        <v>124</v>
      </c>
      <c r="E3564" t="s">
        <v>39</v>
      </c>
      <c r="F3564" t="s">
        <v>75</v>
      </c>
      <c r="G3564">
        <v>171.2</v>
      </c>
      <c r="H3564" s="9">
        <v>9.81</v>
      </c>
      <c r="I3564"/>
    </row>
    <row r="3565" spans="1:9" x14ac:dyDescent="0.3">
      <c r="A3565" t="s">
        <v>4</v>
      </c>
      <c r="B3565" t="s">
        <v>22</v>
      </c>
      <c r="C3565" t="s">
        <v>132</v>
      </c>
      <c r="D3565" s="9" t="s">
        <v>124</v>
      </c>
      <c r="E3565" t="s">
        <v>40</v>
      </c>
      <c r="F3565" t="s">
        <v>77</v>
      </c>
      <c r="G3565">
        <v>164.4</v>
      </c>
      <c r="H3565" s="9">
        <v>0.55000000000000004</v>
      </c>
      <c r="I3565"/>
    </row>
    <row r="3566" spans="1:9" x14ac:dyDescent="0.3">
      <c r="A3566" t="s">
        <v>4</v>
      </c>
      <c r="B3566" t="s">
        <v>22</v>
      </c>
      <c r="C3566" t="s">
        <v>133</v>
      </c>
      <c r="D3566" s="9" t="s">
        <v>124</v>
      </c>
      <c r="E3566" t="s">
        <v>41</v>
      </c>
      <c r="F3566" t="s">
        <v>79</v>
      </c>
      <c r="G3566">
        <v>168.7</v>
      </c>
      <c r="H3566" s="9">
        <v>2.99</v>
      </c>
      <c r="I3566"/>
    </row>
    <row r="3567" spans="1:9" x14ac:dyDescent="0.3">
      <c r="A3567" t="s">
        <v>4</v>
      </c>
      <c r="B3567" t="s">
        <v>22</v>
      </c>
      <c r="C3567" t="s">
        <v>134</v>
      </c>
      <c r="D3567" s="9" t="s">
        <v>124</v>
      </c>
      <c r="E3567" t="s">
        <v>42</v>
      </c>
      <c r="F3567" t="s">
        <v>81</v>
      </c>
      <c r="G3567">
        <v>206.6</v>
      </c>
      <c r="H3567" s="9">
        <v>2.94</v>
      </c>
      <c r="I3567"/>
    </row>
    <row r="3568" spans="1:9" x14ac:dyDescent="0.3">
      <c r="A3568" t="s">
        <v>4</v>
      </c>
      <c r="B3568" t="s">
        <v>22</v>
      </c>
      <c r="C3568" t="s">
        <v>135</v>
      </c>
      <c r="D3568" s="9" t="s">
        <v>124</v>
      </c>
      <c r="E3568" t="s">
        <v>43</v>
      </c>
      <c r="F3568" t="s">
        <v>83</v>
      </c>
      <c r="G3568">
        <v>284.3</v>
      </c>
      <c r="H3568" s="9">
        <v>-1.42</v>
      </c>
      <c r="I3568"/>
    </row>
    <row r="3569" spans="1:9" x14ac:dyDescent="0.3">
      <c r="A3569" t="s">
        <v>4</v>
      </c>
      <c r="B3569" t="s">
        <v>22</v>
      </c>
      <c r="C3569" t="s">
        <v>136</v>
      </c>
      <c r="D3569" s="9" t="s">
        <v>137</v>
      </c>
      <c r="E3569" t="s">
        <v>32</v>
      </c>
      <c r="F3569" t="s">
        <v>61</v>
      </c>
      <c r="G3569">
        <v>173.9</v>
      </c>
      <c r="H3569" s="9">
        <v>-6</v>
      </c>
      <c r="I3569"/>
    </row>
    <row r="3570" spans="1:9" x14ac:dyDescent="0.3">
      <c r="A3570" t="s">
        <v>4</v>
      </c>
      <c r="B3570" t="s">
        <v>22</v>
      </c>
      <c r="C3570" t="s">
        <v>138</v>
      </c>
      <c r="D3570" s="9" t="s">
        <v>137</v>
      </c>
      <c r="E3570" t="s">
        <v>33</v>
      </c>
      <c r="F3570" t="s">
        <v>63</v>
      </c>
      <c r="G3570">
        <v>150</v>
      </c>
      <c r="H3570" s="9">
        <v>3.95</v>
      </c>
      <c r="I3570"/>
    </row>
    <row r="3571" spans="1:9" x14ac:dyDescent="0.3">
      <c r="A3571" t="s">
        <v>4</v>
      </c>
      <c r="B3571" t="s">
        <v>22</v>
      </c>
      <c r="C3571" t="s">
        <v>139</v>
      </c>
      <c r="D3571" s="9" t="s">
        <v>137</v>
      </c>
      <c r="E3571" t="s">
        <v>34</v>
      </c>
      <c r="F3571" t="s">
        <v>65</v>
      </c>
      <c r="G3571">
        <v>155.5</v>
      </c>
      <c r="H3571" s="9">
        <v>3.6</v>
      </c>
      <c r="I3571"/>
    </row>
    <row r="3572" spans="1:9" x14ac:dyDescent="0.3">
      <c r="A3572" t="s">
        <v>4</v>
      </c>
      <c r="B3572" t="s">
        <v>22</v>
      </c>
      <c r="C3572" t="s">
        <v>140</v>
      </c>
      <c r="D3572" s="9" t="s">
        <v>137</v>
      </c>
      <c r="E3572" t="s">
        <v>35</v>
      </c>
      <c r="F3572" t="s">
        <v>67</v>
      </c>
      <c r="G3572">
        <v>152.9</v>
      </c>
      <c r="H3572" s="9">
        <v>5.89</v>
      </c>
      <c r="I3572"/>
    </row>
    <row r="3573" spans="1:9" x14ac:dyDescent="0.3">
      <c r="A3573" t="s">
        <v>4</v>
      </c>
      <c r="B3573" t="s">
        <v>22</v>
      </c>
      <c r="C3573" t="s">
        <v>141</v>
      </c>
      <c r="D3573" s="9" t="s">
        <v>137</v>
      </c>
      <c r="E3573" t="s">
        <v>36</v>
      </c>
      <c r="F3573" t="s">
        <v>69</v>
      </c>
      <c r="G3573">
        <v>171.1</v>
      </c>
      <c r="H3573" s="9">
        <v>5.55</v>
      </c>
      <c r="I3573"/>
    </row>
    <row r="3574" spans="1:9" x14ac:dyDescent="0.3">
      <c r="A3574" t="s">
        <v>4</v>
      </c>
      <c r="B3574" t="s">
        <v>22</v>
      </c>
      <c r="C3574" t="s">
        <v>142</v>
      </c>
      <c r="D3574" s="9" t="s">
        <v>137</v>
      </c>
      <c r="E3574" t="s">
        <v>37</v>
      </c>
      <c r="F3574" t="s">
        <v>71</v>
      </c>
      <c r="G3574">
        <v>165.2</v>
      </c>
      <c r="H3574" s="9">
        <v>2.86</v>
      </c>
      <c r="I3574"/>
    </row>
    <row r="3575" spans="1:9" x14ac:dyDescent="0.3">
      <c r="A3575" t="s">
        <v>4</v>
      </c>
      <c r="B3575" t="s">
        <v>22</v>
      </c>
      <c r="C3575" t="s">
        <v>143</v>
      </c>
      <c r="D3575" s="9" t="s">
        <v>137</v>
      </c>
      <c r="E3575" t="s">
        <v>38</v>
      </c>
      <c r="F3575" t="s">
        <v>73</v>
      </c>
      <c r="G3575">
        <v>166.8</v>
      </c>
      <c r="H3575" s="9">
        <v>4.32</v>
      </c>
      <c r="I3575"/>
    </row>
    <row r="3576" spans="1:9" x14ac:dyDescent="0.3">
      <c r="A3576" t="s">
        <v>4</v>
      </c>
      <c r="B3576" t="s">
        <v>22</v>
      </c>
      <c r="C3576" t="s">
        <v>144</v>
      </c>
      <c r="D3576" s="9" t="s">
        <v>137</v>
      </c>
      <c r="E3576" t="s">
        <v>39</v>
      </c>
      <c r="F3576" t="s">
        <v>75</v>
      </c>
      <c r="G3576">
        <v>170.5</v>
      </c>
      <c r="H3576" s="9">
        <v>-0.41</v>
      </c>
      <c r="I3576"/>
    </row>
    <row r="3577" spans="1:9" x14ac:dyDescent="0.3">
      <c r="A3577" t="s">
        <v>4</v>
      </c>
      <c r="B3577" t="s">
        <v>22</v>
      </c>
      <c r="C3577" t="s">
        <v>145</v>
      </c>
      <c r="D3577" s="9" t="s">
        <v>137</v>
      </c>
      <c r="E3577" t="s">
        <v>40</v>
      </c>
      <c r="F3577" t="s">
        <v>77</v>
      </c>
      <c r="G3577">
        <v>166.9</v>
      </c>
      <c r="H3577" s="9">
        <v>1.52</v>
      </c>
      <c r="I3577"/>
    </row>
    <row r="3578" spans="1:9" x14ac:dyDescent="0.3">
      <c r="A3578" t="s">
        <v>4</v>
      </c>
      <c r="B3578" t="s">
        <v>22</v>
      </c>
      <c r="C3578" t="s">
        <v>146</v>
      </c>
      <c r="D3578" s="9" t="s">
        <v>137</v>
      </c>
      <c r="E3578" t="s">
        <v>41</v>
      </c>
      <c r="F3578" t="s">
        <v>79</v>
      </c>
      <c r="G3578">
        <v>176.8</v>
      </c>
      <c r="H3578" s="9">
        <v>4.8</v>
      </c>
      <c r="I3578"/>
    </row>
    <row r="3579" spans="1:9" x14ac:dyDescent="0.3">
      <c r="A3579" t="s">
        <v>4</v>
      </c>
      <c r="B3579" t="s">
        <v>22</v>
      </c>
      <c r="C3579" t="s">
        <v>147</v>
      </c>
      <c r="D3579" s="9" t="s">
        <v>137</v>
      </c>
      <c r="E3579" t="s">
        <v>42</v>
      </c>
      <c r="F3579" t="s">
        <v>81</v>
      </c>
      <c r="G3579">
        <v>213.9</v>
      </c>
      <c r="H3579" s="9">
        <v>3.53</v>
      </c>
      <c r="I3579"/>
    </row>
    <row r="3580" spans="1:9" x14ac:dyDescent="0.3">
      <c r="A3580" t="s">
        <v>4</v>
      </c>
      <c r="B3580" t="s">
        <v>22</v>
      </c>
      <c r="C3580" t="s">
        <v>148</v>
      </c>
      <c r="D3580" s="9" t="s">
        <v>137</v>
      </c>
      <c r="E3580" t="s">
        <v>43</v>
      </c>
      <c r="F3580" t="s">
        <v>83</v>
      </c>
      <c r="G3580">
        <v>304.60000000000002</v>
      </c>
      <c r="H3580" s="9">
        <v>7.14</v>
      </c>
      <c r="I3580"/>
    </row>
    <row r="3581" spans="1:9" x14ac:dyDescent="0.3">
      <c r="A3581" t="s">
        <v>4</v>
      </c>
      <c r="B3581" t="s">
        <v>22</v>
      </c>
      <c r="C3581" t="s">
        <v>149</v>
      </c>
      <c r="D3581" s="9" t="s">
        <v>150</v>
      </c>
      <c r="E3581" t="s">
        <v>32</v>
      </c>
      <c r="F3581" t="s">
        <v>61</v>
      </c>
      <c r="G3581">
        <v>191.4</v>
      </c>
      <c r="H3581" s="9">
        <v>10.06</v>
      </c>
      <c r="I3581"/>
    </row>
    <row r="3582" spans="1:9" x14ac:dyDescent="0.3">
      <c r="A3582" t="s">
        <v>4</v>
      </c>
      <c r="B3582" t="s">
        <v>22</v>
      </c>
      <c r="C3582" t="s">
        <v>151</v>
      </c>
      <c r="D3582" s="9" t="s">
        <v>150</v>
      </c>
      <c r="E3582" t="s">
        <v>33</v>
      </c>
      <c r="F3582" t="s">
        <v>63</v>
      </c>
      <c r="G3582">
        <v>149.19999999999999</v>
      </c>
      <c r="H3582" s="9">
        <v>-0.53</v>
      </c>
      <c r="I3582"/>
    </row>
    <row r="3583" spans="1:9" x14ac:dyDescent="0.3">
      <c r="A3583" t="s">
        <v>4</v>
      </c>
      <c r="B3583" t="s">
        <v>22</v>
      </c>
      <c r="C3583" t="s">
        <v>152</v>
      </c>
      <c r="D3583" s="9" t="s">
        <v>150</v>
      </c>
      <c r="E3583" t="s">
        <v>34</v>
      </c>
      <c r="F3583" t="s">
        <v>65</v>
      </c>
      <c r="G3583">
        <v>153.6</v>
      </c>
      <c r="H3583" s="9">
        <v>-1.22</v>
      </c>
      <c r="I3583"/>
    </row>
    <row r="3584" spans="1:9" x14ac:dyDescent="0.3">
      <c r="A3584" t="s">
        <v>4</v>
      </c>
      <c r="B3584" t="s">
        <v>22</v>
      </c>
      <c r="C3584" t="s">
        <v>153</v>
      </c>
      <c r="D3584" s="9" t="s">
        <v>150</v>
      </c>
      <c r="E3584" t="s">
        <v>35</v>
      </c>
      <c r="F3584" t="s">
        <v>67</v>
      </c>
      <c r="G3584">
        <v>160.6</v>
      </c>
      <c r="H3584" s="9">
        <v>5.04</v>
      </c>
      <c r="I3584"/>
    </row>
    <row r="3585" spans="1:9" x14ac:dyDescent="0.3">
      <c r="A3585" t="s">
        <v>4</v>
      </c>
      <c r="B3585" t="s">
        <v>22</v>
      </c>
      <c r="C3585" t="s">
        <v>154</v>
      </c>
      <c r="D3585" s="9" t="s">
        <v>150</v>
      </c>
      <c r="E3585" t="s">
        <v>36</v>
      </c>
      <c r="F3585" t="s">
        <v>69</v>
      </c>
      <c r="G3585">
        <v>183.8</v>
      </c>
      <c r="H3585" s="9">
        <v>7.42</v>
      </c>
      <c r="I3585"/>
    </row>
    <row r="3586" spans="1:9" x14ac:dyDescent="0.3">
      <c r="A3586" t="s">
        <v>4</v>
      </c>
      <c r="B3586" t="s">
        <v>22</v>
      </c>
      <c r="C3586" t="s">
        <v>155</v>
      </c>
      <c r="D3586" s="9" t="s">
        <v>150</v>
      </c>
      <c r="E3586" t="s">
        <v>37</v>
      </c>
      <c r="F3586" t="s">
        <v>71</v>
      </c>
      <c r="G3586">
        <v>170.1</v>
      </c>
      <c r="H3586" s="9">
        <v>2.97</v>
      </c>
      <c r="I3586"/>
    </row>
    <row r="3587" spans="1:9" x14ac:dyDescent="0.3">
      <c r="A3587" t="s">
        <v>4</v>
      </c>
      <c r="B3587" t="s">
        <v>20</v>
      </c>
      <c r="C3587" t="s">
        <v>59</v>
      </c>
      <c r="D3587" s="9" t="s">
        <v>60</v>
      </c>
      <c r="E3587" t="s">
        <v>32</v>
      </c>
      <c r="F3587" t="s">
        <v>61</v>
      </c>
      <c r="G3587">
        <v>213.5</v>
      </c>
      <c r="I3587"/>
    </row>
    <row r="3588" spans="1:9" x14ac:dyDescent="0.3">
      <c r="A3588" t="s">
        <v>4</v>
      </c>
      <c r="B3588" t="s">
        <v>20</v>
      </c>
      <c r="C3588" t="s">
        <v>62</v>
      </c>
      <c r="D3588" s="9" t="s">
        <v>60</v>
      </c>
      <c r="E3588" t="s">
        <v>33</v>
      </c>
      <c r="F3588" t="s">
        <v>63</v>
      </c>
      <c r="G3588">
        <v>184.4</v>
      </c>
      <c r="I3588"/>
    </row>
    <row r="3589" spans="1:9" x14ac:dyDescent="0.3">
      <c r="A3589" t="s">
        <v>4</v>
      </c>
      <c r="B3589" t="s">
        <v>20</v>
      </c>
      <c r="C3589" t="s">
        <v>64</v>
      </c>
      <c r="D3589" s="9" t="s">
        <v>60</v>
      </c>
      <c r="E3589" t="s">
        <v>34</v>
      </c>
      <c r="F3589" t="s">
        <v>65</v>
      </c>
      <c r="G3589">
        <v>204.1</v>
      </c>
      <c r="I3589"/>
    </row>
    <row r="3590" spans="1:9" x14ac:dyDescent="0.3">
      <c r="A3590" t="s">
        <v>4</v>
      </c>
      <c r="B3590" t="s">
        <v>20</v>
      </c>
      <c r="C3590" t="s">
        <v>66</v>
      </c>
      <c r="D3590" s="9" t="s">
        <v>60</v>
      </c>
      <c r="E3590" t="s">
        <v>35</v>
      </c>
      <c r="F3590" t="s">
        <v>67</v>
      </c>
      <c r="G3590">
        <v>192.9</v>
      </c>
      <c r="I3590"/>
    </row>
    <row r="3591" spans="1:9" x14ac:dyDescent="0.3">
      <c r="A3591" t="s">
        <v>4</v>
      </c>
      <c r="B3591" t="s">
        <v>20</v>
      </c>
      <c r="C3591" t="s">
        <v>68</v>
      </c>
      <c r="D3591" s="9" t="s">
        <v>60</v>
      </c>
      <c r="E3591" t="s">
        <v>36</v>
      </c>
      <c r="F3591" t="s">
        <v>69</v>
      </c>
      <c r="G3591">
        <v>210.6</v>
      </c>
      <c r="I3591"/>
    </row>
    <row r="3592" spans="1:9" x14ac:dyDescent="0.3">
      <c r="A3592" t="s">
        <v>4</v>
      </c>
      <c r="B3592" t="s">
        <v>20</v>
      </c>
      <c r="C3592" t="s">
        <v>70</v>
      </c>
      <c r="D3592" s="9" t="s">
        <v>60</v>
      </c>
      <c r="E3592" t="s">
        <v>37</v>
      </c>
      <c r="F3592" t="s">
        <v>71</v>
      </c>
      <c r="G3592">
        <v>229.8</v>
      </c>
      <c r="I3592"/>
    </row>
    <row r="3593" spans="1:9" x14ac:dyDescent="0.3">
      <c r="A3593" t="s">
        <v>4</v>
      </c>
      <c r="B3593" t="s">
        <v>20</v>
      </c>
      <c r="C3593" t="s">
        <v>72</v>
      </c>
      <c r="D3593" s="9" t="s">
        <v>60</v>
      </c>
      <c r="E3593" t="s">
        <v>38</v>
      </c>
      <c r="F3593" t="s">
        <v>73</v>
      </c>
      <c r="G3593">
        <v>221.6</v>
      </c>
      <c r="I3593"/>
    </row>
    <row r="3594" spans="1:9" x14ac:dyDescent="0.3">
      <c r="A3594" t="s">
        <v>4</v>
      </c>
      <c r="B3594" t="s">
        <v>20</v>
      </c>
      <c r="C3594" t="s">
        <v>74</v>
      </c>
      <c r="D3594" s="9" t="s">
        <v>60</v>
      </c>
      <c r="E3594" t="s">
        <v>39</v>
      </c>
      <c r="F3594" t="s">
        <v>75</v>
      </c>
      <c r="G3594">
        <v>225.7</v>
      </c>
      <c r="I3594"/>
    </row>
    <row r="3595" spans="1:9" x14ac:dyDescent="0.3">
      <c r="A3595" t="s">
        <v>4</v>
      </c>
      <c r="B3595" t="s">
        <v>20</v>
      </c>
      <c r="C3595" t="s">
        <v>76</v>
      </c>
      <c r="D3595" s="9" t="s">
        <v>60</v>
      </c>
      <c r="E3595" t="s">
        <v>40</v>
      </c>
      <c r="F3595" t="s">
        <v>77</v>
      </c>
      <c r="G3595">
        <v>215.2</v>
      </c>
      <c r="I3595"/>
    </row>
    <row r="3596" spans="1:9" x14ac:dyDescent="0.3">
      <c r="A3596" t="s">
        <v>4</v>
      </c>
      <c r="B3596" t="s">
        <v>20</v>
      </c>
      <c r="C3596" t="s">
        <v>78</v>
      </c>
      <c r="D3596" s="9" t="s">
        <v>60</v>
      </c>
      <c r="E3596" t="s">
        <v>41</v>
      </c>
      <c r="F3596" t="s">
        <v>79</v>
      </c>
      <c r="G3596">
        <v>226.9</v>
      </c>
      <c r="I3596"/>
    </row>
    <row r="3597" spans="1:9" x14ac:dyDescent="0.3">
      <c r="A3597" t="s">
        <v>4</v>
      </c>
      <c r="B3597" t="s">
        <v>20</v>
      </c>
      <c r="C3597" t="s">
        <v>80</v>
      </c>
      <c r="D3597" s="9" t="s">
        <v>60</v>
      </c>
      <c r="E3597" t="s">
        <v>42</v>
      </c>
      <c r="F3597" t="s">
        <v>81</v>
      </c>
      <c r="G3597">
        <v>243.7</v>
      </c>
      <c r="I3597"/>
    </row>
    <row r="3598" spans="1:9" x14ac:dyDescent="0.3">
      <c r="A3598" t="s">
        <v>4</v>
      </c>
      <c r="B3598" t="s">
        <v>20</v>
      </c>
      <c r="C3598" t="s">
        <v>82</v>
      </c>
      <c r="D3598" s="9" t="s">
        <v>60</v>
      </c>
      <c r="E3598" t="s">
        <v>43</v>
      </c>
      <c r="F3598" t="s">
        <v>83</v>
      </c>
      <c r="G3598">
        <v>275</v>
      </c>
      <c r="I3598"/>
    </row>
    <row r="3599" spans="1:9" x14ac:dyDescent="0.3">
      <c r="A3599" t="s">
        <v>4</v>
      </c>
      <c r="B3599" t="s">
        <v>20</v>
      </c>
      <c r="C3599" t="s">
        <v>84</v>
      </c>
      <c r="D3599" s="9" t="s">
        <v>85</v>
      </c>
      <c r="E3599" t="s">
        <v>32</v>
      </c>
      <c r="F3599" t="s">
        <v>61</v>
      </c>
      <c r="G3599">
        <v>224.8</v>
      </c>
      <c r="H3599" s="9">
        <v>5.29</v>
      </c>
      <c r="I3599"/>
    </row>
    <row r="3600" spans="1:9" x14ac:dyDescent="0.3">
      <c r="A3600" t="s">
        <v>4</v>
      </c>
      <c r="B3600" t="s">
        <v>20</v>
      </c>
      <c r="C3600" t="s">
        <v>86</v>
      </c>
      <c r="D3600" s="9" t="s">
        <v>85</v>
      </c>
      <c r="E3600" t="s">
        <v>33</v>
      </c>
      <c r="F3600" t="s">
        <v>63</v>
      </c>
      <c r="G3600">
        <v>196.3</v>
      </c>
      <c r="H3600" s="9">
        <v>6.45</v>
      </c>
      <c r="I3600"/>
    </row>
    <row r="3601" spans="1:9" x14ac:dyDescent="0.3">
      <c r="A3601" t="s">
        <v>4</v>
      </c>
      <c r="B3601" t="s">
        <v>20</v>
      </c>
      <c r="C3601" t="s">
        <v>87</v>
      </c>
      <c r="D3601" s="9" t="s">
        <v>85</v>
      </c>
      <c r="E3601" t="s">
        <v>34</v>
      </c>
      <c r="F3601" t="s">
        <v>65</v>
      </c>
      <c r="G3601">
        <v>189.1</v>
      </c>
      <c r="H3601" s="9">
        <v>-7.35</v>
      </c>
      <c r="I3601"/>
    </row>
    <row r="3602" spans="1:9" x14ac:dyDescent="0.3">
      <c r="A3602" t="s">
        <v>4</v>
      </c>
      <c r="B3602" t="s">
        <v>20</v>
      </c>
      <c r="C3602" t="s">
        <v>88</v>
      </c>
      <c r="D3602" s="9" t="s">
        <v>85</v>
      </c>
      <c r="E3602" t="s">
        <v>35</v>
      </c>
      <c r="F3602" t="s">
        <v>67</v>
      </c>
      <c r="G3602">
        <v>186.2</v>
      </c>
      <c r="H3602" s="9">
        <v>-3.47</v>
      </c>
      <c r="I3602"/>
    </row>
    <row r="3603" spans="1:9" x14ac:dyDescent="0.3">
      <c r="A3603" t="s">
        <v>4</v>
      </c>
      <c r="B3603" t="s">
        <v>20</v>
      </c>
      <c r="C3603" t="s">
        <v>89</v>
      </c>
      <c r="D3603" s="9" t="s">
        <v>85</v>
      </c>
      <c r="E3603" t="s">
        <v>36</v>
      </c>
      <c r="F3603" t="s">
        <v>69</v>
      </c>
      <c r="G3603">
        <v>278.39999999999998</v>
      </c>
      <c r="H3603" s="9">
        <v>32.19</v>
      </c>
      <c r="I3603"/>
    </row>
    <row r="3604" spans="1:9" x14ac:dyDescent="0.3">
      <c r="A3604" t="s">
        <v>4</v>
      </c>
      <c r="B3604" t="s">
        <v>20</v>
      </c>
      <c r="C3604" t="s">
        <v>90</v>
      </c>
      <c r="D3604" s="9" t="s">
        <v>85</v>
      </c>
      <c r="E3604" t="s">
        <v>37</v>
      </c>
      <c r="F3604" t="s">
        <v>71</v>
      </c>
      <c r="G3604">
        <v>292.3</v>
      </c>
      <c r="H3604" s="9">
        <v>27.2</v>
      </c>
      <c r="I3604"/>
    </row>
    <row r="3605" spans="1:9" x14ac:dyDescent="0.3">
      <c r="A3605" t="s">
        <v>4</v>
      </c>
      <c r="B3605" t="s">
        <v>20</v>
      </c>
      <c r="C3605" t="s">
        <v>91</v>
      </c>
      <c r="D3605" s="9" t="s">
        <v>85</v>
      </c>
      <c r="E3605" t="s">
        <v>38</v>
      </c>
      <c r="F3605" t="s">
        <v>73</v>
      </c>
      <c r="G3605">
        <v>320.5</v>
      </c>
      <c r="H3605" s="9">
        <v>44.63</v>
      </c>
      <c r="I3605"/>
    </row>
    <row r="3606" spans="1:9" x14ac:dyDescent="0.3">
      <c r="A3606" t="s">
        <v>4</v>
      </c>
      <c r="B3606" t="s">
        <v>20</v>
      </c>
      <c r="C3606" t="s">
        <v>92</v>
      </c>
      <c r="D3606" s="9" t="s">
        <v>85</v>
      </c>
      <c r="E3606" t="s">
        <v>39</v>
      </c>
      <c r="F3606" t="s">
        <v>75</v>
      </c>
      <c r="G3606">
        <v>314.2</v>
      </c>
      <c r="H3606" s="9">
        <v>39.21</v>
      </c>
      <c r="I3606"/>
    </row>
    <row r="3607" spans="1:9" x14ac:dyDescent="0.3">
      <c r="A3607" t="s">
        <v>4</v>
      </c>
      <c r="B3607" t="s">
        <v>20</v>
      </c>
      <c r="C3607" t="s">
        <v>93</v>
      </c>
      <c r="D3607" s="9" t="s">
        <v>85</v>
      </c>
      <c r="E3607" t="s">
        <v>40</v>
      </c>
      <c r="F3607" t="s">
        <v>77</v>
      </c>
      <c r="G3607">
        <v>303.60000000000002</v>
      </c>
      <c r="H3607" s="9">
        <v>41.08</v>
      </c>
      <c r="I3607"/>
    </row>
    <row r="3608" spans="1:9" x14ac:dyDescent="0.3">
      <c r="A3608" t="s">
        <v>4</v>
      </c>
      <c r="B3608" t="s">
        <v>20</v>
      </c>
      <c r="C3608" t="s">
        <v>94</v>
      </c>
      <c r="D3608" s="9" t="s">
        <v>85</v>
      </c>
      <c r="E3608" t="s">
        <v>41</v>
      </c>
      <c r="F3608" t="s">
        <v>79</v>
      </c>
      <c r="G3608">
        <v>310.5</v>
      </c>
      <c r="H3608" s="9">
        <v>36.840000000000003</v>
      </c>
      <c r="I3608"/>
    </row>
    <row r="3609" spans="1:9" x14ac:dyDescent="0.3">
      <c r="A3609" t="s">
        <v>4</v>
      </c>
      <c r="B3609" t="s">
        <v>20</v>
      </c>
      <c r="C3609" t="s">
        <v>95</v>
      </c>
      <c r="D3609" s="9" t="s">
        <v>85</v>
      </c>
      <c r="E3609" t="s">
        <v>42</v>
      </c>
      <c r="F3609" t="s">
        <v>81</v>
      </c>
      <c r="G3609">
        <v>327</v>
      </c>
      <c r="H3609" s="9">
        <v>34.18</v>
      </c>
      <c r="I3609"/>
    </row>
    <row r="3610" spans="1:9" x14ac:dyDescent="0.3">
      <c r="A3610" t="s">
        <v>4</v>
      </c>
      <c r="B3610" t="s">
        <v>20</v>
      </c>
      <c r="C3610" t="s">
        <v>96</v>
      </c>
      <c r="D3610" s="9" t="s">
        <v>85</v>
      </c>
      <c r="E3610" t="s">
        <v>43</v>
      </c>
      <c r="F3610" t="s">
        <v>83</v>
      </c>
      <c r="G3610">
        <v>360.2</v>
      </c>
      <c r="H3610" s="9">
        <v>30.98</v>
      </c>
      <c r="I3610"/>
    </row>
    <row r="3611" spans="1:9" x14ac:dyDescent="0.3">
      <c r="A3611" t="s">
        <v>4</v>
      </c>
      <c r="B3611" t="s">
        <v>20</v>
      </c>
      <c r="C3611" t="s">
        <v>97</v>
      </c>
      <c r="D3611" s="9" t="s">
        <v>98</v>
      </c>
      <c r="E3611" t="s">
        <v>32</v>
      </c>
      <c r="F3611" t="s">
        <v>61</v>
      </c>
      <c r="G3611">
        <v>291.2</v>
      </c>
      <c r="H3611" s="9">
        <v>29.54</v>
      </c>
      <c r="I3611"/>
    </row>
    <row r="3612" spans="1:9" x14ac:dyDescent="0.3">
      <c r="A3612" t="s">
        <v>4</v>
      </c>
      <c r="B3612" t="s">
        <v>20</v>
      </c>
      <c r="C3612" t="s">
        <v>99</v>
      </c>
      <c r="D3612" s="9" t="s">
        <v>98</v>
      </c>
      <c r="E3612" t="s">
        <v>33</v>
      </c>
      <c r="F3612" t="s">
        <v>63</v>
      </c>
      <c r="G3612">
        <v>270.2</v>
      </c>
      <c r="H3612" s="9">
        <v>37.65</v>
      </c>
      <c r="I3612"/>
    </row>
    <row r="3613" spans="1:9" x14ac:dyDescent="0.3">
      <c r="A3613" t="s">
        <v>4</v>
      </c>
      <c r="B3613" t="s">
        <v>20</v>
      </c>
      <c r="C3613" t="s">
        <v>100</v>
      </c>
      <c r="D3613" s="9" t="s">
        <v>98</v>
      </c>
      <c r="E3613" t="s">
        <v>34</v>
      </c>
      <c r="F3613" t="s">
        <v>65</v>
      </c>
      <c r="G3613">
        <v>284.39999999999998</v>
      </c>
      <c r="H3613" s="9">
        <v>50.4</v>
      </c>
      <c r="I3613"/>
    </row>
    <row r="3614" spans="1:9" x14ac:dyDescent="0.3">
      <c r="A3614" t="s">
        <v>4</v>
      </c>
      <c r="B3614" t="s">
        <v>20</v>
      </c>
      <c r="C3614" t="s">
        <v>101</v>
      </c>
      <c r="D3614" s="9" t="s">
        <v>98</v>
      </c>
      <c r="E3614" t="s">
        <v>35</v>
      </c>
      <c r="F3614" t="s">
        <v>67</v>
      </c>
      <c r="G3614">
        <v>275.60000000000002</v>
      </c>
      <c r="H3614" s="9">
        <v>48.01</v>
      </c>
      <c r="I3614"/>
    </row>
    <row r="3615" spans="1:9" x14ac:dyDescent="0.3">
      <c r="A3615" t="s">
        <v>4</v>
      </c>
      <c r="B3615" t="s">
        <v>20</v>
      </c>
      <c r="C3615" t="s">
        <v>102</v>
      </c>
      <c r="D3615" s="9" t="s">
        <v>98</v>
      </c>
      <c r="E3615" t="s">
        <v>36</v>
      </c>
      <c r="F3615" t="s">
        <v>69</v>
      </c>
      <c r="G3615">
        <v>290.39999999999998</v>
      </c>
      <c r="H3615" s="9">
        <v>4.3099999999999996</v>
      </c>
      <c r="I3615"/>
    </row>
    <row r="3616" spans="1:9" x14ac:dyDescent="0.3">
      <c r="A3616" t="s">
        <v>4</v>
      </c>
      <c r="B3616" t="s">
        <v>20</v>
      </c>
      <c r="C3616" t="s">
        <v>103</v>
      </c>
      <c r="D3616" s="9" t="s">
        <v>98</v>
      </c>
      <c r="E3616" t="s">
        <v>37</v>
      </c>
      <c r="F3616" t="s">
        <v>71</v>
      </c>
      <c r="G3616">
        <v>315.8</v>
      </c>
      <c r="H3616" s="9">
        <v>8.0399999999999991</v>
      </c>
      <c r="I3616"/>
    </row>
    <row r="3617" spans="1:9" x14ac:dyDescent="0.3">
      <c r="A3617" t="s">
        <v>4</v>
      </c>
      <c r="B3617" t="s">
        <v>20</v>
      </c>
      <c r="C3617" t="s">
        <v>104</v>
      </c>
      <c r="D3617" s="9" t="s">
        <v>98</v>
      </c>
      <c r="E3617" t="s">
        <v>38</v>
      </c>
      <c r="F3617" t="s">
        <v>73</v>
      </c>
      <c r="G3617">
        <v>309.5</v>
      </c>
      <c r="H3617" s="9">
        <v>-3.43</v>
      </c>
      <c r="I3617"/>
    </row>
    <row r="3618" spans="1:9" x14ac:dyDescent="0.3">
      <c r="A3618" t="s">
        <v>4</v>
      </c>
      <c r="B3618" t="s">
        <v>20</v>
      </c>
      <c r="C3618" t="s">
        <v>105</v>
      </c>
      <c r="D3618" s="9" t="s">
        <v>98</v>
      </c>
      <c r="E3618" t="s">
        <v>39</v>
      </c>
      <c r="F3618" t="s">
        <v>75</v>
      </c>
      <c r="G3618">
        <v>301.5</v>
      </c>
      <c r="H3618" s="9">
        <v>-4.04</v>
      </c>
      <c r="I3618"/>
    </row>
    <row r="3619" spans="1:9" x14ac:dyDescent="0.3">
      <c r="A3619" t="s">
        <v>4</v>
      </c>
      <c r="B3619" t="s">
        <v>20</v>
      </c>
      <c r="C3619" t="s">
        <v>106</v>
      </c>
      <c r="D3619" s="9" t="s">
        <v>98</v>
      </c>
      <c r="E3619" t="s">
        <v>40</v>
      </c>
      <c r="F3619" t="s">
        <v>77</v>
      </c>
      <c r="G3619">
        <v>325.60000000000002</v>
      </c>
      <c r="H3619" s="9">
        <v>7.25</v>
      </c>
      <c r="I3619"/>
    </row>
    <row r="3620" spans="1:9" x14ac:dyDescent="0.3">
      <c r="A3620" t="s">
        <v>4</v>
      </c>
      <c r="B3620" t="s">
        <v>20</v>
      </c>
      <c r="C3620" t="s">
        <v>107</v>
      </c>
      <c r="D3620" s="9" t="s">
        <v>98</v>
      </c>
      <c r="E3620" t="s">
        <v>41</v>
      </c>
      <c r="F3620" t="s">
        <v>79</v>
      </c>
      <c r="G3620">
        <v>311.7</v>
      </c>
      <c r="H3620" s="9">
        <v>0.39</v>
      </c>
      <c r="I3620"/>
    </row>
    <row r="3621" spans="1:9" x14ac:dyDescent="0.3">
      <c r="A3621" t="s">
        <v>4</v>
      </c>
      <c r="B3621" t="s">
        <v>20</v>
      </c>
      <c r="C3621" t="s">
        <v>108</v>
      </c>
      <c r="D3621" s="9" t="s">
        <v>98</v>
      </c>
      <c r="E3621" t="s">
        <v>42</v>
      </c>
      <c r="F3621" t="s">
        <v>81</v>
      </c>
      <c r="G3621">
        <v>349</v>
      </c>
      <c r="H3621" s="9">
        <v>6.73</v>
      </c>
      <c r="I3621"/>
    </row>
    <row r="3622" spans="1:9" x14ac:dyDescent="0.3">
      <c r="A3622" t="s">
        <v>4</v>
      </c>
      <c r="B3622" t="s">
        <v>20</v>
      </c>
      <c r="C3622" t="s">
        <v>109</v>
      </c>
      <c r="D3622" s="9" t="s">
        <v>98</v>
      </c>
      <c r="E3622" t="s">
        <v>43</v>
      </c>
      <c r="F3622" t="s">
        <v>83</v>
      </c>
      <c r="G3622">
        <v>360.7</v>
      </c>
      <c r="H3622" s="9">
        <v>0.14000000000000001</v>
      </c>
      <c r="I3622"/>
    </row>
    <row r="3623" spans="1:9" x14ac:dyDescent="0.3">
      <c r="A3623" t="s">
        <v>4</v>
      </c>
      <c r="B3623" t="s">
        <v>20</v>
      </c>
      <c r="C3623" t="s">
        <v>110</v>
      </c>
      <c r="D3623" s="9" t="s">
        <v>111</v>
      </c>
      <c r="E3623" t="s">
        <v>32</v>
      </c>
      <c r="F3623" t="s">
        <v>61</v>
      </c>
      <c r="G3623">
        <v>311</v>
      </c>
      <c r="H3623" s="9">
        <v>6.8</v>
      </c>
      <c r="I3623"/>
    </row>
    <row r="3624" spans="1:9" x14ac:dyDescent="0.3">
      <c r="A3624" t="s">
        <v>4</v>
      </c>
      <c r="B3624" t="s">
        <v>20</v>
      </c>
      <c r="C3624" t="s">
        <v>112</v>
      </c>
      <c r="D3624" s="9" t="s">
        <v>111</v>
      </c>
      <c r="E3624" t="s">
        <v>33</v>
      </c>
      <c r="F3624" t="s">
        <v>63</v>
      </c>
      <c r="G3624">
        <v>266.10000000000002</v>
      </c>
      <c r="H3624" s="9">
        <v>-1.52</v>
      </c>
      <c r="I3624"/>
    </row>
    <row r="3625" spans="1:9" x14ac:dyDescent="0.3">
      <c r="A3625" t="s">
        <v>4</v>
      </c>
      <c r="B3625" t="s">
        <v>20</v>
      </c>
      <c r="C3625" t="s">
        <v>113</v>
      </c>
      <c r="D3625" s="9" t="s">
        <v>111</v>
      </c>
      <c r="E3625" t="s">
        <v>34</v>
      </c>
      <c r="F3625" t="s">
        <v>65</v>
      </c>
      <c r="G3625">
        <v>298.10000000000002</v>
      </c>
      <c r="H3625" s="9">
        <v>4.82</v>
      </c>
      <c r="I3625"/>
    </row>
    <row r="3626" spans="1:9" x14ac:dyDescent="0.3">
      <c r="A3626" t="s">
        <v>4</v>
      </c>
      <c r="B3626" t="s">
        <v>20</v>
      </c>
      <c r="C3626" t="s">
        <v>114</v>
      </c>
      <c r="D3626" s="9" t="s">
        <v>111</v>
      </c>
      <c r="E3626" t="s">
        <v>35</v>
      </c>
      <c r="F3626" t="s">
        <v>67</v>
      </c>
      <c r="G3626">
        <v>278.3</v>
      </c>
      <c r="H3626" s="9">
        <v>0.98</v>
      </c>
      <c r="I3626"/>
    </row>
    <row r="3627" spans="1:9" x14ac:dyDescent="0.3">
      <c r="A3627" t="s">
        <v>4</v>
      </c>
      <c r="B3627" t="s">
        <v>20</v>
      </c>
      <c r="C3627" t="s">
        <v>115</v>
      </c>
      <c r="D3627" s="9" t="s">
        <v>111</v>
      </c>
      <c r="E3627" t="s">
        <v>36</v>
      </c>
      <c r="F3627" t="s">
        <v>69</v>
      </c>
      <c r="G3627">
        <v>294.2</v>
      </c>
      <c r="H3627" s="9">
        <v>1.31</v>
      </c>
      <c r="I3627"/>
    </row>
    <row r="3628" spans="1:9" x14ac:dyDescent="0.3">
      <c r="A3628" t="s">
        <v>4</v>
      </c>
      <c r="B3628" t="s">
        <v>20</v>
      </c>
      <c r="C3628" t="s">
        <v>116</v>
      </c>
      <c r="D3628" s="9" t="s">
        <v>111</v>
      </c>
      <c r="E3628" t="s">
        <v>37</v>
      </c>
      <c r="F3628" t="s">
        <v>71</v>
      </c>
      <c r="G3628">
        <v>303.10000000000002</v>
      </c>
      <c r="H3628" s="9">
        <v>-4.0199999999999996</v>
      </c>
      <c r="I3628"/>
    </row>
    <row r="3629" spans="1:9" x14ac:dyDescent="0.3">
      <c r="A3629" t="s">
        <v>4</v>
      </c>
      <c r="B3629" t="s">
        <v>20</v>
      </c>
      <c r="C3629" t="s">
        <v>117</v>
      </c>
      <c r="D3629" s="9" t="s">
        <v>111</v>
      </c>
      <c r="E3629" t="s">
        <v>38</v>
      </c>
      <c r="F3629" t="s">
        <v>73</v>
      </c>
      <c r="G3629">
        <v>296</v>
      </c>
      <c r="H3629" s="9">
        <v>-4.3600000000000003</v>
      </c>
      <c r="I3629"/>
    </row>
    <row r="3630" spans="1:9" x14ac:dyDescent="0.3">
      <c r="A3630" t="s">
        <v>4</v>
      </c>
      <c r="B3630" t="s">
        <v>20</v>
      </c>
      <c r="C3630" t="s">
        <v>118</v>
      </c>
      <c r="D3630" s="9" t="s">
        <v>111</v>
      </c>
      <c r="E3630" t="s">
        <v>39</v>
      </c>
      <c r="F3630" t="s">
        <v>75</v>
      </c>
      <c r="G3630">
        <v>309</v>
      </c>
      <c r="H3630" s="9">
        <v>2.4900000000000002</v>
      </c>
      <c r="I3630"/>
    </row>
    <row r="3631" spans="1:9" x14ac:dyDescent="0.3">
      <c r="A3631" t="s">
        <v>4</v>
      </c>
      <c r="B3631" t="s">
        <v>20</v>
      </c>
      <c r="C3631" t="s">
        <v>119</v>
      </c>
      <c r="D3631" s="9" t="s">
        <v>111</v>
      </c>
      <c r="E3631" t="s">
        <v>40</v>
      </c>
      <c r="F3631" t="s">
        <v>77</v>
      </c>
      <c r="G3631">
        <v>306.8</v>
      </c>
      <c r="H3631" s="9">
        <v>-5.77</v>
      </c>
      <c r="I3631"/>
    </row>
    <row r="3632" spans="1:9" x14ac:dyDescent="0.3">
      <c r="A3632" t="s">
        <v>4</v>
      </c>
      <c r="B3632" t="s">
        <v>20</v>
      </c>
      <c r="C3632" t="s">
        <v>120</v>
      </c>
      <c r="D3632" s="9" t="s">
        <v>111</v>
      </c>
      <c r="E3632" t="s">
        <v>41</v>
      </c>
      <c r="F3632" t="s">
        <v>79</v>
      </c>
      <c r="G3632">
        <v>307.2</v>
      </c>
      <c r="H3632" s="9">
        <v>-1.44</v>
      </c>
      <c r="I3632"/>
    </row>
    <row r="3633" spans="1:9" x14ac:dyDescent="0.3">
      <c r="A3633" t="s">
        <v>4</v>
      </c>
      <c r="B3633" t="s">
        <v>20</v>
      </c>
      <c r="C3633" t="s">
        <v>121</v>
      </c>
      <c r="D3633" s="9" t="s">
        <v>111</v>
      </c>
      <c r="E3633" t="s">
        <v>42</v>
      </c>
      <c r="F3633" t="s">
        <v>81</v>
      </c>
      <c r="G3633">
        <v>329.9</v>
      </c>
      <c r="H3633" s="9">
        <v>-5.47</v>
      </c>
      <c r="I3633"/>
    </row>
    <row r="3634" spans="1:9" x14ac:dyDescent="0.3">
      <c r="A3634" t="s">
        <v>4</v>
      </c>
      <c r="B3634" t="s">
        <v>20</v>
      </c>
      <c r="C3634" t="s">
        <v>122</v>
      </c>
      <c r="D3634" s="9" t="s">
        <v>111</v>
      </c>
      <c r="E3634" t="s">
        <v>43</v>
      </c>
      <c r="F3634" t="s">
        <v>83</v>
      </c>
      <c r="G3634">
        <v>331.4</v>
      </c>
      <c r="H3634" s="9">
        <v>-8.1199999999999992</v>
      </c>
      <c r="I3634"/>
    </row>
    <row r="3635" spans="1:9" x14ac:dyDescent="0.3">
      <c r="A3635" t="s">
        <v>4</v>
      </c>
      <c r="B3635" t="s">
        <v>20</v>
      </c>
      <c r="C3635" t="s">
        <v>123</v>
      </c>
      <c r="D3635" s="9" t="s">
        <v>124</v>
      </c>
      <c r="E3635" t="s">
        <v>32</v>
      </c>
      <c r="F3635" t="s">
        <v>61</v>
      </c>
      <c r="G3635">
        <v>282.39999999999998</v>
      </c>
      <c r="H3635" s="9">
        <v>-9.1999999999999993</v>
      </c>
      <c r="I3635"/>
    </row>
    <row r="3636" spans="1:9" x14ac:dyDescent="0.3">
      <c r="A3636" t="s">
        <v>4</v>
      </c>
      <c r="B3636" t="s">
        <v>20</v>
      </c>
      <c r="C3636" t="s">
        <v>125</v>
      </c>
      <c r="D3636" s="9" t="s">
        <v>124</v>
      </c>
      <c r="E3636" t="s">
        <v>33</v>
      </c>
      <c r="F3636" t="s">
        <v>63</v>
      </c>
      <c r="G3636">
        <v>244.2</v>
      </c>
      <c r="H3636" s="9">
        <v>-8.23</v>
      </c>
      <c r="I3636"/>
    </row>
    <row r="3637" spans="1:9" x14ac:dyDescent="0.3">
      <c r="A3637" t="s">
        <v>4</v>
      </c>
      <c r="B3637" t="s">
        <v>20</v>
      </c>
      <c r="C3637" t="s">
        <v>126</v>
      </c>
      <c r="D3637" s="9" t="s">
        <v>124</v>
      </c>
      <c r="E3637" t="s">
        <v>34</v>
      </c>
      <c r="F3637" t="s">
        <v>65</v>
      </c>
      <c r="G3637">
        <v>274.39999999999998</v>
      </c>
      <c r="H3637" s="9">
        <v>-7.95</v>
      </c>
      <c r="I3637"/>
    </row>
    <row r="3638" spans="1:9" x14ac:dyDescent="0.3">
      <c r="A3638" t="s">
        <v>4</v>
      </c>
      <c r="B3638" t="s">
        <v>20</v>
      </c>
      <c r="C3638" t="s">
        <v>127</v>
      </c>
      <c r="D3638" s="9" t="s">
        <v>124</v>
      </c>
      <c r="E3638" t="s">
        <v>35</v>
      </c>
      <c r="F3638" t="s">
        <v>67</v>
      </c>
      <c r="G3638">
        <v>253</v>
      </c>
      <c r="H3638" s="9">
        <v>-9.09</v>
      </c>
      <c r="I3638"/>
    </row>
    <row r="3639" spans="1:9" x14ac:dyDescent="0.3">
      <c r="A3639" t="s">
        <v>4</v>
      </c>
      <c r="B3639" t="s">
        <v>20</v>
      </c>
      <c r="C3639" t="s">
        <v>128</v>
      </c>
      <c r="D3639" s="9" t="s">
        <v>124</v>
      </c>
      <c r="E3639" t="s">
        <v>36</v>
      </c>
      <c r="F3639" t="s">
        <v>69</v>
      </c>
      <c r="G3639">
        <v>286.39999999999998</v>
      </c>
      <c r="H3639" s="9">
        <v>-2.65</v>
      </c>
      <c r="I3639"/>
    </row>
    <row r="3640" spans="1:9" x14ac:dyDescent="0.3">
      <c r="A3640" t="s">
        <v>4</v>
      </c>
      <c r="B3640" t="s">
        <v>20</v>
      </c>
      <c r="C3640" t="s">
        <v>129</v>
      </c>
      <c r="D3640" s="9" t="s">
        <v>124</v>
      </c>
      <c r="E3640" t="s">
        <v>37</v>
      </c>
      <c r="F3640" t="s">
        <v>71</v>
      </c>
      <c r="G3640">
        <v>293.89999999999998</v>
      </c>
      <c r="H3640" s="9">
        <v>-3.04</v>
      </c>
      <c r="I3640"/>
    </row>
    <row r="3641" spans="1:9" x14ac:dyDescent="0.3">
      <c r="A3641" t="s">
        <v>4</v>
      </c>
      <c r="B3641" t="s">
        <v>20</v>
      </c>
      <c r="C3641" t="s">
        <v>130</v>
      </c>
      <c r="D3641" s="9" t="s">
        <v>124</v>
      </c>
      <c r="E3641" t="s">
        <v>38</v>
      </c>
      <c r="F3641" t="s">
        <v>73</v>
      </c>
      <c r="G3641">
        <v>281</v>
      </c>
      <c r="H3641" s="9">
        <v>-5.07</v>
      </c>
      <c r="I3641"/>
    </row>
    <row r="3642" spans="1:9" x14ac:dyDescent="0.3">
      <c r="A3642" t="s">
        <v>4</v>
      </c>
      <c r="B3642" t="s">
        <v>20</v>
      </c>
      <c r="C3642" t="s">
        <v>131</v>
      </c>
      <c r="D3642" s="9" t="s">
        <v>124</v>
      </c>
      <c r="E3642" t="s">
        <v>39</v>
      </c>
      <c r="F3642" t="s">
        <v>75</v>
      </c>
      <c r="G3642">
        <v>273.60000000000002</v>
      </c>
      <c r="H3642" s="9">
        <v>-11.46</v>
      </c>
      <c r="I3642"/>
    </row>
    <row r="3643" spans="1:9" x14ac:dyDescent="0.3">
      <c r="A3643" t="s">
        <v>4</v>
      </c>
      <c r="B3643" t="s">
        <v>20</v>
      </c>
      <c r="C3643" t="s">
        <v>132</v>
      </c>
      <c r="D3643" s="9" t="s">
        <v>124</v>
      </c>
      <c r="E3643" t="s">
        <v>40</v>
      </c>
      <c r="F3643" t="s">
        <v>77</v>
      </c>
      <c r="G3643">
        <v>271.3</v>
      </c>
      <c r="H3643" s="9">
        <v>-11.57</v>
      </c>
      <c r="I3643"/>
    </row>
    <row r="3644" spans="1:9" x14ac:dyDescent="0.3">
      <c r="A3644" t="s">
        <v>4</v>
      </c>
      <c r="B3644" t="s">
        <v>20</v>
      </c>
      <c r="C3644" t="s">
        <v>133</v>
      </c>
      <c r="D3644" s="9" t="s">
        <v>124</v>
      </c>
      <c r="E3644" t="s">
        <v>41</v>
      </c>
      <c r="F3644" t="s">
        <v>79</v>
      </c>
      <c r="G3644">
        <v>285.2</v>
      </c>
      <c r="H3644" s="9">
        <v>-7.16</v>
      </c>
      <c r="I3644"/>
    </row>
    <row r="3645" spans="1:9" x14ac:dyDescent="0.3">
      <c r="A3645" t="s">
        <v>4</v>
      </c>
      <c r="B3645" t="s">
        <v>20</v>
      </c>
      <c r="C3645" t="s">
        <v>134</v>
      </c>
      <c r="D3645" s="9" t="s">
        <v>124</v>
      </c>
      <c r="E3645" t="s">
        <v>42</v>
      </c>
      <c r="F3645" t="s">
        <v>81</v>
      </c>
      <c r="G3645">
        <v>338.6</v>
      </c>
      <c r="H3645" s="9">
        <v>2.64</v>
      </c>
      <c r="I3645"/>
    </row>
    <row r="3646" spans="1:9" x14ac:dyDescent="0.3">
      <c r="A3646" t="s">
        <v>4</v>
      </c>
      <c r="B3646" t="s">
        <v>20</v>
      </c>
      <c r="C3646" t="s">
        <v>135</v>
      </c>
      <c r="D3646" s="9" t="s">
        <v>124</v>
      </c>
      <c r="E3646" t="s">
        <v>43</v>
      </c>
      <c r="F3646" t="s">
        <v>83</v>
      </c>
      <c r="G3646">
        <v>326.60000000000002</v>
      </c>
      <c r="H3646" s="9">
        <v>-1.45</v>
      </c>
      <c r="I3646"/>
    </row>
    <row r="3647" spans="1:9" x14ac:dyDescent="0.3">
      <c r="A3647" t="s">
        <v>4</v>
      </c>
      <c r="B3647" t="s">
        <v>20</v>
      </c>
      <c r="C3647" t="s">
        <v>136</v>
      </c>
      <c r="D3647" s="9" t="s">
        <v>137</v>
      </c>
      <c r="E3647" t="s">
        <v>32</v>
      </c>
      <c r="F3647" t="s">
        <v>61</v>
      </c>
      <c r="G3647">
        <v>286.2</v>
      </c>
      <c r="H3647" s="9">
        <v>1.35</v>
      </c>
      <c r="I3647"/>
    </row>
    <row r="3648" spans="1:9" x14ac:dyDescent="0.3">
      <c r="A3648" t="s">
        <v>4</v>
      </c>
      <c r="B3648" t="s">
        <v>20</v>
      </c>
      <c r="C3648" t="s">
        <v>138</v>
      </c>
      <c r="D3648" s="9" t="s">
        <v>137</v>
      </c>
      <c r="E3648" t="s">
        <v>33</v>
      </c>
      <c r="F3648" t="s">
        <v>63</v>
      </c>
      <c r="G3648">
        <v>268.10000000000002</v>
      </c>
      <c r="H3648" s="9">
        <v>9.7899999999999991</v>
      </c>
      <c r="I3648"/>
    </row>
    <row r="3649" spans="1:9" x14ac:dyDescent="0.3">
      <c r="A3649" t="s">
        <v>4</v>
      </c>
      <c r="B3649" t="s">
        <v>20</v>
      </c>
      <c r="C3649" t="s">
        <v>139</v>
      </c>
      <c r="D3649" s="9" t="s">
        <v>137</v>
      </c>
      <c r="E3649" t="s">
        <v>34</v>
      </c>
      <c r="F3649" t="s">
        <v>65</v>
      </c>
      <c r="G3649">
        <v>278</v>
      </c>
      <c r="H3649" s="9">
        <v>1.31</v>
      </c>
      <c r="I3649"/>
    </row>
    <row r="3650" spans="1:9" x14ac:dyDescent="0.3">
      <c r="A3650" t="s">
        <v>4</v>
      </c>
      <c r="B3650" t="s">
        <v>20</v>
      </c>
      <c r="C3650" t="s">
        <v>140</v>
      </c>
      <c r="D3650" s="9" t="s">
        <v>137</v>
      </c>
      <c r="E3650" t="s">
        <v>35</v>
      </c>
      <c r="F3650" t="s">
        <v>67</v>
      </c>
      <c r="G3650">
        <v>259</v>
      </c>
      <c r="H3650" s="9">
        <v>2.37</v>
      </c>
      <c r="I3650"/>
    </row>
    <row r="3651" spans="1:9" x14ac:dyDescent="0.3">
      <c r="A3651" t="s">
        <v>4</v>
      </c>
      <c r="B3651" t="s">
        <v>20</v>
      </c>
      <c r="C3651" t="s">
        <v>141</v>
      </c>
      <c r="D3651" s="9" t="s">
        <v>137</v>
      </c>
      <c r="E3651" t="s">
        <v>36</v>
      </c>
      <c r="F3651" t="s">
        <v>69</v>
      </c>
      <c r="G3651">
        <v>289.8</v>
      </c>
      <c r="H3651" s="9">
        <v>1.19</v>
      </c>
      <c r="I3651"/>
    </row>
    <row r="3652" spans="1:9" x14ac:dyDescent="0.3">
      <c r="A3652" t="s">
        <v>4</v>
      </c>
      <c r="B3652" t="s">
        <v>20</v>
      </c>
      <c r="C3652" t="s">
        <v>142</v>
      </c>
      <c r="D3652" s="9" t="s">
        <v>137</v>
      </c>
      <c r="E3652" t="s">
        <v>37</v>
      </c>
      <c r="F3652" t="s">
        <v>71</v>
      </c>
      <c r="G3652">
        <v>311.3</v>
      </c>
      <c r="H3652" s="9">
        <v>5.92</v>
      </c>
      <c r="I3652"/>
    </row>
    <row r="3653" spans="1:9" x14ac:dyDescent="0.3">
      <c r="A3653" t="s">
        <v>4</v>
      </c>
      <c r="B3653" t="s">
        <v>20</v>
      </c>
      <c r="C3653" t="s">
        <v>143</v>
      </c>
      <c r="D3653" s="9" t="s">
        <v>137</v>
      </c>
      <c r="E3653" t="s">
        <v>38</v>
      </c>
      <c r="F3653" t="s">
        <v>73</v>
      </c>
      <c r="G3653">
        <v>293.7</v>
      </c>
      <c r="H3653" s="9">
        <v>4.5199999999999996</v>
      </c>
      <c r="I3653"/>
    </row>
    <row r="3654" spans="1:9" x14ac:dyDescent="0.3">
      <c r="A3654" t="s">
        <v>4</v>
      </c>
      <c r="B3654" t="s">
        <v>20</v>
      </c>
      <c r="C3654" t="s">
        <v>144</v>
      </c>
      <c r="D3654" s="9" t="s">
        <v>137</v>
      </c>
      <c r="E3654" t="s">
        <v>39</v>
      </c>
      <c r="F3654" t="s">
        <v>75</v>
      </c>
      <c r="G3654">
        <v>289.89999999999998</v>
      </c>
      <c r="H3654" s="9">
        <v>5.96</v>
      </c>
      <c r="I3654"/>
    </row>
    <row r="3655" spans="1:9" x14ac:dyDescent="0.3">
      <c r="A3655" t="s">
        <v>4</v>
      </c>
      <c r="B3655" t="s">
        <v>20</v>
      </c>
      <c r="C3655" t="s">
        <v>145</v>
      </c>
      <c r="D3655" s="9" t="s">
        <v>137</v>
      </c>
      <c r="E3655" t="s">
        <v>40</v>
      </c>
      <c r="F3655" t="s">
        <v>77</v>
      </c>
      <c r="G3655">
        <v>282</v>
      </c>
      <c r="H3655" s="9">
        <v>3.94</v>
      </c>
      <c r="I3655"/>
    </row>
    <row r="3656" spans="1:9" x14ac:dyDescent="0.3">
      <c r="A3656" t="s">
        <v>4</v>
      </c>
      <c r="B3656" t="s">
        <v>20</v>
      </c>
      <c r="C3656" t="s">
        <v>146</v>
      </c>
      <c r="D3656" s="9" t="s">
        <v>137</v>
      </c>
      <c r="E3656" t="s">
        <v>41</v>
      </c>
      <c r="F3656" t="s">
        <v>79</v>
      </c>
      <c r="G3656">
        <v>304.7</v>
      </c>
      <c r="H3656" s="9">
        <v>6.84</v>
      </c>
      <c r="I3656"/>
    </row>
    <row r="3657" spans="1:9" x14ac:dyDescent="0.3">
      <c r="A3657" t="s">
        <v>4</v>
      </c>
      <c r="B3657" t="s">
        <v>20</v>
      </c>
      <c r="C3657" t="s">
        <v>147</v>
      </c>
      <c r="D3657" s="9" t="s">
        <v>137</v>
      </c>
      <c r="E3657" t="s">
        <v>42</v>
      </c>
      <c r="F3657" t="s">
        <v>81</v>
      </c>
      <c r="G3657">
        <v>339.8</v>
      </c>
      <c r="H3657" s="9">
        <v>0.35</v>
      </c>
      <c r="I3657"/>
    </row>
    <row r="3658" spans="1:9" x14ac:dyDescent="0.3">
      <c r="A3658" t="s">
        <v>4</v>
      </c>
      <c r="B3658" t="s">
        <v>20</v>
      </c>
      <c r="C3658" t="s">
        <v>148</v>
      </c>
      <c r="D3658" s="9" t="s">
        <v>137</v>
      </c>
      <c r="E3658" t="s">
        <v>43</v>
      </c>
      <c r="F3658" t="s">
        <v>83</v>
      </c>
      <c r="G3658">
        <v>370.4</v>
      </c>
      <c r="H3658" s="9">
        <v>13.41</v>
      </c>
      <c r="I3658"/>
    </row>
    <row r="3659" spans="1:9" x14ac:dyDescent="0.3">
      <c r="A3659" t="s">
        <v>4</v>
      </c>
      <c r="B3659" t="s">
        <v>20</v>
      </c>
      <c r="C3659" t="s">
        <v>149</v>
      </c>
      <c r="D3659" s="9" t="s">
        <v>150</v>
      </c>
      <c r="E3659" t="s">
        <v>32</v>
      </c>
      <c r="F3659" t="s">
        <v>61</v>
      </c>
      <c r="G3659">
        <v>299.10000000000002</v>
      </c>
      <c r="H3659" s="9">
        <v>4.51</v>
      </c>
      <c r="I3659"/>
    </row>
    <row r="3660" spans="1:9" x14ac:dyDescent="0.3">
      <c r="A3660" t="s">
        <v>4</v>
      </c>
      <c r="B3660" t="s">
        <v>20</v>
      </c>
      <c r="C3660" t="s">
        <v>151</v>
      </c>
      <c r="D3660" s="9" t="s">
        <v>150</v>
      </c>
      <c r="E3660" t="s">
        <v>33</v>
      </c>
      <c r="F3660" t="s">
        <v>63</v>
      </c>
      <c r="G3660">
        <v>248.3</v>
      </c>
      <c r="H3660" s="9">
        <v>-7.39</v>
      </c>
      <c r="I3660"/>
    </row>
    <row r="3661" spans="1:9" x14ac:dyDescent="0.3">
      <c r="A3661" t="s">
        <v>4</v>
      </c>
      <c r="B3661" t="s">
        <v>20</v>
      </c>
      <c r="C3661" t="s">
        <v>152</v>
      </c>
      <c r="D3661" s="9" t="s">
        <v>150</v>
      </c>
      <c r="E3661" t="s">
        <v>34</v>
      </c>
      <c r="F3661" t="s">
        <v>65</v>
      </c>
      <c r="G3661">
        <v>255.5</v>
      </c>
      <c r="H3661" s="9">
        <v>-8.09</v>
      </c>
      <c r="I3661"/>
    </row>
    <row r="3662" spans="1:9" x14ac:dyDescent="0.3">
      <c r="A3662" t="s">
        <v>4</v>
      </c>
      <c r="B3662" t="s">
        <v>20</v>
      </c>
      <c r="C3662" t="s">
        <v>153</v>
      </c>
      <c r="D3662" s="9" t="s">
        <v>150</v>
      </c>
      <c r="E3662" t="s">
        <v>35</v>
      </c>
      <c r="F3662" t="s">
        <v>67</v>
      </c>
      <c r="G3662">
        <v>270.39999999999998</v>
      </c>
      <c r="H3662" s="9">
        <v>4.4000000000000004</v>
      </c>
      <c r="I3662"/>
    </row>
    <row r="3663" spans="1:9" x14ac:dyDescent="0.3">
      <c r="A3663" t="s">
        <v>4</v>
      </c>
      <c r="B3663" t="s">
        <v>20</v>
      </c>
      <c r="C3663" t="s">
        <v>154</v>
      </c>
      <c r="D3663" s="9" t="s">
        <v>150</v>
      </c>
      <c r="E3663" t="s">
        <v>36</v>
      </c>
      <c r="F3663" t="s">
        <v>69</v>
      </c>
      <c r="G3663">
        <v>297.8</v>
      </c>
      <c r="H3663" s="9">
        <v>2.76</v>
      </c>
      <c r="I3663"/>
    </row>
    <row r="3664" spans="1:9" x14ac:dyDescent="0.3">
      <c r="A3664" t="s">
        <v>4</v>
      </c>
      <c r="B3664" t="s">
        <v>20</v>
      </c>
      <c r="C3664" t="s">
        <v>155</v>
      </c>
      <c r="D3664" s="9" t="s">
        <v>150</v>
      </c>
      <c r="E3664" t="s">
        <v>37</v>
      </c>
      <c r="F3664" t="s">
        <v>71</v>
      </c>
      <c r="G3664">
        <v>326.60000000000002</v>
      </c>
      <c r="H3664" s="9">
        <v>4.91</v>
      </c>
      <c r="I3664"/>
    </row>
    <row r="3665" spans="1:9" x14ac:dyDescent="0.3">
      <c r="A3665" t="s">
        <v>4</v>
      </c>
      <c r="B3665" t="s">
        <v>15</v>
      </c>
      <c r="C3665" t="s">
        <v>59</v>
      </c>
      <c r="D3665" s="9" t="s">
        <v>60</v>
      </c>
      <c r="E3665" t="s">
        <v>32</v>
      </c>
      <c r="F3665" t="s">
        <v>61</v>
      </c>
      <c r="G3665">
        <v>341</v>
      </c>
      <c r="I3665"/>
    </row>
    <row r="3666" spans="1:9" x14ac:dyDescent="0.3">
      <c r="A3666" t="s">
        <v>4</v>
      </c>
      <c r="B3666" t="s">
        <v>15</v>
      </c>
      <c r="C3666" t="s">
        <v>62</v>
      </c>
      <c r="D3666" s="9" t="s">
        <v>60</v>
      </c>
      <c r="E3666" t="s">
        <v>33</v>
      </c>
      <c r="F3666" t="s">
        <v>63</v>
      </c>
      <c r="G3666">
        <v>292.7</v>
      </c>
      <c r="I3666"/>
    </row>
    <row r="3667" spans="1:9" x14ac:dyDescent="0.3">
      <c r="A3667" t="s">
        <v>4</v>
      </c>
      <c r="B3667" t="s">
        <v>15</v>
      </c>
      <c r="C3667" t="s">
        <v>64</v>
      </c>
      <c r="D3667" s="9" t="s">
        <v>60</v>
      </c>
      <c r="E3667" t="s">
        <v>34</v>
      </c>
      <c r="F3667" t="s">
        <v>65</v>
      </c>
      <c r="G3667">
        <v>310.39999999999998</v>
      </c>
      <c r="I3667"/>
    </row>
    <row r="3668" spans="1:9" x14ac:dyDescent="0.3">
      <c r="A3668" t="s">
        <v>4</v>
      </c>
      <c r="B3668" t="s">
        <v>15</v>
      </c>
      <c r="C3668" t="s">
        <v>66</v>
      </c>
      <c r="D3668" s="9" t="s">
        <v>60</v>
      </c>
      <c r="E3668" t="s">
        <v>35</v>
      </c>
      <c r="F3668" t="s">
        <v>67</v>
      </c>
      <c r="G3668">
        <v>316.10000000000002</v>
      </c>
      <c r="I3668"/>
    </row>
    <row r="3669" spans="1:9" x14ac:dyDescent="0.3">
      <c r="A3669" t="s">
        <v>4</v>
      </c>
      <c r="B3669" t="s">
        <v>15</v>
      </c>
      <c r="C3669" t="s">
        <v>68</v>
      </c>
      <c r="D3669" s="9" t="s">
        <v>60</v>
      </c>
      <c r="E3669" t="s">
        <v>36</v>
      </c>
      <c r="F3669" t="s">
        <v>69</v>
      </c>
      <c r="G3669">
        <v>313.39999999999998</v>
      </c>
      <c r="I3669"/>
    </row>
    <row r="3670" spans="1:9" x14ac:dyDescent="0.3">
      <c r="A3670" t="s">
        <v>4</v>
      </c>
      <c r="B3670" t="s">
        <v>15</v>
      </c>
      <c r="C3670" t="s">
        <v>70</v>
      </c>
      <c r="D3670" s="9" t="s">
        <v>60</v>
      </c>
      <c r="E3670" t="s">
        <v>37</v>
      </c>
      <c r="F3670" t="s">
        <v>71</v>
      </c>
      <c r="G3670">
        <v>317.60000000000002</v>
      </c>
      <c r="I3670"/>
    </row>
    <row r="3671" spans="1:9" x14ac:dyDescent="0.3">
      <c r="A3671" t="s">
        <v>4</v>
      </c>
      <c r="B3671" t="s">
        <v>15</v>
      </c>
      <c r="C3671" t="s">
        <v>72</v>
      </c>
      <c r="D3671" s="9" t="s">
        <v>60</v>
      </c>
      <c r="E3671" t="s">
        <v>38</v>
      </c>
      <c r="F3671" t="s">
        <v>73</v>
      </c>
      <c r="G3671">
        <v>335.3</v>
      </c>
      <c r="I3671"/>
    </row>
    <row r="3672" spans="1:9" x14ac:dyDescent="0.3">
      <c r="A3672" t="s">
        <v>4</v>
      </c>
      <c r="B3672" t="s">
        <v>15</v>
      </c>
      <c r="C3672" t="s">
        <v>74</v>
      </c>
      <c r="D3672" s="9" t="s">
        <v>60</v>
      </c>
      <c r="E3672" t="s">
        <v>39</v>
      </c>
      <c r="F3672" t="s">
        <v>75</v>
      </c>
      <c r="G3672">
        <v>354.7</v>
      </c>
      <c r="I3672"/>
    </row>
    <row r="3673" spans="1:9" x14ac:dyDescent="0.3">
      <c r="A3673" t="s">
        <v>4</v>
      </c>
      <c r="B3673" t="s">
        <v>15</v>
      </c>
      <c r="C3673" t="s">
        <v>76</v>
      </c>
      <c r="D3673" s="9" t="s">
        <v>60</v>
      </c>
      <c r="E3673" t="s">
        <v>40</v>
      </c>
      <c r="F3673" t="s">
        <v>77</v>
      </c>
      <c r="G3673">
        <v>349.3</v>
      </c>
      <c r="I3673"/>
    </row>
    <row r="3674" spans="1:9" x14ac:dyDescent="0.3">
      <c r="A3674" t="s">
        <v>4</v>
      </c>
      <c r="B3674" t="s">
        <v>15</v>
      </c>
      <c r="C3674" t="s">
        <v>78</v>
      </c>
      <c r="D3674" s="9" t="s">
        <v>60</v>
      </c>
      <c r="E3674" t="s">
        <v>41</v>
      </c>
      <c r="F3674" t="s">
        <v>79</v>
      </c>
      <c r="G3674">
        <v>362.4</v>
      </c>
      <c r="I3674"/>
    </row>
    <row r="3675" spans="1:9" x14ac:dyDescent="0.3">
      <c r="A3675" t="s">
        <v>4</v>
      </c>
      <c r="B3675" t="s">
        <v>15</v>
      </c>
      <c r="C3675" t="s">
        <v>80</v>
      </c>
      <c r="D3675" s="9" t="s">
        <v>60</v>
      </c>
      <c r="E3675" t="s">
        <v>42</v>
      </c>
      <c r="F3675" t="s">
        <v>81</v>
      </c>
      <c r="G3675">
        <v>371.4</v>
      </c>
      <c r="I3675"/>
    </row>
    <row r="3676" spans="1:9" x14ac:dyDescent="0.3">
      <c r="A3676" t="s">
        <v>4</v>
      </c>
      <c r="B3676" t="s">
        <v>15</v>
      </c>
      <c r="C3676" t="s">
        <v>82</v>
      </c>
      <c r="D3676" s="9" t="s">
        <v>60</v>
      </c>
      <c r="E3676" t="s">
        <v>43</v>
      </c>
      <c r="F3676" t="s">
        <v>83</v>
      </c>
      <c r="G3676">
        <v>369.3</v>
      </c>
      <c r="I3676"/>
    </row>
    <row r="3677" spans="1:9" x14ac:dyDescent="0.3">
      <c r="A3677" t="s">
        <v>4</v>
      </c>
      <c r="B3677" t="s">
        <v>15</v>
      </c>
      <c r="C3677" t="s">
        <v>84</v>
      </c>
      <c r="D3677" s="9" t="s">
        <v>85</v>
      </c>
      <c r="E3677" t="s">
        <v>32</v>
      </c>
      <c r="F3677" t="s">
        <v>61</v>
      </c>
      <c r="G3677">
        <v>327.5</v>
      </c>
      <c r="H3677" s="9">
        <v>-3.96</v>
      </c>
      <c r="I3677"/>
    </row>
    <row r="3678" spans="1:9" x14ac:dyDescent="0.3">
      <c r="A3678" t="s">
        <v>4</v>
      </c>
      <c r="B3678" t="s">
        <v>15</v>
      </c>
      <c r="C3678" t="s">
        <v>86</v>
      </c>
      <c r="D3678" s="9" t="s">
        <v>85</v>
      </c>
      <c r="E3678" t="s">
        <v>33</v>
      </c>
      <c r="F3678" t="s">
        <v>63</v>
      </c>
      <c r="G3678">
        <v>310.39999999999998</v>
      </c>
      <c r="H3678" s="9">
        <v>6.05</v>
      </c>
      <c r="I3678"/>
    </row>
    <row r="3679" spans="1:9" x14ac:dyDescent="0.3">
      <c r="A3679" t="s">
        <v>4</v>
      </c>
      <c r="B3679" t="s">
        <v>15</v>
      </c>
      <c r="C3679" t="s">
        <v>87</v>
      </c>
      <c r="D3679" s="9" t="s">
        <v>85</v>
      </c>
      <c r="E3679" t="s">
        <v>34</v>
      </c>
      <c r="F3679" t="s">
        <v>65</v>
      </c>
      <c r="G3679">
        <v>367.7</v>
      </c>
      <c r="H3679" s="9">
        <v>18.46</v>
      </c>
      <c r="I3679"/>
    </row>
    <row r="3680" spans="1:9" x14ac:dyDescent="0.3">
      <c r="A3680" t="s">
        <v>4</v>
      </c>
      <c r="B3680" t="s">
        <v>15</v>
      </c>
      <c r="C3680" t="s">
        <v>88</v>
      </c>
      <c r="D3680" s="9" t="s">
        <v>85</v>
      </c>
      <c r="E3680" t="s">
        <v>35</v>
      </c>
      <c r="F3680" t="s">
        <v>67</v>
      </c>
      <c r="G3680">
        <v>405.3</v>
      </c>
      <c r="H3680" s="9">
        <v>28.22</v>
      </c>
      <c r="I3680"/>
    </row>
    <row r="3681" spans="1:9" x14ac:dyDescent="0.3">
      <c r="A3681" t="s">
        <v>4</v>
      </c>
      <c r="B3681" t="s">
        <v>15</v>
      </c>
      <c r="C3681" t="s">
        <v>89</v>
      </c>
      <c r="D3681" s="9" t="s">
        <v>85</v>
      </c>
      <c r="E3681" t="s">
        <v>36</v>
      </c>
      <c r="F3681" t="s">
        <v>69</v>
      </c>
      <c r="G3681">
        <v>442</v>
      </c>
      <c r="H3681" s="9">
        <v>41.03</v>
      </c>
      <c r="I3681"/>
    </row>
    <row r="3682" spans="1:9" x14ac:dyDescent="0.3">
      <c r="A3682" t="s">
        <v>4</v>
      </c>
      <c r="B3682" t="s">
        <v>15</v>
      </c>
      <c r="C3682" t="s">
        <v>90</v>
      </c>
      <c r="D3682" s="9" t="s">
        <v>85</v>
      </c>
      <c r="E3682" t="s">
        <v>37</v>
      </c>
      <c r="F3682" t="s">
        <v>71</v>
      </c>
      <c r="G3682">
        <v>406.9</v>
      </c>
      <c r="H3682" s="9">
        <v>28.12</v>
      </c>
      <c r="I3682"/>
    </row>
    <row r="3683" spans="1:9" x14ac:dyDescent="0.3">
      <c r="A3683" t="s">
        <v>4</v>
      </c>
      <c r="B3683" t="s">
        <v>15</v>
      </c>
      <c r="C3683" t="s">
        <v>91</v>
      </c>
      <c r="D3683" s="9" t="s">
        <v>85</v>
      </c>
      <c r="E3683" t="s">
        <v>38</v>
      </c>
      <c r="F3683" t="s">
        <v>73</v>
      </c>
      <c r="G3683">
        <v>417.5</v>
      </c>
      <c r="H3683" s="9">
        <v>24.52</v>
      </c>
      <c r="I3683"/>
    </row>
    <row r="3684" spans="1:9" x14ac:dyDescent="0.3">
      <c r="A3684" t="s">
        <v>4</v>
      </c>
      <c r="B3684" t="s">
        <v>15</v>
      </c>
      <c r="C3684" t="s">
        <v>92</v>
      </c>
      <c r="D3684" s="9" t="s">
        <v>85</v>
      </c>
      <c r="E3684" t="s">
        <v>39</v>
      </c>
      <c r="F3684" t="s">
        <v>75</v>
      </c>
      <c r="G3684">
        <v>421.9</v>
      </c>
      <c r="H3684" s="9">
        <v>18.95</v>
      </c>
      <c r="I3684"/>
    </row>
    <row r="3685" spans="1:9" x14ac:dyDescent="0.3">
      <c r="A3685" t="s">
        <v>4</v>
      </c>
      <c r="B3685" t="s">
        <v>15</v>
      </c>
      <c r="C3685" t="s">
        <v>93</v>
      </c>
      <c r="D3685" s="9" t="s">
        <v>85</v>
      </c>
      <c r="E3685" t="s">
        <v>40</v>
      </c>
      <c r="F3685" t="s">
        <v>77</v>
      </c>
      <c r="G3685">
        <v>427.6</v>
      </c>
      <c r="H3685" s="9">
        <v>22.42</v>
      </c>
      <c r="I3685"/>
    </row>
    <row r="3686" spans="1:9" x14ac:dyDescent="0.3">
      <c r="A3686" t="s">
        <v>4</v>
      </c>
      <c r="B3686" t="s">
        <v>15</v>
      </c>
      <c r="C3686" t="s">
        <v>94</v>
      </c>
      <c r="D3686" s="9" t="s">
        <v>85</v>
      </c>
      <c r="E3686" t="s">
        <v>41</v>
      </c>
      <c r="F3686" t="s">
        <v>79</v>
      </c>
      <c r="G3686">
        <v>440.2</v>
      </c>
      <c r="H3686" s="9">
        <v>21.47</v>
      </c>
      <c r="I3686"/>
    </row>
    <row r="3687" spans="1:9" x14ac:dyDescent="0.3">
      <c r="A3687" t="s">
        <v>4</v>
      </c>
      <c r="B3687" t="s">
        <v>15</v>
      </c>
      <c r="C3687" t="s">
        <v>95</v>
      </c>
      <c r="D3687" s="9" t="s">
        <v>85</v>
      </c>
      <c r="E3687" t="s">
        <v>42</v>
      </c>
      <c r="F3687" t="s">
        <v>81</v>
      </c>
      <c r="G3687">
        <v>464.6</v>
      </c>
      <c r="H3687" s="9">
        <v>25.09</v>
      </c>
      <c r="I3687"/>
    </row>
    <row r="3688" spans="1:9" x14ac:dyDescent="0.3">
      <c r="A3688" t="s">
        <v>4</v>
      </c>
      <c r="B3688" t="s">
        <v>15</v>
      </c>
      <c r="C3688" t="s">
        <v>96</v>
      </c>
      <c r="D3688" s="9" t="s">
        <v>85</v>
      </c>
      <c r="E3688" t="s">
        <v>43</v>
      </c>
      <c r="F3688" t="s">
        <v>83</v>
      </c>
      <c r="G3688">
        <v>469.2</v>
      </c>
      <c r="H3688" s="9">
        <v>27.05</v>
      </c>
      <c r="I3688"/>
    </row>
    <row r="3689" spans="1:9" x14ac:dyDescent="0.3">
      <c r="A3689" t="s">
        <v>4</v>
      </c>
      <c r="B3689" t="s">
        <v>15</v>
      </c>
      <c r="C3689" t="s">
        <v>97</v>
      </c>
      <c r="D3689" s="9" t="s">
        <v>98</v>
      </c>
      <c r="E3689" t="s">
        <v>32</v>
      </c>
      <c r="F3689" t="s">
        <v>61</v>
      </c>
      <c r="G3689">
        <v>415.5</v>
      </c>
      <c r="H3689" s="9">
        <v>26.87</v>
      </c>
      <c r="I3689"/>
    </row>
    <row r="3690" spans="1:9" x14ac:dyDescent="0.3">
      <c r="A3690" t="s">
        <v>4</v>
      </c>
      <c r="B3690" t="s">
        <v>15</v>
      </c>
      <c r="C3690" t="s">
        <v>99</v>
      </c>
      <c r="D3690" s="9" t="s">
        <v>98</v>
      </c>
      <c r="E3690" t="s">
        <v>33</v>
      </c>
      <c r="F3690" t="s">
        <v>63</v>
      </c>
      <c r="G3690">
        <v>371.7</v>
      </c>
      <c r="H3690" s="9">
        <v>19.75</v>
      </c>
      <c r="I3690"/>
    </row>
    <row r="3691" spans="1:9" x14ac:dyDescent="0.3">
      <c r="A3691" t="s">
        <v>4</v>
      </c>
      <c r="B3691" t="s">
        <v>15</v>
      </c>
      <c r="C3691" t="s">
        <v>100</v>
      </c>
      <c r="D3691" s="9" t="s">
        <v>98</v>
      </c>
      <c r="E3691" t="s">
        <v>34</v>
      </c>
      <c r="F3691" t="s">
        <v>65</v>
      </c>
      <c r="G3691">
        <v>399.3</v>
      </c>
      <c r="H3691" s="9">
        <v>8.59</v>
      </c>
      <c r="I3691"/>
    </row>
    <row r="3692" spans="1:9" x14ac:dyDescent="0.3">
      <c r="A3692" t="s">
        <v>4</v>
      </c>
      <c r="B3692" t="s">
        <v>15</v>
      </c>
      <c r="C3692" t="s">
        <v>101</v>
      </c>
      <c r="D3692" s="9" t="s">
        <v>98</v>
      </c>
      <c r="E3692" t="s">
        <v>35</v>
      </c>
      <c r="F3692" t="s">
        <v>67</v>
      </c>
      <c r="G3692">
        <v>376.8</v>
      </c>
      <c r="H3692" s="9">
        <v>-7.03</v>
      </c>
      <c r="I3692"/>
    </row>
    <row r="3693" spans="1:9" x14ac:dyDescent="0.3">
      <c r="A3693" t="s">
        <v>4</v>
      </c>
      <c r="B3693" t="s">
        <v>15</v>
      </c>
      <c r="C3693" t="s">
        <v>102</v>
      </c>
      <c r="D3693" s="9" t="s">
        <v>98</v>
      </c>
      <c r="E3693" t="s">
        <v>36</v>
      </c>
      <c r="F3693" t="s">
        <v>69</v>
      </c>
      <c r="G3693">
        <v>382.3</v>
      </c>
      <c r="H3693" s="9">
        <v>-13.51</v>
      </c>
      <c r="I3693"/>
    </row>
    <row r="3694" spans="1:9" x14ac:dyDescent="0.3">
      <c r="A3694" t="s">
        <v>4</v>
      </c>
      <c r="B3694" t="s">
        <v>15</v>
      </c>
      <c r="C3694" t="s">
        <v>103</v>
      </c>
      <c r="D3694" s="9" t="s">
        <v>98</v>
      </c>
      <c r="E3694" t="s">
        <v>37</v>
      </c>
      <c r="F3694" t="s">
        <v>71</v>
      </c>
      <c r="G3694">
        <v>387</v>
      </c>
      <c r="H3694" s="9">
        <v>-4.8899999999999997</v>
      </c>
      <c r="I3694"/>
    </row>
    <row r="3695" spans="1:9" x14ac:dyDescent="0.3">
      <c r="A3695" t="s">
        <v>4</v>
      </c>
      <c r="B3695" t="s">
        <v>15</v>
      </c>
      <c r="C3695" t="s">
        <v>104</v>
      </c>
      <c r="D3695" s="9" t="s">
        <v>98</v>
      </c>
      <c r="E3695" t="s">
        <v>38</v>
      </c>
      <c r="F3695" t="s">
        <v>73</v>
      </c>
      <c r="G3695">
        <v>414.6</v>
      </c>
      <c r="H3695" s="9">
        <v>-0.69</v>
      </c>
      <c r="I3695"/>
    </row>
    <row r="3696" spans="1:9" x14ac:dyDescent="0.3">
      <c r="A3696" t="s">
        <v>4</v>
      </c>
      <c r="B3696" t="s">
        <v>15</v>
      </c>
      <c r="C3696" t="s">
        <v>105</v>
      </c>
      <c r="D3696" s="9" t="s">
        <v>98</v>
      </c>
      <c r="E3696" t="s">
        <v>39</v>
      </c>
      <c r="F3696" t="s">
        <v>75</v>
      </c>
      <c r="G3696">
        <v>444.7</v>
      </c>
      <c r="H3696" s="9">
        <v>5.4</v>
      </c>
      <c r="I3696"/>
    </row>
    <row r="3697" spans="1:9" x14ac:dyDescent="0.3">
      <c r="A3697" t="s">
        <v>4</v>
      </c>
      <c r="B3697" t="s">
        <v>15</v>
      </c>
      <c r="C3697" t="s">
        <v>106</v>
      </c>
      <c r="D3697" s="9" t="s">
        <v>98</v>
      </c>
      <c r="E3697" t="s">
        <v>40</v>
      </c>
      <c r="F3697" t="s">
        <v>77</v>
      </c>
      <c r="G3697">
        <v>443.8</v>
      </c>
      <c r="H3697" s="9">
        <v>3.79</v>
      </c>
      <c r="I3697"/>
    </row>
    <row r="3698" spans="1:9" x14ac:dyDescent="0.3">
      <c r="A3698" t="s">
        <v>4</v>
      </c>
      <c r="B3698" t="s">
        <v>15</v>
      </c>
      <c r="C3698" t="s">
        <v>107</v>
      </c>
      <c r="D3698" s="9" t="s">
        <v>98</v>
      </c>
      <c r="E3698" t="s">
        <v>41</v>
      </c>
      <c r="F3698" t="s">
        <v>79</v>
      </c>
      <c r="G3698">
        <v>460.5</v>
      </c>
      <c r="H3698" s="9">
        <v>4.6100000000000003</v>
      </c>
      <c r="I3698"/>
    </row>
    <row r="3699" spans="1:9" x14ac:dyDescent="0.3">
      <c r="A3699" t="s">
        <v>4</v>
      </c>
      <c r="B3699" t="s">
        <v>15</v>
      </c>
      <c r="C3699" t="s">
        <v>108</v>
      </c>
      <c r="D3699" s="9" t="s">
        <v>98</v>
      </c>
      <c r="E3699" t="s">
        <v>42</v>
      </c>
      <c r="F3699" t="s">
        <v>81</v>
      </c>
      <c r="G3699">
        <v>468.5</v>
      </c>
      <c r="H3699" s="9">
        <v>0.84</v>
      </c>
      <c r="I3699"/>
    </row>
    <row r="3700" spans="1:9" x14ac:dyDescent="0.3">
      <c r="A3700" t="s">
        <v>4</v>
      </c>
      <c r="B3700" t="s">
        <v>15</v>
      </c>
      <c r="C3700" t="s">
        <v>109</v>
      </c>
      <c r="D3700" s="9" t="s">
        <v>98</v>
      </c>
      <c r="E3700" t="s">
        <v>43</v>
      </c>
      <c r="F3700" t="s">
        <v>83</v>
      </c>
      <c r="G3700">
        <v>508.9</v>
      </c>
      <c r="H3700" s="9">
        <v>8.4600000000000009</v>
      </c>
      <c r="I3700"/>
    </row>
    <row r="3701" spans="1:9" x14ac:dyDescent="0.3">
      <c r="A3701" t="s">
        <v>4</v>
      </c>
      <c r="B3701" t="s">
        <v>15</v>
      </c>
      <c r="C3701" t="s">
        <v>110</v>
      </c>
      <c r="D3701" s="9" t="s">
        <v>111</v>
      </c>
      <c r="E3701" t="s">
        <v>32</v>
      </c>
      <c r="F3701" t="s">
        <v>61</v>
      </c>
      <c r="G3701">
        <v>434.9</v>
      </c>
      <c r="H3701" s="9">
        <v>4.67</v>
      </c>
      <c r="I3701"/>
    </row>
    <row r="3702" spans="1:9" x14ac:dyDescent="0.3">
      <c r="A3702" t="s">
        <v>4</v>
      </c>
      <c r="B3702" t="s">
        <v>15</v>
      </c>
      <c r="C3702" t="s">
        <v>112</v>
      </c>
      <c r="D3702" s="9" t="s">
        <v>111</v>
      </c>
      <c r="E3702" t="s">
        <v>33</v>
      </c>
      <c r="F3702" t="s">
        <v>63</v>
      </c>
      <c r="G3702">
        <v>387.8</v>
      </c>
      <c r="H3702" s="9">
        <v>4.33</v>
      </c>
      <c r="I3702"/>
    </row>
    <row r="3703" spans="1:9" x14ac:dyDescent="0.3">
      <c r="A3703" t="s">
        <v>4</v>
      </c>
      <c r="B3703" t="s">
        <v>15</v>
      </c>
      <c r="C3703" t="s">
        <v>113</v>
      </c>
      <c r="D3703" s="9" t="s">
        <v>111</v>
      </c>
      <c r="E3703" t="s">
        <v>34</v>
      </c>
      <c r="F3703" t="s">
        <v>65</v>
      </c>
      <c r="G3703">
        <v>443.6</v>
      </c>
      <c r="H3703" s="9">
        <v>11.09</v>
      </c>
      <c r="I3703"/>
    </row>
    <row r="3704" spans="1:9" x14ac:dyDescent="0.3">
      <c r="A3704" t="s">
        <v>4</v>
      </c>
      <c r="B3704" t="s">
        <v>15</v>
      </c>
      <c r="C3704" t="s">
        <v>114</v>
      </c>
      <c r="D3704" s="9" t="s">
        <v>111</v>
      </c>
      <c r="E3704" t="s">
        <v>35</v>
      </c>
      <c r="F3704" t="s">
        <v>67</v>
      </c>
      <c r="G3704">
        <v>425.3</v>
      </c>
      <c r="H3704" s="9">
        <v>12.87</v>
      </c>
      <c r="I3704"/>
    </row>
    <row r="3705" spans="1:9" x14ac:dyDescent="0.3">
      <c r="A3705" t="s">
        <v>4</v>
      </c>
      <c r="B3705" t="s">
        <v>15</v>
      </c>
      <c r="C3705" t="s">
        <v>115</v>
      </c>
      <c r="D3705" s="9" t="s">
        <v>111</v>
      </c>
      <c r="E3705" t="s">
        <v>36</v>
      </c>
      <c r="F3705" t="s">
        <v>69</v>
      </c>
      <c r="G3705">
        <v>405.6</v>
      </c>
      <c r="H3705" s="9">
        <v>6.09</v>
      </c>
      <c r="I3705"/>
    </row>
    <row r="3706" spans="1:9" x14ac:dyDescent="0.3">
      <c r="A3706" t="s">
        <v>4</v>
      </c>
      <c r="B3706" t="s">
        <v>15</v>
      </c>
      <c r="C3706" t="s">
        <v>116</v>
      </c>
      <c r="D3706" s="9" t="s">
        <v>111</v>
      </c>
      <c r="E3706" t="s">
        <v>37</v>
      </c>
      <c r="F3706" t="s">
        <v>71</v>
      </c>
      <c r="G3706">
        <v>446.8</v>
      </c>
      <c r="H3706" s="9">
        <v>15.45</v>
      </c>
      <c r="I3706"/>
    </row>
    <row r="3707" spans="1:9" x14ac:dyDescent="0.3">
      <c r="A3707" t="s">
        <v>4</v>
      </c>
      <c r="B3707" t="s">
        <v>15</v>
      </c>
      <c r="C3707" t="s">
        <v>117</v>
      </c>
      <c r="D3707" s="9" t="s">
        <v>111</v>
      </c>
      <c r="E3707" t="s">
        <v>38</v>
      </c>
      <c r="F3707" t="s">
        <v>73</v>
      </c>
      <c r="G3707">
        <v>447.3</v>
      </c>
      <c r="H3707" s="9">
        <v>7.89</v>
      </c>
      <c r="I3707"/>
    </row>
    <row r="3708" spans="1:9" x14ac:dyDescent="0.3">
      <c r="A3708" t="s">
        <v>4</v>
      </c>
      <c r="B3708" t="s">
        <v>15</v>
      </c>
      <c r="C3708" t="s">
        <v>118</v>
      </c>
      <c r="D3708" s="9" t="s">
        <v>111</v>
      </c>
      <c r="E3708" t="s">
        <v>39</v>
      </c>
      <c r="F3708" t="s">
        <v>75</v>
      </c>
      <c r="G3708">
        <v>473.6</v>
      </c>
      <c r="H3708" s="9">
        <v>6.5</v>
      </c>
      <c r="I3708"/>
    </row>
    <row r="3709" spans="1:9" x14ac:dyDescent="0.3">
      <c r="A3709" t="s">
        <v>4</v>
      </c>
      <c r="B3709" t="s">
        <v>15</v>
      </c>
      <c r="C3709" t="s">
        <v>119</v>
      </c>
      <c r="D3709" s="9" t="s">
        <v>111</v>
      </c>
      <c r="E3709" t="s">
        <v>40</v>
      </c>
      <c r="F3709" t="s">
        <v>77</v>
      </c>
      <c r="G3709">
        <v>472.4</v>
      </c>
      <c r="H3709" s="9">
        <v>6.44</v>
      </c>
      <c r="I3709"/>
    </row>
    <row r="3710" spans="1:9" x14ac:dyDescent="0.3">
      <c r="A3710" t="s">
        <v>4</v>
      </c>
      <c r="B3710" t="s">
        <v>15</v>
      </c>
      <c r="C3710" t="s">
        <v>120</v>
      </c>
      <c r="D3710" s="9" t="s">
        <v>111</v>
      </c>
      <c r="E3710" t="s">
        <v>41</v>
      </c>
      <c r="F3710" t="s">
        <v>79</v>
      </c>
      <c r="G3710">
        <v>484.5</v>
      </c>
      <c r="H3710" s="9">
        <v>5.21</v>
      </c>
      <c r="I3710"/>
    </row>
    <row r="3711" spans="1:9" x14ac:dyDescent="0.3">
      <c r="A3711" t="s">
        <v>4</v>
      </c>
      <c r="B3711" t="s">
        <v>15</v>
      </c>
      <c r="C3711" t="s">
        <v>121</v>
      </c>
      <c r="D3711" s="9" t="s">
        <v>111</v>
      </c>
      <c r="E3711" t="s">
        <v>42</v>
      </c>
      <c r="F3711" t="s">
        <v>81</v>
      </c>
      <c r="G3711">
        <v>487</v>
      </c>
      <c r="H3711" s="9">
        <v>3.95</v>
      </c>
      <c r="I3711"/>
    </row>
    <row r="3712" spans="1:9" x14ac:dyDescent="0.3">
      <c r="A3712" t="s">
        <v>4</v>
      </c>
      <c r="B3712" t="s">
        <v>15</v>
      </c>
      <c r="C3712" t="s">
        <v>122</v>
      </c>
      <c r="D3712" s="9" t="s">
        <v>111</v>
      </c>
      <c r="E3712" t="s">
        <v>43</v>
      </c>
      <c r="F3712" t="s">
        <v>83</v>
      </c>
      <c r="G3712">
        <v>488.1</v>
      </c>
      <c r="H3712" s="9">
        <v>-4.09</v>
      </c>
      <c r="I3712"/>
    </row>
    <row r="3713" spans="1:9" x14ac:dyDescent="0.3">
      <c r="A3713" t="s">
        <v>4</v>
      </c>
      <c r="B3713" t="s">
        <v>15</v>
      </c>
      <c r="C3713" t="s">
        <v>123</v>
      </c>
      <c r="D3713" s="9" t="s">
        <v>124</v>
      </c>
      <c r="E3713" t="s">
        <v>32</v>
      </c>
      <c r="F3713" t="s">
        <v>61</v>
      </c>
      <c r="G3713">
        <v>432.3</v>
      </c>
      <c r="H3713" s="9">
        <v>-0.6</v>
      </c>
      <c r="I3713"/>
    </row>
    <row r="3714" spans="1:9" x14ac:dyDescent="0.3">
      <c r="A3714" t="s">
        <v>4</v>
      </c>
      <c r="B3714" t="s">
        <v>15</v>
      </c>
      <c r="C3714" t="s">
        <v>125</v>
      </c>
      <c r="D3714" s="9" t="s">
        <v>124</v>
      </c>
      <c r="E3714" t="s">
        <v>33</v>
      </c>
      <c r="F3714" t="s">
        <v>63</v>
      </c>
      <c r="G3714">
        <v>391.1</v>
      </c>
      <c r="H3714" s="9">
        <v>0.85</v>
      </c>
      <c r="I3714"/>
    </row>
    <row r="3715" spans="1:9" x14ac:dyDescent="0.3">
      <c r="A3715" t="s">
        <v>4</v>
      </c>
      <c r="B3715" t="s">
        <v>15</v>
      </c>
      <c r="C3715" t="s">
        <v>126</v>
      </c>
      <c r="D3715" s="9" t="s">
        <v>124</v>
      </c>
      <c r="E3715" t="s">
        <v>34</v>
      </c>
      <c r="F3715" t="s">
        <v>65</v>
      </c>
      <c r="G3715">
        <v>419.9</v>
      </c>
      <c r="H3715" s="9">
        <v>-5.34</v>
      </c>
      <c r="I3715"/>
    </row>
    <row r="3716" spans="1:9" x14ac:dyDescent="0.3">
      <c r="A3716" t="s">
        <v>4</v>
      </c>
      <c r="B3716" t="s">
        <v>15</v>
      </c>
      <c r="C3716" t="s">
        <v>127</v>
      </c>
      <c r="D3716" s="9" t="s">
        <v>124</v>
      </c>
      <c r="E3716" t="s">
        <v>35</v>
      </c>
      <c r="F3716" t="s">
        <v>67</v>
      </c>
      <c r="G3716">
        <v>405.3</v>
      </c>
      <c r="H3716" s="9">
        <v>-4.7</v>
      </c>
      <c r="I3716"/>
    </row>
    <row r="3717" spans="1:9" x14ac:dyDescent="0.3">
      <c r="A3717" t="s">
        <v>4</v>
      </c>
      <c r="B3717" t="s">
        <v>15</v>
      </c>
      <c r="C3717" t="s">
        <v>128</v>
      </c>
      <c r="D3717" s="9" t="s">
        <v>124</v>
      </c>
      <c r="E3717" t="s">
        <v>36</v>
      </c>
      <c r="F3717" t="s">
        <v>69</v>
      </c>
      <c r="G3717">
        <v>412.4</v>
      </c>
      <c r="H3717" s="9">
        <v>1.68</v>
      </c>
      <c r="I3717"/>
    </row>
    <row r="3718" spans="1:9" x14ac:dyDescent="0.3">
      <c r="A3718" t="s">
        <v>4</v>
      </c>
      <c r="B3718" t="s">
        <v>15</v>
      </c>
      <c r="C3718" t="s">
        <v>129</v>
      </c>
      <c r="D3718" s="9" t="s">
        <v>124</v>
      </c>
      <c r="E3718" t="s">
        <v>37</v>
      </c>
      <c r="F3718" t="s">
        <v>71</v>
      </c>
      <c r="G3718">
        <v>419.9</v>
      </c>
      <c r="H3718" s="9">
        <v>-6.02</v>
      </c>
      <c r="I3718"/>
    </row>
    <row r="3719" spans="1:9" x14ac:dyDescent="0.3">
      <c r="A3719" t="s">
        <v>4</v>
      </c>
      <c r="B3719" t="s">
        <v>15</v>
      </c>
      <c r="C3719" t="s">
        <v>130</v>
      </c>
      <c r="D3719" s="9" t="s">
        <v>124</v>
      </c>
      <c r="E3719" t="s">
        <v>38</v>
      </c>
      <c r="F3719" t="s">
        <v>73</v>
      </c>
      <c r="G3719">
        <v>431.8</v>
      </c>
      <c r="H3719" s="9">
        <v>-3.47</v>
      </c>
      <c r="I3719"/>
    </row>
    <row r="3720" spans="1:9" x14ac:dyDescent="0.3">
      <c r="A3720" t="s">
        <v>4</v>
      </c>
      <c r="B3720" t="s">
        <v>15</v>
      </c>
      <c r="C3720" t="s">
        <v>131</v>
      </c>
      <c r="D3720" s="9" t="s">
        <v>124</v>
      </c>
      <c r="E3720" t="s">
        <v>39</v>
      </c>
      <c r="F3720" t="s">
        <v>75</v>
      </c>
      <c r="G3720">
        <v>454</v>
      </c>
      <c r="H3720" s="9">
        <v>-4.1399999999999997</v>
      </c>
      <c r="I3720"/>
    </row>
    <row r="3721" spans="1:9" x14ac:dyDescent="0.3">
      <c r="A3721" t="s">
        <v>4</v>
      </c>
      <c r="B3721" t="s">
        <v>15</v>
      </c>
      <c r="C3721" t="s">
        <v>132</v>
      </c>
      <c r="D3721" s="9" t="s">
        <v>124</v>
      </c>
      <c r="E3721" t="s">
        <v>40</v>
      </c>
      <c r="F3721" t="s">
        <v>77</v>
      </c>
      <c r="G3721">
        <v>463.8</v>
      </c>
      <c r="H3721" s="9">
        <v>-1.82</v>
      </c>
      <c r="I3721"/>
    </row>
    <row r="3722" spans="1:9" x14ac:dyDescent="0.3">
      <c r="A3722" t="s">
        <v>4</v>
      </c>
      <c r="B3722" t="s">
        <v>15</v>
      </c>
      <c r="C3722" t="s">
        <v>133</v>
      </c>
      <c r="D3722" s="9" t="s">
        <v>124</v>
      </c>
      <c r="E3722" t="s">
        <v>41</v>
      </c>
      <c r="F3722" t="s">
        <v>79</v>
      </c>
      <c r="G3722">
        <v>481.8</v>
      </c>
      <c r="H3722" s="9">
        <v>-0.56000000000000005</v>
      </c>
      <c r="I3722"/>
    </row>
    <row r="3723" spans="1:9" x14ac:dyDescent="0.3">
      <c r="A3723" t="s">
        <v>4</v>
      </c>
      <c r="B3723" t="s">
        <v>15</v>
      </c>
      <c r="C3723" t="s">
        <v>134</v>
      </c>
      <c r="D3723" s="9" t="s">
        <v>124</v>
      </c>
      <c r="E3723" t="s">
        <v>42</v>
      </c>
      <c r="F3723" t="s">
        <v>81</v>
      </c>
      <c r="G3723">
        <v>470.3</v>
      </c>
      <c r="H3723" s="9">
        <v>-3.43</v>
      </c>
      <c r="I3723"/>
    </row>
    <row r="3724" spans="1:9" x14ac:dyDescent="0.3">
      <c r="A3724" t="s">
        <v>4</v>
      </c>
      <c r="B3724" t="s">
        <v>15</v>
      </c>
      <c r="C3724" t="s">
        <v>135</v>
      </c>
      <c r="D3724" s="9" t="s">
        <v>124</v>
      </c>
      <c r="E3724" t="s">
        <v>43</v>
      </c>
      <c r="F3724" t="s">
        <v>83</v>
      </c>
      <c r="G3724">
        <v>491</v>
      </c>
      <c r="H3724" s="9">
        <v>0.59</v>
      </c>
      <c r="I3724"/>
    </row>
    <row r="3725" spans="1:9" x14ac:dyDescent="0.3">
      <c r="A3725" t="s">
        <v>4</v>
      </c>
      <c r="B3725" t="s">
        <v>15</v>
      </c>
      <c r="C3725" t="s">
        <v>136</v>
      </c>
      <c r="D3725" s="9" t="s">
        <v>137</v>
      </c>
      <c r="E3725" t="s">
        <v>32</v>
      </c>
      <c r="F3725" t="s">
        <v>61</v>
      </c>
      <c r="G3725">
        <v>436.2</v>
      </c>
      <c r="H3725" s="9">
        <v>0.9</v>
      </c>
      <c r="I3725"/>
    </row>
    <row r="3726" spans="1:9" x14ac:dyDescent="0.3">
      <c r="A3726" t="s">
        <v>4</v>
      </c>
      <c r="B3726" t="s">
        <v>15</v>
      </c>
      <c r="C3726" t="s">
        <v>138</v>
      </c>
      <c r="D3726" s="9" t="s">
        <v>137</v>
      </c>
      <c r="E3726" t="s">
        <v>33</v>
      </c>
      <c r="F3726" t="s">
        <v>63</v>
      </c>
      <c r="G3726">
        <v>412</v>
      </c>
      <c r="H3726" s="9">
        <v>5.34</v>
      </c>
      <c r="I3726"/>
    </row>
    <row r="3727" spans="1:9" x14ac:dyDescent="0.3">
      <c r="A3727" t="s">
        <v>4</v>
      </c>
      <c r="B3727" t="s">
        <v>15</v>
      </c>
      <c r="C3727" t="s">
        <v>139</v>
      </c>
      <c r="D3727" s="9" t="s">
        <v>137</v>
      </c>
      <c r="E3727" t="s">
        <v>34</v>
      </c>
      <c r="F3727" t="s">
        <v>65</v>
      </c>
      <c r="G3727">
        <v>423.9</v>
      </c>
      <c r="H3727" s="9">
        <v>0.95</v>
      </c>
      <c r="I3727"/>
    </row>
    <row r="3728" spans="1:9" x14ac:dyDescent="0.3">
      <c r="A3728" t="s">
        <v>4</v>
      </c>
      <c r="B3728" t="s">
        <v>15</v>
      </c>
      <c r="C3728" t="s">
        <v>140</v>
      </c>
      <c r="D3728" s="9" t="s">
        <v>137</v>
      </c>
      <c r="E3728" t="s">
        <v>35</v>
      </c>
      <c r="F3728" t="s">
        <v>67</v>
      </c>
      <c r="G3728">
        <v>426.8</v>
      </c>
      <c r="H3728" s="9">
        <v>5.3</v>
      </c>
      <c r="I3728"/>
    </row>
    <row r="3729" spans="1:9" x14ac:dyDescent="0.3">
      <c r="A3729" t="s">
        <v>4</v>
      </c>
      <c r="B3729" t="s">
        <v>15</v>
      </c>
      <c r="C3729" t="s">
        <v>141</v>
      </c>
      <c r="D3729" s="9" t="s">
        <v>137</v>
      </c>
      <c r="E3729" t="s">
        <v>36</v>
      </c>
      <c r="F3729" t="s">
        <v>69</v>
      </c>
      <c r="G3729">
        <v>431.3</v>
      </c>
      <c r="H3729" s="9">
        <v>4.58</v>
      </c>
      <c r="I3729"/>
    </row>
    <row r="3730" spans="1:9" x14ac:dyDescent="0.3">
      <c r="A3730" t="s">
        <v>4</v>
      </c>
      <c r="B3730" t="s">
        <v>15</v>
      </c>
      <c r="C3730" t="s">
        <v>142</v>
      </c>
      <c r="D3730" s="9" t="s">
        <v>137</v>
      </c>
      <c r="E3730" t="s">
        <v>37</v>
      </c>
      <c r="F3730" t="s">
        <v>71</v>
      </c>
      <c r="G3730">
        <v>434.6</v>
      </c>
      <c r="H3730" s="9">
        <v>3.5</v>
      </c>
      <c r="I3730"/>
    </row>
    <row r="3731" spans="1:9" x14ac:dyDescent="0.3">
      <c r="A3731" t="s">
        <v>4</v>
      </c>
      <c r="B3731" t="s">
        <v>15</v>
      </c>
      <c r="C3731" t="s">
        <v>143</v>
      </c>
      <c r="D3731" s="9" t="s">
        <v>137</v>
      </c>
      <c r="E3731" t="s">
        <v>38</v>
      </c>
      <c r="F3731" t="s">
        <v>73</v>
      </c>
      <c r="G3731">
        <v>450.8</v>
      </c>
      <c r="H3731" s="9">
        <v>4.4000000000000004</v>
      </c>
      <c r="I3731"/>
    </row>
    <row r="3732" spans="1:9" x14ac:dyDescent="0.3">
      <c r="A3732" t="s">
        <v>4</v>
      </c>
      <c r="B3732" t="s">
        <v>15</v>
      </c>
      <c r="C3732" t="s">
        <v>144</v>
      </c>
      <c r="D3732" s="9" t="s">
        <v>137</v>
      </c>
      <c r="E3732" t="s">
        <v>39</v>
      </c>
      <c r="F3732" t="s">
        <v>75</v>
      </c>
      <c r="G3732">
        <v>473.5</v>
      </c>
      <c r="H3732" s="9">
        <v>4.3</v>
      </c>
      <c r="I3732"/>
    </row>
    <row r="3733" spans="1:9" x14ac:dyDescent="0.3">
      <c r="A3733" t="s">
        <v>4</v>
      </c>
      <c r="B3733" t="s">
        <v>15</v>
      </c>
      <c r="C3733" t="s">
        <v>145</v>
      </c>
      <c r="D3733" s="9" t="s">
        <v>137</v>
      </c>
      <c r="E3733" t="s">
        <v>40</v>
      </c>
      <c r="F3733" t="s">
        <v>77</v>
      </c>
      <c r="G3733">
        <v>488.6</v>
      </c>
      <c r="H3733" s="9">
        <v>5.35</v>
      </c>
      <c r="I3733"/>
    </row>
    <row r="3734" spans="1:9" x14ac:dyDescent="0.3">
      <c r="A3734" t="s">
        <v>4</v>
      </c>
      <c r="B3734" t="s">
        <v>15</v>
      </c>
      <c r="C3734" t="s">
        <v>146</v>
      </c>
      <c r="D3734" s="9" t="s">
        <v>137</v>
      </c>
      <c r="E3734" t="s">
        <v>41</v>
      </c>
      <c r="F3734" t="s">
        <v>79</v>
      </c>
      <c r="G3734">
        <v>510.3</v>
      </c>
      <c r="H3734" s="9">
        <v>5.92</v>
      </c>
      <c r="I3734"/>
    </row>
    <row r="3735" spans="1:9" x14ac:dyDescent="0.3">
      <c r="A3735" t="s">
        <v>4</v>
      </c>
      <c r="B3735" t="s">
        <v>15</v>
      </c>
      <c r="C3735" t="s">
        <v>147</v>
      </c>
      <c r="D3735" s="9" t="s">
        <v>137</v>
      </c>
      <c r="E3735" t="s">
        <v>42</v>
      </c>
      <c r="F3735" t="s">
        <v>81</v>
      </c>
      <c r="G3735">
        <v>509.4</v>
      </c>
      <c r="H3735" s="9">
        <v>8.31</v>
      </c>
      <c r="I3735"/>
    </row>
    <row r="3736" spans="1:9" x14ac:dyDescent="0.3">
      <c r="A3736" t="s">
        <v>4</v>
      </c>
      <c r="B3736" t="s">
        <v>15</v>
      </c>
      <c r="C3736" t="s">
        <v>148</v>
      </c>
      <c r="D3736" s="9" t="s">
        <v>137</v>
      </c>
      <c r="E3736" t="s">
        <v>43</v>
      </c>
      <c r="F3736" t="s">
        <v>83</v>
      </c>
      <c r="G3736">
        <v>518</v>
      </c>
      <c r="H3736" s="9">
        <v>5.5</v>
      </c>
      <c r="I3736"/>
    </row>
    <row r="3737" spans="1:9" x14ac:dyDescent="0.3">
      <c r="A3737" t="s">
        <v>4</v>
      </c>
      <c r="B3737" t="s">
        <v>15</v>
      </c>
      <c r="C3737" t="s">
        <v>149</v>
      </c>
      <c r="D3737" s="9" t="s">
        <v>150</v>
      </c>
      <c r="E3737" t="s">
        <v>32</v>
      </c>
      <c r="F3737" t="s">
        <v>61</v>
      </c>
      <c r="G3737">
        <v>457.2</v>
      </c>
      <c r="H3737" s="9">
        <v>4.8099999999999996</v>
      </c>
      <c r="I3737"/>
    </row>
    <row r="3738" spans="1:9" x14ac:dyDescent="0.3">
      <c r="A3738" t="s">
        <v>4</v>
      </c>
      <c r="B3738" t="s">
        <v>15</v>
      </c>
      <c r="C3738" t="s">
        <v>151</v>
      </c>
      <c r="D3738" s="9" t="s">
        <v>150</v>
      </c>
      <c r="E3738" t="s">
        <v>33</v>
      </c>
      <c r="F3738" t="s">
        <v>63</v>
      </c>
      <c r="G3738">
        <v>414.3</v>
      </c>
      <c r="H3738" s="9">
        <v>0.56000000000000005</v>
      </c>
      <c r="I3738"/>
    </row>
    <row r="3739" spans="1:9" x14ac:dyDescent="0.3">
      <c r="A3739" t="s">
        <v>4</v>
      </c>
      <c r="B3739" t="s">
        <v>15</v>
      </c>
      <c r="C3739" t="s">
        <v>152</v>
      </c>
      <c r="D3739" s="9" t="s">
        <v>150</v>
      </c>
      <c r="E3739" t="s">
        <v>34</v>
      </c>
      <c r="F3739" t="s">
        <v>65</v>
      </c>
      <c r="G3739">
        <v>450.5</v>
      </c>
      <c r="H3739" s="9">
        <v>6.28</v>
      </c>
      <c r="I3739"/>
    </row>
    <row r="3740" spans="1:9" x14ac:dyDescent="0.3">
      <c r="A3740" t="s">
        <v>4</v>
      </c>
      <c r="B3740" t="s">
        <v>15</v>
      </c>
      <c r="C3740" t="s">
        <v>153</v>
      </c>
      <c r="D3740" s="9" t="s">
        <v>150</v>
      </c>
      <c r="E3740" t="s">
        <v>35</v>
      </c>
      <c r="F3740" t="s">
        <v>67</v>
      </c>
      <c r="G3740">
        <v>447.5</v>
      </c>
      <c r="H3740" s="9">
        <v>4.8499999999999996</v>
      </c>
      <c r="I3740"/>
    </row>
    <row r="3741" spans="1:9" x14ac:dyDescent="0.3">
      <c r="A3741" t="s">
        <v>4</v>
      </c>
      <c r="B3741" t="s">
        <v>15</v>
      </c>
      <c r="C3741" t="s">
        <v>154</v>
      </c>
      <c r="D3741" s="9" t="s">
        <v>150</v>
      </c>
      <c r="E3741" t="s">
        <v>36</v>
      </c>
      <c r="F3741" t="s">
        <v>69</v>
      </c>
      <c r="G3741">
        <v>464.9</v>
      </c>
      <c r="H3741" s="9">
        <v>7.79</v>
      </c>
      <c r="I3741"/>
    </row>
    <row r="3742" spans="1:9" x14ac:dyDescent="0.3">
      <c r="A3742" t="s">
        <v>4</v>
      </c>
      <c r="B3742" t="s">
        <v>15</v>
      </c>
      <c r="C3742" t="s">
        <v>155</v>
      </c>
      <c r="D3742" s="9" t="s">
        <v>150</v>
      </c>
      <c r="E3742" t="s">
        <v>37</v>
      </c>
      <c r="F3742" t="s">
        <v>71</v>
      </c>
      <c r="G3742">
        <v>467.5</v>
      </c>
      <c r="H3742" s="9">
        <v>7.57</v>
      </c>
      <c r="I3742"/>
    </row>
    <row r="3743" spans="1:9" x14ac:dyDescent="0.3">
      <c r="A3743" t="s">
        <v>4</v>
      </c>
      <c r="B3743" t="s">
        <v>25</v>
      </c>
      <c r="C3743" t="s">
        <v>59</v>
      </c>
      <c r="D3743" s="9" t="s">
        <v>60</v>
      </c>
      <c r="E3743" t="s">
        <v>32</v>
      </c>
      <c r="F3743" t="s">
        <v>61</v>
      </c>
      <c r="G3743">
        <v>58.9</v>
      </c>
      <c r="I3743"/>
    </row>
    <row r="3744" spans="1:9" x14ac:dyDescent="0.3">
      <c r="A3744" t="s">
        <v>4</v>
      </c>
      <c r="B3744" t="s">
        <v>25</v>
      </c>
      <c r="C3744" t="s">
        <v>62</v>
      </c>
      <c r="D3744" s="9" t="s">
        <v>60</v>
      </c>
      <c r="E3744" t="s">
        <v>33</v>
      </c>
      <c r="F3744" t="s">
        <v>63</v>
      </c>
      <c r="G3744">
        <v>49</v>
      </c>
      <c r="I3744"/>
    </row>
    <row r="3745" spans="1:9" x14ac:dyDescent="0.3">
      <c r="A3745" t="s">
        <v>4</v>
      </c>
      <c r="B3745" t="s">
        <v>25</v>
      </c>
      <c r="C3745" t="s">
        <v>64</v>
      </c>
      <c r="D3745" s="9" t="s">
        <v>60</v>
      </c>
      <c r="E3745" t="s">
        <v>34</v>
      </c>
      <c r="F3745" t="s">
        <v>65</v>
      </c>
      <c r="G3745">
        <v>51.6</v>
      </c>
      <c r="I3745"/>
    </row>
    <row r="3746" spans="1:9" x14ac:dyDescent="0.3">
      <c r="A3746" t="s">
        <v>4</v>
      </c>
      <c r="B3746" t="s">
        <v>25</v>
      </c>
      <c r="C3746" t="s">
        <v>66</v>
      </c>
      <c r="D3746" s="9" t="s">
        <v>60</v>
      </c>
      <c r="E3746" t="s">
        <v>35</v>
      </c>
      <c r="F3746" t="s">
        <v>67</v>
      </c>
      <c r="G3746">
        <v>47.7</v>
      </c>
      <c r="I3746"/>
    </row>
    <row r="3747" spans="1:9" x14ac:dyDescent="0.3">
      <c r="A3747" t="s">
        <v>4</v>
      </c>
      <c r="B3747" t="s">
        <v>25</v>
      </c>
      <c r="C3747" t="s">
        <v>68</v>
      </c>
      <c r="D3747" s="9" t="s">
        <v>60</v>
      </c>
      <c r="E3747" t="s">
        <v>36</v>
      </c>
      <c r="F3747" t="s">
        <v>69</v>
      </c>
      <c r="G3747">
        <v>52.3</v>
      </c>
      <c r="I3747"/>
    </row>
    <row r="3748" spans="1:9" x14ac:dyDescent="0.3">
      <c r="A3748" t="s">
        <v>4</v>
      </c>
      <c r="B3748" t="s">
        <v>25</v>
      </c>
      <c r="C3748" t="s">
        <v>70</v>
      </c>
      <c r="D3748" s="9" t="s">
        <v>60</v>
      </c>
      <c r="E3748" t="s">
        <v>37</v>
      </c>
      <c r="F3748" t="s">
        <v>71</v>
      </c>
      <c r="G3748">
        <v>51.2</v>
      </c>
      <c r="I3748"/>
    </row>
    <row r="3749" spans="1:9" x14ac:dyDescent="0.3">
      <c r="A3749" t="s">
        <v>4</v>
      </c>
      <c r="B3749" t="s">
        <v>25</v>
      </c>
      <c r="C3749" t="s">
        <v>72</v>
      </c>
      <c r="D3749" s="9" t="s">
        <v>60</v>
      </c>
      <c r="E3749" t="s">
        <v>38</v>
      </c>
      <c r="F3749" t="s">
        <v>73</v>
      </c>
      <c r="G3749">
        <v>55.5</v>
      </c>
      <c r="I3749"/>
    </row>
    <row r="3750" spans="1:9" x14ac:dyDescent="0.3">
      <c r="A3750" t="s">
        <v>4</v>
      </c>
      <c r="B3750" t="s">
        <v>25</v>
      </c>
      <c r="C3750" t="s">
        <v>74</v>
      </c>
      <c r="D3750" s="9" t="s">
        <v>60</v>
      </c>
      <c r="E3750" t="s">
        <v>39</v>
      </c>
      <c r="F3750" t="s">
        <v>75</v>
      </c>
      <c r="G3750">
        <v>55.5</v>
      </c>
      <c r="I3750"/>
    </row>
    <row r="3751" spans="1:9" x14ac:dyDescent="0.3">
      <c r="A3751" t="s">
        <v>4</v>
      </c>
      <c r="B3751" t="s">
        <v>25</v>
      </c>
      <c r="C3751" t="s">
        <v>76</v>
      </c>
      <c r="D3751" s="9" t="s">
        <v>60</v>
      </c>
      <c r="E3751" t="s">
        <v>40</v>
      </c>
      <c r="F3751" t="s">
        <v>77</v>
      </c>
      <c r="G3751">
        <v>52.3</v>
      </c>
      <c r="I3751"/>
    </row>
    <row r="3752" spans="1:9" x14ac:dyDescent="0.3">
      <c r="A3752" t="s">
        <v>4</v>
      </c>
      <c r="B3752" t="s">
        <v>25</v>
      </c>
      <c r="C3752" t="s">
        <v>78</v>
      </c>
      <c r="D3752" s="9" t="s">
        <v>60</v>
      </c>
      <c r="E3752" t="s">
        <v>41</v>
      </c>
      <c r="F3752" t="s">
        <v>79</v>
      </c>
      <c r="G3752">
        <v>54.9</v>
      </c>
      <c r="I3752"/>
    </row>
    <row r="3753" spans="1:9" x14ac:dyDescent="0.3">
      <c r="A3753" t="s">
        <v>4</v>
      </c>
      <c r="B3753" t="s">
        <v>25</v>
      </c>
      <c r="C3753" t="s">
        <v>80</v>
      </c>
      <c r="D3753" s="9" t="s">
        <v>60</v>
      </c>
      <c r="E3753" t="s">
        <v>42</v>
      </c>
      <c r="F3753" t="s">
        <v>81</v>
      </c>
      <c r="G3753">
        <v>55.5</v>
      </c>
      <c r="I3753"/>
    </row>
    <row r="3754" spans="1:9" x14ac:dyDescent="0.3">
      <c r="A3754" t="s">
        <v>4</v>
      </c>
      <c r="B3754" t="s">
        <v>25</v>
      </c>
      <c r="C3754" t="s">
        <v>82</v>
      </c>
      <c r="D3754" s="9" t="s">
        <v>60</v>
      </c>
      <c r="E3754" t="s">
        <v>43</v>
      </c>
      <c r="F3754" t="s">
        <v>83</v>
      </c>
      <c r="G3754">
        <v>68.7</v>
      </c>
      <c r="I3754"/>
    </row>
    <row r="3755" spans="1:9" x14ac:dyDescent="0.3">
      <c r="A3755" t="s">
        <v>4</v>
      </c>
      <c r="B3755" t="s">
        <v>25</v>
      </c>
      <c r="C3755" t="s">
        <v>84</v>
      </c>
      <c r="D3755" s="9" t="s">
        <v>85</v>
      </c>
      <c r="E3755" t="s">
        <v>32</v>
      </c>
      <c r="F3755" t="s">
        <v>61</v>
      </c>
      <c r="G3755">
        <v>60.2</v>
      </c>
      <c r="H3755" s="9">
        <v>2.21</v>
      </c>
      <c r="I3755"/>
    </row>
    <row r="3756" spans="1:9" x14ac:dyDescent="0.3">
      <c r="A3756" t="s">
        <v>4</v>
      </c>
      <c r="B3756" t="s">
        <v>25</v>
      </c>
      <c r="C3756" t="s">
        <v>86</v>
      </c>
      <c r="D3756" s="9" t="s">
        <v>85</v>
      </c>
      <c r="E3756" t="s">
        <v>33</v>
      </c>
      <c r="F3756" t="s">
        <v>63</v>
      </c>
      <c r="G3756">
        <v>53.9</v>
      </c>
      <c r="H3756" s="9">
        <v>10</v>
      </c>
      <c r="I3756"/>
    </row>
    <row r="3757" spans="1:9" x14ac:dyDescent="0.3">
      <c r="A3757" t="s">
        <v>4</v>
      </c>
      <c r="B3757" t="s">
        <v>25</v>
      </c>
      <c r="C3757" t="s">
        <v>87</v>
      </c>
      <c r="D3757" s="9" t="s">
        <v>85</v>
      </c>
      <c r="E3757" t="s">
        <v>34</v>
      </c>
      <c r="F3757" t="s">
        <v>65</v>
      </c>
      <c r="G3757">
        <v>54</v>
      </c>
      <c r="H3757" s="9">
        <v>4.6500000000000004</v>
      </c>
      <c r="I3757"/>
    </row>
    <row r="3758" spans="1:9" x14ac:dyDescent="0.3">
      <c r="A3758" t="s">
        <v>4</v>
      </c>
      <c r="B3758" t="s">
        <v>25</v>
      </c>
      <c r="C3758" t="s">
        <v>88</v>
      </c>
      <c r="D3758" s="9" t="s">
        <v>85</v>
      </c>
      <c r="E3758" t="s">
        <v>35</v>
      </c>
      <c r="F3758" t="s">
        <v>67</v>
      </c>
      <c r="G3758">
        <v>47.3</v>
      </c>
      <c r="H3758" s="9">
        <v>-0.84</v>
      </c>
      <c r="I3758"/>
    </row>
    <row r="3759" spans="1:9" x14ac:dyDescent="0.3">
      <c r="A3759" t="s">
        <v>4</v>
      </c>
      <c r="B3759" t="s">
        <v>25</v>
      </c>
      <c r="C3759" t="s">
        <v>89</v>
      </c>
      <c r="D3759" s="9" t="s">
        <v>85</v>
      </c>
      <c r="E3759" t="s">
        <v>36</v>
      </c>
      <c r="F3759" t="s">
        <v>69</v>
      </c>
      <c r="G3759">
        <v>55.2</v>
      </c>
      <c r="H3759" s="9">
        <v>5.54</v>
      </c>
      <c r="I3759"/>
    </row>
    <row r="3760" spans="1:9" x14ac:dyDescent="0.3">
      <c r="A3760" t="s">
        <v>4</v>
      </c>
      <c r="B3760" t="s">
        <v>25</v>
      </c>
      <c r="C3760" t="s">
        <v>90</v>
      </c>
      <c r="D3760" s="9" t="s">
        <v>85</v>
      </c>
      <c r="E3760" t="s">
        <v>37</v>
      </c>
      <c r="F3760" t="s">
        <v>71</v>
      </c>
      <c r="G3760">
        <v>54.7</v>
      </c>
      <c r="H3760" s="9">
        <v>6.84</v>
      </c>
      <c r="I3760"/>
    </row>
    <row r="3761" spans="1:9" x14ac:dyDescent="0.3">
      <c r="A3761" t="s">
        <v>4</v>
      </c>
      <c r="B3761" t="s">
        <v>25</v>
      </c>
      <c r="C3761" t="s">
        <v>91</v>
      </c>
      <c r="D3761" s="9" t="s">
        <v>85</v>
      </c>
      <c r="E3761" t="s">
        <v>38</v>
      </c>
      <c r="F3761" t="s">
        <v>73</v>
      </c>
      <c r="G3761">
        <v>54.7</v>
      </c>
      <c r="H3761" s="9">
        <v>-1.44</v>
      </c>
      <c r="I3761"/>
    </row>
    <row r="3762" spans="1:9" x14ac:dyDescent="0.3">
      <c r="A3762" t="s">
        <v>4</v>
      </c>
      <c r="B3762" t="s">
        <v>25</v>
      </c>
      <c r="C3762" t="s">
        <v>92</v>
      </c>
      <c r="D3762" s="9" t="s">
        <v>85</v>
      </c>
      <c r="E3762" t="s">
        <v>39</v>
      </c>
      <c r="F3762" t="s">
        <v>75</v>
      </c>
      <c r="G3762">
        <v>52.5</v>
      </c>
      <c r="H3762" s="9">
        <v>-5.41</v>
      </c>
      <c r="I3762"/>
    </row>
    <row r="3763" spans="1:9" x14ac:dyDescent="0.3">
      <c r="A3763" t="s">
        <v>4</v>
      </c>
      <c r="B3763" t="s">
        <v>25</v>
      </c>
      <c r="C3763" t="s">
        <v>93</v>
      </c>
      <c r="D3763" s="9" t="s">
        <v>85</v>
      </c>
      <c r="E3763" t="s">
        <v>40</v>
      </c>
      <c r="F3763" t="s">
        <v>77</v>
      </c>
      <c r="G3763">
        <v>55.8</v>
      </c>
      <c r="H3763" s="9">
        <v>6.69</v>
      </c>
      <c r="I3763"/>
    </row>
    <row r="3764" spans="1:9" x14ac:dyDescent="0.3">
      <c r="A3764" t="s">
        <v>4</v>
      </c>
      <c r="B3764" t="s">
        <v>25</v>
      </c>
      <c r="C3764" t="s">
        <v>94</v>
      </c>
      <c r="D3764" s="9" t="s">
        <v>85</v>
      </c>
      <c r="E3764" t="s">
        <v>41</v>
      </c>
      <c r="F3764" t="s">
        <v>79</v>
      </c>
      <c r="G3764">
        <v>53.5</v>
      </c>
      <c r="H3764" s="9">
        <v>-2.5499999999999998</v>
      </c>
      <c r="I3764"/>
    </row>
    <row r="3765" spans="1:9" x14ac:dyDescent="0.3">
      <c r="A3765" t="s">
        <v>4</v>
      </c>
      <c r="B3765" t="s">
        <v>25</v>
      </c>
      <c r="C3765" t="s">
        <v>95</v>
      </c>
      <c r="D3765" s="9" t="s">
        <v>85</v>
      </c>
      <c r="E3765" t="s">
        <v>42</v>
      </c>
      <c r="F3765" t="s">
        <v>81</v>
      </c>
      <c r="G3765">
        <v>55.3</v>
      </c>
      <c r="H3765" s="9">
        <v>-0.36</v>
      </c>
      <c r="I3765"/>
    </row>
    <row r="3766" spans="1:9" x14ac:dyDescent="0.3">
      <c r="A3766" t="s">
        <v>4</v>
      </c>
      <c r="B3766" t="s">
        <v>25</v>
      </c>
      <c r="C3766" t="s">
        <v>96</v>
      </c>
      <c r="D3766" s="9" t="s">
        <v>85</v>
      </c>
      <c r="E3766" t="s">
        <v>43</v>
      </c>
      <c r="F3766" t="s">
        <v>83</v>
      </c>
      <c r="G3766">
        <v>75.2</v>
      </c>
      <c r="H3766" s="9">
        <v>9.4600000000000009</v>
      </c>
      <c r="I3766"/>
    </row>
    <row r="3767" spans="1:9" x14ac:dyDescent="0.3">
      <c r="A3767" t="s">
        <v>4</v>
      </c>
      <c r="B3767" t="s">
        <v>25</v>
      </c>
      <c r="C3767" t="s">
        <v>97</v>
      </c>
      <c r="D3767" s="9" t="s">
        <v>98</v>
      </c>
      <c r="E3767" t="s">
        <v>32</v>
      </c>
      <c r="F3767" t="s">
        <v>61</v>
      </c>
      <c r="G3767">
        <v>58.6</v>
      </c>
      <c r="H3767" s="9">
        <v>-2.66</v>
      </c>
      <c r="I3767"/>
    </row>
    <row r="3768" spans="1:9" x14ac:dyDescent="0.3">
      <c r="A3768" t="s">
        <v>4</v>
      </c>
      <c r="B3768" t="s">
        <v>25</v>
      </c>
      <c r="C3768" t="s">
        <v>99</v>
      </c>
      <c r="D3768" s="9" t="s">
        <v>98</v>
      </c>
      <c r="E3768" t="s">
        <v>33</v>
      </c>
      <c r="F3768" t="s">
        <v>63</v>
      </c>
      <c r="G3768">
        <v>51.8</v>
      </c>
      <c r="H3768" s="9">
        <v>-3.9</v>
      </c>
      <c r="I3768"/>
    </row>
    <row r="3769" spans="1:9" x14ac:dyDescent="0.3">
      <c r="A3769" t="s">
        <v>4</v>
      </c>
      <c r="B3769" t="s">
        <v>25</v>
      </c>
      <c r="C3769" t="s">
        <v>100</v>
      </c>
      <c r="D3769" s="9" t="s">
        <v>98</v>
      </c>
      <c r="E3769" t="s">
        <v>34</v>
      </c>
      <c r="F3769" t="s">
        <v>65</v>
      </c>
      <c r="G3769">
        <v>53.8</v>
      </c>
      <c r="H3769" s="9">
        <v>-0.37</v>
      </c>
      <c r="I3769"/>
    </row>
    <row r="3770" spans="1:9" x14ac:dyDescent="0.3">
      <c r="A3770" t="s">
        <v>4</v>
      </c>
      <c r="B3770" t="s">
        <v>25</v>
      </c>
      <c r="C3770" t="s">
        <v>101</v>
      </c>
      <c r="D3770" s="9" t="s">
        <v>98</v>
      </c>
      <c r="E3770" t="s">
        <v>35</v>
      </c>
      <c r="F3770" t="s">
        <v>67</v>
      </c>
      <c r="G3770">
        <v>51.5</v>
      </c>
      <c r="H3770" s="9">
        <v>8.8800000000000008</v>
      </c>
      <c r="I3770"/>
    </row>
    <row r="3771" spans="1:9" x14ac:dyDescent="0.3">
      <c r="A3771" t="s">
        <v>4</v>
      </c>
      <c r="B3771" t="s">
        <v>25</v>
      </c>
      <c r="C3771" t="s">
        <v>102</v>
      </c>
      <c r="D3771" s="9" t="s">
        <v>98</v>
      </c>
      <c r="E3771" t="s">
        <v>36</v>
      </c>
      <c r="F3771" t="s">
        <v>69</v>
      </c>
      <c r="G3771">
        <v>52.7</v>
      </c>
      <c r="H3771" s="9">
        <v>-4.53</v>
      </c>
      <c r="I3771"/>
    </row>
    <row r="3772" spans="1:9" x14ac:dyDescent="0.3">
      <c r="A3772" t="s">
        <v>4</v>
      </c>
      <c r="B3772" t="s">
        <v>25</v>
      </c>
      <c r="C3772" t="s">
        <v>103</v>
      </c>
      <c r="D3772" s="9" t="s">
        <v>98</v>
      </c>
      <c r="E3772" t="s">
        <v>37</v>
      </c>
      <c r="F3772" t="s">
        <v>71</v>
      </c>
      <c r="G3772">
        <v>48.9</v>
      </c>
      <c r="H3772" s="9">
        <v>-10.6</v>
      </c>
      <c r="I3772"/>
    </row>
    <row r="3773" spans="1:9" x14ac:dyDescent="0.3">
      <c r="A3773" t="s">
        <v>4</v>
      </c>
      <c r="B3773" t="s">
        <v>25</v>
      </c>
      <c r="C3773" t="s">
        <v>104</v>
      </c>
      <c r="D3773" s="9" t="s">
        <v>98</v>
      </c>
      <c r="E3773" t="s">
        <v>38</v>
      </c>
      <c r="F3773" t="s">
        <v>73</v>
      </c>
      <c r="G3773">
        <v>51</v>
      </c>
      <c r="H3773" s="9">
        <v>-6.76</v>
      </c>
      <c r="I3773"/>
    </row>
    <row r="3774" spans="1:9" x14ac:dyDescent="0.3">
      <c r="A3774" t="s">
        <v>4</v>
      </c>
      <c r="B3774" t="s">
        <v>25</v>
      </c>
      <c r="C3774" t="s">
        <v>105</v>
      </c>
      <c r="D3774" s="9" t="s">
        <v>98</v>
      </c>
      <c r="E3774" t="s">
        <v>39</v>
      </c>
      <c r="F3774" t="s">
        <v>75</v>
      </c>
      <c r="G3774">
        <v>50</v>
      </c>
      <c r="H3774" s="9">
        <v>-4.76</v>
      </c>
      <c r="I3774"/>
    </row>
    <row r="3775" spans="1:9" x14ac:dyDescent="0.3">
      <c r="A3775" t="s">
        <v>4</v>
      </c>
      <c r="B3775" t="s">
        <v>25</v>
      </c>
      <c r="C3775" t="s">
        <v>106</v>
      </c>
      <c r="D3775" s="9" t="s">
        <v>98</v>
      </c>
      <c r="E3775" t="s">
        <v>40</v>
      </c>
      <c r="F3775" t="s">
        <v>77</v>
      </c>
      <c r="G3775">
        <v>50.7</v>
      </c>
      <c r="H3775" s="9">
        <v>-9.14</v>
      </c>
      <c r="I3775"/>
    </row>
    <row r="3776" spans="1:9" x14ac:dyDescent="0.3">
      <c r="A3776" t="s">
        <v>4</v>
      </c>
      <c r="B3776" t="s">
        <v>25</v>
      </c>
      <c r="C3776" t="s">
        <v>107</v>
      </c>
      <c r="D3776" s="9" t="s">
        <v>98</v>
      </c>
      <c r="E3776" t="s">
        <v>41</v>
      </c>
      <c r="F3776" t="s">
        <v>79</v>
      </c>
      <c r="G3776">
        <v>47.5</v>
      </c>
      <c r="H3776" s="9">
        <v>-11.21</v>
      </c>
      <c r="I3776"/>
    </row>
    <row r="3777" spans="1:9" x14ac:dyDescent="0.3">
      <c r="A3777" t="s">
        <v>4</v>
      </c>
      <c r="B3777" t="s">
        <v>25</v>
      </c>
      <c r="C3777" t="s">
        <v>108</v>
      </c>
      <c r="D3777" s="9" t="s">
        <v>98</v>
      </c>
      <c r="E3777" t="s">
        <v>42</v>
      </c>
      <c r="F3777" t="s">
        <v>81</v>
      </c>
      <c r="G3777">
        <v>53.7</v>
      </c>
      <c r="H3777" s="9">
        <v>-2.89</v>
      </c>
      <c r="I3777"/>
    </row>
    <row r="3778" spans="1:9" x14ac:dyDescent="0.3">
      <c r="A3778" t="s">
        <v>4</v>
      </c>
      <c r="B3778" t="s">
        <v>25</v>
      </c>
      <c r="C3778" t="s">
        <v>109</v>
      </c>
      <c r="D3778" s="9" t="s">
        <v>98</v>
      </c>
      <c r="E3778" t="s">
        <v>43</v>
      </c>
      <c r="F3778" t="s">
        <v>83</v>
      </c>
      <c r="G3778">
        <v>71.7</v>
      </c>
      <c r="H3778" s="9">
        <v>-4.6500000000000004</v>
      </c>
      <c r="I3778"/>
    </row>
    <row r="3779" spans="1:9" x14ac:dyDescent="0.3">
      <c r="A3779" t="s">
        <v>4</v>
      </c>
      <c r="B3779" t="s">
        <v>25</v>
      </c>
      <c r="C3779" t="s">
        <v>110</v>
      </c>
      <c r="D3779" s="9" t="s">
        <v>111</v>
      </c>
      <c r="E3779" t="s">
        <v>32</v>
      </c>
      <c r="F3779" t="s">
        <v>61</v>
      </c>
      <c r="G3779">
        <v>51.2</v>
      </c>
      <c r="H3779" s="9">
        <v>-12.63</v>
      </c>
      <c r="I3779"/>
    </row>
    <row r="3780" spans="1:9" x14ac:dyDescent="0.3">
      <c r="A3780" t="s">
        <v>4</v>
      </c>
      <c r="B3780" t="s">
        <v>25</v>
      </c>
      <c r="C3780" t="s">
        <v>112</v>
      </c>
      <c r="D3780" s="9" t="s">
        <v>111</v>
      </c>
      <c r="E3780" t="s">
        <v>33</v>
      </c>
      <c r="F3780" t="s">
        <v>63</v>
      </c>
      <c r="G3780">
        <v>50.2</v>
      </c>
      <c r="H3780" s="9">
        <v>-3.09</v>
      </c>
      <c r="I3780"/>
    </row>
    <row r="3781" spans="1:9" x14ac:dyDescent="0.3">
      <c r="A3781" t="s">
        <v>4</v>
      </c>
      <c r="B3781" t="s">
        <v>25</v>
      </c>
      <c r="C3781" t="s">
        <v>113</v>
      </c>
      <c r="D3781" s="9" t="s">
        <v>111</v>
      </c>
      <c r="E3781" t="s">
        <v>34</v>
      </c>
      <c r="F3781" t="s">
        <v>65</v>
      </c>
      <c r="G3781">
        <v>51.5</v>
      </c>
      <c r="H3781" s="9">
        <v>-4.28</v>
      </c>
      <c r="I3781"/>
    </row>
    <row r="3782" spans="1:9" x14ac:dyDescent="0.3">
      <c r="A3782" t="s">
        <v>4</v>
      </c>
      <c r="B3782" t="s">
        <v>25</v>
      </c>
      <c r="C3782" t="s">
        <v>114</v>
      </c>
      <c r="D3782" s="9" t="s">
        <v>111</v>
      </c>
      <c r="E3782" t="s">
        <v>35</v>
      </c>
      <c r="F3782" t="s">
        <v>67</v>
      </c>
      <c r="G3782">
        <v>51.6</v>
      </c>
      <c r="H3782" s="9">
        <v>0.19</v>
      </c>
      <c r="I3782"/>
    </row>
    <row r="3783" spans="1:9" x14ac:dyDescent="0.3">
      <c r="A3783" t="s">
        <v>4</v>
      </c>
      <c r="B3783" t="s">
        <v>25</v>
      </c>
      <c r="C3783" t="s">
        <v>115</v>
      </c>
      <c r="D3783" s="9" t="s">
        <v>111</v>
      </c>
      <c r="E3783" t="s">
        <v>36</v>
      </c>
      <c r="F3783" t="s">
        <v>69</v>
      </c>
      <c r="G3783">
        <v>55.7</v>
      </c>
      <c r="H3783" s="9">
        <v>5.69</v>
      </c>
      <c r="I3783"/>
    </row>
    <row r="3784" spans="1:9" x14ac:dyDescent="0.3">
      <c r="A3784" t="s">
        <v>4</v>
      </c>
      <c r="B3784" t="s">
        <v>25</v>
      </c>
      <c r="C3784" t="s">
        <v>116</v>
      </c>
      <c r="D3784" s="9" t="s">
        <v>111</v>
      </c>
      <c r="E3784" t="s">
        <v>37</v>
      </c>
      <c r="F3784" t="s">
        <v>71</v>
      </c>
      <c r="G3784">
        <v>45.5</v>
      </c>
      <c r="H3784" s="9">
        <v>-6.95</v>
      </c>
      <c r="I3784"/>
    </row>
    <row r="3785" spans="1:9" x14ac:dyDescent="0.3">
      <c r="A3785" t="s">
        <v>4</v>
      </c>
      <c r="B3785" t="s">
        <v>25</v>
      </c>
      <c r="C3785" t="s">
        <v>117</v>
      </c>
      <c r="D3785" s="9" t="s">
        <v>111</v>
      </c>
      <c r="E3785" t="s">
        <v>38</v>
      </c>
      <c r="F3785" t="s">
        <v>73</v>
      </c>
      <c r="G3785">
        <v>45.8</v>
      </c>
      <c r="H3785" s="9">
        <v>-10.199999999999999</v>
      </c>
      <c r="I3785"/>
    </row>
    <row r="3786" spans="1:9" x14ac:dyDescent="0.3">
      <c r="A3786" t="s">
        <v>4</v>
      </c>
      <c r="B3786" t="s">
        <v>25</v>
      </c>
      <c r="C3786" t="s">
        <v>118</v>
      </c>
      <c r="D3786" s="9" t="s">
        <v>111</v>
      </c>
      <c r="E3786" t="s">
        <v>39</v>
      </c>
      <c r="F3786" t="s">
        <v>75</v>
      </c>
      <c r="G3786">
        <v>49.6</v>
      </c>
      <c r="H3786" s="9">
        <v>-0.8</v>
      </c>
      <c r="I3786"/>
    </row>
    <row r="3787" spans="1:9" x14ac:dyDescent="0.3">
      <c r="A3787" t="s">
        <v>4</v>
      </c>
      <c r="B3787" t="s">
        <v>25</v>
      </c>
      <c r="C3787" t="s">
        <v>119</v>
      </c>
      <c r="D3787" s="9" t="s">
        <v>111</v>
      </c>
      <c r="E3787" t="s">
        <v>40</v>
      </c>
      <c r="F3787" t="s">
        <v>77</v>
      </c>
      <c r="G3787">
        <v>51.7</v>
      </c>
      <c r="H3787" s="9">
        <v>1.97</v>
      </c>
      <c r="I3787"/>
    </row>
    <row r="3788" spans="1:9" x14ac:dyDescent="0.3">
      <c r="A3788" t="s">
        <v>4</v>
      </c>
      <c r="B3788" t="s">
        <v>25</v>
      </c>
      <c r="C3788" t="s">
        <v>120</v>
      </c>
      <c r="D3788" s="9" t="s">
        <v>111</v>
      </c>
      <c r="E3788" t="s">
        <v>41</v>
      </c>
      <c r="F3788" t="s">
        <v>79</v>
      </c>
      <c r="G3788">
        <v>52.6</v>
      </c>
      <c r="H3788" s="9">
        <v>10.74</v>
      </c>
      <c r="I3788"/>
    </row>
    <row r="3789" spans="1:9" x14ac:dyDescent="0.3">
      <c r="A3789" t="s">
        <v>4</v>
      </c>
      <c r="B3789" t="s">
        <v>25</v>
      </c>
      <c r="C3789" t="s">
        <v>121</v>
      </c>
      <c r="D3789" s="9" t="s">
        <v>111</v>
      </c>
      <c r="E3789" t="s">
        <v>42</v>
      </c>
      <c r="F3789" t="s">
        <v>81</v>
      </c>
      <c r="G3789">
        <v>54.7</v>
      </c>
      <c r="H3789" s="9">
        <v>1.86</v>
      </c>
      <c r="I3789"/>
    </row>
    <row r="3790" spans="1:9" x14ac:dyDescent="0.3">
      <c r="A3790" t="s">
        <v>4</v>
      </c>
      <c r="B3790" t="s">
        <v>25</v>
      </c>
      <c r="C3790" t="s">
        <v>122</v>
      </c>
      <c r="D3790" s="9" t="s">
        <v>111</v>
      </c>
      <c r="E3790" t="s">
        <v>43</v>
      </c>
      <c r="F3790" t="s">
        <v>83</v>
      </c>
      <c r="G3790">
        <v>76.7</v>
      </c>
      <c r="H3790" s="9">
        <v>6.97</v>
      </c>
      <c r="I3790"/>
    </row>
    <row r="3791" spans="1:9" x14ac:dyDescent="0.3">
      <c r="A3791" t="s">
        <v>4</v>
      </c>
      <c r="B3791" t="s">
        <v>25</v>
      </c>
      <c r="C3791" t="s">
        <v>123</v>
      </c>
      <c r="D3791" s="9" t="s">
        <v>124</v>
      </c>
      <c r="E3791" t="s">
        <v>32</v>
      </c>
      <c r="F3791" t="s">
        <v>61</v>
      </c>
      <c r="G3791">
        <v>55.7</v>
      </c>
      <c r="H3791" s="9">
        <v>8.7899999999999991</v>
      </c>
      <c r="I3791"/>
    </row>
    <row r="3792" spans="1:9" x14ac:dyDescent="0.3">
      <c r="A3792" t="s">
        <v>4</v>
      </c>
      <c r="B3792" t="s">
        <v>25</v>
      </c>
      <c r="C3792" t="s">
        <v>125</v>
      </c>
      <c r="D3792" s="9" t="s">
        <v>124</v>
      </c>
      <c r="E3792" t="s">
        <v>33</v>
      </c>
      <c r="F3792" t="s">
        <v>63</v>
      </c>
      <c r="G3792">
        <v>46.1</v>
      </c>
      <c r="H3792" s="9">
        <v>-8.17</v>
      </c>
      <c r="I3792"/>
    </row>
    <row r="3793" spans="1:9" x14ac:dyDescent="0.3">
      <c r="A3793" t="s">
        <v>4</v>
      </c>
      <c r="B3793" t="s">
        <v>25</v>
      </c>
      <c r="C3793" t="s">
        <v>126</v>
      </c>
      <c r="D3793" s="9" t="s">
        <v>124</v>
      </c>
      <c r="E3793" t="s">
        <v>34</v>
      </c>
      <c r="F3793" t="s">
        <v>65</v>
      </c>
      <c r="G3793">
        <v>45.7</v>
      </c>
      <c r="H3793" s="9">
        <v>-11.26</v>
      </c>
      <c r="I3793"/>
    </row>
    <row r="3794" spans="1:9" x14ac:dyDescent="0.3">
      <c r="A3794" t="s">
        <v>4</v>
      </c>
      <c r="B3794" t="s">
        <v>25</v>
      </c>
      <c r="C3794" t="s">
        <v>127</v>
      </c>
      <c r="D3794" s="9" t="s">
        <v>124</v>
      </c>
      <c r="E3794" t="s">
        <v>35</v>
      </c>
      <c r="F3794" t="s">
        <v>67</v>
      </c>
      <c r="G3794">
        <v>43.6</v>
      </c>
      <c r="H3794" s="9">
        <v>-15.5</v>
      </c>
      <c r="I3794"/>
    </row>
    <row r="3795" spans="1:9" x14ac:dyDescent="0.3">
      <c r="A3795" t="s">
        <v>4</v>
      </c>
      <c r="B3795" t="s">
        <v>25</v>
      </c>
      <c r="C3795" t="s">
        <v>128</v>
      </c>
      <c r="D3795" s="9" t="s">
        <v>124</v>
      </c>
      <c r="E3795" t="s">
        <v>36</v>
      </c>
      <c r="F3795" t="s">
        <v>69</v>
      </c>
      <c r="G3795">
        <v>41.5</v>
      </c>
      <c r="H3795" s="9">
        <v>-25.49</v>
      </c>
      <c r="I3795"/>
    </row>
    <row r="3796" spans="1:9" x14ac:dyDescent="0.3">
      <c r="A3796" t="s">
        <v>4</v>
      </c>
      <c r="B3796" t="s">
        <v>25</v>
      </c>
      <c r="C3796" t="s">
        <v>129</v>
      </c>
      <c r="D3796" s="9" t="s">
        <v>124</v>
      </c>
      <c r="E3796" t="s">
        <v>37</v>
      </c>
      <c r="F3796" t="s">
        <v>71</v>
      </c>
      <c r="G3796">
        <v>43.9</v>
      </c>
      <c r="H3796" s="9">
        <v>-3.52</v>
      </c>
      <c r="I3796"/>
    </row>
    <row r="3797" spans="1:9" x14ac:dyDescent="0.3">
      <c r="A3797" t="s">
        <v>4</v>
      </c>
      <c r="B3797" t="s">
        <v>25</v>
      </c>
      <c r="C3797" t="s">
        <v>130</v>
      </c>
      <c r="D3797" s="9" t="s">
        <v>124</v>
      </c>
      <c r="E3797" t="s">
        <v>38</v>
      </c>
      <c r="F3797" t="s">
        <v>73</v>
      </c>
      <c r="G3797">
        <v>47.1</v>
      </c>
      <c r="H3797" s="9">
        <v>2.84</v>
      </c>
      <c r="I3797"/>
    </row>
    <row r="3798" spans="1:9" x14ac:dyDescent="0.3">
      <c r="A3798" t="s">
        <v>4</v>
      </c>
      <c r="B3798" t="s">
        <v>25</v>
      </c>
      <c r="C3798" t="s">
        <v>131</v>
      </c>
      <c r="D3798" s="9" t="s">
        <v>124</v>
      </c>
      <c r="E3798" t="s">
        <v>39</v>
      </c>
      <c r="F3798" t="s">
        <v>75</v>
      </c>
      <c r="G3798">
        <v>49</v>
      </c>
      <c r="H3798" s="9">
        <v>-1.21</v>
      </c>
      <c r="I3798"/>
    </row>
    <row r="3799" spans="1:9" x14ac:dyDescent="0.3">
      <c r="A3799" t="s">
        <v>4</v>
      </c>
      <c r="B3799" t="s">
        <v>25</v>
      </c>
      <c r="C3799" t="s">
        <v>132</v>
      </c>
      <c r="D3799" s="9" t="s">
        <v>124</v>
      </c>
      <c r="E3799" t="s">
        <v>40</v>
      </c>
      <c r="F3799" t="s">
        <v>77</v>
      </c>
      <c r="G3799">
        <v>45.3</v>
      </c>
      <c r="H3799" s="9">
        <v>-12.38</v>
      </c>
      <c r="I3799"/>
    </row>
    <row r="3800" spans="1:9" x14ac:dyDescent="0.3">
      <c r="A3800" t="s">
        <v>4</v>
      </c>
      <c r="B3800" t="s">
        <v>25</v>
      </c>
      <c r="C3800" t="s">
        <v>133</v>
      </c>
      <c r="D3800" s="9" t="s">
        <v>124</v>
      </c>
      <c r="E3800" t="s">
        <v>41</v>
      </c>
      <c r="F3800" t="s">
        <v>79</v>
      </c>
      <c r="G3800">
        <v>44.7</v>
      </c>
      <c r="H3800" s="9">
        <v>-15.02</v>
      </c>
      <c r="I3800"/>
    </row>
    <row r="3801" spans="1:9" x14ac:dyDescent="0.3">
      <c r="A3801" t="s">
        <v>4</v>
      </c>
      <c r="B3801" t="s">
        <v>25</v>
      </c>
      <c r="C3801" t="s">
        <v>134</v>
      </c>
      <c r="D3801" s="9" t="s">
        <v>124</v>
      </c>
      <c r="E3801" t="s">
        <v>42</v>
      </c>
      <c r="F3801" t="s">
        <v>81</v>
      </c>
      <c r="G3801">
        <v>49.7</v>
      </c>
      <c r="H3801" s="9">
        <v>-9.14</v>
      </c>
      <c r="I3801"/>
    </row>
    <row r="3802" spans="1:9" x14ac:dyDescent="0.3">
      <c r="A3802" t="s">
        <v>4</v>
      </c>
      <c r="B3802" t="s">
        <v>25</v>
      </c>
      <c r="C3802" t="s">
        <v>135</v>
      </c>
      <c r="D3802" s="9" t="s">
        <v>124</v>
      </c>
      <c r="E3802" t="s">
        <v>43</v>
      </c>
      <c r="F3802" t="s">
        <v>83</v>
      </c>
      <c r="G3802">
        <v>66</v>
      </c>
      <c r="H3802" s="9">
        <v>-13.95</v>
      </c>
      <c r="I3802"/>
    </row>
    <row r="3803" spans="1:9" x14ac:dyDescent="0.3">
      <c r="A3803" t="s">
        <v>4</v>
      </c>
      <c r="B3803" t="s">
        <v>25</v>
      </c>
      <c r="C3803" t="s">
        <v>136</v>
      </c>
      <c r="D3803" s="9" t="s">
        <v>137</v>
      </c>
      <c r="E3803" t="s">
        <v>32</v>
      </c>
      <c r="F3803" t="s">
        <v>61</v>
      </c>
      <c r="G3803">
        <v>57.3</v>
      </c>
      <c r="H3803" s="9">
        <v>2.87</v>
      </c>
      <c r="I3803"/>
    </row>
    <row r="3804" spans="1:9" x14ac:dyDescent="0.3">
      <c r="A3804" t="s">
        <v>4</v>
      </c>
      <c r="B3804" t="s">
        <v>25</v>
      </c>
      <c r="C3804" t="s">
        <v>138</v>
      </c>
      <c r="D3804" s="9" t="s">
        <v>137</v>
      </c>
      <c r="E3804" t="s">
        <v>33</v>
      </c>
      <c r="F3804" t="s">
        <v>63</v>
      </c>
      <c r="G3804">
        <v>47.6</v>
      </c>
      <c r="H3804" s="9">
        <v>3.25</v>
      </c>
      <c r="I3804"/>
    </row>
    <row r="3805" spans="1:9" x14ac:dyDescent="0.3">
      <c r="A3805" t="s">
        <v>4</v>
      </c>
      <c r="B3805" t="s">
        <v>25</v>
      </c>
      <c r="C3805" t="s">
        <v>139</v>
      </c>
      <c r="D3805" s="9" t="s">
        <v>137</v>
      </c>
      <c r="E3805" t="s">
        <v>34</v>
      </c>
      <c r="F3805" t="s">
        <v>65</v>
      </c>
      <c r="G3805">
        <v>46</v>
      </c>
      <c r="H3805" s="9">
        <v>0.66</v>
      </c>
      <c r="I3805"/>
    </row>
    <row r="3806" spans="1:9" x14ac:dyDescent="0.3">
      <c r="A3806" t="s">
        <v>4</v>
      </c>
      <c r="B3806" t="s">
        <v>25</v>
      </c>
      <c r="C3806" t="s">
        <v>140</v>
      </c>
      <c r="D3806" s="9" t="s">
        <v>137</v>
      </c>
      <c r="E3806" t="s">
        <v>35</v>
      </c>
      <c r="F3806" t="s">
        <v>67</v>
      </c>
      <c r="G3806">
        <v>46.2</v>
      </c>
      <c r="H3806" s="9">
        <v>5.96</v>
      </c>
      <c r="I3806"/>
    </row>
    <row r="3807" spans="1:9" x14ac:dyDescent="0.3">
      <c r="A3807" t="s">
        <v>4</v>
      </c>
      <c r="B3807" t="s">
        <v>25</v>
      </c>
      <c r="C3807" t="s">
        <v>141</v>
      </c>
      <c r="D3807" s="9" t="s">
        <v>137</v>
      </c>
      <c r="E3807" t="s">
        <v>36</v>
      </c>
      <c r="F3807" t="s">
        <v>69</v>
      </c>
      <c r="G3807">
        <v>50.4</v>
      </c>
      <c r="H3807" s="9">
        <v>21.45</v>
      </c>
      <c r="I3807"/>
    </row>
    <row r="3808" spans="1:9" x14ac:dyDescent="0.3">
      <c r="A3808" t="s">
        <v>4</v>
      </c>
      <c r="B3808" t="s">
        <v>25</v>
      </c>
      <c r="C3808" t="s">
        <v>142</v>
      </c>
      <c r="D3808" s="9" t="s">
        <v>137</v>
      </c>
      <c r="E3808" t="s">
        <v>37</v>
      </c>
      <c r="F3808" t="s">
        <v>71</v>
      </c>
      <c r="G3808">
        <v>47.6</v>
      </c>
      <c r="H3808" s="9">
        <v>8.43</v>
      </c>
      <c r="I3808"/>
    </row>
    <row r="3809" spans="1:9" x14ac:dyDescent="0.3">
      <c r="A3809" t="s">
        <v>4</v>
      </c>
      <c r="B3809" t="s">
        <v>25</v>
      </c>
      <c r="C3809" t="s">
        <v>143</v>
      </c>
      <c r="D3809" s="9" t="s">
        <v>137</v>
      </c>
      <c r="E3809" t="s">
        <v>38</v>
      </c>
      <c r="F3809" t="s">
        <v>73</v>
      </c>
      <c r="G3809">
        <v>49.6</v>
      </c>
      <c r="H3809" s="9">
        <v>5.31</v>
      </c>
      <c r="I3809"/>
    </row>
    <row r="3810" spans="1:9" x14ac:dyDescent="0.3">
      <c r="A3810" t="s">
        <v>4</v>
      </c>
      <c r="B3810" t="s">
        <v>25</v>
      </c>
      <c r="C3810" t="s">
        <v>144</v>
      </c>
      <c r="D3810" s="9" t="s">
        <v>137</v>
      </c>
      <c r="E3810" t="s">
        <v>39</v>
      </c>
      <c r="F3810" t="s">
        <v>75</v>
      </c>
      <c r="G3810">
        <v>48</v>
      </c>
      <c r="H3810" s="9">
        <v>-2.04</v>
      </c>
      <c r="I3810"/>
    </row>
    <row r="3811" spans="1:9" x14ac:dyDescent="0.3">
      <c r="A3811" t="s">
        <v>4</v>
      </c>
      <c r="B3811" t="s">
        <v>25</v>
      </c>
      <c r="C3811" t="s">
        <v>145</v>
      </c>
      <c r="D3811" s="9" t="s">
        <v>137</v>
      </c>
      <c r="E3811" t="s">
        <v>40</v>
      </c>
      <c r="F3811" t="s">
        <v>77</v>
      </c>
      <c r="G3811">
        <v>45.4</v>
      </c>
      <c r="H3811" s="9">
        <v>0.22</v>
      </c>
      <c r="I3811"/>
    </row>
    <row r="3812" spans="1:9" x14ac:dyDescent="0.3">
      <c r="A3812" t="s">
        <v>4</v>
      </c>
      <c r="B3812" t="s">
        <v>25</v>
      </c>
      <c r="C3812" t="s">
        <v>146</v>
      </c>
      <c r="D3812" s="9" t="s">
        <v>137</v>
      </c>
      <c r="E3812" t="s">
        <v>41</v>
      </c>
      <c r="F3812" t="s">
        <v>79</v>
      </c>
      <c r="G3812">
        <v>46.2</v>
      </c>
      <c r="H3812" s="9">
        <v>3.36</v>
      </c>
      <c r="I3812"/>
    </row>
    <row r="3813" spans="1:9" x14ac:dyDescent="0.3">
      <c r="A3813" t="s">
        <v>4</v>
      </c>
      <c r="B3813" t="s">
        <v>25</v>
      </c>
      <c r="C3813" t="s">
        <v>147</v>
      </c>
      <c r="D3813" s="9" t="s">
        <v>137</v>
      </c>
      <c r="E3813" t="s">
        <v>42</v>
      </c>
      <c r="F3813" t="s">
        <v>81</v>
      </c>
      <c r="G3813">
        <v>50.4</v>
      </c>
      <c r="H3813" s="9">
        <v>1.41</v>
      </c>
      <c r="I3813"/>
    </row>
    <row r="3814" spans="1:9" x14ac:dyDescent="0.3">
      <c r="A3814" t="s">
        <v>4</v>
      </c>
      <c r="B3814" t="s">
        <v>25</v>
      </c>
      <c r="C3814" t="s">
        <v>148</v>
      </c>
      <c r="D3814" s="9" t="s">
        <v>137</v>
      </c>
      <c r="E3814" t="s">
        <v>43</v>
      </c>
      <c r="F3814" t="s">
        <v>83</v>
      </c>
      <c r="G3814">
        <v>62.9</v>
      </c>
      <c r="H3814" s="9">
        <v>-4.7</v>
      </c>
      <c r="I3814"/>
    </row>
    <row r="3815" spans="1:9" x14ac:dyDescent="0.3">
      <c r="A3815" t="s">
        <v>4</v>
      </c>
      <c r="B3815" t="s">
        <v>25</v>
      </c>
      <c r="C3815" t="s">
        <v>149</v>
      </c>
      <c r="D3815" s="9" t="s">
        <v>150</v>
      </c>
      <c r="E3815" t="s">
        <v>32</v>
      </c>
      <c r="F3815" t="s">
        <v>61</v>
      </c>
      <c r="G3815">
        <v>50.3</v>
      </c>
      <c r="H3815" s="9">
        <v>-12.22</v>
      </c>
      <c r="I3815"/>
    </row>
    <row r="3816" spans="1:9" x14ac:dyDescent="0.3">
      <c r="A3816" t="s">
        <v>4</v>
      </c>
      <c r="B3816" t="s">
        <v>25</v>
      </c>
      <c r="C3816" t="s">
        <v>151</v>
      </c>
      <c r="D3816" s="9" t="s">
        <v>150</v>
      </c>
      <c r="E3816" t="s">
        <v>33</v>
      </c>
      <c r="F3816" t="s">
        <v>63</v>
      </c>
      <c r="G3816">
        <v>42.1</v>
      </c>
      <c r="H3816" s="9">
        <v>-11.55</v>
      </c>
      <c r="I3816"/>
    </row>
    <row r="3817" spans="1:9" x14ac:dyDescent="0.3">
      <c r="A3817" t="s">
        <v>4</v>
      </c>
      <c r="B3817" t="s">
        <v>25</v>
      </c>
      <c r="C3817" t="s">
        <v>152</v>
      </c>
      <c r="D3817" s="9" t="s">
        <v>150</v>
      </c>
      <c r="E3817" t="s">
        <v>34</v>
      </c>
      <c r="F3817" t="s">
        <v>65</v>
      </c>
      <c r="G3817">
        <v>42.9</v>
      </c>
      <c r="H3817" s="9">
        <v>-6.74</v>
      </c>
      <c r="I3817"/>
    </row>
    <row r="3818" spans="1:9" x14ac:dyDescent="0.3">
      <c r="A3818" t="s">
        <v>4</v>
      </c>
      <c r="B3818" t="s">
        <v>25</v>
      </c>
      <c r="C3818" t="s">
        <v>153</v>
      </c>
      <c r="D3818" s="9" t="s">
        <v>150</v>
      </c>
      <c r="E3818" t="s">
        <v>35</v>
      </c>
      <c r="F3818" t="s">
        <v>67</v>
      </c>
      <c r="G3818">
        <v>43.5</v>
      </c>
      <c r="H3818" s="9">
        <v>-5.84</v>
      </c>
      <c r="I3818"/>
    </row>
    <row r="3819" spans="1:9" x14ac:dyDescent="0.3">
      <c r="A3819" t="s">
        <v>4</v>
      </c>
      <c r="B3819" t="s">
        <v>25</v>
      </c>
      <c r="C3819" t="s">
        <v>154</v>
      </c>
      <c r="D3819" s="9" t="s">
        <v>150</v>
      </c>
      <c r="E3819" t="s">
        <v>36</v>
      </c>
      <c r="F3819" t="s">
        <v>69</v>
      </c>
      <c r="G3819">
        <v>46</v>
      </c>
      <c r="H3819" s="9">
        <v>-8.73</v>
      </c>
      <c r="I3819"/>
    </row>
    <row r="3820" spans="1:9" x14ac:dyDescent="0.3">
      <c r="A3820" t="s">
        <v>4</v>
      </c>
      <c r="B3820" t="s">
        <v>25</v>
      </c>
      <c r="C3820" t="s">
        <v>155</v>
      </c>
      <c r="D3820" s="9" t="s">
        <v>150</v>
      </c>
      <c r="E3820" t="s">
        <v>37</v>
      </c>
      <c r="F3820" t="s">
        <v>71</v>
      </c>
      <c r="G3820">
        <v>44.2</v>
      </c>
      <c r="H3820" s="9">
        <v>-7.14</v>
      </c>
      <c r="I3820"/>
    </row>
    <row r="3821" spans="1:9" x14ac:dyDescent="0.3">
      <c r="A3821" t="s">
        <v>4</v>
      </c>
      <c r="B3821" t="s">
        <v>24</v>
      </c>
      <c r="C3821" t="s">
        <v>59</v>
      </c>
      <c r="D3821" s="9" t="s">
        <v>60</v>
      </c>
      <c r="E3821" t="s">
        <v>32</v>
      </c>
      <c r="F3821" t="s">
        <v>61</v>
      </c>
      <c r="G3821">
        <v>108.4</v>
      </c>
      <c r="I3821"/>
    </row>
    <row r="3822" spans="1:9" x14ac:dyDescent="0.3">
      <c r="A3822" t="s">
        <v>4</v>
      </c>
      <c r="B3822" t="s">
        <v>24</v>
      </c>
      <c r="C3822" t="s">
        <v>62</v>
      </c>
      <c r="D3822" s="9" t="s">
        <v>60</v>
      </c>
      <c r="E3822" t="s">
        <v>33</v>
      </c>
      <c r="F3822" t="s">
        <v>63</v>
      </c>
      <c r="G3822">
        <v>81.7</v>
      </c>
      <c r="I3822"/>
    </row>
    <row r="3823" spans="1:9" x14ac:dyDescent="0.3">
      <c r="A3823" t="s">
        <v>4</v>
      </c>
      <c r="B3823" t="s">
        <v>24</v>
      </c>
      <c r="C3823" t="s">
        <v>64</v>
      </c>
      <c r="D3823" s="9" t="s">
        <v>60</v>
      </c>
      <c r="E3823" t="s">
        <v>34</v>
      </c>
      <c r="F3823" t="s">
        <v>65</v>
      </c>
      <c r="G3823">
        <v>98.9</v>
      </c>
      <c r="I3823"/>
    </row>
    <row r="3824" spans="1:9" x14ac:dyDescent="0.3">
      <c r="A3824" t="s">
        <v>4</v>
      </c>
      <c r="B3824" t="s">
        <v>24</v>
      </c>
      <c r="C3824" t="s">
        <v>66</v>
      </c>
      <c r="D3824" s="9" t="s">
        <v>60</v>
      </c>
      <c r="E3824" t="s">
        <v>35</v>
      </c>
      <c r="F3824" t="s">
        <v>67</v>
      </c>
      <c r="G3824">
        <v>109.7</v>
      </c>
      <c r="I3824"/>
    </row>
    <row r="3825" spans="1:9" x14ac:dyDescent="0.3">
      <c r="A3825" t="s">
        <v>4</v>
      </c>
      <c r="B3825" t="s">
        <v>24</v>
      </c>
      <c r="C3825" t="s">
        <v>68</v>
      </c>
      <c r="D3825" s="9" t="s">
        <v>60</v>
      </c>
      <c r="E3825" t="s">
        <v>36</v>
      </c>
      <c r="F3825" t="s">
        <v>69</v>
      </c>
      <c r="G3825">
        <v>106.2</v>
      </c>
      <c r="I3825"/>
    </row>
    <row r="3826" spans="1:9" x14ac:dyDescent="0.3">
      <c r="A3826" t="s">
        <v>4</v>
      </c>
      <c r="B3826" t="s">
        <v>24</v>
      </c>
      <c r="C3826" t="s">
        <v>70</v>
      </c>
      <c r="D3826" s="9" t="s">
        <v>60</v>
      </c>
      <c r="E3826" t="s">
        <v>37</v>
      </c>
      <c r="F3826" t="s">
        <v>71</v>
      </c>
      <c r="G3826">
        <v>107.1</v>
      </c>
      <c r="I3826"/>
    </row>
    <row r="3827" spans="1:9" x14ac:dyDescent="0.3">
      <c r="A3827" t="s">
        <v>4</v>
      </c>
      <c r="B3827" t="s">
        <v>24</v>
      </c>
      <c r="C3827" t="s">
        <v>72</v>
      </c>
      <c r="D3827" s="9" t="s">
        <v>60</v>
      </c>
      <c r="E3827" t="s">
        <v>38</v>
      </c>
      <c r="F3827" t="s">
        <v>73</v>
      </c>
      <c r="G3827">
        <v>110.6</v>
      </c>
      <c r="I3827"/>
    </row>
    <row r="3828" spans="1:9" x14ac:dyDescent="0.3">
      <c r="A3828" t="s">
        <v>4</v>
      </c>
      <c r="B3828" t="s">
        <v>24</v>
      </c>
      <c r="C3828" t="s">
        <v>74</v>
      </c>
      <c r="D3828" s="9" t="s">
        <v>60</v>
      </c>
      <c r="E3828" t="s">
        <v>39</v>
      </c>
      <c r="F3828" t="s">
        <v>75</v>
      </c>
      <c r="G3828">
        <v>116.8</v>
      </c>
      <c r="I3828"/>
    </row>
    <row r="3829" spans="1:9" x14ac:dyDescent="0.3">
      <c r="A3829" t="s">
        <v>4</v>
      </c>
      <c r="B3829" t="s">
        <v>24</v>
      </c>
      <c r="C3829" t="s">
        <v>76</v>
      </c>
      <c r="D3829" s="9" t="s">
        <v>60</v>
      </c>
      <c r="E3829" t="s">
        <v>40</v>
      </c>
      <c r="F3829" t="s">
        <v>77</v>
      </c>
      <c r="G3829">
        <v>119.4</v>
      </c>
      <c r="I3829"/>
    </row>
    <row r="3830" spans="1:9" x14ac:dyDescent="0.3">
      <c r="A3830" t="s">
        <v>4</v>
      </c>
      <c r="B3830" t="s">
        <v>24</v>
      </c>
      <c r="C3830" t="s">
        <v>78</v>
      </c>
      <c r="D3830" s="9" t="s">
        <v>60</v>
      </c>
      <c r="E3830" t="s">
        <v>41</v>
      </c>
      <c r="F3830" t="s">
        <v>79</v>
      </c>
      <c r="G3830">
        <v>114.6</v>
      </c>
      <c r="I3830"/>
    </row>
    <row r="3831" spans="1:9" x14ac:dyDescent="0.3">
      <c r="A3831" t="s">
        <v>4</v>
      </c>
      <c r="B3831" t="s">
        <v>24</v>
      </c>
      <c r="C3831" t="s">
        <v>80</v>
      </c>
      <c r="D3831" s="9" t="s">
        <v>60</v>
      </c>
      <c r="E3831" t="s">
        <v>42</v>
      </c>
      <c r="F3831" t="s">
        <v>81</v>
      </c>
      <c r="G3831">
        <v>129</v>
      </c>
      <c r="I3831"/>
    </row>
    <row r="3832" spans="1:9" x14ac:dyDescent="0.3">
      <c r="A3832" t="s">
        <v>4</v>
      </c>
      <c r="B3832" t="s">
        <v>24</v>
      </c>
      <c r="C3832" t="s">
        <v>82</v>
      </c>
      <c r="D3832" s="9" t="s">
        <v>60</v>
      </c>
      <c r="E3832" t="s">
        <v>43</v>
      </c>
      <c r="F3832" t="s">
        <v>83</v>
      </c>
      <c r="G3832">
        <v>194.6</v>
      </c>
      <c r="I3832"/>
    </row>
    <row r="3833" spans="1:9" x14ac:dyDescent="0.3">
      <c r="A3833" t="s">
        <v>4</v>
      </c>
      <c r="B3833" t="s">
        <v>24</v>
      </c>
      <c r="C3833" t="s">
        <v>84</v>
      </c>
      <c r="D3833" s="9" t="s">
        <v>85</v>
      </c>
      <c r="E3833" t="s">
        <v>32</v>
      </c>
      <c r="F3833" t="s">
        <v>61</v>
      </c>
      <c r="G3833">
        <v>105.6</v>
      </c>
      <c r="H3833" s="9">
        <v>-2.58</v>
      </c>
      <c r="I3833"/>
    </row>
    <row r="3834" spans="1:9" x14ac:dyDescent="0.3">
      <c r="A3834" t="s">
        <v>4</v>
      </c>
      <c r="B3834" t="s">
        <v>24</v>
      </c>
      <c r="C3834" t="s">
        <v>86</v>
      </c>
      <c r="D3834" s="9" t="s">
        <v>85</v>
      </c>
      <c r="E3834" t="s">
        <v>33</v>
      </c>
      <c r="F3834" t="s">
        <v>63</v>
      </c>
      <c r="G3834">
        <v>83.8</v>
      </c>
      <c r="H3834" s="9">
        <v>2.57</v>
      </c>
      <c r="I3834"/>
    </row>
    <row r="3835" spans="1:9" x14ac:dyDescent="0.3">
      <c r="A3835" t="s">
        <v>4</v>
      </c>
      <c r="B3835" t="s">
        <v>24</v>
      </c>
      <c r="C3835" t="s">
        <v>87</v>
      </c>
      <c r="D3835" s="9" t="s">
        <v>85</v>
      </c>
      <c r="E3835" t="s">
        <v>34</v>
      </c>
      <c r="F3835" t="s">
        <v>65</v>
      </c>
      <c r="G3835">
        <v>119</v>
      </c>
      <c r="H3835" s="9">
        <v>20.32</v>
      </c>
      <c r="I3835"/>
    </row>
    <row r="3836" spans="1:9" x14ac:dyDescent="0.3">
      <c r="A3836" t="s">
        <v>4</v>
      </c>
      <c r="B3836" t="s">
        <v>24</v>
      </c>
      <c r="C3836" t="s">
        <v>88</v>
      </c>
      <c r="D3836" s="9" t="s">
        <v>85</v>
      </c>
      <c r="E3836" t="s">
        <v>35</v>
      </c>
      <c r="F3836" t="s">
        <v>67</v>
      </c>
      <c r="G3836">
        <v>98.7</v>
      </c>
      <c r="H3836" s="9">
        <v>-10.029999999999999</v>
      </c>
      <c r="I3836"/>
    </row>
    <row r="3837" spans="1:9" x14ac:dyDescent="0.3">
      <c r="A3837" t="s">
        <v>4</v>
      </c>
      <c r="B3837" t="s">
        <v>24</v>
      </c>
      <c r="C3837" t="s">
        <v>89</v>
      </c>
      <c r="D3837" s="9" t="s">
        <v>85</v>
      </c>
      <c r="E3837" t="s">
        <v>36</v>
      </c>
      <c r="F3837" t="s">
        <v>69</v>
      </c>
      <c r="G3837">
        <v>118.8</v>
      </c>
      <c r="H3837" s="9">
        <v>11.86</v>
      </c>
      <c r="I3837"/>
    </row>
    <row r="3838" spans="1:9" x14ac:dyDescent="0.3">
      <c r="A3838" t="s">
        <v>4</v>
      </c>
      <c r="B3838" t="s">
        <v>24</v>
      </c>
      <c r="C3838" t="s">
        <v>90</v>
      </c>
      <c r="D3838" s="9" t="s">
        <v>85</v>
      </c>
      <c r="E3838" t="s">
        <v>37</v>
      </c>
      <c r="F3838" t="s">
        <v>71</v>
      </c>
      <c r="G3838">
        <v>127.7</v>
      </c>
      <c r="H3838" s="9">
        <v>19.23</v>
      </c>
      <c r="I3838"/>
    </row>
    <row r="3839" spans="1:9" x14ac:dyDescent="0.3">
      <c r="A3839" t="s">
        <v>4</v>
      </c>
      <c r="B3839" t="s">
        <v>24</v>
      </c>
      <c r="C3839" t="s">
        <v>91</v>
      </c>
      <c r="D3839" s="9" t="s">
        <v>85</v>
      </c>
      <c r="E3839" t="s">
        <v>38</v>
      </c>
      <c r="F3839" t="s">
        <v>73</v>
      </c>
      <c r="G3839">
        <v>149.80000000000001</v>
      </c>
      <c r="H3839" s="9">
        <v>35.44</v>
      </c>
      <c r="I3839"/>
    </row>
    <row r="3840" spans="1:9" x14ac:dyDescent="0.3">
      <c r="A3840" t="s">
        <v>4</v>
      </c>
      <c r="B3840" t="s">
        <v>24</v>
      </c>
      <c r="C3840" t="s">
        <v>92</v>
      </c>
      <c r="D3840" s="9" t="s">
        <v>85</v>
      </c>
      <c r="E3840" t="s">
        <v>39</v>
      </c>
      <c r="F3840" t="s">
        <v>75</v>
      </c>
      <c r="G3840">
        <v>127.8</v>
      </c>
      <c r="H3840" s="9">
        <v>9.42</v>
      </c>
      <c r="I3840"/>
    </row>
    <row r="3841" spans="1:9" x14ac:dyDescent="0.3">
      <c r="A3841" t="s">
        <v>4</v>
      </c>
      <c r="B3841" t="s">
        <v>24</v>
      </c>
      <c r="C3841" t="s">
        <v>93</v>
      </c>
      <c r="D3841" s="9" t="s">
        <v>85</v>
      </c>
      <c r="E3841" t="s">
        <v>40</v>
      </c>
      <c r="F3841" t="s">
        <v>77</v>
      </c>
      <c r="G3841">
        <v>139.19999999999999</v>
      </c>
      <c r="H3841" s="9">
        <v>16.579999999999998</v>
      </c>
      <c r="I3841"/>
    </row>
    <row r="3842" spans="1:9" x14ac:dyDescent="0.3">
      <c r="A3842" t="s">
        <v>4</v>
      </c>
      <c r="B3842" t="s">
        <v>24</v>
      </c>
      <c r="C3842" t="s">
        <v>94</v>
      </c>
      <c r="D3842" s="9" t="s">
        <v>85</v>
      </c>
      <c r="E3842" t="s">
        <v>41</v>
      </c>
      <c r="F3842" t="s">
        <v>79</v>
      </c>
      <c r="G3842">
        <v>120.9</v>
      </c>
      <c r="H3842" s="9">
        <v>5.5</v>
      </c>
      <c r="I3842"/>
    </row>
    <row r="3843" spans="1:9" x14ac:dyDescent="0.3">
      <c r="A3843" t="s">
        <v>4</v>
      </c>
      <c r="B3843" t="s">
        <v>24</v>
      </c>
      <c r="C3843" t="s">
        <v>95</v>
      </c>
      <c r="D3843" s="9" t="s">
        <v>85</v>
      </c>
      <c r="E3843" t="s">
        <v>42</v>
      </c>
      <c r="F3843" t="s">
        <v>81</v>
      </c>
      <c r="G3843">
        <v>161.1</v>
      </c>
      <c r="H3843" s="9">
        <v>24.88</v>
      </c>
      <c r="I3843"/>
    </row>
    <row r="3844" spans="1:9" x14ac:dyDescent="0.3">
      <c r="A3844" t="s">
        <v>4</v>
      </c>
      <c r="B3844" t="s">
        <v>24</v>
      </c>
      <c r="C3844" t="s">
        <v>96</v>
      </c>
      <c r="D3844" s="9" t="s">
        <v>85</v>
      </c>
      <c r="E3844" t="s">
        <v>43</v>
      </c>
      <c r="F3844" t="s">
        <v>83</v>
      </c>
      <c r="G3844">
        <v>212.7</v>
      </c>
      <c r="H3844" s="9">
        <v>9.3000000000000007</v>
      </c>
      <c r="I3844"/>
    </row>
    <row r="3845" spans="1:9" x14ac:dyDescent="0.3">
      <c r="A3845" t="s">
        <v>4</v>
      </c>
      <c r="B3845" t="s">
        <v>24</v>
      </c>
      <c r="C3845" t="s">
        <v>97</v>
      </c>
      <c r="D3845" s="9" t="s">
        <v>98</v>
      </c>
      <c r="E3845" t="s">
        <v>32</v>
      </c>
      <c r="F3845" t="s">
        <v>61</v>
      </c>
      <c r="G3845">
        <v>117.8</v>
      </c>
      <c r="H3845" s="9">
        <v>11.55</v>
      </c>
      <c r="I3845"/>
    </row>
    <row r="3846" spans="1:9" x14ac:dyDescent="0.3">
      <c r="A3846" t="s">
        <v>4</v>
      </c>
      <c r="B3846" t="s">
        <v>24</v>
      </c>
      <c r="C3846" t="s">
        <v>99</v>
      </c>
      <c r="D3846" s="9" t="s">
        <v>98</v>
      </c>
      <c r="E3846" t="s">
        <v>33</v>
      </c>
      <c r="F3846" t="s">
        <v>63</v>
      </c>
      <c r="G3846">
        <v>90.1</v>
      </c>
      <c r="H3846" s="9">
        <v>7.52</v>
      </c>
      <c r="I3846"/>
    </row>
    <row r="3847" spans="1:9" x14ac:dyDescent="0.3">
      <c r="A3847" t="s">
        <v>4</v>
      </c>
      <c r="B3847" t="s">
        <v>24</v>
      </c>
      <c r="C3847" t="s">
        <v>100</v>
      </c>
      <c r="D3847" s="9" t="s">
        <v>98</v>
      </c>
      <c r="E3847" t="s">
        <v>34</v>
      </c>
      <c r="F3847" t="s">
        <v>65</v>
      </c>
      <c r="G3847">
        <v>100.6</v>
      </c>
      <c r="H3847" s="9">
        <v>-15.46</v>
      </c>
      <c r="I3847"/>
    </row>
    <row r="3848" spans="1:9" x14ac:dyDescent="0.3">
      <c r="A3848" t="s">
        <v>4</v>
      </c>
      <c r="B3848" t="s">
        <v>24</v>
      </c>
      <c r="C3848" t="s">
        <v>101</v>
      </c>
      <c r="D3848" s="9" t="s">
        <v>98</v>
      </c>
      <c r="E3848" t="s">
        <v>35</v>
      </c>
      <c r="F3848" t="s">
        <v>67</v>
      </c>
      <c r="G3848">
        <v>104.2</v>
      </c>
      <c r="H3848" s="9">
        <v>5.57</v>
      </c>
      <c r="I3848"/>
    </row>
    <row r="3849" spans="1:9" x14ac:dyDescent="0.3">
      <c r="A3849" t="s">
        <v>4</v>
      </c>
      <c r="B3849" t="s">
        <v>24</v>
      </c>
      <c r="C3849" t="s">
        <v>102</v>
      </c>
      <c r="D3849" s="9" t="s">
        <v>98</v>
      </c>
      <c r="E3849" t="s">
        <v>36</v>
      </c>
      <c r="F3849" t="s">
        <v>69</v>
      </c>
      <c r="G3849">
        <v>95.8</v>
      </c>
      <c r="H3849" s="9">
        <v>-19.36</v>
      </c>
      <c r="I3849"/>
    </row>
    <row r="3850" spans="1:9" x14ac:dyDescent="0.3">
      <c r="A3850" t="s">
        <v>4</v>
      </c>
      <c r="B3850" t="s">
        <v>24</v>
      </c>
      <c r="C3850" t="s">
        <v>103</v>
      </c>
      <c r="D3850" s="9" t="s">
        <v>98</v>
      </c>
      <c r="E3850" t="s">
        <v>37</v>
      </c>
      <c r="F3850" t="s">
        <v>71</v>
      </c>
      <c r="G3850">
        <v>103.3</v>
      </c>
      <c r="H3850" s="9">
        <v>-19.11</v>
      </c>
      <c r="I3850"/>
    </row>
    <row r="3851" spans="1:9" x14ac:dyDescent="0.3">
      <c r="A3851" t="s">
        <v>4</v>
      </c>
      <c r="B3851" t="s">
        <v>24</v>
      </c>
      <c r="C3851" t="s">
        <v>104</v>
      </c>
      <c r="D3851" s="9" t="s">
        <v>98</v>
      </c>
      <c r="E3851" t="s">
        <v>38</v>
      </c>
      <c r="F3851" t="s">
        <v>73</v>
      </c>
      <c r="G3851">
        <v>103.6</v>
      </c>
      <c r="H3851" s="9">
        <v>-30.84</v>
      </c>
      <c r="I3851"/>
    </row>
    <row r="3852" spans="1:9" x14ac:dyDescent="0.3">
      <c r="A3852" t="s">
        <v>4</v>
      </c>
      <c r="B3852" t="s">
        <v>24</v>
      </c>
      <c r="C3852" t="s">
        <v>105</v>
      </c>
      <c r="D3852" s="9" t="s">
        <v>98</v>
      </c>
      <c r="E3852" t="s">
        <v>39</v>
      </c>
      <c r="F3852" t="s">
        <v>75</v>
      </c>
      <c r="G3852">
        <v>94.9</v>
      </c>
      <c r="H3852" s="9">
        <v>-25.74</v>
      </c>
      <c r="I3852"/>
    </row>
    <row r="3853" spans="1:9" x14ac:dyDescent="0.3">
      <c r="A3853" t="s">
        <v>4</v>
      </c>
      <c r="B3853" t="s">
        <v>24</v>
      </c>
      <c r="C3853" t="s">
        <v>106</v>
      </c>
      <c r="D3853" s="9" t="s">
        <v>98</v>
      </c>
      <c r="E3853" t="s">
        <v>40</v>
      </c>
      <c r="F3853" t="s">
        <v>77</v>
      </c>
      <c r="G3853">
        <v>128.1</v>
      </c>
      <c r="H3853" s="9">
        <v>-7.97</v>
      </c>
      <c r="I3853"/>
    </row>
    <row r="3854" spans="1:9" x14ac:dyDescent="0.3">
      <c r="A3854" t="s">
        <v>4</v>
      </c>
      <c r="B3854" t="s">
        <v>24</v>
      </c>
      <c r="C3854" t="s">
        <v>107</v>
      </c>
      <c r="D3854" s="9" t="s">
        <v>98</v>
      </c>
      <c r="E3854" t="s">
        <v>41</v>
      </c>
      <c r="F3854" t="s">
        <v>79</v>
      </c>
      <c r="G3854">
        <v>111.5</v>
      </c>
      <c r="H3854" s="9">
        <v>-7.78</v>
      </c>
      <c r="I3854"/>
    </row>
    <row r="3855" spans="1:9" x14ac:dyDescent="0.3">
      <c r="A3855" t="s">
        <v>4</v>
      </c>
      <c r="B3855" t="s">
        <v>24</v>
      </c>
      <c r="C3855" t="s">
        <v>108</v>
      </c>
      <c r="D3855" s="9" t="s">
        <v>98</v>
      </c>
      <c r="E3855" t="s">
        <v>42</v>
      </c>
      <c r="F3855" t="s">
        <v>81</v>
      </c>
      <c r="G3855">
        <v>129.30000000000001</v>
      </c>
      <c r="H3855" s="9">
        <v>-19.739999999999998</v>
      </c>
      <c r="I3855"/>
    </row>
    <row r="3856" spans="1:9" x14ac:dyDescent="0.3">
      <c r="A3856" t="s">
        <v>4</v>
      </c>
      <c r="B3856" t="s">
        <v>24</v>
      </c>
      <c r="C3856" t="s">
        <v>109</v>
      </c>
      <c r="D3856" s="9" t="s">
        <v>98</v>
      </c>
      <c r="E3856" t="s">
        <v>43</v>
      </c>
      <c r="F3856" t="s">
        <v>83</v>
      </c>
      <c r="G3856">
        <v>184</v>
      </c>
      <c r="H3856" s="9">
        <v>-13.49</v>
      </c>
      <c r="I3856"/>
    </row>
    <row r="3857" spans="1:9" x14ac:dyDescent="0.3">
      <c r="A3857" t="s">
        <v>4</v>
      </c>
      <c r="B3857" t="s">
        <v>24</v>
      </c>
      <c r="C3857" t="s">
        <v>110</v>
      </c>
      <c r="D3857" s="9" t="s">
        <v>111</v>
      </c>
      <c r="E3857" t="s">
        <v>32</v>
      </c>
      <c r="F3857" t="s">
        <v>61</v>
      </c>
      <c r="G3857">
        <v>117.2</v>
      </c>
      <c r="H3857" s="9">
        <v>-0.51</v>
      </c>
      <c r="I3857"/>
    </row>
    <row r="3858" spans="1:9" x14ac:dyDescent="0.3">
      <c r="A3858" t="s">
        <v>4</v>
      </c>
      <c r="B3858" t="s">
        <v>24</v>
      </c>
      <c r="C3858" t="s">
        <v>112</v>
      </c>
      <c r="D3858" s="9" t="s">
        <v>111</v>
      </c>
      <c r="E3858" t="s">
        <v>33</v>
      </c>
      <c r="F3858" t="s">
        <v>63</v>
      </c>
      <c r="G3858">
        <v>97.7</v>
      </c>
      <c r="H3858" s="9">
        <v>8.44</v>
      </c>
      <c r="I3858"/>
    </row>
    <row r="3859" spans="1:9" x14ac:dyDescent="0.3">
      <c r="A3859" t="s">
        <v>4</v>
      </c>
      <c r="B3859" t="s">
        <v>24</v>
      </c>
      <c r="C3859" t="s">
        <v>113</v>
      </c>
      <c r="D3859" s="9" t="s">
        <v>111</v>
      </c>
      <c r="E3859" t="s">
        <v>34</v>
      </c>
      <c r="F3859" t="s">
        <v>65</v>
      </c>
      <c r="G3859">
        <v>113.4</v>
      </c>
      <c r="H3859" s="9">
        <v>12.72</v>
      </c>
      <c r="I3859"/>
    </row>
    <row r="3860" spans="1:9" x14ac:dyDescent="0.3">
      <c r="A3860" t="s">
        <v>4</v>
      </c>
      <c r="B3860" t="s">
        <v>24</v>
      </c>
      <c r="C3860" t="s">
        <v>114</v>
      </c>
      <c r="D3860" s="9" t="s">
        <v>111</v>
      </c>
      <c r="E3860" t="s">
        <v>35</v>
      </c>
      <c r="F3860" t="s">
        <v>67</v>
      </c>
      <c r="G3860">
        <v>129.6</v>
      </c>
      <c r="H3860" s="9">
        <v>24.38</v>
      </c>
      <c r="I3860"/>
    </row>
    <row r="3861" spans="1:9" x14ac:dyDescent="0.3">
      <c r="A3861" t="s">
        <v>4</v>
      </c>
      <c r="B3861" t="s">
        <v>24</v>
      </c>
      <c r="C3861" t="s">
        <v>115</v>
      </c>
      <c r="D3861" s="9" t="s">
        <v>111</v>
      </c>
      <c r="E3861" t="s">
        <v>36</v>
      </c>
      <c r="F3861" t="s">
        <v>69</v>
      </c>
      <c r="G3861">
        <v>115.1</v>
      </c>
      <c r="H3861" s="9">
        <v>20.149999999999999</v>
      </c>
      <c r="I3861"/>
    </row>
    <row r="3862" spans="1:9" x14ac:dyDescent="0.3">
      <c r="A3862" t="s">
        <v>4</v>
      </c>
      <c r="B3862" t="s">
        <v>24</v>
      </c>
      <c r="C3862" t="s">
        <v>116</v>
      </c>
      <c r="D3862" s="9" t="s">
        <v>111</v>
      </c>
      <c r="E3862" t="s">
        <v>37</v>
      </c>
      <c r="F3862" t="s">
        <v>71</v>
      </c>
      <c r="G3862">
        <v>129.6</v>
      </c>
      <c r="H3862" s="9">
        <v>25.46</v>
      </c>
      <c r="I3862"/>
    </row>
    <row r="3863" spans="1:9" x14ac:dyDescent="0.3">
      <c r="A3863" t="s">
        <v>4</v>
      </c>
      <c r="B3863" t="s">
        <v>24</v>
      </c>
      <c r="C3863" t="s">
        <v>117</v>
      </c>
      <c r="D3863" s="9" t="s">
        <v>111</v>
      </c>
      <c r="E3863" t="s">
        <v>38</v>
      </c>
      <c r="F3863" t="s">
        <v>73</v>
      </c>
      <c r="G3863">
        <v>121.3</v>
      </c>
      <c r="H3863" s="9">
        <v>17.079999999999998</v>
      </c>
      <c r="I3863"/>
    </row>
    <row r="3864" spans="1:9" x14ac:dyDescent="0.3">
      <c r="A3864" t="s">
        <v>4</v>
      </c>
      <c r="B3864" t="s">
        <v>24</v>
      </c>
      <c r="C3864" t="s">
        <v>118</v>
      </c>
      <c r="D3864" s="9" t="s">
        <v>111</v>
      </c>
      <c r="E3864" t="s">
        <v>39</v>
      </c>
      <c r="F3864" t="s">
        <v>75</v>
      </c>
      <c r="G3864">
        <v>124.2</v>
      </c>
      <c r="H3864" s="9">
        <v>30.87</v>
      </c>
      <c r="I3864"/>
    </row>
    <row r="3865" spans="1:9" x14ac:dyDescent="0.3">
      <c r="A3865" t="s">
        <v>4</v>
      </c>
      <c r="B3865" t="s">
        <v>24</v>
      </c>
      <c r="C3865" t="s">
        <v>119</v>
      </c>
      <c r="D3865" s="9" t="s">
        <v>111</v>
      </c>
      <c r="E3865" t="s">
        <v>40</v>
      </c>
      <c r="F3865" t="s">
        <v>77</v>
      </c>
      <c r="G3865">
        <v>144.80000000000001</v>
      </c>
      <c r="H3865" s="9">
        <v>13.04</v>
      </c>
      <c r="I3865"/>
    </row>
    <row r="3866" spans="1:9" x14ac:dyDescent="0.3">
      <c r="A3866" t="s">
        <v>4</v>
      </c>
      <c r="B3866" t="s">
        <v>24</v>
      </c>
      <c r="C3866" t="s">
        <v>120</v>
      </c>
      <c r="D3866" s="9" t="s">
        <v>111</v>
      </c>
      <c r="E3866" t="s">
        <v>41</v>
      </c>
      <c r="F3866" t="s">
        <v>79</v>
      </c>
      <c r="G3866">
        <v>130.1</v>
      </c>
      <c r="H3866" s="9">
        <v>16.68</v>
      </c>
      <c r="I3866"/>
    </row>
    <row r="3867" spans="1:9" x14ac:dyDescent="0.3">
      <c r="A3867" t="s">
        <v>4</v>
      </c>
      <c r="B3867" t="s">
        <v>24</v>
      </c>
      <c r="C3867" t="s">
        <v>121</v>
      </c>
      <c r="D3867" s="9" t="s">
        <v>111</v>
      </c>
      <c r="E3867" t="s">
        <v>42</v>
      </c>
      <c r="F3867" t="s">
        <v>81</v>
      </c>
      <c r="G3867">
        <v>167.4</v>
      </c>
      <c r="H3867" s="9">
        <v>29.47</v>
      </c>
      <c r="I3867"/>
    </row>
    <row r="3868" spans="1:9" x14ac:dyDescent="0.3">
      <c r="A3868" t="s">
        <v>4</v>
      </c>
      <c r="B3868" t="s">
        <v>24</v>
      </c>
      <c r="C3868" t="s">
        <v>122</v>
      </c>
      <c r="D3868" s="9" t="s">
        <v>111</v>
      </c>
      <c r="E3868" t="s">
        <v>43</v>
      </c>
      <c r="F3868" t="s">
        <v>83</v>
      </c>
      <c r="G3868">
        <v>247.2</v>
      </c>
      <c r="H3868" s="9">
        <v>34.35</v>
      </c>
      <c r="I3868"/>
    </row>
    <row r="3869" spans="1:9" x14ac:dyDescent="0.3">
      <c r="A3869" t="s">
        <v>4</v>
      </c>
      <c r="B3869" t="s">
        <v>24</v>
      </c>
      <c r="C3869" t="s">
        <v>123</v>
      </c>
      <c r="D3869" s="9" t="s">
        <v>124</v>
      </c>
      <c r="E3869" t="s">
        <v>32</v>
      </c>
      <c r="F3869" t="s">
        <v>61</v>
      </c>
      <c r="G3869">
        <v>145.5</v>
      </c>
      <c r="H3869" s="9">
        <v>24.15</v>
      </c>
      <c r="I3869"/>
    </row>
    <row r="3870" spans="1:9" x14ac:dyDescent="0.3">
      <c r="A3870" t="s">
        <v>4</v>
      </c>
      <c r="B3870" t="s">
        <v>24</v>
      </c>
      <c r="C3870" t="s">
        <v>125</v>
      </c>
      <c r="D3870" s="9" t="s">
        <v>124</v>
      </c>
      <c r="E3870" t="s">
        <v>33</v>
      </c>
      <c r="F3870" t="s">
        <v>63</v>
      </c>
      <c r="G3870">
        <v>109.4</v>
      </c>
      <c r="H3870" s="9">
        <v>11.98</v>
      </c>
      <c r="I3870"/>
    </row>
    <row r="3871" spans="1:9" x14ac:dyDescent="0.3">
      <c r="A3871" t="s">
        <v>4</v>
      </c>
      <c r="B3871" t="s">
        <v>24</v>
      </c>
      <c r="C3871" t="s">
        <v>126</v>
      </c>
      <c r="D3871" s="9" t="s">
        <v>124</v>
      </c>
      <c r="E3871" t="s">
        <v>34</v>
      </c>
      <c r="F3871" t="s">
        <v>65</v>
      </c>
      <c r="G3871">
        <v>124.8</v>
      </c>
      <c r="H3871" s="9">
        <v>10.050000000000001</v>
      </c>
      <c r="I3871"/>
    </row>
    <row r="3872" spans="1:9" x14ac:dyDescent="0.3">
      <c r="A3872" t="s">
        <v>4</v>
      </c>
      <c r="B3872" t="s">
        <v>24</v>
      </c>
      <c r="C3872" t="s">
        <v>127</v>
      </c>
      <c r="D3872" s="9" t="s">
        <v>124</v>
      </c>
      <c r="E3872" t="s">
        <v>35</v>
      </c>
      <c r="F3872" t="s">
        <v>67</v>
      </c>
      <c r="G3872">
        <v>129.80000000000001</v>
      </c>
      <c r="H3872" s="9">
        <v>0.15</v>
      </c>
      <c r="I3872"/>
    </row>
    <row r="3873" spans="1:9" x14ac:dyDescent="0.3">
      <c r="A3873" t="s">
        <v>4</v>
      </c>
      <c r="B3873" t="s">
        <v>24</v>
      </c>
      <c r="C3873" t="s">
        <v>128</v>
      </c>
      <c r="D3873" s="9" t="s">
        <v>124</v>
      </c>
      <c r="E3873" t="s">
        <v>36</v>
      </c>
      <c r="F3873" t="s">
        <v>69</v>
      </c>
      <c r="G3873">
        <v>120</v>
      </c>
      <c r="H3873" s="9">
        <v>4.26</v>
      </c>
      <c r="I3873"/>
    </row>
    <row r="3874" spans="1:9" x14ac:dyDescent="0.3">
      <c r="A3874" t="s">
        <v>4</v>
      </c>
      <c r="B3874" t="s">
        <v>24</v>
      </c>
      <c r="C3874" t="s">
        <v>129</v>
      </c>
      <c r="D3874" s="9" t="s">
        <v>124</v>
      </c>
      <c r="E3874" t="s">
        <v>37</v>
      </c>
      <c r="F3874" t="s">
        <v>71</v>
      </c>
      <c r="G3874">
        <v>129.69999999999999</v>
      </c>
      <c r="H3874" s="9">
        <v>0.08</v>
      </c>
      <c r="I3874"/>
    </row>
    <row r="3875" spans="1:9" x14ac:dyDescent="0.3">
      <c r="A3875" t="s">
        <v>4</v>
      </c>
      <c r="B3875" t="s">
        <v>24</v>
      </c>
      <c r="C3875" t="s">
        <v>130</v>
      </c>
      <c r="D3875" s="9" t="s">
        <v>124</v>
      </c>
      <c r="E3875" t="s">
        <v>38</v>
      </c>
      <c r="F3875" t="s">
        <v>73</v>
      </c>
      <c r="G3875">
        <v>128</v>
      </c>
      <c r="H3875" s="9">
        <v>5.52</v>
      </c>
      <c r="I3875"/>
    </row>
    <row r="3876" spans="1:9" x14ac:dyDescent="0.3">
      <c r="A3876" t="s">
        <v>4</v>
      </c>
      <c r="B3876" t="s">
        <v>24</v>
      </c>
      <c r="C3876" t="s">
        <v>131</v>
      </c>
      <c r="D3876" s="9" t="s">
        <v>124</v>
      </c>
      <c r="E3876" t="s">
        <v>39</v>
      </c>
      <c r="F3876" t="s">
        <v>75</v>
      </c>
      <c r="G3876">
        <v>131.6</v>
      </c>
      <c r="H3876" s="9">
        <v>5.96</v>
      </c>
      <c r="I3876"/>
    </row>
    <row r="3877" spans="1:9" x14ac:dyDescent="0.3">
      <c r="A3877" t="s">
        <v>4</v>
      </c>
      <c r="B3877" t="s">
        <v>24</v>
      </c>
      <c r="C3877" t="s">
        <v>132</v>
      </c>
      <c r="D3877" s="9" t="s">
        <v>124</v>
      </c>
      <c r="E3877" t="s">
        <v>40</v>
      </c>
      <c r="F3877" t="s">
        <v>77</v>
      </c>
      <c r="G3877">
        <v>139.19999999999999</v>
      </c>
      <c r="H3877" s="9">
        <v>-3.87</v>
      </c>
      <c r="I3877"/>
    </row>
    <row r="3878" spans="1:9" x14ac:dyDescent="0.3">
      <c r="A3878" t="s">
        <v>4</v>
      </c>
      <c r="B3878" t="s">
        <v>24</v>
      </c>
      <c r="C3878" t="s">
        <v>133</v>
      </c>
      <c r="D3878" s="9" t="s">
        <v>124</v>
      </c>
      <c r="E3878" t="s">
        <v>41</v>
      </c>
      <c r="F3878" t="s">
        <v>79</v>
      </c>
      <c r="G3878">
        <v>134.4</v>
      </c>
      <c r="H3878" s="9">
        <v>3.31</v>
      </c>
      <c r="I3878"/>
    </row>
    <row r="3879" spans="1:9" x14ac:dyDescent="0.3">
      <c r="A3879" t="s">
        <v>4</v>
      </c>
      <c r="B3879" t="s">
        <v>24</v>
      </c>
      <c r="C3879" t="s">
        <v>134</v>
      </c>
      <c r="D3879" s="9" t="s">
        <v>124</v>
      </c>
      <c r="E3879" t="s">
        <v>42</v>
      </c>
      <c r="F3879" t="s">
        <v>81</v>
      </c>
      <c r="G3879">
        <v>170.2</v>
      </c>
      <c r="H3879" s="9">
        <v>1.67</v>
      </c>
      <c r="I3879"/>
    </row>
    <row r="3880" spans="1:9" x14ac:dyDescent="0.3">
      <c r="A3880" t="s">
        <v>4</v>
      </c>
      <c r="B3880" t="s">
        <v>24</v>
      </c>
      <c r="C3880" t="s">
        <v>135</v>
      </c>
      <c r="D3880" s="9" t="s">
        <v>124</v>
      </c>
      <c r="E3880" t="s">
        <v>43</v>
      </c>
      <c r="F3880" t="s">
        <v>83</v>
      </c>
      <c r="G3880">
        <v>263</v>
      </c>
      <c r="H3880" s="9">
        <v>6.39</v>
      </c>
      <c r="I3880"/>
    </row>
    <row r="3881" spans="1:9" x14ac:dyDescent="0.3">
      <c r="A3881" t="s">
        <v>4</v>
      </c>
      <c r="B3881" t="s">
        <v>24</v>
      </c>
      <c r="C3881" t="s">
        <v>136</v>
      </c>
      <c r="D3881" s="9" t="s">
        <v>137</v>
      </c>
      <c r="E3881" t="s">
        <v>32</v>
      </c>
      <c r="F3881" t="s">
        <v>61</v>
      </c>
      <c r="G3881">
        <v>137.4</v>
      </c>
      <c r="H3881" s="9">
        <v>-5.57</v>
      </c>
      <c r="I3881"/>
    </row>
    <row r="3882" spans="1:9" x14ac:dyDescent="0.3">
      <c r="A3882" t="s">
        <v>4</v>
      </c>
      <c r="B3882" t="s">
        <v>24</v>
      </c>
      <c r="C3882" t="s">
        <v>138</v>
      </c>
      <c r="D3882" s="9" t="s">
        <v>137</v>
      </c>
      <c r="E3882" t="s">
        <v>33</v>
      </c>
      <c r="F3882" t="s">
        <v>63</v>
      </c>
      <c r="G3882">
        <v>117.5</v>
      </c>
      <c r="H3882" s="9">
        <v>7.4</v>
      </c>
      <c r="I3882"/>
    </row>
    <row r="3883" spans="1:9" x14ac:dyDescent="0.3">
      <c r="A3883" t="s">
        <v>4</v>
      </c>
      <c r="B3883" t="s">
        <v>24</v>
      </c>
      <c r="C3883" t="s">
        <v>139</v>
      </c>
      <c r="D3883" s="9" t="s">
        <v>137</v>
      </c>
      <c r="E3883" t="s">
        <v>34</v>
      </c>
      <c r="F3883" t="s">
        <v>65</v>
      </c>
      <c r="G3883">
        <v>126.8</v>
      </c>
      <c r="H3883" s="9">
        <v>1.6</v>
      </c>
      <c r="I3883"/>
    </row>
    <row r="3884" spans="1:9" x14ac:dyDescent="0.3">
      <c r="A3884" t="s">
        <v>4</v>
      </c>
      <c r="B3884" t="s">
        <v>24</v>
      </c>
      <c r="C3884" t="s">
        <v>140</v>
      </c>
      <c r="D3884" s="9" t="s">
        <v>137</v>
      </c>
      <c r="E3884" t="s">
        <v>35</v>
      </c>
      <c r="F3884" t="s">
        <v>67</v>
      </c>
      <c r="G3884">
        <v>138.4</v>
      </c>
      <c r="H3884" s="9">
        <v>6.63</v>
      </c>
      <c r="I3884"/>
    </row>
    <row r="3885" spans="1:9" x14ac:dyDescent="0.3">
      <c r="A3885" t="s">
        <v>4</v>
      </c>
      <c r="B3885" t="s">
        <v>24</v>
      </c>
      <c r="C3885" t="s">
        <v>141</v>
      </c>
      <c r="D3885" s="9" t="s">
        <v>137</v>
      </c>
      <c r="E3885" t="s">
        <v>36</v>
      </c>
      <c r="F3885" t="s">
        <v>69</v>
      </c>
      <c r="G3885">
        <v>126</v>
      </c>
      <c r="H3885" s="9">
        <v>5</v>
      </c>
      <c r="I3885"/>
    </row>
    <row r="3886" spans="1:9" x14ac:dyDescent="0.3">
      <c r="A3886" t="s">
        <v>4</v>
      </c>
      <c r="B3886" t="s">
        <v>24</v>
      </c>
      <c r="C3886" t="s">
        <v>142</v>
      </c>
      <c r="D3886" s="9" t="s">
        <v>137</v>
      </c>
      <c r="E3886" t="s">
        <v>37</v>
      </c>
      <c r="F3886" t="s">
        <v>71</v>
      </c>
      <c r="G3886">
        <v>150.19999999999999</v>
      </c>
      <c r="H3886" s="9">
        <v>15.81</v>
      </c>
      <c r="I3886"/>
    </row>
    <row r="3887" spans="1:9" x14ac:dyDescent="0.3">
      <c r="A3887" t="s">
        <v>4</v>
      </c>
      <c r="B3887" t="s">
        <v>24</v>
      </c>
      <c r="C3887" t="s">
        <v>143</v>
      </c>
      <c r="D3887" s="9" t="s">
        <v>137</v>
      </c>
      <c r="E3887" t="s">
        <v>38</v>
      </c>
      <c r="F3887" t="s">
        <v>73</v>
      </c>
      <c r="G3887">
        <v>130.30000000000001</v>
      </c>
      <c r="H3887" s="9">
        <v>1.8</v>
      </c>
      <c r="I3887"/>
    </row>
    <row r="3888" spans="1:9" x14ac:dyDescent="0.3">
      <c r="A3888" t="s">
        <v>4</v>
      </c>
      <c r="B3888" t="s">
        <v>24</v>
      </c>
      <c r="C3888" t="s">
        <v>144</v>
      </c>
      <c r="D3888" s="9" t="s">
        <v>137</v>
      </c>
      <c r="E3888" t="s">
        <v>39</v>
      </c>
      <c r="F3888" t="s">
        <v>75</v>
      </c>
      <c r="G3888">
        <v>139.1</v>
      </c>
      <c r="H3888" s="9">
        <v>5.7</v>
      </c>
      <c r="I3888"/>
    </row>
    <row r="3889" spans="1:9" x14ac:dyDescent="0.3">
      <c r="A3889" t="s">
        <v>4</v>
      </c>
      <c r="B3889" t="s">
        <v>24</v>
      </c>
      <c r="C3889" t="s">
        <v>145</v>
      </c>
      <c r="D3889" s="9" t="s">
        <v>137</v>
      </c>
      <c r="E3889" t="s">
        <v>40</v>
      </c>
      <c r="F3889" t="s">
        <v>77</v>
      </c>
      <c r="G3889">
        <v>154.80000000000001</v>
      </c>
      <c r="H3889" s="9">
        <v>11.21</v>
      </c>
      <c r="I3889"/>
    </row>
    <row r="3890" spans="1:9" x14ac:dyDescent="0.3">
      <c r="A3890" t="s">
        <v>4</v>
      </c>
      <c r="B3890" t="s">
        <v>24</v>
      </c>
      <c r="C3890" t="s">
        <v>146</v>
      </c>
      <c r="D3890" s="9" t="s">
        <v>137</v>
      </c>
      <c r="E3890" t="s">
        <v>41</v>
      </c>
      <c r="F3890" t="s">
        <v>79</v>
      </c>
      <c r="G3890">
        <v>148.1</v>
      </c>
      <c r="H3890" s="9">
        <v>10.19</v>
      </c>
      <c r="I3890"/>
    </row>
    <row r="3891" spans="1:9" x14ac:dyDescent="0.3">
      <c r="A3891" t="s">
        <v>4</v>
      </c>
      <c r="B3891" t="s">
        <v>24</v>
      </c>
      <c r="C3891" t="s">
        <v>147</v>
      </c>
      <c r="D3891" s="9" t="s">
        <v>137</v>
      </c>
      <c r="E3891" t="s">
        <v>42</v>
      </c>
      <c r="F3891" t="s">
        <v>81</v>
      </c>
      <c r="G3891">
        <v>184.7</v>
      </c>
      <c r="H3891" s="9">
        <v>8.52</v>
      </c>
      <c r="I3891"/>
    </row>
    <row r="3892" spans="1:9" x14ac:dyDescent="0.3">
      <c r="A3892" t="s">
        <v>4</v>
      </c>
      <c r="B3892" t="s">
        <v>24</v>
      </c>
      <c r="C3892" t="s">
        <v>148</v>
      </c>
      <c r="D3892" s="9" t="s">
        <v>137</v>
      </c>
      <c r="E3892" t="s">
        <v>43</v>
      </c>
      <c r="F3892" t="s">
        <v>83</v>
      </c>
      <c r="G3892">
        <v>268</v>
      </c>
      <c r="H3892" s="9">
        <v>1.9</v>
      </c>
      <c r="I3892"/>
    </row>
    <row r="3893" spans="1:9" x14ac:dyDescent="0.3">
      <c r="A3893" t="s">
        <v>4</v>
      </c>
      <c r="B3893" t="s">
        <v>24</v>
      </c>
      <c r="C3893" t="s">
        <v>149</v>
      </c>
      <c r="D3893" s="9" t="s">
        <v>150</v>
      </c>
      <c r="E3893" t="s">
        <v>32</v>
      </c>
      <c r="F3893" t="s">
        <v>61</v>
      </c>
      <c r="G3893">
        <v>163.5</v>
      </c>
      <c r="H3893" s="9">
        <v>19</v>
      </c>
      <c r="I3893"/>
    </row>
    <row r="3894" spans="1:9" x14ac:dyDescent="0.3">
      <c r="A3894" t="s">
        <v>4</v>
      </c>
      <c r="B3894" t="s">
        <v>24</v>
      </c>
      <c r="C3894" t="s">
        <v>151</v>
      </c>
      <c r="D3894" s="9" t="s">
        <v>150</v>
      </c>
      <c r="E3894" t="s">
        <v>33</v>
      </c>
      <c r="F3894" t="s">
        <v>63</v>
      </c>
      <c r="G3894">
        <v>124.6</v>
      </c>
      <c r="H3894" s="9">
        <v>6.04</v>
      </c>
      <c r="I3894"/>
    </row>
    <row r="3895" spans="1:9" x14ac:dyDescent="0.3">
      <c r="A3895" t="s">
        <v>4</v>
      </c>
      <c r="B3895" t="s">
        <v>24</v>
      </c>
      <c r="C3895" t="s">
        <v>152</v>
      </c>
      <c r="D3895" s="9" t="s">
        <v>150</v>
      </c>
      <c r="E3895" t="s">
        <v>34</v>
      </c>
      <c r="F3895" t="s">
        <v>65</v>
      </c>
      <c r="G3895">
        <v>147.1</v>
      </c>
      <c r="H3895" s="9">
        <v>16.010000000000002</v>
      </c>
      <c r="I3895"/>
    </row>
    <row r="3896" spans="1:9" x14ac:dyDescent="0.3">
      <c r="A3896" t="s">
        <v>4</v>
      </c>
      <c r="B3896" t="s">
        <v>24</v>
      </c>
      <c r="C3896" t="s">
        <v>153</v>
      </c>
      <c r="D3896" s="9" t="s">
        <v>150</v>
      </c>
      <c r="E3896" t="s">
        <v>35</v>
      </c>
      <c r="F3896" t="s">
        <v>67</v>
      </c>
      <c r="G3896">
        <v>169.1</v>
      </c>
      <c r="H3896" s="9">
        <v>22.18</v>
      </c>
      <c r="I3896"/>
    </row>
    <row r="3897" spans="1:9" x14ac:dyDescent="0.3">
      <c r="A3897" t="s">
        <v>4</v>
      </c>
      <c r="B3897" t="s">
        <v>24</v>
      </c>
      <c r="C3897" t="s">
        <v>154</v>
      </c>
      <c r="D3897" s="9" t="s">
        <v>150</v>
      </c>
      <c r="E3897" t="s">
        <v>36</v>
      </c>
      <c r="F3897" t="s">
        <v>69</v>
      </c>
      <c r="G3897">
        <v>146.80000000000001</v>
      </c>
      <c r="H3897" s="9">
        <v>16.510000000000002</v>
      </c>
      <c r="I3897"/>
    </row>
    <row r="3898" spans="1:9" x14ac:dyDescent="0.3">
      <c r="A3898" t="s">
        <v>4</v>
      </c>
      <c r="B3898" t="s">
        <v>24</v>
      </c>
      <c r="C3898" t="s">
        <v>155</v>
      </c>
      <c r="D3898" s="9" t="s">
        <v>150</v>
      </c>
      <c r="E3898" t="s">
        <v>37</v>
      </c>
      <c r="F3898" t="s">
        <v>71</v>
      </c>
      <c r="G3898">
        <v>176.6</v>
      </c>
      <c r="H3898" s="9">
        <v>17.579999999999998</v>
      </c>
      <c r="I3898"/>
    </row>
    <row r="3899" spans="1:9" x14ac:dyDescent="0.3">
      <c r="A3899" t="s">
        <v>4</v>
      </c>
      <c r="B3899" t="s">
        <v>14</v>
      </c>
      <c r="C3899" t="s">
        <v>59</v>
      </c>
      <c r="D3899" s="9" t="s">
        <v>60</v>
      </c>
      <c r="E3899" t="s">
        <v>32</v>
      </c>
      <c r="F3899" t="s">
        <v>61</v>
      </c>
      <c r="G3899">
        <v>308.5</v>
      </c>
      <c r="I3899"/>
    </row>
    <row r="3900" spans="1:9" x14ac:dyDescent="0.3">
      <c r="A3900" t="s">
        <v>4</v>
      </c>
      <c r="B3900" t="s">
        <v>14</v>
      </c>
      <c r="C3900" t="s">
        <v>62</v>
      </c>
      <c r="D3900" s="9" t="s">
        <v>60</v>
      </c>
      <c r="E3900" t="s">
        <v>33</v>
      </c>
      <c r="F3900" t="s">
        <v>63</v>
      </c>
      <c r="G3900">
        <v>293.3</v>
      </c>
      <c r="I3900"/>
    </row>
    <row r="3901" spans="1:9" x14ac:dyDescent="0.3">
      <c r="A3901" t="s">
        <v>4</v>
      </c>
      <c r="B3901" t="s">
        <v>14</v>
      </c>
      <c r="C3901" t="s">
        <v>64</v>
      </c>
      <c r="D3901" s="9" t="s">
        <v>60</v>
      </c>
      <c r="E3901" t="s">
        <v>34</v>
      </c>
      <c r="F3901" t="s">
        <v>65</v>
      </c>
      <c r="G3901">
        <v>288.8</v>
      </c>
      <c r="I3901"/>
    </row>
    <row r="3902" spans="1:9" x14ac:dyDescent="0.3">
      <c r="A3902" t="s">
        <v>4</v>
      </c>
      <c r="B3902" t="s">
        <v>14</v>
      </c>
      <c r="C3902" t="s">
        <v>66</v>
      </c>
      <c r="D3902" s="9" t="s">
        <v>60</v>
      </c>
      <c r="E3902" t="s">
        <v>35</v>
      </c>
      <c r="F3902" t="s">
        <v>67</v>
      </c>
      <c r="G3902">
        <v>282.7</v>
      </c>
      <c r="I3902"/>
    </row>
    <row r="3903" spans="1:9" x14ac:dyDescent="0.3">
      <c r="A3903" t="s">
        <v>4</v>
      </c>
      <c r="B3903" t="s">
        <v>14</v>
      </c>
      <c r="C3903" t="s">
        <v>68</v>
      </c>
      <c r="D3903" s="9" t="s">
        <v>60</v>
      </c>
      <c r="E3903" t="s">
        <v>36</v>
      </c>
      <c r="F3903" t="s">
        <v>69</v>
      </c>
      <c r="G3903">
        <v>300.89999999999998</v>
      </c>
      <c r="I3903"/>
    </row>
    <row r="3904" spans="1:9" x14ac:dyDescent="0.3">
      <c r="A3904" t="s">
        <v>4</v>
      </c>
      <c r="B3904" t="s">
        <v>14</v>
      </c>
      <c r="C3904" t="s">
        <v>70</v>
      </c>
      <c r="D3904" s="9" t="s">
        <v>60</v>
      </c>
      <c r="E3904" t="s">
        <v>37</v>
      </c>
      <c r="F3904" t="s">
        <v>71</v>
      </c>
      <c r="G3904">
        <v>297</v>
      </c>
      <c r="I3904"/>
    </row>
    <row r="3905" spans="1:9" x14ac:dyDescent="0.3">
      <c r="A3905" t="s">
        <v>4</v>
      </c>
      <c r="B3905" t="s">
        <v>14</v>
      </c>
      <c r="C3905" t="s">
        <v>72</v>
      </c>
      <c r="D3905" s="9" t="s">
        <v>60</v>
      </c>
      <c r="E3905" t="s">
        <v>38</v>
      </c>
      <c r="F3905" t="s">
        <v>73</v>
      </c>
      <c r="G3905">
        <v>312.3</v>
      </c>
      <c r="I3905"/>
    </row>
    <row r="3906" spans="1:9" x14ac:dyDescent="0.3">
      <c r="A3906" t="s">
        <v>4</v>
      </c>
      <c r="B3906" t="s">
        <v>14</v>
      </c>
      <c r="C3906" t="s">
        <v>74</v>
      </c>
      <c r="D3906" s="9" t="s">
        <v>60</v>
      </c>
      <c r="E3906" t="s">
        <v>39</v>
      </c>
      <c r="F3906" t="s">
        <v>75</v>
      </c>
      <c r="G3906">
        <v>312.39999999999998</v>
      </c>
      <c r="I3906"/>
    </row>
    <row r="3907" spans="1:9" x14ac:dyDescent="0.3">
      <c r="A3907" t="s">
        <v>4</v>
      </c>
      <c r="B3907" t="s">
        <v>14</v>
      </c>
      <c r="C3907" t="s">
        <v>76</v>
      </c>
      <c r="D3907" s="9" t="s">
        <v>60</v>
      </c>
      <c r="E3907" t="s">
        <v>40</v>
      </c>
      <c r="F3907" t="s">
        <v>77</v>
      </c>
      <c r="G3907">
        <v>306.89999999999998</v>
      </c>
      <c r="I3907"/>
    </row>
    <row r="3908" spans="1:9" x14ac:dyDescent="0.3">
      <c r="A3908" t="s">
        <v>4</v>
      </c>
      <c r="B3908" t="s">
        <v>14</v>
      </c>
      <c r="C3908" t="s">
        <v>78</v>
      </c>
      <c r="D3908" s="9" t="s">
        <v>60</v>
      </c>
      <c r="E3908" t="s">
        <v>41</v>
      </c>
      <c r="F3908" t="s">
        <v>79</v>
      </c>
      <c r="G3908">
        <v>343.8</v>
      </c>
      <c r="I3908"/>
    </row>
    <row r="3909" spans="1:9" x14ac:dyDescent="0.3">
      <c r="A3909" t="s">
        <v>4</v>
      </c>
      <c r="B3909" t="s">
        <v>14</v>
      </c>
      <c r="C3909" t="s">
        <v>80</v>
      </c>
      <c r="D3909" s="9" t="s">
        <v>60</v>
      </c>
      <c r="E3909" t="s">
        <v>42</v>
      </c>
      <c r="F3909" t="s">
        <v>81</v>
      </c>
      <c r="G3909">
        <v>366.9</v>
      </c>
      <c r="I3909"/>
    </row>
    <row r="3910" spans="1:9" x14ac:dyDescent="0.3">
      <c r="A3910" t="s">
        <v>4</v>
      </c>
      <c r="B3910" t="s">
        <v>14</v>
      </c>
      <c r="C3910" t="s">
        <v>82</v>
      </c>
      <c r="D3910" s="9" t="s">
        <v>60</v>
      </c>
      <c r="E3910" t="s">
        <v>43</v>
      </c>
      <c r="F3910" t="s">
        <v>83</v>
      </c>
      <c r="G3910">
        <v>405.4</v>
      </c>
      <c r="I3910"/>
    </row>
    <row r="3911" spans="1:9" x14ac:dyDescent="0.3">
      <c r="A3911" t="s">
        <v>4</v>
      </c>
      <c r="B3911" t="s">
        <v>14</v>
      </c>
      <c r="C3911" t="s">
        <v>84</v>
      </c>
      <c r="D3911" s="9" t="s">
        <v>85</v>
      </c>
      <c r="E3911" t="s">
        <v>32</v>
      </c>
      <c r="F3911" t="s">
        <v>61</v>
      </c>
      <c r="G3911">
        <v>330.5</v>
      </c>
      <c r="H3911" s="9">
        <v>7.13</v>
      </c>
      <c r="I3911"/>
    </row>
    <row r="3912" spans="1:9" x14ac:dyDescent="0.3">
      <c r="A3912" t="s">
        <v>4</v>
      </c>
      <c r="B3912" t="s">
        <v>14</v>
      </c>
      <c r="C3912" t="s">
        <v>86</v>
      </c>
      <c r="D3912" s="9" t="s">
        <v>85</v>
      </c>
      <c r="E3912" t="s">
        <v>33</v>
      </c>
      <c r="F3912" t="s">
        <v>63</v>
      </c>
      <c r="G3912">
        <v>331.1</v>
      </c>
      <c r="H3912" s="9">
        <v>12.89</v>
      </c>
      <c r="I3912"/>
    </row>
    <row r="3913" spans="1:9" x14ac:dyDescent="0.3">
      <c r="A3913" t="s">
        <v>4</v>
      </c>
      <c r="B3913" t="s">
        <v>14</v>
      </c>
      <c r="C3913" t="s">
        <v>87</v>
      </c>
      <c r="D3913" s="9" t="s">
        <v>85</v>
      </c>
      <c r="E3913" t="s">
        <v>34</v>
      </c>
      <c r="F3913" t="s">
        <v>65</v>
      </c>
      <c r="G3913">
        <v>363.7</v>
      </c>
      <c r="H3913" s="9">
        <v>25.93</v>
      </c>
      <c r="I3913"/>
    </row>
    <row r="3914" spans="1:9" x14ac:dyDescent="0.3">
      <c r="A3914" t="s">
        <v>4</v>
      </c>
      <c r="B3914" t="s">
        <v>14</v>
      </c>
      <c r="C3914" t="s">
        <v>88</v>
      </c>
      <c r="D3914" s="9" t="s">
        <v>85</v>
      </c>
      <c r="E3914" t="s">
        <v>35</v>
      </c>
      <c r="F3914" t="s">
        <v>67</v>
      </c>
      <c r="G3914">
        <v>375.9</v>
      </c>
      <c r="H3914" s="9">
        <v>32.97</v>
      </c>
      <c r="I3914"/>
    </row>
    <row r="3915" spans="1:9" x14ac:dyDescent="0.3">
      <c r="A3915" t="s">
        <v>4</v>
      </c>
      <c r="B3915" t="s">
        <v>14</v>
      </c>
      <c r="C3915" t="s">
        <v>89</v>
      </c>
      <c r="D3915" s="9" t="s">
        <v>85</v>
      </c>
      <c r="E3915" t="s">
        <v>36</v>
      </c>
      <c r="F3915" t="s">
        <v>69</v>
      </c>
      <c r="G3915">
        <v>405.2</v>
      </c>
      <c r="H3915" s="9">
        <v>34.659999999999997</v>
      </c>
      <c r="I3915"/>
    </row>
    <row r="3916" spans="1:9" x14ac:dyDescent="0.3">
      <c r="A3916" t="s">
        <v>4</v>
      </c>
      <c r="B3916" t="s">
        <v>14</v>
      </c>
      <c r="C3916" t="s">
        <v>90</v>
      </c>
      <c r="D3916" s="9" t="s">
        <v>85</v>
      </c>
      <c r="E3916" t="s">
        <v>37</v>
      </c>
      <c r="F3916" t="s">
        <v>71</v>
      </c>
      <c r="G3916">
        <v>412</v>
      </c>
      <c r="H3916" s="9">
        <v>38.72</v>
      </c>
      <c r="I3916"/>
    </row>
    <row r="3917" spans="1:9" x14ac:dyDescent="0.3">
      <c r="A3917" t="s">
        <v>4</v>
      </c>
      <c r="B3917" t="s">
        <v>14</v>
      </c>
      <c r="C3917" t="s">
        <v>91</v>
      </c>
      <c r="D3917" s="9" t="s">
        <v>85</v>
      </c>
      <c r="E3917" t="s">
        <v>38</v>
      </c>
      <c r="F3917" t="s">
        <v>73</v>
      </c>
      <c r="G3917">
        <v>413.1</v>
      </c>
      <c r="H3917" s="9">
        <v>32.28</v>
      </c>
      <c r="I3917"/>
    </row>
    <row r="3918" spans="1:9" x14ac:dyDescent="0.3">
      <c r="A3918" t="s">
        <v>4</v>
      </c>
      <c r="B3918" t="s">
        <v>14</v>
      </c>
      <c r="C3918" t="s">
        <v>92</v>
      </c>
      <c r="D3918" s="9" t="s">
        <v>85</v>
      </c>
      <c r="E3918" t="s">
        <v>39</v>
      </c>
      <c r="F3918" t="s">
        <v>75</v>
      </c>
      <c r="G3918">
        <v>403.8</v>
      </c>
      <c r="H3918" s="9">
        <v>29.26</v>
      </c>
      <c r="I3918"/>
    </row>
    <row r="3919" spans="1:9" x14ac:dyDescent="0.3">
      <c r="A3919" t="s">
        <v>4</v>
      </c>
      <c r="B3919" t="s">
        <v>14</v>
      </c>
      <c r="C3919" t="s">
        <v>93</v>
      </c>
      <c r="D3919" s="9" t="s">
        <v>85</v>
      </c>
      <c r="E3919" t="s">
        <v>40</v>
      </c>
      <c r="F3919" t="s">
        <v>77</v>
      </c>
      <c r="G3919">
        <v>397.4</v>
      </c>
      <c r="H3919" s="9">
        <v>29.49</v>
      </c>
      <c r="I3919"/>
    </row>
    <row r="3920" spans="1:9" x14ac:dyDescent="0.3">
      <c r="A3920" t="s">
        <v>4</v>
      </c>
      <c r="B3920" t="s">
        <v>14</v>
      </c>
      <c r="C3920" t="s">
        <v>94</v>
      </c>
      <c r="D3920" s="9" t="s">
        <v>85</v>
      </c>
      <c r="E3920" t="s">
        <v>41</v>
      </c>
      <c r="F3920" t="s">
        <v>79</v>
      </c>
      <c r="G3920">
        <v>418.9</v>
      </c>
      <c r="H3920" s="9">
        <v>21.84</v>
      </c>
      <c r="I3920"/>
    </row>
    <row r="3921" spans="1:9" x14ac:dyDescent="0.3">
      <c r="A3921" t="s">
        <v>4</v>
      </c>
      <c r="B3921" t="s">
        <v>14</v>
      </c>
      <c r="C3921" t="s">
        <v>95</v>
      </c>
      <c r="D3921" s="9" t="s">
        <v>85</v>
      </c>
      <c r="E3921" t="s">
        <v>42</v>
      </c>
      <c r="F3921" t="s">
        <v>81</v>
      </c>
      <c r="G3921">
        <v>474.2</v>
      </c>
      <c r="H3921" s="9">
        <v>29.25</v>
      </c>
      <c r="I3921"/>
    </row>
    <row r="3922" spans="1:9" x14ac:dyDescent="0.3">
      <c r="A3922" t="s">
        <v>4</v>
      </c>
      <c r="B3922" t="s">
        <v>14</v>
      </c>
      <c r="C3922" t="s">
        <v>96</v>
      </c>
      <c r="D3922" s="9" t="s">
        <v>85</v>
      </c>
      <c r="E3922" t="s">
        <v>43</v>
      </c>
      <c r="F3922" t="s">
        <v>83</v>
      </c>
      <c r="G3922">
        <v>493.9</v>
      </c>
      <c r="H3922" s="9">
        <v>21.83</v>
      </c>
      <c r="I3922"/>
    </row>
    <row r="3923" spans="1:9" x14ac:dyDescent="0.3">
      <c r="A3923" t="s">
        <v>4</v>
      </c>
      <c r="B3923" t="s">
        <v>14</v>
      </c>
      <c r="C3923" t="s">
        <v>97</v>
      </c>
      <c r="D3923" s="9" t="s">
        <v>98</v>
      </c>
      <c r="E3923" t="s">
        <v>32</v>
      </c>
      <c r="F3923" t="s">
        <v>61</v>
      </c>
      <c r="G3923">
        <v>409.7</v>
      </c>
      <c r="H3923" s="9">
        <v>23.96</v>
      </c>
      <c r="I3923"/>
    </row>
    <row r="3924" spans="1:9" x14ac:dyDescent="0.3">
      <c r="A3924" t="s">
        <v>4</v>
      </c>
      <c r="B3924" t="s">
        <v>14</v>
      </c>
      <c r="C3924" t="s">
        <v>99</v>
      </c>
      <c r="D3924" s="9" t="s">
        <v>98</v>
      </c>
      <c r="E3924" t="s">
        <v>33</v>
      </c>
      <c r="F3924" t="s">
        <v>63</v>
      </c>
      <c r="G3924">
        <v>393.7</v>
      </c>
      <c r="H3924" s="9">
        <v>18.91</v>
      </c>
      <c r="I3924"/>
    </row>
    <row r="3925" spans="1:9" x14ac:dyDescent="0.3">
      <c r="A3925" t="s">
        <v>4</v>
      </c>
      <c r="B3925" t="s">
        <v>14</v>
      </c>
      <c r="C3925" t="s">
        <v>100</v>
      </c>
      <c r="D3925" s="9" t="s">
        <v>98</v>
      </c>
      <c r="E3925" t="s">
        <v>34</v>
      </c>
      <c r="F3925" t="s">
        <v>65</v>
      </c>
      <c r="G3925">
        <v>406.2</v>
      </c>
      <c r="H3925" s="9">
        <v>11.69</v>
      </c>
      <c r="I3925"/>
    </row>
    <row r="3926" spans="1:9" x14ac:dyDescent="0.3">
      <c r="A3926" t="s">
        <v>4</v>
      </c>
      <c r="B3926" t="s">
        <v>14</v>
      </c>
      <c r="C3926" t="s">
        <v>101</v>
      </c>
      <c r="D3926" s="9" t="s">
        <v>98</v>
      </c>
      <c r="E3926" t="s">
        <v>35</v>
      </c>
      <c r="F3926" t="s">
        <v>67</v>
      </c>
      <c r="G3926">
        <v>367.5</v>
      </c>
      <c r="H3926" s="9">
        <v>-2.23</v>
      </c>
      <c r="I3926"/>
    </row>
    <row r="3927" spans="1:9" x14ac:dyDescent="0.3">
      <c r="A3927" t="s">
        <v>4</v>
      </c>
      <c r="B3927" t="s">
        <v>14</v>
      </c>
      <c r="C3927" t="s">
        <v>102</v>
      </c>
      <c r="D3927" s="9" t="s">
        <v>98</v>
      </c>
      <c r="E3927" t="s">
        <v>36</v>
      </c>
      <c r="F3927" t="s">
        <v>69</v>
      </c>
      <c r="G3927">
        <v>394.2</v>
      </c>
      <c r="H3927" s="9">
        <v>-2.71</v>
      </c>
      <c r="I3927"/>
    </row>
    <row r="3928" spans="1:9" x14ac:dyDescent="0.3">
      <c r="A3928" t="s">
        <v>4</v>
      </c>
      <c r="B3928" t="s">
        <v>14</v>
      </c>
      <c r="C3928" t="s">
        <v>103</v>
      </c>
      <c r="D3928" s="9" t="s">
        <v>98</v>
      </c>
      <c r="E3928" t="s">
        <v>37</v>
      </c>
      <c r="F3928" t="s">
        <v>71</v>
      </c>
      <c r="G3928">
        <v>406.8</v>
      </c>
      <c r="H3928" s="9">
        <v>-1.26</v>
      </c>
      <c r="I3928"/>
    </row>
    <row r="3929" spans="1:9" x14ac:dyDescent="0.3">
      <c r="A3929" t="s">
        <v>4</v>
      </c>
      <c r="B3929" t="s">
        <v>14</v>
      </c>
      <c r="C3929" t="s">
        <v>104</v>
      </c>
      <c r="D3929" s="9" t="s">
        <v>98</v>
      </c>
      <c r="E3929" t="s">
        <v>38</v>
      </c>
      <c r="F3929" t="s">
        <v>73</v>
      </c>
      <c r="G3929">
        <v>434.3</v>
      </c>
      <c r="H3929" s="9">
        <v>5.13</v>
      </c>
      <c r="I3929"/>
    </row>
    <row r="3930" spans="1:9" x14ac:dyDescent="0.3">
      <c r="A3930" t="s">
        <v>4</v>
      </c>
      <c r="B3930" t="s">
        <v>14</v>
      </c>
      <c r="C3930" t="s">
        <v>105</v>
      </c>
      <c r="D3930" s="9" t="s">
        <v>98</v>
      </c>
      <c r="E3930" t="s">
        <v>39</v>
      </c>
      <c r="F3930" t="s">
        <v>75</v>
      </c>
      <c r="G3930">
        <v>453</v>
      </c>
      <c r="H3930" s="9">
        <v>12.18</v>
      </c>
      <c r="I3930"/>
    </row>
    <row r="3931" spans="1:9" x14ac:dyDescent="0.3">
      <c r="A3931" t="s">
        <v>4</v>
      </c>
      <c r="B3931" t="s">
        <v>14</v>
      </c>
      <c r="C3931" t="s">
        <v>106</v>
      </c>
      <c r="D3931" s="9" t="s">
        <v>98</v>
      </c>
      <c r="E3931" t="s">
        <v>40</v>
      </c>
      <c r="F3931" t="s">
        <v>77</v>
      </c>
      <c r="G3931">
        <v>464.6</v>
      </c>
      <c r="H3931" s="9">
        <v>16.91</v>
      </c>
      <c r="I3931"/>
    </row>
    <row r="3932" spans="1:9" x14ac:dyDescent="0.3">
      <c r="A3932" t="s">
        <v>4</v>
      </c>
      <c r="B3932" t="s">
        <v>14</v>
      </c>
      <c r="C3932" t="s">
        <v>107</v>
      </c>
      <c r="D3932" s="9" t="s">
        <v>98</v>
      </c>
      <c r="E3932" t="s">
        <v>41</v>
      </c>
      <c r="F3932" t="s">
        <v>79</v>
      </c>
      <c r="G3932">
        <v>505.2</v>
      </c>
      <c r="H3932" s="9">
        <v>20.6</v>
      </c>
      <c r="I3932"/>
    </row>
    <row r="3933" spans="1:9" x14ac:dyDescent="0.3">
      <c r="A3933" t="s">
        <v>4</v>
      </c>
      <c r="B3933" t="s">
        <v>14</v>
      </c>
      <c r="C3933" t="s">
        <v>108</v>
      </c>
      <c r="D3933" s="9" t="s">
        <v>98</v>
      </c>
      <c r="E3933" t="s">
        <v>42</v>
      </c>
      <c r="F3933" t="s">
        <v>81</v>
      </c>
      <c r="G3933">
        <v>584</v>
      </c>
      <c r="H3933" s="9">
        <v>23.15</v>
      </c>
      <c r="I3933"/>
    </row>
    <row r="3934" spans="1:9" x14ac:dyDescent="0.3">
      <c r="A3934" t="s">
        <v>4</v>
      </c>
      <c r="B3934" t="s">
        <v>14</v>
      </c>
      <c r="C3934" t="s">
        <v>109</v>
      </c>
      <c r="D3934" s="9" t="s">
        <v>98</v>
      </c>
      <c r="E3934" t="s">
        <v>43</v>
      </c>
      <c r="F3934" t="s">
        <v>83</v>
      </c>
      <c r="G3934">
        <v>598.20000000000005</v>
      </c>
      <c r="H3934" s="9">
        <v>21.12</v>
      </c>
      <c r="I3934"/>
    </row>
    <row r="3935" spans="1:9" x14ac:dyDescent="0.3">
      <c r="A3935" t="s">
        <v>4</v>
      </c>
      <c r="B3935" t="s">
        <v>14</v>
      </c>
      <c r="C3935" t="s">
        <v>110</v>
      </c>
      <c r="D3935" s="9" t="s">
        <v>111</v>
      </c>
      <c r="E3935" t="s">
        <v>32</v>
      </c>
      <c r="F3935" t="s">
        <v>61</v>
      </c>
      <c r="G3935">
        <v>467</v>
      </c>
      <c r="H3935" s="9">
        <v>13.99</v>
      </c>
      <c r="I3935"/>
    </row>
    <row r="3936" spans="1:9" x14ac:dyDescent="0.3">
      <c r="A3936" t="s">
        <v>4</v>
      </c>
      <c r="B3936" t="s">
        <v>14</v>
      </c>
      <c r="C3936" t="s">
        <v>112</v>
      </c>
      <c r="D3936" s="9" t="s">
        <v>111</v>
      </c>
      <c r="E3936" t="s">
        <v>33</v>
      </c>
      <c r="F3936" t="s">
        <v>63</v>
      </c>
      <c r="G3936">
        <v>429.8</v>
      </c>
      <c r="H3936" s="9">
        <v>9.17</v>
      </c>
      <c r="I3936"/>
    </row>
    <row r="3937" spans="1:9" x14ac:dyDescent="0.3">
      <c r="A3937" t="s">
        <v>4</v>
      </c>
      <c r="B3937" t="s">
        <v>14</v>
      </c>
      <c r="C3937" t="s">
        <v>113</v>
      </c>
      <c r="D3937" s="9" t="s">
        <v>111</v>
      </c>
      <c r="E3937" t="s">
        <v>34</v>
      </c>
      <c r="F3937" t="s">
        <v>65</v>
      </c>
      <c r="G3937">
        <v>470.6</v>
      </c>
      <c r="H3937" s="9">
        <v>15.85</v>
      </c>
      <c r="I3937"/>
    </row>
    <row r="3938" spans="1:9" x14ac:dyDescent="0.3">
      <c r="A3938" t="s">
        <v>4</v>
      </c>
      <c r="B3938" t="s">
        <v>14</v>
      </c>
      <c r="C3938" t="s">
        <v>114</v>
      </c>
      <c r="D3938" s="9" t="s">
        <v>111</v>
      </c>
      <c r="E3938" t="s">
        <v>35</v>
      </c>
      <c r="F3938" t="s">
        <v>67</v>
      </c>
      <c r="G3938">
        <v>440.4</v>
      </c>
      <c r="H3938" s="9">
        <v>19.84</v>
      </c>
      <c r="I3938"/>
    </row>
    <row r="3939" spans="1:9" x14ac:dyDescent="0.3">
      <c r="A3939" t="s">
        <v>4</v>
      </c>
      <c r="B3939" t="s">
        <v>14</v>
      </c>
      <c r="C3939" t="s">
        <v>115</v>
      </c>
      <c r="D3939" s="9" t="s">
        <v>111</v>
      </c>
      <c r="E3939" t="s">
        <v>36</v>
      </c>
      <c r="F3939" t="s">
        <v>69</v>
      </c>
      <c r="G3939">
        <v>472.5</v>
      </c>
      <c r="H3939" s="9">
        <v>19.86</v>
      </c>
      <c r="I3939"/>
    </row>
    <row r="3940" spans="1:9" x14ac:dyDescent="0.3">
      <c r="A3940" t="s">
        <v>4</v>
      </c>
      <c r="B3940" t="s">
        <v>14</v>
      </c>
      <c r="C3940" t="s">
        <v>116</v>
      </c>
      <c r="D3940" s="9" t="s">
        <v>111</v>
      </c>
      <c r="E3940" t="s">
        <v>37</v>
      </c>
      <c r="F3940" t="s">
        <v>71</v>
      </c>
      <c r="G3940">
        <v>472.9</v>
      </c>
      <c r="H3940" s="9">
        <v>16.25</v>
      </c>
      <c r="I3940"/>
    </row>
    <row r="3941" spans="1:9" x14ac:dyDescent="0.3">
      <c r="A3941" t="s">
        <v>4</v>
      </c>
      <c r="B3941" t="s">
        <v>14</v>
      </c>
      <c r="C3941" t="s">
        <v>117</v>
      </c>
      <c r="D3941" s="9" t="s">
        <v>111</v>
      </c>
      <c r="E3941" t="s">
        <v>38</v>
      </c>
      <c r="F3941" t="s">
        <v>73</v>
      </c>
      <c r="G3941">
        <v>489.8</v>
      </c>
      <c r="H3941" s="9">
        <v>12.78</v>
      </c>
      <c r="I3941"/>
    </row>
    <row r="3942" spans="1:9" x14ac:dyDescent="0.3">
      <c r="A3942" t="s">
        <v>4</v>
      </c>
      <c r="B3942" t="s">
        <v>14</v>
      </c>
      <c r="C3942" t="s">
        <v>118</v>
      </c>
      <c r="D3942" s="9" t="s">
        <v>111</v>
      </c>
      <c r="E3942" t="s">
        <v>39</v>
      </c>
      <c r="F3942" t="s">
        <v>75</v>
      </c>
      <c r="G3942">
        <v>488.4</v>
      </c>
      <c r="H3942" s="9">
        <v>7.81</v>
      </c>
      <c r="I3942"/>
    </row>
    <row r="3943" spans="1:9" x14ac:dyDescent="0.3">
      <c r="A3943" t="s">
        <v>4</v>
      </c>
      <c r="B3943" t="s">
        <v>14</v>
      </c>
      <c r="C3943" t="s">
        <v>119</v>
      </c>
      <c r="D3943" s="9" t="s">
        <v>111</v>
      </c>
      <c r="E3943" t="s">
        <v>40</v>
      </c>
      <c r="F3943" t="s">
        <v>77</v>
      </c>
      <c r="G3943">
        <v>483</v>
      </c>
      <c r="H3943" s="9">
        <v>3.96</v>
      </c>
      <c r="I3943"/>
    </row>
    <row r="3944" spans="1:9" x14ac:dyDescent="0.3">
      <c r="A3944" t="s">
        <v>4</v>
      </c>
      <c r="B3944" t="s">
        <v>14</v>
      </c>
      <c r="C3944" t="s">
        <v>120</v>
      </c>
      <c r="D3944" s="9" t="s">
        <v>111</v>
      </c>
      <c r="E3944" t="s">
        <v>41</v>
      </c>
      <c r="F3944" t="s">
        <v>79</v>
      </c>
      <c r="G3944">
        <v>510.2</v>
      </c>
      <c r="H3944" s="9">
        <v>0.99</v>
      </c>
      <c r="I3944"/>
    </row>
    <row r="3945" spans="1:9" x14ac:dyDescent="0.3">
      <c r="A3945" t="s">
        <v>4</v>
      </c>
      <c r="B3945" t="s">
        <v>14</v>
      </c>
      <c r="C3945" t="s">
        <v>121</v>
      </c>
      <c r="D3945" s="9" t="s">
        <v>111</v>
      </c>
      <c r="E3945" t="s">
        <v>42</v>
      </c>
      <c r="F3945" t="s">
        <v>81</v>
      </c>
      <c r="G3945">
        <v>572.6</v>
      </c>
      <c r="H3945" s="9">
        <v>-1.95</v>
      </c>
      <c r="I3945"/>
    </row>
    <row r="3946" spans="1:9" x14ac:dyDescent="0.3">
      <c r="A3946" t="s">
        <v>4</v>
      </c>
      <c r="B3946" t="s">
        <v>14</v>
      </c>
      <c r="C3946" t="s">
        <v>122</v>
      </c>
      <c r="D3946" s="9" t="s">
        <v>111</v>
      </c>
      <c r="E3946" t="s">
        <v>43</v>
      </c>
      <c r="F3946" t="s">
        <v>83</v>
      </c>
      <c r="G3946">
        <v>554.79999999999995</v>
      </c>
      <c r="H3946" s="9">
        <v>-7.26</v>
      </c>
      <c r="I3946"/>
    </row>
    <row r="3947" spans="1:9" x14ac:dyDescent="0.3">
      <c r="A3947" t="s">
        <v>4</v>
      </c>
      <c r="B3947" t="s">
        <v>14</v>
      </c>
      <c r="C3947" t="s">
        <v>123</v>
      </c>
      <c r="D3947" s="9" t="s">
        <v>124</v>
      </c>
      <c r="E3947" t="s">
        <v>32</v>
      </c>
      <c r="F3947" t="s">
        <v>61</v>
      </c>
      <c r="G3947">
        <v>472.5</v>
      </c>
      <c r="H3947" s="9">
        <v>1.18</v>
      </c>
      <c r="I3947"/>
    </row>
    <row r="3948" spans="1:9" x14ac:dyDescent="0.3">
      <c r="A3948" t="s">
        <v>4</v>
      </c>
      <c r="B3948" t="s">
        <v>14</v>
      </c>
      <c r="C3948" t="s">
        <v>125</v>
      </c>
      <c r="D3948" s="9" t="s">
        <v>124</v>
      </c>
      <c r="E3948" t="s">
        <v>33</v>
      </c>
      <c r="F3948" t="s">
        <v>63</v>
      </c>
      <c r="G3948">
        <v>435.6</v>
      </c>
      <c r="H3948" s="9">
        <v>1.35</v>
      </c>
      <c r="I3948"/>
    </row>
    <row r="3949" spans="1:9" x14ac:dyDescent="0.3">
      <c r="A3949" t="s">
        <v>4</v>
      </c>
      <c r="B3949" t="s">
        <v>14</v>
      </c>
      <c r="C3949" t="s">
        <v>126</v>
      </c>
      <c r="D3949" s="9" t="s">
        <v>124</v>
      </c>
      <c r="E3949" t="s">
        <v>34</v>
      </c>
      <c r="F3949" t="s">
        <v>65</v>
      </c>
      <c r="G3949">
        <v>445.6</v>
      </c>
      <c r="H3949" s="9">
        <v>-5.31</v>
      </c>
      <c r="I3949"/>
    </row>
    <row r="3950" spans="1:9" x14ac:dyDescent="0.3">
      <c r="A3950" t="s">
        <v>4</v>
      </c>
      <c r="B3950" t="s">
        <v>14</v>
      </c>
      <c r="C3950" t="s">
        <v>127</v>
      </c>
      <c r="D3950" s="9" t="s">
        <v>124</v>
      </c>
      <c r="E3950" t="s">
        <v>35</v>
      </c>
      <c r="F3950" t="s">
        <v>67</v>
      </c>
      <c r="G3950">
        <v>394.3</v>
      </c>
      <c r="H3950" s="9">
        <v>-10.47</v>
      </c>
      <c r="I3950"/>
    </row>
    <row r="3951" spans="1:9" x14ac:dyDescent="0.3">
      <c r="A3951" t="s">
        <v>4</v>
      </c>
      <c r="B3951" t="s">
        <v>14</v>
      </c>
      <c r="C3951" t="s">
        <v>128</v>
      </c>
      <c r="D3951" s="9" t="s">
        <v>124</v>
      </c>
      <c r="E3951" t="s">
        <v>36</v>
      </c>
      <c r="F3951" t="s">
        <v>69</v>
      </c>
      <c r="G3951">
        <v>435.4</v>
      </c>
      <c r="H3951" s="9">
        <v>-7.85</v>
      </c>
      <c r="I3951"/>
    </row>
    <row r="3952" spans="1:9" x14ac:dyDescent="0.3">
      <c r="A3952" t="s">
        <v>4</v>
      </c>
      <c r="B3952" t="s">
        <v>14</v>
      </c>
      <c r="C3952" t="s">
        <v>129</v>
      </c>
      <c r="D3952" s="9" t="s">
        <v>124</v>
      </c>
      <c r="E3952" t="s">
        <v>37</v>
      </c>
      <c r="F3952" t="s">
        <v>71</v>
      </c>
      <c r="G3952">
        <v>433.1</v>
      </c>
      <c r="H3952" s="9">
        <v>-8.42</v>
      </c>
      <c r="I3952"/>
    </row>
    <row r="3953" spans="1:9" x14ac:dyDescent="0.3">
      <c r="A3953" t="s">
        <v>4</v>
      </c>
      <c r="B3953" t="s">
        <v>14</v>
      </c>
      <c r="C3953" t="s">
        <v>130</v>
      </c>
      <c r="D3953" s="9" t="s">
        <v>124</v>
      </c>
      <c r="E3953" t="s">
        <v>38</v>
      </c>
      <c r="F3953" t="s">
        <v>73</v>
      </c>
      <c r="G3953">
        <v>439.6</v>
      </c>
      <c r="H3953" s="9">
        <v>-10.25</v>
      </c>
      <c r="I3953"/>
    </row>
    <row r="3954" spans="1:9" x14ac:dyDescent="0.3">
      <c r="A3954" t="s">
        <v>4</v>
      </c>
      <c r="B3954" t="s">
        <v>14</v>
      </c>
      <c r="C3954" t="s">
        <v>131</v>
      </c>
      <c r="D3954" s="9" t="s">
        <v>124</v>
      </c>
      <c r="E3954" t="s">
        <v>39</v>
      </c>
      <c r="F3954" t="s">
        <v>75</v>
      </c>
      <c r="G3954">
        <v>458.5</v>
      </c>
      <c r="H3954" s="9">
        <v>-6.12</v>
      </c>
      <c r="I3954"/>
    </row>
    <row r="3955" spans="1:9" x14ac:dyDescent="0.3">
      <c r="A3955" t="s">
        <v>4</v>
      </c>
      <c r="B3955" t="s">
        <v>14</v>
      </c>
      <c r="C3955" t="s">
        <v>132</v>
      </c>
      <c r="D3955" s="9" t="s">
        <v>124</v>
      </c>
      <c r="E3955" t="s">
        <v>40</v>
      </c>
      <c r="F3955" t="s">
        <v>77</v>
      </c>
      <c r="G3955">
        <v>445.9</v>
      </c>
      <c r="H3955" s="9">
        <v>-7.68</v>
      </c>
      <c r="I3955"/>
    </row>
    <row r="3956" spans="1:9" x14ac:dyDescent="0.3">
      <c r="A3956" t="s">
        <v>4</v>
      </c>
      <c r="B3956" t="s">
        <v>14</v>
      </c>
      <c r="C3956" t="s">
        <v>133</v>
      </c>
      <c r="D3956" s="9" t="s">
        <v>124</v>
      </c>
      <c r="E3956" t="s">
        <v>41</v>
      </c>
      <c r="F3956" t="s">
        <v>79</v>
      </c>
      <c r="G3956">
        <v>491.4</v>
      </c>
      <c r="H3956" s="9">
        <v>-3.68</v>
      </c>
      <c r="I3956"/>
    </row>
    <row r="3957" spans="1:9" x14ac:dyDescent="0.3">
      <c r="A3957" t="s">
        <v>4</v>
      </c>
      <c r="B3957" t="s">
        <v>14</v>
      </c>
      <c r="C3957" t="s">
        <v>134</v>
      </c>
      <c r="D3957" s="9" t="s">
        <v>124</v>
      </c>
      <c r="E3957" t="s">
        <v>42</v>
      </c>
      <c r="F3957" t="s">
        <v>81</v>
      </c>
      <c r="G3957">
        <v>553.9</v>
      </c>
      <c r="H3957" s="9">
        <v>-3.27</v>
      </c>
      <c r="I3957"/>
    </row>
    <row r="3958" spans="1:9" x14ac:dyDescent="0.3">
      <c r="A3958" t="s">
        <v>4</v>
      </c>
      <c r="B3958" t="s">
        <v>14</v>
      </c>
      <c r="C3958" t="s">
        <v>135</v>
      </c>
      <c r="D3958" s="9" t="s">
        <v>124</v>
      </c>
      <c r="E3958" t="s">
        <v>43</v>
      </c>
      <c r="F3958" t="s">
        <v>83</v>
      </c>
      <c r="G3958">
        <v>540.1</v>
      </c>
      <c r="H3958" s="9">
        <v>-2.65</v>
      </c>
      <c r="I3958"/>
    </row>
    <row r="3959" spans="1:9" x14ac:dyDescent="0.3">
      <c r="A3959" t="s">
        <v>4</v>
      </c>
      <c r="B3959" t="s">
        <v>14</v>
      </c>
      <c r="C3959" t="s">
        <v>136</v>
      </c>
      <c r="D3959" s="9" t="s">
        <v>137</v>
      </c>
      <c r="E3959" t="s">
        <v>32</v>
      </c>
      <c r="F3959" t="s">
        <v>61</v>
      </c>
      <c r="G3959">
        <v>463.9</v>
      </c>
      <c r="H3959" s="9">
        <v>-1.82</v>
      </c>
      <c r="I3959"/>
    </row>
    <row r="3960" spans="1:9" x14ac:dyDescent="0.3">
      <c r="A3960" t="s">
        <v>4</v>
      </c>
      <c r="B3960" t="s">
        <v>14</v>
      </c>
      <c r="C3960" t="s">
        <v>138</v>
      </c>
      <c r="D3960" s="9" t="s">
        <v>137</v>
      </c>
      <c r="E3960" t="s">
        <v>33</v>
      </c>
      <c r="F3960" t="s">
        <v>63</v>
      </c>
      <c r="G3960">
        <v>433.2</v>
      </c>
      <c r="H3960" s="9">
        <v>-0.55000000000000004</v>
      </c>
      <c r="I3960"/>
    </row>
    <row r="3961" spans="1:9" x14ac:dyDescent="0.3">
      <c r="A3961" t="s">
        <v>4</v>
      </c>
      <c r="B3961" t="s">
        <v>14</v>
      </c>
      <c r="C3961" t="s">
        <v>139</v>
      </c>
      <c r="D3961" s="9" t="s">
        <v>137</v>
      </c>
      <c r="E3961" t="s">
        <v>34</v>
      </c>
      <c r="F3961" t="s">
        <v>65</v>
      </c>
      <c r="G3961">
        <v>442</v>
      </c>
      <c r="H3961" s="9">
        <v>-0.81</v>
      </c>
      <c r="I3961"/>
    </row>
    <row r="3962" spans="1:9" x14ac:dyDescent="0.3">
      <c r="A3962" t="s">
        <v>4</v>
      </c>
      <c r="B3962" t="s">
        <v>14</v>
      </c>
      <c r="C3962" t="s">
        <v>140</v>
      </c>
      <c r="D3962" s="9" t="s">
        <v>137</v>
      </c>
      <c r="E3962" t="s">
        <v>35</v>
      </c>
      <c r="F3962" t="s">
        <v>67</v>
      </c>
      <c r="G3962">
        <v>413.9</v>
      </c>
      <c r="H3962" s="9">
        <v>4.97</v>
      </c>
      <c r="I3962"/>
    </row>
    <row r="3963" spans="1:9" x14ac:dyDescent="0.3">
      <c r="A3963" t="s">
        <v>4</v>
      </c>
      <c r="B3963" t="s">
        <v>14</v>
      </c>
      <c r="C3963" t="s">
        <v>141</v>
      </c>
      <c r="D3963" s="9" t="s">
        <v>137</v>
      </c>
      <c r="E3963" t="s">
        <v>36</v>
      </c>
      <c r="F3963" t="s">
        <v>69</v>
      </c>
      <c r="G3963">
        <v>443</v>
      </c>
      <c r="H3963" s="9">
        <v>1.75</v>
      </c>
      <c r="I3963"/>
    </row>
    <row r="3964" spans="1:9" x14ac:dyDescent="0.3">
      <c r="A3964" t="s">
        <v>4</v>
      </c>
      <c r="B3964" t="s">
        <v>14</v>
      </c>
      <c r="C3964" t="s">
        <v>142</v>
      </c>
      <c r="D3964" s="9" t="s">
        <v>137</v>
      </c>
      <c r="E3964" t="s">
        <v>37</v>
      </c>
      <c r="F3964" t="s">
        <v>71</v>
      </c>
      <c r="G3964">
        <v>446.5</v>
      </c>
      <c r="H3964" s="9">
        <v>3.09</v>
      </c>
      <c r="I3964"/>
    </row>
    <row r="3965" spans="1:9" x14ac:dyDescent="0.3">
      <c r="A3965" t="s">
        <v>4</v>
      </c>
      <c r="B3965" t="s">
        <v>14</v>
      </c>
      <c r="C3965" t="s">
        <v>143</v>
      </c>
      <c r="D3965" s="9" t="s">
        <v>137</v>
      </c>
      <c r="E3965" t="s">
        <v>38</v>
      </c>
      <c r="F3965" t="s">
        <v>73</v>
      </c>
      <c r="G3965">
        <v>473.3</v>
      </c>
      <c r="H3965" s="9">
        <v>7.67</v>
      </c>
      <c r="I3965"/>
    </row>
    <row r="3966" spans="1:9" x14ac:dyDescent="0.3">
      <c r="A3966" t="s">
        <v>4</v>
      </c>
      <c r="B3966" t="s">
        <v>14</v>
      </c>
      <c r="C3966" t="s">
        <v>144</v>
      </c>
      <c r="D3966" s="9" t="s">
        <v>137</v>
      </c>
      <c r="E3966" t="s">
        <v>39</v>
      </c>
      <c r="F3966" t="s">
        <v>75</v>
      </c>
      <c r="G3966">
        <v>484</v>
      </c>
      <c r="H3966" s="9">
        <v>5.56</v>
      </c>
      <c r="I3966"/>
    </row>
    <row r="3967" spans="1:9" x14ac:dyDescent="0.3">
      <c r="A3967" t="s">
        <v>4</v>
      </c>
      <c r="B3967" t="s">
        <v>14</v>
      </c>
      <c r="C3967" t="s">
        <v>145</v>
      </c>
      <c r="D3967" s="9" t="s">
        <v>137</v>
      </c>
      <c r="E3967" t="s">
        <v>40</v>
      </c>
      <c r="F3967" t="s">
        <v>77</v>
      </c>
      <c r="G3967">
        <v>474.3</v>
      </c>
      <c r="H3967" s="9">
        <v>6.37</v>
      </c>
      <c r="I3967"/>
    </row>
    <row r="3968" spans="1:9" x14ac:dyDescent="0.3">
      <c r="A3968" t="s">
        <v>4</v>
      </c>
      <c r="B3968" t="s">
        <v>14</v>
      </c>
      <c r="C3968" t="s">
        <v>146</v>
      </c>
      <c r="D3968" s="9" t="s">
        <v>137</v>
      </c>
      <c r="E3968" t="s">
        <v>41</v>
      </c>
      <c r="F3968" t="s">
        <v>79</v>
      </c>
      <c r="G3968">
        <v>537.6</v>
      </c>
      <c r="H3968" s="9">
        <v>9.4</v>
      </c>
      <c r="I3968"/>
    </row>
    <row r="3969" spans="1:9" x14ac:dyDescent="0.3">
      <c r="A3969" t="s">
        <v>4</v>
      </c>
      <c r="B3969" t="s">
        <v>14</v>
      </c>
      <c r="C3969" t="s">
        <v>147</v>
      </c>
      <c r="D3969" s="9" t="s">
        <v>137</v>
      </c>
      <c r="E3969" t="s">
        <v>42</v>
      </c>
      <c r="F3969" t="s">
        <v>81</v>
      </c>
      <c r="G3969">
        <v>615.9</v>
      </c>
      <c r="H3969" s="9">
        <v>11.19</v>
      </c>
      <c r="I3969"/>
    </row>
    <row r="3970" spans="1:9" x14ac:dyDescent="0.3">
      <c r="A3970" t="s">
        <v>4</v>
      </c>
      <c r="B3970" t="s">
        <v>14</v>
      </c>
      <c r="C3970" t="s">
        <v>148</v>
      </c>
      <c r="D3970" s="9" t="s">
        <v>137</v>
      </c>
      <c r="E3970" t="s">
        <v>43</v>
      </c>
      <c r="F3970" t="s">
        <v>83</v>
      </c>
      <c r="G3970">
        <v>599.6</v>
      </c>
      <c r="H3970" s="9">
        <v>11.02</v>
      </c>
      <c r="I3970"/>
    </row>
    <row r="3971" spans="1:9" x14ac:dyDescent="0.3">
      <c r="A3971" t="s">
        <v>4</v>
      </c>
      <c r="B3971" t="s">
        <v>14</v>
      </c>
      <c r="C3971" t="s">
        <v>149</v>
      </c>
      <c r="D3971" s="9" t="s">
        <v>150</v>
      </c>
      <c r="E3971" t="s">
        <v>32</v>
      </c>
      <c r="F3971" t="s">
        <v>61</v>
      </c>
      <c r="G3971">
        <v>510.3</v>
      </c>
      <c r="H3971" s="9">
        <v>10</v>
      </c>
      <c r="I3971"/>
    </row>
    <row r="3972" spans="1:9" x14ac:dyDescent="0.3">
      <c r="A3972" t="s">
        <v>4</v>
      </c>
      <c r="B3972" t="s">
        <v>14</v>
      </c>
      <c r="C3972" t="s">
        <v>151</v>
      </c>
      <c r="D3972" s="9" t="s">
        <v>150</v>
      </c>
      <c r="E3972" t="s">
        <v>33</v>
      </c>
      <c r="F3972" t="s">
        <v>63</v>
      </c>
      <c r="G3972">
        <v>443.5</v>
      </c>
      <c r="H3972" s="9">
        <v>2.38</v>
      </c>
      <c r="I3972"/>
    </row>
    <row r="3973" spans="1:9" x14ac:dyDescent="0.3">
      <c r="A3973" t="s">
        <v>4</v>
      </c>
      <c r="B3973" t="s">
        <v>14</v>
      </c>
      <c r="C3973" t="s">
        <v>152</v>
      </c>
      <c r="D3973" s="9" t="s">
        <v>150</v>
      </c>
      <c r="E3973" t="s">
        <v>34</v>
      </c>
      <c r="F3973" t="s">
        <v>65</v>
      </c>
      <c r="G3973">
        <v>453.9</v>
      </c>
      <c r="H3973" s="9">
        <v>2.69</v>
      </c>
      <c r="I3973"/>
    </row>
    <row r="3974" spans="1:9" x14ac:dyDescent="0.3">
      <c r="A3974" t="s">
        <v>4</v>
      </c>
      <c r="B3974" t="s">
        <v>14</v>
      </c>
      <c r="C3974" t="s">
        <v>153</v>
      </c>
      <c r="D3974" s="9" t="s">
        <v>150</v>
      </c>
      <c r="E3974" t="s">
        <v>35</v>
      </c>
      <c r="F3974" t="s">
        <v>67</v>
      </c>
      <c r="G3974">
        <v>441.6</v>
      </c>
      <c r="H3974" s="9">
        <v>6.69</v>
      </c>
      <c r="I3974"/>
    </row>
    <row r="3975" spans="1:9" x14ac:dyDescent="0.3">
      <c r="A3975" t="s">
        <v>4</v>
      </c>
      <c r="B3975" t="s">
        <v>14</v>
      </c>
      <c r="C3975" t="s">
        <v>154</v>
      </c>
      <c r="D3975" s="9" t="s">
        <v>150</v>
      </c>
      <c r="E3975" t="s">
        <v>36</v>
      </c>
      <c r="F3975" t="s">
        <v>69</v>
      </c>
      <c r="G3975">
        <v>471.3</v>
      </c>
      <c r="H3975" s="9">
        <v>6.39</v>
      </c>
      <c r="I3975"/>
    </row>
    <row r="3976" spans="1:9" x14ac:dyDescent="0.3">
      <c r="A3976" t="s">
        <v>4</v>
      </c>
      <c r="B3976" t="s">
        <v>14</v>
      </c>
      <c r="C3976" t="s">
        <v>155</v>
      </c>
      <c r="D3976" s="9" t="s">
        <v>150</v>
      </c>
      <c r="E3976" t="s">
        <v>37</v>
      </c>
      <c r="F3976" t="s">
        <v>71</v>
      </c>
      <c r="G3976">
        <v>477.9</v>
      </c>
      <c r="H3976" s="9">
        <v>7.03</v>
      </c>
      <c r="I3976"/>
    </row>
    <row r="3977" spans="1:9" x14ac:dyDescent="0.3">
      <c r="A3977" t="s">
        <v>4</v>
      </c>
      <c r="B3977" t="s">
        <v>17</v>
      </c>
      <c r="C3977" t="s">
        <v>59</v>
      </c>
      <c r="D3977" s="9" t="s">
        <v>60</v>
      </c>
      <c r="E3977" t="s">
        <v>32</v>
      </c>
      <c r="F3977" t="s">
        <v>61</v>
      </c>
      <c r="G3977">
        <v>266.3</v>
      </c>
      <c r="I3977"/>
    </row>
    <row r="3978" spans="1:9" x14ac:dyDescent="0.3">
      <c r="A3978" t="s">
        <v>4</v>
      </c>
      <c r="B3978" t="s">
        <v>17</v>
      </c>
      <c r="C3978" t="s">
        <v>62</v>
      </c>
      <c r="D3978" s="9" t="s">
        <v>60</v>
      </c>
      <c r="E3978" t="s">
        <v>33</v>
      </c>
      <c r="F3978" t="s">
        <v>63</v>
      </c>
      <c r="G3978">
        <v>259</v>
      </c>
      <c r="I3978"/>
    </row>
    <row r="3979" spans="1:9" x14ac:dyDescent="0.3">
      <c r="A3979" t="s">
        <v>4</v>
      </c>
      <c r="B3979" t="s">
        <v>17</v>
      </c>
      <c r="C3979" t="s">
        <v>64</v>
      </c>
      <c r="D3979" s="9" t="s">
        <v>60</v>
      </c>
      <c r="E3979" t="s">
        <v>34</v>
      </c>
      <c r="F3979" t="s">
        <v>65</v>
      </c>
      <c r="G3979">
        <v>290</v>
      </c>
      <c r="I3979"/>
    </row>
    <row r="3980" spans="1:9" x14ac:dyDescent="0.3">
      <c r="A3980" t="s">
        <v>4</v>
      </c>
      <c r="B3980" t="s">
        <v>17</v>
      </c>
      <c r="C3980" t="s">
        <v>66</v>
      </c>
      <c r="D3980" s="9" t="s">
        <v>60</v>
      </c>
      <c r="E3980" t="s">
        <v>35</v>
      </c>
      <c r="F3980" t="s">
        <v>67</v>
      </c>
      <c r="G3980">
        <v>269.8</v>
      </c>
      <c r="I3980"/>
    </row>
    <row r="3981" spans="1:9" x14ac:dyDescent="0.3">
      <c r="A3981" t="s">
        <v>4</v>
      </c>
      <c r="B3981" t="s">
        <v>17</v>
      </c>
      <c r="C3981" t="s">
        <v>68</v>
      </c>
      <c r="D3981" s="9" t="s">
        <v>60</v>
      </c>
      <c r="E3981" t="s">
        <v>36</v>
      </c>
      <c r="F3981" t="s">
        <v>69</v>
      </c>
      <c r="G3981">
        <v>294.5</v>
      </c>
      <c r="I3981"/>
    </row>
    <row r="3982" spans="1:9" x14ac:dyDescent="0.3">
      <c r="A3982" t="s">
        <v>4</v>
      </c>
      <c r="B3982" t="s">
        <v>17</v>
      </c>
      <c r="C3982" t="s">
        <v>70</v>
      </c>
      <c r="D3982" s="9" t="s">
        <v>60</v>
      </c>
      <c r="E3982" t="s">
        <v>37</v>
      </c>
      <c r="F3982" t="s">
        <v>71</v>
      </c>
      <c r="G3982">
        <v>277.8</v>
      </c>
      <c r="I3982"/>
    </row>
    <row r="3983" spans="1:9" x14ac:dyDescent="0.3">
      <c r="A3983" t="s">
        <v>4</v>
      </c>
      <c r="B3983" t="s">
        <v>17</v>
      </c>
      <c r="C3983" t="s">
        <v>72</v>
      </c>
      <c r="D3983" s="9" t="s">
        <v>60</v>
      </c>
      <c r="E3983" t="s">
        <v>38</v>
      </c>
      <c r="F3983" t="s">
        <v>73</v>
      </c>
      <c r="G3983">
        <v>299.3</v>
      </c>
      <c r="I3983"/>
    </row>
    <row r="3984" spans="1:9" x14ac:dyDescent="0.3">
      <c r="A3984" t="s">
        <v>4</v>
      </c>
      <c r="B3984" t="s">
        <v>17</v>
      </c>
      <c r="C3984" t="s">
        <v>74</v>
      </c>
      <c r="D3984" s="9" t="s">
        <v>60</v>
      </c>
      <c r="E3984" t="s">
        <v>39</v>
      </c>
      <c r="F3984" t="s">
        <v>75</v>
      </c>
      <c r="G3984">
        <v>309.8</v>
      </c>
      <c r="I3984"/>
    </row>
    <row r="3985" spans="1:9" x14ac:dyDescent="0.3">
      <c r="A3985" t="s">
        <v>4</v>
      </c>
      <c r="B3985" t="s">
        <v>17</v>
      </c>
      <c r="C3985" t="s">
        <v>76</v>
      </c>
      <c r="D3985" s="9" t="s">
        <v>60</v>
      </c>
      <c r="E3985" t="s">
        <v>40</v>
      </c>
      <c r="F3985" t="s">
        <v>77</v>
      </c>
      <c r="G3985">
        <v>299.39999999999998</v>
      </c>
      <c r="I3985"/>
    </row>
    <row r="3986" spans="1:9" x14ac:dyDescent="0.3">
      <c r="A3986" t="s">
        <v>4</v>
      </c>
      <c r="B3986" t="s">
        <v>17</v>
      </c>
      <c r="C3986" t="s">
        <v>78</v>
      </c>
      <c r="D3986" s="9" t="s">
        <v>60</v>
      </c>
      <c r="E3986" t="s">
        <v>41</v>
      </c>
      <c r="F3986" t="s">
        <v>79</v>
      </c>
      <c r="G3986">
        <v>323.60000000000002</v>
      </c>
      <c r="I3986"/>
    </row>
    <row r="3987" spans="1:9" x14ac:dyDescent="0.3">
      <c r="A3987" t="s">
        <v>4</v>
      </c>
      <c r="B3987" t="s">
        <v>17</v>
      </c>
      <c r="C3987" t="s">
        <v>80</v>
      </c>
      <c r="D3987" s="9" t="s">
        <v>60</v>
      </c>
      <c r="E3987" t="s">
        <v>42</v>
      </c>
      <c r="F3987" t="s">
        <v>81</v>
      </c>
      <c r="G3987">
        <v>325.39999999999998</v>
      </c>
      <c r="I3987"/>
    </row>
    <row r="3988" spans="1:9" x14ac:dyDescent="0.3">
      <c r="A3988" t="s">
        <v>4</v>
      </c>
      <c r="B3988" t="s">
        <v>17</v>
      </c>
      <c r="C3988" t="s">
        <v>82</v>
      </c>
      <c r="D3988" s="9" t="s">
        <v>60</v>
      </c>
      <c r="E3988" t="s">
        <v>43</v>
      </c>
      <c r="F3988" t="s">
        <v>83</v>
      </c>
      <c r="G3988">
        <v>377</v>
      </c>
      <c r="I3988"/>
    </row>
    <row r="3989" spans="1:9" x14ac:dyDescent="0.3">
      <c r="A3989" t="s">
        <v>4</v>
      </c>
      <c r="B3989" t="s">
        <v>17</v>
      </c>
      <c r="C3989" t="s">
        <v>84</v>
      </c>
      <c r="D3989" s="9" t="s">
        <v>85</v>
      </c>
      <c r="E3989" t="s">
        <v>32</v>
      </c>
      <c r="F3989" t="s">
        <v>61</v>
      </c>
      <c r="G3989">
        <v>301.89999999999998</v>
      </c>
      <c r="H3989" s="9">
        <v>13.37</v>
      </c>
      <c r="I3989"/>
    </row>
    <row r="3990" spans="1:9" x14ac:dyDescent="0.3">
      <c r="A3990" t="s">
        <v>4</v>
      </c>
      <c r="B3990" t="s">
        <v>17</v>
      </c>
      <c r="C3990" t="s">
        <v>86</v>
      </c>
      <c r="D3990" s="9" t="s">
        <v>85</v>
      </c>
      <c r="E3990" t="s">
        <v>33</v>
      </c>
      <c r="F3990" t="s">
        <v>63</v>
      </c>
      <c r="G3990">
        <v>302.3</v>
      </c>
      <c r="H3990" s="9">
        <v>16.72</v>
      </c>
      <c r="I3990"/>
    </row>
    <row r="3991" spans="1:9" x14ac:dyDescent="0.3">
      <c r="A3991" t="s">
        <v>4</v>
      </c>
      <c r="B3991" t="s">
        <v>17</v>
      </c>
      <c r="C3991" t="s">
        <v>87</v>
      </c>
      <c r="D3991" s="9" t="s">
        <v>85</v>
      </c>
      <c r="E3991" t="s">
        <v>34</v>
      </c>
      <c r="F3991" t="s">
        <v>65</v>
      </c>
      <c r="G3991">
        <v>391.6</v>
      </c>
      <c r="H3991" s="9">
        <v>35.03</v>
      </c>
      <c r="I3991"/>
    </row>
    <row r="3992" spans="1:9" x14ac:dyDescent="0.3">
      <c r="A3992" t="s">
        <v>4</v>
      </c>
      <c r="B3992" t="s">
        <v>17</v>
      </c>
      <c r="C3992" t="s">
        <v>88</v>
      </c>
      <c r="D3992" s="9" t="s">
        <v>85</v>
      </c>
      <c r="E3992" t="s">
        <v>35</v>
      </c>
      <c r="F3992" t="s">
        <v>67</v>
      </c>
      <c r="G3992">
        <v>275</v>
      </c>
      <c r="H3992" s="9">
        <v>1.93</v>
      </c>
      <c r="I3992"/>
    </row>
    <row r="3993" spans="1:9" x14ac:dyDescent="0.3">
      <c r="A3993" t="s">
        <v>4</v>
      </c>
      <c r="B3993" t="s">
        <v>17</v>
      </c>
      <c r="C3993" t="s">
        <v>89</v>
      </c>
      <c r="D3993" s="9" t="s">
        <v>85</v>
      </c>
      <c r="E3993" t="s">
        <v>36</v>
      </c>
      <c r="F3993" t="s">
        <v>69</v>
      </c>
      <c r="G3993">
        <v>305.8</v>
      </c>
      <c r="H3993" s="9">
        <v>3.84</v>
      </c>
      <c r="I3993"/>
    </row>
    <row r="3994" spans="1:9" x14ac:dyDescent="0.3">
      <c r="A3994" t="s">
        <v>4</v>
      </c>
      <c r="B3994" t="s">
        <v>17</v>
      </c>
      <c r="C3994" t="s">
        <v>90</v>
      </c>
      <c r="D3994" s="9" t="s">
        <v>85</v>
      </c>
      <c r="E3994" t="s">
        <v>37</v>
      </c>
      <c r="F3994" t="s">
        <v>71</v>
      </c>
      <c r="G3994">
        <v>309.3</v>
      </c>
      <c r="H3994" s="9">
        <v>11.34</v>
      </c>
      <c r="I3994"/>
    </row>
    <row r="3995" spans="1:9" x14ac:dyDescent="0.3">
      <c r="A3995" t="s">
        <v>4</v>
      </c>
      <c r="B3995" t="s">
        <v>17</v>
      </c>
      <c r="C3995" t="s">
        <v>91</v>
      </c>
      <c r="D3995" s="9" t="s">
        <v>85</v>
      </c>
      <c r="E3995" t="s">
        <v>38</v>
      </c>
      <c r="F3995" t="s">
        <v>73</v>
      </c>
      <c r="G3995">
        <v>345.1</v>
      </c>
      <c r="H3995" s="9">
        <v>15.3</v>
      </c>
      <c r="I3995"/>
    </row>
    <row r="3996" spans="1:9" x14ac:dyDescent="0.3">
      <c r="A3996" t="s">
        <v>4</v>
      </c>
      <c r="B3996" t="s">
        <v>17</v>
      </c>
      <c r="C3996" t="s">
        <v>92</v>
      </c>
      <c r="D3996" s="9" t="s">
        <v>85</v>
      </c>
      <c r="E3996" t="s">
        <v>39</v>
      </c>
      <c r="F3996" t="s">
        <v>75</v>
      </c>
      <c r="G3996">
        <v>339.8</v>
      </c>
      <c r="H3996" s="9">
        <v>9.68</v>
      </c>
      <c r="I3996"/>
    </row>
    <row r="3997" spans="1:9" x14ac:dyDescent="0.3">
      <c r="A3997" t="s">
        <v>4</v>
      </c>
      <c r="B3997" t="s">
        <v>17</v>
      </c>
      <c r="C3997" t="s">
        <v>93</v>
      </c>
      <c r="D3997" s="9" t="s">
        <v>85</v>
      </c>
      <c r="E3997" t="s">
        <v>40</v>
      </c>
      <c r="F3997" t="s">
        <v>77</v>
      </c>
      <c r="G3997">
        <v>339.6</v>
      </c>
      <c r="H3997" s="9">
        <v>13.43</v>
      </c>
      <c r="I3997"/>
    </row>
    <row r="3998" spans="1:9" x14ac:dyDescent="0.3">
      <c r="A3998" t="s">
        <v>4</v>
      </c>
      <c r="B3998" t="s">
        <v>17</v>
      </c>
      <c r="C3998" t="s">
        <v>94</v>
      </c>
      <c r="D3998" s="9" t="s">
        <v>85</v>
      </c>
      <c r="E3998" t="s">
        <v>41</v>
      </c>
      <c r="F3998" t="s">
        <v>79</v>
      </c>
      <c r="G3998">
        <v>350</v>
      </c>
      <c r="H3998" s="9">
        <v>8.16</v>
      </c>
      <c r="I3998"/>
    </row>
    <row r="3999" spans="1:9" x14ac:dyDescent="0.3">
      <c r="A3999" t="s">
        <v>4</v>
      </c>
      <c r="B3999" t="s">
        <v>17</v>
      </c>
      <c r="C3999" t="s">
        <v>95</v>
      </c>
      <c r="D3999" s="9" t="s">
        <v>85</v>
      </c>
      <c r="E3999" t="s">
        <v>42</v>
      </c>
      <c r="F3999" t="s">
        <v>81</v>
      </c>
      <c r="G3999">
        <v>345.3</v>
      </c>
      <c r="H3999" s="9">
        <v>6.12</v>
      </c>
      <c r="I3999"/>
    </row>
    <row r="4000" spans="1:9" x14ac:dyDescent="0.3">
      <c r="A4000" t="s">
        <v>4</v>
      </c>
      <c r="B4000" t="s">
        <v>17</v>
      </c>
      <c r="C4000" t="s">
        <v>96</v>
      </c>
      <c r="D4000" s="9" t="s">
        <v>85</v>
      </c>
      <c r="E4000" t="s">
        <v>43</v>
      </c>
      <c r="F4000" t="s">
        <v>83</v>
      </c>
      <c r="G4000">
        <v>404.3</v>
      </c>
      <c r="H4000" s="9">
        <v>7.24</v>
      </c>
      <c r="I4000"/>
    </row>
    <row r="4001" spans="1:9" x14ac:dyDescent="0.3">
      <c r="A4001" t="s">
        <v>4</v>
      </c>
      <c r="B4001" t="s">
        <v>17</v>
      </c>
      <c r="C4001" t="s">
        <v>97</v>
      </c>
      <c r="D4001" s="9" t="s">
        <v>98</v>
      </c>
      <c r="E4001" t="s">
        <v>32</v>
      </c>
      <c r="F4001" t="s">
        <v>61</v>
      </c>
      <c r="G4001">
        <v>317.3</v>
      </c>
      <c r="H4001" s="9">
        <v>5.0999999999999996</v>
      </c>
      <c r="I4001"/>
    </row>
    <row r="4002" spans="1:9" x14ac:dyDescent="0.3">
      <c r="A4002" t="s">
        <v>4</v>
      </c>
      <c r="B4002" t="s">
        <v>17</v>
      </c>
      <c r="C4002" t="s">
        <v>99</v>
      </c>
      <c r="D4002" s="9" t="s">
        <v>98</v>
      </c>
      <c r="E4002" t="s">
        <v>33</v>
      </c>
      <c r="F4002" t="s">
        <v>63</v>
      </c>
      <c r="G4002">
        <v>322.7</v>
      </c>
      <c r="H4002" s="9">
        <v>6.75</v>
      </c>
      <c r="I4002"/>
    </row>
    <row r="4003" spans="1:9" x14ac:dyDescent="0.3">
      <c r="A4003" t="s">
        <v>4</v>
      </c>
      <c r="B4003" t="s">
        <v>17</v>
      </c>
      <c r="C4003" t="s">
        <v>100</v>
      </c>
      <c r="D4003" s="9" t="s">
        <v>98</v>
      </c>
      <c r="E4003" t="s">
        <v>34</v>
      </c>
      <c r="F4003" t="s">
        <v>65</v>
      </c>
      <c r="G4003">
        <v>365.7</v>
      </c>
      <c r="H4003" s="9">
        <v>-6.61</v>
      </c>
      <c r="I4003"/>
    </row>
    <row r="4004" spans="1:9" x14ac:dyDescent="0.3">
      <c r="A4004" t="s">
        <v>4</v>
      </c>
      <c r="B4004" t="s">
        <v>17</v>
      </c>
      <c r="C4004" t="s">
        <v>101</v>
      </c>
      <c r="D4004" s="9" t="s">
        <v>98</v>
      </c>
      <c r="E4004" t="s">
        <v>35</v>
      </c>
      <c r="F4004" t="s">
        <v>67</v>
      </c>
      <c r="G4004">
        <v>335.6</v>
      </c>
      <c r="H4004" s="9">
        <v>22.04</v>
      </c>
      <c r="I4004"/>
    </row>
    <row r="4005" spans="1:9" x14ac:dyDescent="0.3">
      <c r="A4005" t="s">
        <v>4</v>
      </c>
      <c r="B4005" t="s">
        <v>17</v>
      </c>
      <c r="C4005" t="s">
        <v>102</v>
      </c>
      <c r="D4005" s="9" t="s">
        <v>98</v>
      </c>
      <c r="E4005" t="s">
        <v>36</v>
      </c>
      <c r="F4005" t="s">
        <v>69</v>
      </c>
      <c r="G4005">
        <v>356</v>
      </c>
      <c r="H4005" s="9">
        <v>16.420000000000002</v>
      </c>
      <c r="I4005"/>
    </row>
    <row r="4006" spans="1:9" x14ac:dyDescent="0.3">
      <c r="A4006" t="s">
        <v>4</v>
      </c>
      <c r="B4006" t="s">
        <v>17</v>
      </c>
      <c r="C4006" t="s">
        <v>103</v>
      </c>
      <c r="D4006" s="9" t="s">
        <v>98</v>
      </c>
      <c r="E4006" t="s">
        <v>37</v>
      </c>
      <c r="F4006" t="s">
        <v>71</v>
      </c>
      <c r="G4006">
        <v>360.4</v>
      </c>
      <c r="H4006" s="9">
        <v>16.52</v>
      </c>
      <c r="I4006"/>
    </row>
    <row r="4007" spans="1:9" x14ac:dyDescent="0.3">
      <c r="A4007" t="s">
        <v>4</v>
      </c>
      <c r="B4007" t="s">
        <v>17</v>
      </c>
      <c r="C4007" t="s">
        <v>104</v>
      </c>
      <c r="D4007" s="9" t="s">
        <v>98</v>
      </c>
      <c r="E4007" t="s">
        <v>38</v>
      </c>
      <c r="F4007" t="s">
        <v>73</v>
      </c>
      <c r="G4007">
        <v>374.5</v>
      </c>
      <c r="H4007" s="9">
        <v>8.52</v>
      </c>
      <c r="I4007"/>
    </row>
    <row r="4008" spans="1:9" x14ac:dyDescent="0.3">
      <c r="A4008" t="s">
        <v>4</v>
      </c>
      <c r="B4008" t="s">
        <v>17</v>
      </c>
      <c r="C4008" t="s">
        <v>105</v>
      </c>
      <c r="D4008" s="9" t="s">
        <v>98</v>
      </c>
      <c r="E4008" t="s">
        <v>39</v>
      </c>
      <c r="F4008" t="s">
        <v>75</v>
      </c>
      <c r="G4008">
        <v>382.8</v>
      </c>
      <c r="H4008" s="9">
        <v>12.65</v>
      </c>
      <c r="I4008"/>
    </row>
    <row r="4009" spans="1:9" x14ac:dyDescent="0.3">
      <c r="A4009" t="s">
        <v>4</v>
      </c>
      <c r="B4009" t="s">
        <v>17</v>
      </c>
      <c r="C4009" t="s">
        <v>106</v>
      </c>
      <c r="D4009" s="9" t="s">
        <v>98</v>
      </c>
      <c r="E4009" t="s">
        <v>40</v>
      </c>
      <c r="F4009" t="s">
        <v>77</v>
      </c>
      <c r="G4009">
        <v>395.8</v>
      </c>
      <c r="H4009" s="9">
        <v>16.55</v>
      </c>
      <c r="I4009"/>
    </row>
    <row r="4010" spans="1:9" x14ac:dyDescent="0.3">
      <c r="A4010" t="s">
        <v>4</v>
      </c>
      <c r="B4010" t="s">
        <v>17</v>
      </c>
      <c r="C4010" t="s">
        <v>107</v>
      </c>
      <c r="D4010" s="9" t="s">
        <v>98</v>
      </c>
      <c r="E4010" t="s">
        <v>41</v>
      </c>
      <c r="F4010" t="s">
        <v>79</v>
      </c>
      <c r="G4010">
        <v>385</v>
      </c>
      <c r="H4010" s="9">
        <v>10</v>
      </c>
      <c r="I4010"/>
    </row>
    <row r="4011" spans="1:9" x14ac:dyDescent="0.3">
      <c r="A4011" t="s">
        <v>4</v>
      </c>
      <c r="B4011" t="s">
        <v>17</v>
      </c>
      <c r="C4011" t="s">
        <v>108</v>
      </c>
      <c r="D4011" s="9" t="s">
        <v>98</v>
      </c>
      <c r="E4011" t="s">
        <v>42</v>
      </c>
      <c r="F4011" t="s">
        <v>81</v>
      </c>
      <c r="G4011">
        <v>379</v>
      </c>
      <c r="H4011" s="9">
        <v>9.76</v>
      </c>
      <c r="I4011"/>
    </row>
    <row r="4012" spans="1:9" x14ac:dyDescent="0.3">
      <c r="A4012" t="s">
        <v>4</v>
      </c>
      <c r="B4012" t="s">
        <v>17</v>
      </c>
      <c r="C4012" t="s">
        <v>109</v>
      </c>
      <c r="D4012" s="9" t="s">
        <v>98</v>
      </c>
      <c r="E4012" t="s">
        <v>43</v>
      </c>
      <c r="F4012" t="s">
        <v>83</v>
      </c>
      <c r="G4012">
        <v>440.8</v>
      </c>
      <c r="H4012" s="9">
        <v>9.0299999999999994</v>
      </c>
      <c r="I4012"/>
    </row>
    <row r="4013" spans="1:9" x14ac:dyDescent="0.3">
      <c r="A4013" t="s">
        <v>4</v>
      </c>
      <c r="B4013" t="s">
        <v>17</v>
      </c>
      <c r="C4013" t="s">
        <v>110</v>
      </c>
      <c r="D4013" s="9" t="s">
        <v>111</v>
      </c>
      <c r="E4013" t="s">
        <v>32</v>
      </c>
      <c r="F4013" t="s">
        <v>61</v>
      </c>
      <c r="G4013">
        <v>346.6</v>
      </c>
      <c r="H4013" s="9">
        <v>9.23</v>
      </c>
      <c r="I4013"/>
    </row>
    <row r="4014" spans="1:9" x14ac:dyDescent="0.3">
      <c r="A4014" t="s">
        <v>4</v>
      </c>
      <c r="B4014" t="s">
        <v>17</v>
      </c>
      <c r="C4014" t="s">
        <v>112</v>
      </c>
      <c r="D4014" s="9" t="s">
        <v>111</v>
      </c>
      <c r="E4014" t="s">
        <v>33</v>
      </c>
      <c r="F4014" t="s">
        <v>63</v>
      </c>
      <c r="G4014">
        <v>354.3</v>
      </c>
      <c r="H4014" s="9">
        <v>9.7899999999999991</v>
      </c>
      <c r="I4014"/>
    </row>
    <row r="4015" spans="1:9" x14ac:dyDescent="0.3">
      <c r="A4015" t="s">
        <v>4</v>
      </c>
      <c r="B4015" t="s">
        <v>17</v>
      </c>
      <c r="C4015" t="s">
        <v>113</v>
      </c>
      <c r="D4015" s="9" t="s">
        <v>111</v>
      </c>
      <c r="E4015" t="s">
        <v>34</v>
      </c>
      <c r="F4015" t="s">
        <v>65</v>
      </c>
      <c r="G4015">
        <v>401.2</v>
      </c>
      <c r="H4015" s="9">
        <v>9.7100000000000009</v>
      </c>
      <c r="I4015"/>
    </row>
    <row r="4016" spans="1:9" x14ac:dyDescent="0.3">
      <c r="A4016" t="s">
        <v>4</v>
      </c>
      <c r="B4016" t="s">
        <v>17</v>
      </c>
      <c r="C4016" t="s">
        <v>114</v>
      </c>
      <c r="D4016" s="9" t="s">
        <v>111</v>
      </c>
      <c r="E4016" t="s">
        <v>35</v>
      </c>
      <c r="F4016" t="s">
        <v>67</v>
      </c>
      <c r="G4016">
        <v>373.4</v>
      </c>
      <c r="H4016" s="9">
        <v>11.26</v>
      </c>
      <c r="I4016"/>
    </row>
    <row r="4017" spans="1:9" x14ac:dyDescent="0.3">
      <c r="A4017" t="s">
        <v>4</v>
      </c>
      <c r="B4017" t="s">
        <v>17</v>
      </c>
      <c r="C4017" t="s">
        <v>115</v>
      </c>
      <c r="D4017" s="9" t="s">
        <v>111</v>
      </c>
      <c r="E4017" t="s">
        <v>36</v>
      </c>
      <c r="F4017" t="s">
        <v>69</v>
      </c>
      <c r="G4017">
        <v>399.7</v>
      </c>
      <c r="H4017" s="9">
        <v>12.28</v>
      </c>
      <c r="I4017"/>
    </row>
    <row r="4018" spans="1:9" x14ac:dyDescent="0.3">
      <c r="A4018" t="s">
        <v>4</v>
      </c>
      <c r="B4018" t="s">
        <v>17</v>
      </c>
      <c r="C4018" t="s">
        <v>116</v>
      </c>
      <c r="D4018" s="9" t="s">
        <v>111</v>
      </c>
      <c r="E4018" t="s">
        <v>37</v>
      </c>
      <c r="F4018" t="s">
        <v>71</v>
      </c>
      <c r="G4018">
        <v>387.1</v>
      </c>
      <c r="H4018" s="9">
        <v>7.41</v>
      </c>
      <c r="I4018"/>
    </row>
    <row r="4019" spans="1:9" x14ac:dyDescent="0.3">
      <c r="A4019" t="s">
        <v>4</v>
      </c>
      <c r="B4019" t="s">
        <v>17</v>
      </c>
      <c r="C4019" t="s">
        <v>117</v>
      </c>
      <c r="D4019" s="9" t="s">
        <v>111</v>
      </c>
      <c r="E4019" t="s">
        <v>38</v>
      </c>
      <c r="F4019" t="s">
        <v>73</v>
      </c>
      <c r="G4019">
        <v>421.9</v>
      </c>
      <c r="H4019" s="9">
        <v>12.66</v>
      </c>
      <c r="I4019"/>
    </row>
    <row r="4020" spans="1:9" x14ac:dyDescent="0.3">
      <c r="A4020" t="s">
        <v>4</v>
      </c>
      <c r="B4020" t="s">
        <v>17</v>
      </c>
      <c r="C4020" t="s">
        <v>118</v>
      </c>
      <c r="D4020" s="9" t="s">
        <v>111</v>
      </c>
      <c r="E4020" t="s">
        <v>39</v>
      </c>
      <c r="F4020" t="s">
        <v>75</v>
      </c>
      <c r="G4020">
        <v>406.9</v>
      </c>
      <c r="H4020" s="9">
        <v>6.3</v>
      </c>
      <c r="I4020"/>
    </row>
    <row r="4021" spans="1:9" x14ac:dyDescent="0.3">
      <c r="A4021" t="s">
        <v>4</v>
      </c>
      <c r="B4021" t="s">
        <v>17</v>
      </c>
      <c r="C4021" t="s">
        <v>119</v>
      </c>
      <c r="D4021" s="9" t="s">
        <v>111</v>
      </c>
      <c r="E4021" t="s">
        <v>40</v>
      </c>
      <c r="F4021" t="s">
        <v>77</v>
      </c>
      <c r="G4021">
        <v>381.5</v>
      </c>
      <c r="H4021" s="9">
        <v>-3.61</v>
      </c>
      <c r="I4021"/>
    </row>
    <row r="4022" spans="1:9" x14ac:dyDescent="0.3">
      <c r="A4022" t="s">
        <v>4</v>
      </c>
      <c r="B4022" t="s">
        <v>17</v>
      </c>
      <c r="C4022" t="s">
        <v>120</v>
      </c>
      <c r="D4022" s="9" t="s">
        <v>111</v>
      </c>
      <c r="E4022" t="s">
        <v>41</v>
      </c>
      <c r="F4022" t="s">
        <v>79</v>
      </c>
      <c r="G4022">
        <v>371.9</v>
      </c>
      <c r="H4022" s="9">
        <v>-3.4</v>
      </c>
      <c r="I4022"/>
    </row>
    <row r="4023" spans="1:9" x14ac:dyDescent="0.3">
      <c r="A4023" t="s">
        <v>4</v>
      </c>
      <c r="B4023" t="s">
        <v>17</v>
      </c>
      <c r="C4023" t="s">
        <v>121</v>
      </c>
      <c r="D4023" s="9" t="s">
        <v>111</v>
      </c>
      <c r="E4023" t="s">
        <v>42</v>
      </c>
      <c r="F4023" t="s">
        <v>81</v>
      </c>
      <c r="G4023">
        <v>401.9</v>
      </c>
      <c r="H4023" s="9">
        <v>6.04</v>
      </c>
      <c r="I4023"/>
    </row>
    <row r="4024" spans="1:9" x14ac:dyDescent="0.3">
      <c r="A4024" t="s">
        <v>4</v>
      </c>
      <c r="B4024" t="s">
        <v>17</v>
      </c>
      <c r="C4024" t="s">
        <v>122</v>
      </c>
      <c r="D4024" s="9" t="s">
        <v>111</v>
      </c>
      <c r="E4024" t="s">
        <v>43</v>
      </c>
      <c r="F4024" t="s">
        <v>83</v>
      </c>
      <c r="G4024">
        <v>472.6</v>
      </c>
      <c r="H4024" s="9">
        <v>7.21</v>
      </c>
      <c r="I4024"/>
    </row>
    <row r="4025" spans="1:9" x14ac:dyDescent="0.3">
      <c r="A4025" t="s">
        <v>4</v>
      </c>
      <c r="B4025" t="s">
        <v>17</v>
      </c>
      <c r="C4025" t="s">
        <v>123</v>
      </c>
      <c r="D4025" s="9" t="s">
        <v>124</v>
      </c>
      <c r="E4025" t="s">
        <v>32</v>
      </c>
      <c r="F4025" t="s">
        <v>61</v>
      </c>
      <c r="G4025">
        <v>356.5</v>
      </c>
      <c r="H4025" s="9">
        <v>2.86</v>
      </c>
      <c r="I4025"/>
    </row>
    <row r="4026" spans="1:9" x14ac:dyDescent="0.3">
      <c r="A4026" t="s">
        <v>4</v>
      </c>
      <c r="B4026" t="s">
        <v>17</v>
      </c>
      <c r="C4026" t="s">
        <v>125</v>
      </c>
      <c r="D4026" s="9" t="s">
        <v>124</v>
      </c>
      <c r="E4026" t="s">
        <v>33</v>
      </c>
      <c r="F4026" t="s">
        <v>63</v>
      </c>
      <c r="G4026">
        <v>346.8</v>
      </c>
      <c r="H4026" s="9">
        <v>-2.12</v>
      </c>
      <c r="I4026"/>
    </row>
    <row r="4027" spans="1:9" x14ac:dyDescent="0.3">
      <c r="A4027" t="s">
        <v>4</v>
      </c>
      <c r="B4027" t="s">
        <v>17</v>
      </c>
      <c r="C4027" t="s">
        <v>126</v>
      </c>
      <c r="D4027" s="9" t="s">
        <v>124</v>
      </c>
      <c r="E4027" t="s">
        <v>34</v>
      </c>
      <c r="F4027" t="s">
        <v>65</v>
      </c>
      <c r="G4027">
        <v>391.2</v>
      </c>
      <c r="H4027" s="9">
        <v>-2.4900000000000002</v>
      </c>
      <c r="I4027"/>
    </row>
    <row r="4028" spans="1:9" x14ac:dyDescent="0.3">
      <c r="A4028" t="s">
        <v>4</v>
      </c>
      <c r="B4028" t="s">
        <v>17</v>
      </c>
      <c r="C4028" t="s">
        <v>127</v>
      </c>
      <c r="D4028" s="9" t="s">
        <v>124</v>
      </c>
      <c r="E4028" t="s">
        <v>35</v>
      </c>
      <c r="F4028" t="s">
        <v>67</v>
      </c>
      <c r="G4028">
        <v>363.8</v>
      </c>
      <c r="H4028" s="9">
        <v>-2.57</v>
      </c>
      <c r="I4028"/>
    </row>
    <row r="4029" spans="1:9" x14ac:dyDescent="0.3">
      <c r="A4029" t="s">
        <v>4</v>
      </c>
      <c r="B4029" t="s">
        <v>17</v>
      </c>
      <c r="C4029" t="s">
        <v>128</v>
      </c>
      <c r="D4029" s="9" t="s">
        <v>124</v>
      </c>
      <c r="E4029" t="s">
        <v>36</v>
      </c>
      <c r="F4029" t="s">
        <v>69</v>
      </c>
      <c r="G4029">
        <v>418.2</v>
      </c>
      <c r="H4029" s="9">
        <v>4.63</v>
      </c>
      <c r="I4029"/>
    </row>
    <row r="4030" spans="1:9" x14ac:dyDescent="0.3">
      <c r="A4030" t="s">
        <v>4</v>
      </c>
      <c r="B4030" t="s">
        <v>17</v>
      </c>
      <c r="C4030" t="s">
        <v>129</v>
      </c>
      <c r="D4030" s="9" t="s">
        <v>124</v>
      </c>
      <c r="E4030" t="s">
        <v>37</v>
      </c>
      <c r="F4030" t="s">
        <v>71</v>
      </c>
      <c r="G4030">
        <v>392.7</v>
      </c>
      <c r="H4030" s="9">
        <v>1.45</v>
      </c>
      <c r="I4030"/>
    </row>
    <row r="4031" spans="1:9" x14ac:dyDescent="0.3">
      <c r="A4031" t="s">
        <v>4</v>
      </c>
      <c r="B4031" t="s">
        <v>17</v>
      </c>
      <c r="C4031" t="s">
        <v>130</v>
      </c>
      <c r="D4031" s="9" t="s">
        <v>124</v>
      </c>
      <c r="E4031" t="s">
        <v>38</v>
      </c>
      <c r="F4031" t="s">
        <v>73</v>
      </c>
      <c r="G4031">
        <v>392.2</v>
      </c>
      <c r="H4031" s="9">
        <v>-7.04</v>
      </c>
      <c r="I4031"/>
    </row>
    <row r="4032" spans="1:9" x14ac:dyDescent="0.3">
      <c r="A4032" t="s">
        <v>4</v>
      </c>
      <c r="B4032" t="s">
        <v>17</v>
      </c>
      <c r="C4032" t="s">
        <v>131</v>
      </c>
      <c r="D4032" s="9" t="s">
        <v>124</v>
      </c>
      <c r="E4032" t="s">
        <v>39</v>
      </c>
      <c r="F4032" t="s">
        <v>75</v>
      </c>
      <c r="G4032">
        <v>403.7</v>
      </c>
      <c r="H4032" s="9">
        <v>-0.79</v>
      </c>
      <c r="I4032"/>
    </row>
    <row r="4033" spans="1:9" x14ac:dyDescent="0.3">
      <c r="A4033" t="s">
        <v>4</v>
      </c>
      <c r="B4033" t="s">
        <v>17</v>
      </c>
      <c r="C4033" t="s">
        <v>132</v>
      </c>
      <c r="D4033" s="9" t="s">
        <v>124</v>
      </c>
      <c r="E4033" t="s">
        <v>40</v>
      </c>
      <c r="F4033" t="s">
        <v>77</v>
      </c>
      <c r="G4033">
        <v>396</v>
      </c>
      <c r="H4033" s="9">
        <v>3.8</v>
      </c>
      <c r="I4033"/>
    </row>
    <row r="4034" spans="1:9" x14ac:dyDescent="0.3">
      <c r="A4034" t="s">
        <v>4</v>
      </c>
      <c r="B4034" t="s">
        <v>17</v>
      </c>
      <c r="C4034" t="s">
        <v>133</v>
      </c>
      <c r="D4034" s="9" t="s">
        <v>124</v>
      </c>
      <c r="E4034" t="s">
        <v>41</v>
      </c>
      <c r="F4034" t="s">
        <v>79</v>
      </c>
      <c r="G4034">
        <v>407.1</v>
      </c>
      <c r="H4034" s="9">
        <v>9.4600000000000009</v>
      </c>
      <c r="I4034"/>
    </row>
    <row r="4035" spans="1:9" x14ac:dyDescent="0.3">
      <c r="A4035" t="s">
        <v>4</v>
      </c>
      <c r="B4035" t="s">
        <v>17</v>
      </c>
      <c r="C4035" t="s">
        <v>134</v>
      </c>
      <c r="D4035" s="9" t="s">
        <v>124</v>
      </c>
      <c r="E4035" t="s">
        <v>42</v>
      </c>
      <c r="F4035" t="s">
        <v>81</v>
      </c>
      <c r="G4035">
        <v>441.6</v>
      </c>
      <c r="H4035" s="9">
        <v>9.8800000000000008</v>
      </c>
      <c r="I4035"/>
    </row>
    <row r="4036" spans="1:9" x14ac:dyDescent="0.3">
      <c r="A4036" t="s">
        <v>4</v>
      </c>
      <c r="B4036" t="s">
        <v>17</v>
      </c>
      <c r="C4036" t="s">
        <v>135</v>
      </c>
      <c r="D4036" s="9" t="s">
        <v>124</v>
      </c>
      <c r="E4036" t="s">
        <v>43</v>
      </c>
      <c r="F4036" t="s">
        <v>83</v>
      </c>
      <c r="G4036">
        <v>496.5</v>
      </c>
      <c r="H4036" s="9">
        <v>5.0599999999999996</v>
      </c>
      <c r="I4036"/>
    </row>
    <row r="4037" spans="1:9" x14ac:dyDescent="0.3">
      <c r="A4037" t="s">
        <v>4</v>
      </c>
      <c r="B4037" t="s">
        <v>17</v>
      </c>
      <c r="C4037" t="s">
        <v>136</v>
      </c>
      <c r="D4037" s="9" t="s">
        <v>137</v>
      </c>
      <c r="E4037" t="s">
        <v>32</v>
      </c>
      <c r="F4037" t="s">
        <v>61</v>
      </c>
      <c r="G4037">
        <v>396.1</v>
      </c>
      <c r="H4037" s="9">
        <v>11.11</v>
      </c>
      <c r="I4037"/>
    </row>
    <row r="4038" spans="1:9" x14ac:dyDescent="0.3">
      <c r="A4038" t="s">
        <v>4</v>
      </c>
      <c r="B4038" t="s">
        <v>17</v>
      </c>
      <c r="C4038" t="s">
        <v>138</v>
      </c>
      <c r="D4038" s="9" t="s">
        <v>137</v>
      </c>
      <c r="E4038" t="s">
        <v>33</v>
      </c>
      <c r="F4038" t="s">
        <v>63</v>
      </c>
      <c r="G4038">
        <v>392.3</v>
      </c>
      <c r="H4038" s="9">
        <v>13.12</v>
      </c>
      <c r="I4038"/>
    </row>
    <row r="4039" spans="1:9" x14ac:dyDescent="0.3">
      <c r="A4039" t="s">
        <v>4</v>
      </c>
      <c r="B4039" t="s">
        <v>17</v>
      </c>
      <c r="C4039" t="s">
        <v>139</v>
      </c>
      <c r="D4039" s="9" t="s">
        <v>137</v>
      </c>
      <c r="E4039" t="s">
        <v>34</v>
      </c>
      <c r="F4039" t="s">
        <v>65</v>
      </c>
      <c r="G4039">
        <v>417.7</v>
      </c>
      <c r="H4039" s="9">
        <v>6.77</v>
      </c>
      <c r="I4039"/>
    </row>
    <row r="4040" spans="1:9" x14ac:dyDescent="0.3">
      <c r="A4040" t="s">
        <v>4</v>
      </c>
      <c r="B4040" t="s">
        <v>17</v>
      </c>
      <c r="C4040" t="s">
        <v>140</v>
      </c>
      <c r="D4040" s="9" t="s">
        <v>137</v>
      </c>
      <c r="E4040" t="s">
        <v>35</v>
      </c>
      <c r="F4040" t="s">
        <v>67</v>
      </c>
      <c r="G4040">
        <v>416</v>
      </c>
      <c r="H4040" s="9">
        <v>14.35</v>
      </c>
      <c r="I4040"/>
    </row>
    <row r="4041" spans="1:9" x14ac:dyDescent="0.3">
      <c r="A4041" t="s">
        <v>4</v>
      </c>
      <c r="B4041" t="s">
        <v>17</v>
      </c>
      <c r="C4041" t="s">
        <v>141</v>
      </c>
      <c r="D4041" s="9" t="s">
        <v>137</v>
      </c>
      <c r="E4041" t="s">
        <v>36</v>
      </c>
      <c r="F4041" t="s">
        <v>69</v>
      </c>
      <c r="G4041">
        <v>451.8</v>
      </c>
      <c r="H4041" s="9">
        <v>8.0299999999999994</v>
      </c>
      <c r="I4041"/>
    </row>
    <row r="4042" spans="1:9" x14ac:dyDescent="0.3">
      <c r="A4042" t="s">
        <v>4</v>
      </c>
      <c r="B4042" t="s">
        <v>17</v>
      </c>
      <c r="C4042" t="s">
        <v>142</v>
      </c>
      <c r="D4042" s="9" t="s">
        <v>137</v>
      </c>
      <c r="E4042" t="s">
        <v>37</v>
      </c>
      <c r="F4042" t="s">
        <v>71</v>
      </c>
      <c r="G4042">
        <v>419.9</v>
      </c>
      <c r="H4042" s="9">
        <v>6.93</v>
      </c>
      <c r="I4042"/>
    </row>
    <row r="4043" spans="1:9" x14ac:dyDescent="0.3">
      <c r="A4043" t="s">
        <v>4</v>
      </c>
      <c r="B4043" t="s">
        <v>17</v>
      </c>
      <c r="C4043" t="s">
        <v>143</v>
      </c>
      <c r="D4043" s="9" t="s">
        <v>137</v>
      </c>
      <c r="E4043" t="s">
        <v>38</v>
      </c>
      <c r="F4043" t="s">
        <v>73</v>
      </c>
      <c r="G4043">
        <v>455.5</v>
      </c>
      <c r="H4043" s="9">
        <v>16.14</v>
      </c>
      <c r="I4043"/>
    </row>
    <row r="4044" spans="1:9" x14ac:dyDescent="0.3">
      <c r="A4044" t="s">
        <v>4</v>
      </c>
      <c r="B4044" t="s">
        <v>17</v>
      </c>
      <c r="C4044" t="s">
        <v>144</v>
      </c>
      <c r="D4044" s="9" t="s">
        <v>137</v>
      </c>
      <c r="E4044" t="s">
        <v>39</v>
      </c>
      <c r="F4044" t="s">
        <v>75</v>
      </c>
      <c r="G4044">
        <v>454.6</v>
      </c>
      <c r="H4044" s="9">
        <v>12.61</v>
      </c>
      <c r="I4044"/>
    </row>
    <row r="4045" spans="1:9" x14ac:dyDescent="0.3">
      <c r="A4045" t="s">
        <v>4</v>
      </c>
      <c r="B4045" t="s">
        <v>17</v>
      </c>
      <c r="C4045" t="s">
        <v>145</v>
      </c>
      <c r="D4045" s="9" t="s">
        <v>137</v>
      </c>
      <c r="E4045" t="s">
        <v>40</v>
      </c>
      <c r="F4045" t="s">
        <v>77</v>
      </c>
      <c r="G4045">
        <v>435</v>
      </c>
      <c r="H4045" s="9">
        <v>9.85</v>
      </c>
      <c r="I4045"/>
    </row>
    <row r="4046" spans="1:9" x14ac:dyDescent="0.3">
      <c r="A4046" t="s">
        <v>4</v>
      </c>
      <c r="B4046" t="s">
        <v>17</v>
      </c>
      <c r="C4046" t="s">
        <v>146</v>
      </c>
      <c r="D4046" s="9" t="s">
        <v>137</v>
      </c>
      <c r="E4046" t="s">
        <v>41</v>
      </c>
      <c r="F4046" t="s">
        <v>79</v>
      </c>
      <c r="G4046">
        <v>468.1</v>
      </c>
      <c r="H4046" s="9">
        <v>14.98</v>
      </c>
      <c r="I4046"/>
    </row>
    <row r="4047" spans="1:9" x14ac:dyDescent="0.3">
      <c r="A4047" t="s">
        <v>4</v>
      </c>
      <c r="B4047" t="s">
        <v>17</v>
      </c>
      <c r="C4047" t="s">
        <v>147</v>
      </c>
      <c r="D4047" s="9" t="s">
        <v>137</v>
      </c>
      <c r="E4047" t="s">
        <v>42</v>
      </c>
      <c r="F4047" t="s">
        <v>81</v>
      </c>
      <c r="G4047">
        <v>485.4</v>
      </c>
      <c r="H4047" s="9">
        <v>9.92</v>
      </c>
      <c r="I4047"/>
    </row>
    <row r="4048" spans="1:9" x14ac:dyDescent="0.3">
      <c r="A4048" t="s">
        <v>4</v>
      </c>
      <c r="B4048" t="s">
        <v>17</v>
      </c>
      <c r="C4048" t="s">
        <v>148</v>
      </c>
      <c r="D4048" s="9" t="s">
        <v>137</v>
      </c>
      <c r="E4048" t="s">
        <v>43</v>
      </c>
      <c r="F4048" t="s">
        <v>83</v>
      </c>
      <c r="G4048">
        <v>521.4</v>
      </c>
      <c r="H4048" s="9">
        <v>5.0199999999999996</v>
      </c>
      <c r="I4048"/>
    </row>
    <row r="4049" spans="1:9" x14ac:dyDescent="0.3">
      <c r="A4049" t="s">
        <v>4</v>
      </c>
      <c r="B4049" t="s">
        <v>17</v>
      </c>
      <c r="C4049" t="s">
        <v>149</v>
      </c>
      <c r="D4049" s="9" t="s">
        <v>150</v>
      </c>
      <c r="E4049" t="s">
        <v>32</v>
      </c>
      <c r="F4049" t="s">
        <v>61</v>
      </c>
      <c r="G4049">
        <v>427.6</v>
      </c>
      <c r="H4049" s="9">
        <v>7.95</v>
      </c>
      <c r="I4049"/>
    </row>
    <row r="4050" spans="1:9" x14ac:dyDescent="0.3">
      <c r="A4050" t="s">
        <v>4</v>
      </c>
      <c r="B4050" t="s">
        <v>17</v>
      </c>
      <c r="C4050" t="s">
        <v>151</v>
      </c>
      <c r="D4050" s="9" t="s">
        <v>150</v>
      </c>
      <c r="E4050" t="s">
        <v>33</v>
      </c>
      <c r="F4050" t="s">
        <v>63</v>
      </c>
      <c r="G4050">
        <v>396.6</v>
      </c>
      <c r="H4050" s="9">
        <v>1.1000000000000001</v>
      </c>
      <c r="I4050"/>
    </row>
    <row r="4051" spans="1:9" x14ac:dyDescent="0.3">
      <c r="A4051" t="s">
        <v>4</v>
      </c>
      <c r="B4051" t="s">
        <v>17</v>
      </c>
      <c r="C4051" t="s">
        <v>152</v>
      </c>
      <c r="D4051" s="9" t="s">
        <v>150</v>
      </c>
      <c r="E4051" t="s">
        <v>34</v>
      </c>
      <c r="F4051" t="s">
        <v>65</v>
      </c>
      <c r="G4051">
        <v>430.5</v>
      </c>
      <c r="H4051" s="9">
        <v>3.06</v>
      </c>
      <c r="I4051"/>
    </row>
    <row r="4052" spans="1:9" x14ac:dyDescent="0.3">
      <c r="A4052" t="s">
        <v>4</v>
      </c>
      <c r="B4052" t="s">
        <v>17</v>
      </c>
      <c r="C4052" t="s">
        <v>153</v>
      </c>
      <c r="D4052" s="9" t="s">
        <v>150</v>
      </c>
      <c r="E4052" t="s">
        <v>35</v>
      </c>
      <c r="F4052" t="s">
        <v>67</v>
      </c>
      <c r="G4052">
        <v>435.7</v>
      </c>
      <c r="H4052" s="9">
        <v>4.74</v>
      </c>
      <c r="I4052"/>
    </row>
    <row r="4053" spans="1:9" x14ac:dyDescent="0.3">
      <c r="A4053" t="s">
        <v>4</v>
      </c>
      <c r="B4053" t="s">
        <v>17</v>
      </c>
      <c r="C4053" t="s">
        <v>154</v>
      </c>
      <c r="D4053" s="9" t="s">
        <v>150</v>
      </c>
      <c r="E4053" t="s">
        <v>36</v>
      </c>
      <c r="F4053" t="s">
        <v>69</v>
      </c>
      <c r="G4053">
        <v>473.1</v>
      </c>
      <c r="H4053" s="9">
        <v>4.71</v>
      </c>
      <c r="I4053"/>
    </row>
    <row r="4054" spans="1:9" x14ac:dyDescent="0.3">
      <c r="A4054" t="s">
        <v>4</v>
      </c>
      <c r="B4054" t="s">
        <v>17</v>
      </c>
      <c r="C4054" t="s">
        <v>155</v>
      </c>
      <c r="D4054" s="9" t="s">
        <v>150</v>
      </c>
      <c r="E4054" t="s">
        <v>37</v>
      </c>
      <c r="F4054" t="s">
        <v>71</v>
      </c>
      <c r="G4054">
        <v>449.5</v>
      </c>
      <c r="H4054" s="9">
        <v>7.05</v>
      </c>
      <c r="I4054"/>
    </row>
    <row r="4055" spans="1:9" x14ac:dyDescent="0.3">
      <c r="A4055" t="s">
        <v>4</v>
      </c>
      <c r="B4055" t="s">
        <v>11</v>
      </c>
      <c r="C4055" t="s">
        <v>59</v>
      </c>
      <c r="D4055" s="9" t="s">
        <v>60</v>
      </c>
      <c r="E4055" t="s">
        <v>32</v>
      </c>
      <c r="F4055" t="s">
        <v>61</v>
      </c>
      <c r="G4055">
        <v>1970.5</v>
      </c>
      <c r="I4055"/>
    </row>
    <row r="4056" spans="1:9" x14ac:dyDescent="0.3">
      <c r="A4056" t="s">
        <v>4</v>
      </c>
      <c r="B4056" t="s">
        <v>11</v>
      </c>
      <c r="C4056" t="s">
        <v>62</v>
      </c>
      <c r="D4056" s="9" t="s">
        <v>60</v>
      </c>
      <c r="E4056" t="s">
        <v>33</v>
      </c>
      <c r="F4056" t="s">
        <v>63</v>
      </c>
      <c r="G4056">
        <v>1795.6</v>
      </c>
      <c r="I4056"/>
    </row>
    <row r="4057" spans="1:9" x14ac:dyDescent="0.3">
      <c r="A4057" t="s">
        <v>4</v>
      </c>
      <c r="B4057" t="s">
        <v>11</v>
      </c>
      <c r="C4057" t="s">
        <v>64</v>
      </c>
      <c r="D4057" s="9" t="s">
        <v>60</v>
      </c>
      <c r="E4057" t="s">
        <v>34</v>
      </c>
      <c r="F4057" t="s">
        <v>65</v>
      </c>
      <c r="G4057">
        <v>1979.7</v>
      </c>
      <c r="I4057"/>
    </row>
    <row r="4058" spans="1:9" x14ac:dyDescent="0.3">
      <c r="A4058" t="s">
        <v>4</v>
      </c>
      <c r="B4058" t="s">
        <v>11</v>
      </c>
      <c r="C4058" t="s">
        <v>66</v>
      </c>
      <c r="D4058" s="9" t="s">
        <v>60</v>
      </c>
      <c r="E4058" t="s">
        <v>35</v>
      </c>
      <c r="F4058" t="s">
        <v>67</v>
      </c>
      <c r="G4058">
        <v>1908.9</v>
      </c>
      <c r="I4058"/>
    </row>
    <row r="4059" spans="1:9" x14ac:dyDescent="0.3">
      <c r="A4059" t="s">
        <v>4</v>
      </c>
      <c r="B4059" t="s">
        <v>11</v>
      </c>
      <c r="C4059" t="s">
        <v>68</v>
      </c>
      <c r="D4059" s="9" t="s">
        <v>60</v>
      </c>
      <c r="E4059" t="s">
        <v>36</v>
      </c>
      <c r="F4059" t="s">
        <v>69</v>
      </c>
      <c r="G4059">
        <v>1956.5</v>
      </c>
      <c r="I4059"/>
    </row>
    <row r="4060" spans="1:9" x14ac:dyDescent="0.3">
      <c r="A4060" t="s">
        <v>4</v>
      </c>
      <c r="B4060" t="s">
        <v>11</v>
      </c>
      <c r="C4060" t="s">
        <v>70</v>
      </c>
      <c r="D4060" s="9" t="s">
        <v>60</v>
      </c>
      <c r="E4060" t="s">
        <v>37</v>
      </c>
      <c r="F4060" t="s">
        <v>71</v>
      </c>
      <c r="G4060">
        <v>1883.4</v>
      </c>
      <c r="I4060"/>
    </row>
    <row r="4061" spans="1:9" x14ac:dyDescent="0.3">
      <c r="A4061" t="s">
        <v>4</v>
      </c>
      <c r="B4061" t="s">
        <v>11</v>
      </c>
      <c r="C4061" t="s">
        <v>72</v>
      </c>
      <c r="D4061" s="9" t="s">
        <v>60</v>
      </c>
      <c r="E4061" t="s">
        <v>38</v>
      </c>
      <c r="F4061" t="s">
        <v>73</v>
      </c>
      <c r="G4061">
        <v>2001.4</v>
      </c>
      <c r="I4061"/>
    </row>
    <row r="4062" spans="1:9" x14ac:dyDescent="0.3">
      <c r="A4062" t="s">
        <v>4</v>
      </c>
      <c r="B4062" t="s">
        <v>11</v>
      </c>
      <c r="C4062" t="s">
        <v>74</v>
      </c>
      <c r="D4062" s="9" t="s">
        <v>60</v>
      </c>
      <c r="E4062" t="s">
        <v>39</v>
      </c>
      <c r="F4062" t="s">
        <v>75</v>
      </c>
      <c r="G4062">
        <v>2028.3</v>
      </c>
      <c r="I4062"/>
    </row>
    <row r="4063" spans="1:9" x14ac:dyDescent="0.3">
      <c r="A4063" t="s">
        <v>4</v>
      </c>
      <c r="B4063" t="s">
        <v>11</v>
      </c>
      <c r="C4063" t="s">
        <v>76</v>
      </c>
      <c r="D4063" s="9" t="s">
        <v>60</v>
      </c>
      <c r="E4063" t="s">
        <v>40</v>
      </c>
      <c r="F4063" t="s">
        <v>77</v>
      </c>
      <c r="G4063">
        <v>1941</v>
      </c>
      <c r="I4063"/>
    </row>
    <row r="4064" spans="1:9" x14ac:dyDescent="0.3">
      <c r="A4064" t="s">
        <v>4</v>
      </c>
      <c r="B4064" t="s">
        <v>11</v>
      </c>
      <c r="C4064" t="s">
        <v>78</v>
      </c>
      <c r="D4064" s="9" t="s">
        <v>60</v>
      </c>
      <c r="E4064" t="s">
        <v>41</v>
      </c>
      <c r="F4064" t="s">
        <v>79</v>
      </c>
      <c r="G4064">
        <v>2038.7</v>
      </c>
      <c r="I4064"/>
    </row>
    <row r="4065" spans="1:9" x14ac:dyDescent="0.3">
      <c r="A4065" t="s">
        <v>4</v>
      </c>
      <c r="B4065" t="s">
        <v>11</v>
      </c>
      <c r="C4065" t="s">
        <v>80</v>
      </c>
      <c r="D4065" s="9" t="s">
        <v>60</v>
      </c>
      <c r="E4065" t="s">
        <v>42</v>
      </c>
      <c r="F4065" t="s">
        <v>81</v>
      </c>
      <c r="G4065">
        <v>2017.9</v>
      </c>
      <c r="I4065"/>
    </row>
    <row r="4066" spans="1:9" x14ac:dyDescent="0.3">
      <c r="A4066" t="s">
        <v>4</v>
      </c>
      <c r="B4066" t="s">
        <v>11</v>
      </c>
      <c r="C4066" t="s">
        <v>82</v>
      </c>
      <c r="D4066" s="9" t="s">
        <v>60</v>
      </c>
      <c r="E4066" t="s">
        <v>43</v>
      </c>
      <c r="F4066" t="s">
        <v>83</v>
      </c>
      <c r="G4066">
        <v>2193.3000000000002</v>
      </c>
      <c r="I4066"/>
    </row>
    <row r="4067" spans="1:9" x14ac:dyDescent="0.3">
      <c r="A4067" t="s">
        <v>4</v>
      </c>
      <c r="B4067" t="s">
        <v>11</v>
      </c>
      <c r="C4067" t="s">
        <v>84</v>
      </c>
      <c r="D4067" s="9" t="s">
        <v>85</v>
      </c>
      <c r="E4067" t="s">
        <v>32</v>
      </c>
      <c r="F4067" t="s">
        <v>61</v>
      </c>
      <c r="G4067">
        <v>2059.8000000000002</v>
      </c>
      <c r="H4067" s="9">
        <v>4.53</v>
      </c>
      <c r="I4067"/>
    </row>
    <row r="4068" spans="1:9" x14ac:dyDescent="0.3">
      <c r="A4068" t="s">
        <v>4</v>
      </c>
      <c r="B4068" t="s">
        <v>11</v>
      </c>
      <c r="C4068" t="s">
        <v>86</v>
      </c>
      <c r="D4068" s="9" t="s">
        <v>85</v>
      </c>
      <c r="E4068" t="s">
        <v>33</v>
      </c>
      <c r="F4068" t="s">
        <v>63</v>
      </c>
      <c r="G4068">
        <v>1958.8</v>
      </c>
      <c r="H4068" s="9">
        <v>9.09</v>
      </c>
      <c r="I4068"/>
    </row>
    <row r="4069" spans="1:9" x14ac:dyDescent="0.3">
      <c r="A4069" t="s">
        <v>4</v>
      </c>
      <c r="B4069" t="s">
        <v>11</v>
      </c>
      <c r="C4069" t="s">
        <v>87</v>
      </c>
      <c r="D4069" s="9" t="s">
        <v>85</v>
      </c>
      <c r="E4069" t="s">
        <v>34</v>
      </c>
      <c r="F4069" t="s">
        <v>65</v>
      </c>
      <c r="G4069">
        <v>2460.8000000000002</v>
      </c>
      <c r="H4069" s="9">
        <v>24.3</v>
      </c>
      <c r="I4069"/>
    </row>
    <row r="4070" spans="1:9" x14ac:dyDescent="0.3">
      <c r="A4070" t="s">
        <v>4</v>
      </c>
      <c r="B4070" t="s">
        <v>11</v>
      </c>
      <c r="C4070" t="s">
        <v>88</v>
      </c>
      <c r="D4070" s="9" t="s">
        <v>85</v>
      </c>
      <c r="E4070" t="s">
        <v>35</v>
      </c>
      <c r="F4070" t="s">
        <v>67</v>
      </c>
      <c r="G4070">
        <v>2011.1</v>
      </c>
      <c r="H4070" s="9">
        <v>5.35</v>
      </c>
      <c r="I4070"/>
    </row>
    <row r="4071" spans="1:9" x14ac:dyDescent="0.3">
      <c r="A4071" t="s">
        <v>4</v>
      </c>
      <c r="B4071" t="s">
        <v>11</v>
      </c>
      <c r="C4071" t="s">
        <v>89</v>
      </c>
      <c r="D4071" s="9" t="s">
        <v>85</v>
      </c>
      <c r="E4071" t="s">
        <v>36</v>
      </c>
      <c r="F4071" t="s">
        <v>69</v>
      </c>
      <c r="G4071">
        <v>2152.9</v>
      </c>
      <c r="H4071" s="9">
        <v>10.039999999999999</v>
      </c>
      <c r="I4071"/>
    </row>
    <row r="4072" spans="1:9" x14ac:dyDescent="0.3">
      <c r="A4072" t="s">
        <v>4</v>
      </c>
      <c r="B4072" t="s">
        <v>11</v>
      </c>
      <c r="C4072" t="s">
        <v>90</v>
      </c>
      <c r="D4072" s="9" t="s">
        <v>85</v>
      </c>
      <c r="E4072" t="s">
        <v>37</v>
      </c>
      <c r="F4072" t="s">
        <v>71</v>
      </c>
      <c r="G4072">
        <v>2057</v>
      </c>
      <c r="H4072" s="9">
        <v>9.2200000000000006</v>
      </c>
      <c r="I4072"/>
    </row>
    <row r="4073" spans="1:9" x14ac:dyDescent="0.3">
      <c r="A4073" t="s">
        <v>4</v>
      </c>
      <c r="B4073" t="s">
        <v>11</v>
      </c>
      <c r="C4073" t="s">
        <v>91</v>
      </c>
      <c r="D4073" s="9" t="s">
        <v>85</v>
      </c>
      <c r="E4073" t="s">
        <v>38</v>
      </c>
      <c r="F4073" t="s">
        <v>73</v>
      </c>
      <c r="G4073">
        <v>2229.1</v>
      </c>
      <c r="H4073" s="9">
        <v>11.38</v>
      </c>
      <c r="I4073"/>
    </row>
    <row r="4074" spans="1:9" x14ac:dyDescent="0.3">
      <c r="A4074" t="s">
        <v>4</v>
      </c>
      <c r="B4074" t="s">
        <v>11</v>
      </c>
      <c r="C4074" t="s">
        <v>92</v>
      </c>
      <c r="D4074" s="9" t="s">
        <v>85</v>
      </c>
      <c r="E4074" t="s">
        <v>39</v>
      </c>
      <c r="F4074" t="s">
        <v>75</v>
      </c>
      <c r="G4074">
        <v>2237.6</v>
      </c>
      <c r="H4074" s="9">
        <v>10.32</v>
      </c>
      <c r="I4074"/>
    </row>
    <row r="4075" spans="1:9" x14ac:dyDescent="0.3">
      <c r="A4075" t="s">
        <v>4</v>
      </c>
      <c r="B4075" t="s">
        <v>11</v>
      </c>
      <c r="C4075" t="s">
        <v>93</v>
      </c>
      <c r="D4075" s="9" t="s">
        <v>85</v>
      </c>
      <c r="E4075" t="s">
        <v>40</v>
      </c>
      <c r="F4075" t="s">
        <v>77</v>
      </c>
      <c r="G4075">
        <v>2140.8000000000002</v>
      </c>
      <c r="H4075" s="9">
        <v>10.29</v>
      </c>
      <c r="I4075"/>
    </row>
    <row r="4076" spans="1:9" x14ac:dyDescent="0.3">
      <c r="A4076" t="s">
        <v>4</v>
      </c>
      <c r="B4076" t="s">
        <v>11</v>
      </c>
      <c r="C4076" t="s">
        <v>94</v>
      </c>
      <c r="D4076" s="9" t="s">
        <v>85</v>
      </c>
      <c r="E4076" t="s">
        <v>41</v>
      </c>
      <c r="F4076" t="s">
        <v>79</v>
      </c>
      <c r="G4076">
        <v>2260.8000000000002</v>
      </c>
      <c r="H4076" s="9">
        <v>10.89</v>
      </c>
      <c r="I4076"/>
    </row>
    <row r="4077" spans="1:9" x14ac:dyDescent="0.3">
      <c r="A4077" t="s">
        <v>4</v>
      </c>
      <c r="B4077" t="s">
        <v>11</v>
      </c>
      <c r="C4077" t="s">
        <v>95</v>
      </c>
      <c r="D4077" s="9" t="s">
        <v>85</v>
      </c>
      <c r="E4077" t="s">
        <v>42</v>
      </c>
      <c r="F4077" t="s">
        <v>81</v>
      </c>
      <c r="G4077">
        <v>2211.3000000000002</v>
      </c>
      <c r="H4077" s="9">
        <v>9.58</v>
      </c>
      <c r="I4077"/>
    </row>
    <row r="4078" spans="1:9" x14ac:dyDescent="0.3">
      <c r="A4078" t="s">
        <v>4</v>
      </c>
      <c r="B4078" t="s">
        <v>11</v>
      </c>
      <c r="C4078" t="s">
        <v>96</v>
      </c>
      <c r="D4078" s="9" t="s">
        <v>85</v>
      </c>
      <c r="E4078" t="s">
        <v>43</v>
      </c>
      <c r="F4078" t="s">
        <v>83</v>
      </c>
      <c r="G4078">
        <v>2459.6</v>
      </c>
      <c r="H4078" s="9">
        <v>12.14</v>
      </c>
      <c r="I4078"/>
    </row>
    <row r="4079" spans="1:9" x14ac:dyDescent="0.3">
      <c r="A4079" t="s">
        <v>4</v>
      </c>
      <c r="B4079" t="s">
        <v>11</v>
      </c>
      <c r="C4079" t="s">
        <v>97</v>
      </c>
      <c r="D4079" s="9" t="s">
        <v>98</v>
      </c>
      <c r="E4079" t="s">
        <v>32</v>
      </c>
      <c r="F4079" t="s">
        <v>61</v>
      </c>
      <c r="G4079">
        <v>2269.5</v>
      </c>
      <c r="H4079" s="9">
        <v>10.18</v>
      </c>
      <c r="I4079"/>
    </row>
    <row r="4080" spans="1:9" x14ac:dyDescent="0.3">
      <c r="A4080" t="s">
        <v>4</v>
      </c>
      <c r="B4080" t="s">
        <v>11</v>
      </c>
      <c r="C4080" t="s">
        <v>99</v>
      </c>
      <c r="D4080" s="9" t="s">
        <v>98</v>
      </c>
      <c r="E4080" t="s">
        <v>33</v>
      </c>
      <c r="F4080" t="s">
        <v>63</v>
      </c>
      <c r="G4080">
        <v>1994.9</v>
      </c>
      <c r="H4080" s="9">
        <v>1.84</v>
      </c>
      <c r="I4080"/>
    </row>
    <row r="4081" spans="1:9" x14ac:dyDescent="0.3">
      <c r="A4081" t="s">
        <v>4</v>
      </c>
      <c r="B4081" t="s">
        <v>11</v>
      </c>
      <c r="C4081" t="s">
        <v>100</v>
      </c>
      <c r="D4081" s="9" t="s">
        <v>98</v>
      </c>
      <c r="E4081" t="s">
        <v>34</v>
      </c>
      <c r="F4081" t="s">
        <v>65</v>
      </c>
      <c r="G4081">
        <v>2228.1999999999998</v>
      </c>
      <c r="H4081" s="9">
        <v>-9.4499999999999993</v>
      </c>
      <c r="I4081"/>
    </row>
    <row r="4082" spans="1:9" x14ac:dyDescent="0.3">
      <c r="A4082" t="s">
        <v>4</v>
      </c>
      <c r="B4082" t="s">
        <v>11</v>
      </c>
      <c r="C4082" t="s">
        <v>101</v>
      </c>
      <c r="D4082" s="9" t="s">
        <v>98</v>
      </c>
      <c r="E4082" t="s">
        <v>35</v>
      </c>
      <c r="F4082" t="s">
        <v>67</v>
      </c>
      <c r="G4082">
        <v>2114</v>
      </c>
      <c r="H4082" s="9">
        <v>5.12</v>
      </c>
      <c r="I4082"/>
    </row>
    <row r="4083" spans="1:9" x14ac:dyDescent="0.3">
      <c r="A4083" t="s">
        <v>4</v>
      </c>
      <c r="B4083" t="s">
        <v>11</v>
      </c>
      <c r="C4083" t="s">
        <v>102</v>
      </c>
      <c r="D4083" s="9" t="s">
        <v>98</v>
      </c>
      <c r="E4083" t="s">
        <v>36</v>
      </c>
      <c r="F4083" t="s">
        <v>69</v>
      </c>
      <c r="G4083">
        <v>2187.8000000000002</v>
      </c>
      <c r="H4083" s="9">
        <v>1.62</v>
      </c>
      <c r="I4083"/>
    </row>
    <row r="4084" spans="1:9" x14ac:dyDescent="0.3">
      <c r="A4084" t="s">
        <v>4</v>
      </c>
      <c r="B4084" t="s">
        <v>11</v>
      </c>
      <c r="C4084" t="s">
        <v>103</v>
      </c>
      <c r="D4084" s="9" t="s">
        <v>98</v>
      </c>
      <c r="E4084" t="s">
        <v>37</v>
      </c>
      <c r="F4084" t="s">
        <v>71</v>
      </c>
      <c r="G4084">
        <v>2132</v>
      </c>
      <c r="H4084" s="9">
        <v>3.65</v>
      </c>
      <c r="I4084"/>
    </row>
    <row r="4085" spans="1:9" x14ac:dyDescent="0.3">
      <c r="A4085" t="s">
        <v>4</v>
      </c>
      <c r="B4085" t="s">
        <v>11</v>
      </c>
      <c r="C4085" t="s">
        <v>104</v>
      </c>
      <c r="D4085" s="9" t="s">
        <v>98</v>
      </c>
      <c r="E4085" t="s">
        <v>38</v>
      </c>
      <c r="F4085" t="s">
        <v>73</v>
      </c>
      <c r="G4085">
        <v>2289.6</v>
      </c>
      <c r="H4085" s="9">
        <v>2.71</v>
      </c>
      <c r="I4085"/>
    </row>
    <row r="4086" spans="1:9" x14ac:dyDescent="0.3">
      <c r="A4086" t="s">
        <v>4</v>
      </c>
      <c r="B4086" t="s">
        <v>11</v>
      </c>
      <c r="C4086" t="s">
        <v>105</v>
      </c>
      <c r="D4086" s="9" t="s">
        <v>98</v>
      </c>
      <c r="E4086" t="s">
        <v>39</v>
      </c>
      <c r="F4086" t="s">
        <v>75</v>
      </c>
      <c r="G4086">
        <v>2261</v>
      </c>
      <c r="H4086" s="9">
        <v>1.05</v>
      </c>
      <c r="I4086"/>
    </row>
    <row r="4087" spans="1:9" x14ac:dyDescent="0.3">
      <c r="A4087" t="s">
        <v>4</v>
      </c>
      <c r="B4087" t="s">
        <v>11</v>
      </c>
      <c r="C4087" t="s">
        <v>106</v>
      </c>
      <c r="D4087" s="9" t="s">
        <v>98</v>
      </c>
      <c r="E4087" t="s">
        <v>40</v>
      </c>
      <c r="F4087" t="s">
        <v>77</v>
      </c>
      <c r="G4087">
        <v>2168.6999999999998</v>
      </c>
      <c r="H4087" s="9">
        <v>1.3</v>
      </c>
      <c r="I4087"/>
    </row>
    <row r="4088" spans="1:9" x14ac:dyDescent="0.3">
      <c r="A4088" t="s">
        <v>4</v>
      </c>
      <c r="B4088" t="s">
        <v>11</v>
      </c>
      <c r="C4088" t="s">
        <v>107</v>
      </c>
      <c r="D4088" s="9" t="s">
        <v>98</v>
      </c>
      <c r="E4088" t="s">
        <v>41</v>
      </c>
      <c r="F4088" t="s">
        <v>79</v>
      </c>
      <c r="G4088">
        <v>2298</v>
      </c>
      <c r="H4088" s="9">
        <v>1.65</v>
      </c>
      <c r="I4088"/>
    </row>
    <row r="4089" spans="1:9" x14ac:dyDescent="0.3">
      <c r="A4089" t="s">
        <v>4</v>
      </c>
      <c r="B4089" t="s">
        <v>11</v>
      </c>
      <c r="C4089" t="s">
        <v>108</v>
      </c>
      <c r="D4089" s="9" t="s">
        <v>98</v>
      </c>
      <c r="E4089" t="s">
        <v>42</v>
      </c>
      <c r="F4089" t="s">
        <v>81</v>
      </c>
      <c r="G4089">
        <v>2227.9</v>
      </c>
      <c r="H4089" s="9">
        <v>0.75</v>
      </c>
      <c r="I4089"/>
    </row>
    <row r="4090" spans="1:9" x14ac:dyDescent="0.3">
      <c r="A4090" t="s">
        <v>4</v>
      </c>
      <c r="B4090" t="s">
        <v>11</v>
      </c>
      <c r="C4090" t="s">
        <v>109</v>
      </c>
      <c r="D4090" s="9" t="s">
        <v>98</v>
      </c>
      <c r="E4090" t="s">
        <v>43</v>
      </c>
      <c r="F4090" t="s">
        <v>83</v>
      </c>
      <c r="G4090">
        <v>2557.4</v>
      </c>
      <c r="H4090" s="9">
        <v>3.98</v>
      </c>
      <c r="I4090"/>
    </row>
    <row r="4091" spans="1:9" x14ac:dyDescent="0.3">
      <c r="A4091" t="s">
        <v>4</v>
      </c>
      <c r="B4091" t="s">
        <v>11</v>
      </c>
      <c r="C4091" t="s">
        <v>110</v>
      </c>
      <c r="D4091" s="9" t="s">
        <v>111</v>
      </c>
      <c r="E4091" t="s">
        <v>32</v>
      </c>
      <c r="F4091" t="s">
        <v>61</v>
      </c>
      <c r="G4091">
        <v>2394.6999999999998</v>
      </c>
      <c r="H4091" s="9">
        <v>5.52</v>
      </c>
      <c r="I4091"/>
    </row>
    <row r="4092" spans="1:9" x14ac:dyDescent="0.3">
      <c r="A4092" t="s">
        <v>4</v>
      </c>
      <c r="B4092" t="s">
        <v>11</v>
      </c>
      <c r="C4092" t="s">
        <v>112</v>
      </c>
      <c r="D4092" s="9" t="s">
        <v>111</v>
      </c>
      <c r="E4092" t="s">
        <v>33</v>
      </c>
      <c r="F4092" t="s">
        <v>63</v>
      </c>
      <c r="G4092">
        <v>2131.1</v>
      </c>
      <c r="H4092" s="9">
        <v>6.83</v>
      </c>
      <c r="I4092"/>
    </row>
    <row r="4093" spans="1:9" x14ac:dyDescent="0.3">
      <c r="A4093" t="s">
        <v>4</v>
      </c>
      <c r="B4093" t="s">
        <v>11</v>
      </c>
      <c r="C4093" t="s">
        <v>113</v>
      </c>
      <c r="D4093" s="9" t="s">
        <v>111</v>
      </c>
      <c r="E4093" t="s">
        <v>34</v>
      </c>
      <c r="F4093" t="s">
        <v>65</v>
      </c>
      <c r="G4093">
        <v>2364.5</v>
      </c>
      <c r="H4093" s="9">
        <v>6.12</v>
      </c>
      <c r="I4093"/>
    </row>
    <row r="4094" spans="1:9" x14ac:dyDescent="0.3">
      <c r="A4094" t="s">
        <v>4</v>
      </c>
      <c r="B4094" t="s">
        <v>11</v>
      </c>
      <c r="C4094" t="s">
        <v>114</v>
      </c>
      <c r="D4094" s="9" t="s">
        <v>111</v>
      </c>
      <c r="E4094" t="s">
        <v>35</v>
      </c>
      <c r="F4094" t="s">
        <v>67</v>
      </c>
      <c r="G4094">
        <v>2349.8000000000002</v>
      </c>
      <c r="H4094" s="9">
        <v>11.15</v>
      </c>
      <c r="I4094"/>
    </row>
    <row r="4095" spans="1:9" x14ac:dyDescent="0.3">
      <c r="A4095" t="s">
        <v>4</v>
      </c>
      <c r="B4095" t="s">
        <v>11</v>
      </c>
      <c r="C4095" t="s">
        <v>115</v>
      </c>
      <c r="D4095" s="9" t="s">
        <v>111</v>
      </c>
      <c r="E4095" t="s">
        <v>36</v>
      </c>
      <c r="F4095" t="s">
        <v>69</v>
      </c>
      <c r="G4095">
        <v>2358.6</v>
      </c>
      <c r="H4095" s="9">
        <v>7.81</v>
      </c>
      <c r="I4095"/>
    </row>
    <row r="4096" spans="1:9" x14ac:dyDescent="0.3">
      <c r="A4096" t="s">
        <v>4</v>
      </c>
      <c r="B4096" t="s">
        <v>11</v>
      </c>
      <c r="C4096" t="s">
        <v>116</v>
      </c>
      <c r="D4096" s="9" t="s">
        <v>111</v>
      </c>
      <c r="E4096" t="s">
        <v>37</v>
      </c>
      <c r="F4096" t="s">
        <v>71</v>
      </c>
      <c r="G4096">
        <v>2270</v>
      </c>
      <c r="H4096" s="9">
        <v>6.47</v>
      </c>
      <c r="I4096"/>
    </row>
    <row r="4097" spans="1:9" x14ac:dyDescent="0.3">
      <c r="A4097" t="s">
        <v>4</v>
      </c>
      <c r="B4097" t="s">
        <v>11</v>
      </c>
      <c r="C4097" t="s">
        <v>117</v>
      </c>
      <c r="D4097" s="9" t="s">
        <v>111</v>
      </c>
      <c r="E4097" t="s">
        <v>38</v>
      </c>
      <c r="F4097" t="s">
        <v>73</v>
      </c>
      <c r="G4097">
        <v>2424.3000000000002</v>
      </c>
      <c r="H4097" s="9">
        <v>5.88</v>
      </c>
      <c r="I4097"/>
    </row>
    <row r="4098" spans="1:9" x14ac:dyDescent="0.3">
      <c r="A4098" t="s">
        <v>4</v>
      </c>
      <c r="B4098" t="s">
        <v>11</v>
      </c>
      <c r="C4098" t="s">
        <v>118</v>
      </c>
      <c r="D4098" s="9" t="s">
        <v>111</v>
      </c>
      <c r="E4098" t="s">
        <v>39</v>
      </c>
      <c r="F4098" t="s">
        <v>75</v>
      </c>
      <c r="G4098">
        <v>2427.1</v>
      </c>
      <c r="H4098" s="9">
        <v>7.35</v>
      </c>
      <c r="I4098"/>
    </row>
    <row r="4099" spans="1:9" x14ac:dyDescent="0.3">
      <c r="A4099" t="s">
        <v>4</v>
      </c>
      <c r="B4099" t="s">
        <v>11</v>
      </c>
      <c r="C4099" t="s">
        <v>119</v>
      </c>
      <c r="D4099" s="9" t="s">
        <v>111</v>
      </c>
      <c r="E4099" t="s">
        <v>40</v>
      </c>
      <c r="F4099" t="s">
        <v>77</v>
      </c>
      <c r="G4099">
        <v>2385.8000000000002</v>
      </c>
      <c r="H4099" s="9">
        <v>10.01</v>
      </c>
      <c r="I4099"/>
    </row>
    <row r="4100" spans="1:9" x14ac:dyDescent="0.3">
      <c r="A4100" t="s">
        <v>4</v>
      </c>
      <c r="B4100" t="s">
        <v>11</v>
      </c>
      <c r="C4100" t="s">
        <v>120</v>
      </c>
      <c r="D4100" s="9" t="s">
        <v>111</v>
      </c>
      <c r="E4100" t="s">
        <v>41</v>
      </c>
      <c r="F4100" t="s">
        <v>79</v>
      </c>
      <c r="G4100">
        <v>2511.1999999999998</v>
      </c>
      <c r="H4100" s="9">
        <v>9.2799999999999994</v>
      </c>
      <c r="I4100"/>
    </row>
    <row r="4101" spans="1:9" x14ac:dyDescent="0.3">
      <c r="A4101" t="s">
        <v>4</v>
      </c>
      <c r="B4101" t="s">
        <v>11</v>
      </c>
      <c r="C4101" t="s">
        <v>121</v>
      </c>
      <c r="D4101" s="9" t="s">
        <v>111</v>
      </c>
      <c r="E4101" t="s">
        <v>42</v>
      </c>
      <c r="F4101" t="s">
        <v>81</v>
      </c>
      <c r="G4101">
        <v>2449.9</v>
      </c>
      <c r="H4101" s="9">
        <v>9.9600000000000009</v>
      </c>
      <c r="I4101"/>
    </row>
    <row r="4102" spans="1:9" x14ac:dyDescent="0.3">
      <c r="A4102" t="s">
        <v>4</v>
      </c>
      <c r="B4102" t="s">
        <v>11</v>
      </c>
      <c r="C4102" t="s">
        <v>122</v>
      </c>
      <c r="D4102" s="9" t="s">
        <v>111</v>
      </c>
      <c r="E4102" t="s">
        <v>43</v>
      </c>
      <c r="F4102" t="s">
        <v>83</v>
      </c>
      <c r="G4102">
        <v>2738.7</v>
      </c>
      <c r="H4102" s="9">
        <v>7.09</v>
      </c>
      <c r="I4102"/>
    </row>
    <row r="4103" spans="1:9" x14ac:dyDescent="0.3">
      <c r="A4103" t="s">
        <v>4</v>
      </c>
      <c r="B4103" t="s">
        <v>11</v>
      </c>
      <c r="C4103" t="s">
        <v>123</v>
      </c>
      <c r="D4103" s="9" t="s">
        <v>124</v>
      </c>
      <c r="E4103" t="s">
        <v>32</v>
      </c>
      <c r="F4103" t="s">
        <v>61</v>
      </c>
      <c r="G4103">
        <v>2490.9</v>
      </c>
      <c r="H4103" s="9">
        <v>4.0199999999999996</v>
      </c>
      <c r="I4103"/>
    </row>
    <row r="4104" spans="1:9" x14ac:dyDescent="0.3">
      <c r="A4104" t="s">
        <v>4</v>
      </c>
      <c r="B4104" t="s">
        <v>11</v>
      </c>
      <c r="C4104" t="s">
        <v>125</v>
      </c>
      <c r="D4104" s="9" t="s">
        <v>124</v>
      </c>
      <c r="E4104" t="s">
        <v>33</v>
      </c>
      <c r="F4104" t="s">
        <v>63</v>
      </c>
      <c r="G4104">
        <v>2283.1</v>
      </c>
      <c r="H4104" s="9">
        <v>7.13</v>
      </c>
      <c r="I4104"/>
    </row>
    <row r="4105" spans="1:9" x14ac:dyDescent="0.3">
      <c r="A4105" t="s">
        <v>4</v>
      </c>
      <c r="B4105" t="s">
        <v>11</v>
      </c>
      <c r="C4105" t="s">
        <v>126</v>
      </c>
      <c r="D4105" s="9" t="s">
        <v>124</v>
      </c>
      <c r="E4105" t="s">
        <v>34</v>
      </c>
      <c r="F4105" t="s">
        <v>65</v>
      </c>
      <c r="G4105">
        <v>2512.1999999999998</v>
      </c>
      <c r="H4105" s="9">
        <v>6.25</v>
      </c>
      <c r="I4105"/>
    </row>
    <row r="4106" spans="1:9" x14ac:dyDescent="0.3">
      <c r="A4106" t="s">
        <v>4</v>
      </c>
      <c r="B4106" t="s">
        <v>11</v>
      </c>
      <c r="C4106" t="s">
        <v>127</v>
      </c>
      <c r="D4106" s="9" t="s">
        <v>124</v>
      </c>
      <c r="E4106" t="s">
        <v>35</v>
      </c>
      <c r="F4106" t="s">
        <v>67</v>
      </c>
      <c r="G4106">
        <v>2465.9</v>
      </c>
      <c r="H4106" s="9">
        <v>4.9400000000000004</v>
      </c>
      <c r="I4106"/>
    </row>
    <row r="4107" spans="1:9" x14ac:dyDescent="0.3">
      <c r="A4107" t="s">
        <v>4</v>
      </c>
      <c r="B4107" t="s">
        <v>11</v>
      </c>
      <c r="C4107" t="s">
        <v>128</v>
      </c>
      <c r="D4107" s="9" t="s">
        <v>124</v>
      </c>
      <c r="E4107" t="s">
        <v>36</v>
      </c>
      <c r="F4107" t="s">
        <v>69</v>
      </c>
      <c r="G4107">
        <v>2454.9</v>
      </c>
      <c r="H4107" s="9">
        <v>4.08</v>
      </c>
      <c r="I4107"/>
    </row>
    <row r="4108" spans="1:9" x14ac:dyDescent="0.3">
      <c r="A4108" t="s">
        <v>4</v>
      </c>
      <c r="B4108" t="s">
        <v>11</v>
      </c>
      <c r="C4108" t="s">
        <v>129</v>
      </c>
      <c r="D4108" s="9" t="s">
        <v>124</v>
      </c>
      <c r="E4108" t="s">
        <v>37</v>
      </c>
      <c r="F4108" t="s">
        <v>71</v>
      </c>
      <c r="G4108">
        <v>2382.4</v>
      </c>
      <c r="H4108" s="9">
        <v>4.95</v>
      </c>
      <c r="I4108"/>
    </row>
    <row r="4109" spans="1:9" x14ac:dyDescent="0.3">
      <c r="A4109" t="s">
        <v>4</v>
      </c>
      <c r="B4109" t="s">
        <v>11</v>
      </c>
      <c r="C4109" t="s">
        <v>130</v>
      </c>
      <c r="D4109" s="9" t="s">
        <v>124</v>
      </c>
      <c r="E4109" t="s">
        <v>38</v>
      </c>
      <c r="F4109" t="s">
        <v>73</v>
      </c>
      <c r="G4109">
        <v>2533.6999999999998</v>
      </c>
      <c r="H4109" s="9">
        <v>4.51</v>
      </c>
      <c r="I4109"/>
    </row>
    <row r="4110" spans="1:9" x14ac:dyDescent="0.3">
      <c r="A4110" t="s">
        <v>4</v>
      </c>
      <c r="B4110" t="s">
        <v>11</v>
      </c>
      <c r="C4110" t="s">
        <v>131</v>
      </c>
      <c r="D4110" s="9" t="s">
        <v>124</v>
      </c>
      <c r="E4110" t="s">
        <v>39</v>
      </c>
      <c r="F4110" t="s">
        <v>75</v>
      </c>
      <c r="G4110">
        <v>2509.9</v>
      </c>
      <c r="H4110" s="9">
        <v>3.41</v>
      </c>
      <c r="I4110"/>
    </row>
    <row r="4111" spans="1:9" x14ac:dyDescent="0.3">
      <c r="A4111" t="s">
        <v>4</v>
      </c>
      <c r="B4111" t="s">
        <v>11</v>
      </c>
      <c r="C4111" t="s">
        <v>132</v>
      </c>
      <c r="D4111" s="9" t="s">
        <v>124</v>
      </c>
      <c r="E4111" t="s">
        <v>40</v>
      </c>
      <c r="F4111" t="s">
        <v>77</v>
      </c>
      <c r="G4111">
        <v>2450.8000000000002</v>
      </c>
      <c r="H4111" s="9">
        <v>2.72</v>
      </c>
      <c r="I4111"/>
    </row>
    <row r="4112" spans="1:9" x14ac:dyDescent="0.3">
      <c r="A4112" t="s">
        <v>4</v>
      </c>
      <c r="B4112" t="s">
        <v>11</v>
      </c>
      <c r="C4112" t="s">
        <v>133</v>
      </c>
      <c r="D4112" s="9" t="s">
        <v>124</v>
      </c>
      <c r="E4112" t="s">
        <v>41</v>
      </c>
      <c r="F4112" t="s">
        <v>79</v>
      </c>
      <c r="G4112">
        <v>2563.5</v>
      </c>
      <c r="H4112" s="9">
        <v>2.08</v>
      </c>
      <c r="I4112"/>
    </row>
    <row r="4113" spans="1:9" x14ac:dyDescent="0.3">
      <c r="A4113" t="s">
        <v>4</v>
      </c>
      <c r="B4113" t="s">
        <v>11</v>
      </c>
      <c r="C4113" t="s">
        <v>134</v>
      </c>
      <c r="D4113" s="9" t="s">
        <v>124</v>
      </c>
      <c r="E4113" t="s">
        <v>42</v>
      </c>
      <c r="F4113" t="s">
        <v>81</v>
      </c>
      <c r="G4113">
        <v>2514.9</v>
      </c>
      <c r="H4113" s="9">
        <v>2.65</v>
      </c>
      <c r="I4113"/>
    </row>
    <row r="4114" spans="1:9" x14ac:dyDescent="0.3">
      <c r="A4114" t="s">
        <v>4</v>
      </c>
      <c r="B4114" t="s">
        <v>11</v>
      </c>
      <c r="C4114" t="s">
        <v>135</v>
      </c>
      <c r="D4114" s="9" t="s">
        <v>124</v>
      </c>
      <c r="E4114" t="s">
        <v>43</v>
      </c>
      <c r="F4114" t="s">
        <v>83</v>
      </c>
      <c r="G4114">
        <v>2801.9</v>
      </c>
      <c r="H4114" s="9">
        <v>2.31</v>
      </c>
      <c r="I4114"/>
    </row>
    <row r="4115" spans="1:9" x14ac:dyDescent="0.3">
      <c r="A4115" t="s">
        <v>4</v>
      </c>
      <c r="B4115" t="s">
        <v>11</v>
      </c>
      <c r="C4115" t="s">
        <v>136</v>
      </c>
      <c r="D4115" s="9" t="s">
        <v>137</v>
      </c>
      <c r="E4115" t="s">
        <v>32</v>
      </c>
      <c r="F4115" t="s">
        <v>61</v>
      </c>
      <c r="G4115">
        <v>2586.4</v>
      </c>
      <c r="H4115" s="9">
        <v>3.83</v>
      </c>
      <c r="I4115"/>
    </row>
    <row r="4116" spans="1:9" x14ac:dyDescent="0.3">
      <c r="A4116" t="s">
        <v>4</v>
      </c>
      <c r="B4116" t="s">
        <v>11</v>
      </c>
      <c r="C4116" t="s">
        <v>138</v>
      </c>
      <c r="D4116" s="9" t="s">
        <v>137</v>
      </c>
      <c r="E4116" t="s">
        <v>33</v>
      </c>
      <c r="F4116" t="s">
        <v>63</v>
      </c>
      <c r="G4116">
        <v>2414</v>
      </c>
      <c r="H4116" s="9">
        <v>5.73</v>
      </c>
      <c r="I4116"/>
    </row>
    <row r="4117" spans="1:9" x14ac:dyDescent="0.3">
      <c r="A4117" t="s">
        <v>4</v>
      </c>
      <c r="B4117" t="s">
        <v>11</v>
      </c>
      <c r="C4117" t="s">
        <v>139</v>
      </c>
      <c r="D4117" s="9" t="s">
        <v>137</v>
      </c>
      <c r="E4117" t="s">
        <v>34</v>
      </c>
      <c r="F4117" t="s">
        <v>65</v>
      </c>
      <c r="G4117">
        <v>2630.8</v>
      </c>
      <c r="H4117" s="9">
        <v>4.72</v>
      </c>
      <c r="I4117"/>
    </row>
    <row r="4118" spans="1:9" x14ac:dyDescent="0.3">
      <c r="A4118" t="s">
        <v>4</v>
      </c>
      <c r="B4118" t="s">
        <v>11</v>
      </c>
      <c r="C4118" t="s">
        <v>140</v>
      </c>
      <c r="D4118" s="9" t="s">
        <v>137</v>
      </c>
      <c r="E4118" t="s">
        <v>35</v>
      </c>
      <c r="F4118" t="s">
        <v>67</v>
      </c>
      <c r="G4118">
        <v>2455.8000000000002</v>
      </c>
      <c r="H4118" s="9">
        <v>-0.41</v>
      </c>
      <c r="I4118"/>
    </row>
    <row r="4119" spans="1:9" x14ac:dyDescent="0.3">
      <c r="A4119" t="s">
        <v>4</v>
      </c>
      <c r="B4119" t="s">
        <v>11</v>
      </c>
      <c r="C4119" t="s">
        <v>141</v>
      </c>
      <c r="D4119" s="9" t="s">
        <v>137</v>
      </c>
      <c r="E4119" t="s">
        <v>36</v>
      </c>
      <c r="F4119" t="s">
        <v>69</v>
      </c>
      <c r="G4119">
        <v>2547.4</v>
      </c>
      <c r="H4119" s="9">
        <v>3.77</v>
      </c>
      <c r="I4119"/>
    </row>
    <row r="4120" spans="1:9" x14ac:dyDescent="0.3">
      <c r="A4120" t="s">
        <v>4</v>
      </c>
      <c r="B4120" t="s">
        <v>11</v>
      </c>
      <c r="C4120" t="s">
        <v>142</v>
      </c>
      <c r="D4120" s="9" t="s">
        <v>137</v>
      </c>
      <c r="E4120" t="s">
        <v>37</v>
      </c>
      <c r="F4120" t="s">
        <v>71</v>
      </c>
      <c r="G4120">
        <v>2476.1</v>
      </c>
      <c r="H4120" s="9">
        <v>3.93</v>
      </c>
      <c r="I4120"/>
    </row>
    <row r="4121" spans="1:9" x14ac:dyDescent="0.3">
      <c r="A4121" t="s">
        <v>4</v>
      </c>
      <c r="B4121" t="s">
        <v>11</v>
      </c>
      <c r="C4121" t="s">
        <v>143</v>
      </c>
      <c r="D4121" s="9" t="s">
        <v>137</v>
      </c>
      <c r="E4121" t="s">
        <v>38</v>
      </c>
      <c r="F4121" t="s">
        <v>73</v>
      </c>
      <c r="G4121">
        <v>2622</v>
      </c>
      <c r="H4121" s="9">
        <v>3.49</v>
      </c>
      <c r="I4121"/>
    </row>
    <row r="4122" spans="1:9" x14ac:dyDescent="0.3">
      <c r="A4122" t="s">
        <v>4</v>
      </c>
      <c r="B4122" t="s">
        <v>11</v>
      </c>
      <c r="C4122" t="s">
        <v>144</v>
      </c>
      <c r="D4122" s="9" t="s">
        <v>137</v>
      </c>
      <c r="E4122" t="s">
        <v>39</v>
      </c>
      <c r="F4122" t="s">
        <v>75</v>
      </c>
      <c r="G4122">
        <v>2637.1</v>
      </c>
      <c r="H4122" s="9">
        <v>5.07</v>
      </c>
      <c r="I4122"/>
    </row>
    <row r="4123" spans="1:9" x14ac:dyDescent="0.3">
      <c r="A4123" t="s">
        <v>4</v>
      </c>
      <c r="B4123" t="s">
        <v>11</v>
      </c>
      <c r="C4123" t="s">
        <v>145</v>
      </c>
      <c r="D4123" s="9" t="s">
        <v>137</v>
      </c>
      <c r="E4123" t="s">
        <v>40</v>
      </c>
      <c r="F4123" t="s">
        <v>77</v>
      </c>
      <c r="G4123">
        <v>2532.1999999999998</v>
      </c>
      <c r="H4123" s="9">
        <v>3.32</v>
      </c>
      <c r="I4123"/>
    </row>
    <row r="4124" spans="1:9" x14ac:dyDescent="0.3">
      <c r="A4124" t="s">
        <v>4</v>
      </c>
      <c r="B4124" t="s">
        <v>11</v>
      </c>
      <c r="C4124" t="s">
        <v>146</v>
      </c>
      <c r="D4124" s="9" t="s">
        <v>137</v>
      </c>
      <c r="E4124" t="s">
        <v>41</v>
      </c>
      <c r="F4124" t="s">
        <v>79</v>
      </c>
      <c r="G4124">
        <v>2637.9</v>
      </c>
      <c r="H4124" s="9">
        <v>2.9</v>
      </c>
      <c r="I4124"/>
    </row>
    <row r="4125" spans="1:9" x14ac:dyDescent="0.3">
      <c r="A4125" t="s">
        <v>4</v>
      </c>
      <c r="B4125" t="s">
        <v>11</v>
      </c>
      <c r="C4125" t="s">
        <v>147</v>
      </c>
      <c r="D4125" s="9" t="s">
        <v>137</v>
      </c>
      <c r="E4125" t="s">
        <v>42</v>
      </c>
      <c r="F4125" t="s">
        <v>81</v>
      </c>
      <c r="G4125">
        <v>2614.4</v>
      </c>
      <c r="H4125" s="9">
        <v>3.96</v>
      </c>
      <c r="I4125"/>
    </row>
    <row r="4126" spans="1:9" x14ac:dyDescent="0.3">
      <c r="A4126" t="s">
        <v>4</v>
      </c>
      <c r="B4126" t="s">
        <v>11</v>
      </c>
      <c r="C4126" t="s">
        <v>148</v>
      </c>
      <c r="D4126" s="9" t="s">
        <v>137</v>
      </c>
      <c r="E4126" t="s">
        <v>43</v>
      </c>
      <c r="F4126" t="s">
        <v>83</v>
      </c>
      <c r="G4126">
        <v>2837.4</v>
      </c>
      <c r="H4126" s="9">
        <v>1.27</v>
      </c>
      <c r="I4126"/>
    </row>
    <row r="4127" spans="1:9" x14ac:dyDescent="0.3">
      <c r="A4127" t="s">
        <v>4</v>
      </c>
      <c r="B4127" t="s">
        <v>11</v>
      </c>
      <c r="C4127" t="s">
        <v>149</v>
      </c>
      <c r="D4127" s="9" t="s">
        <v>150</v>
      </c>
      <c r="E4127" t="s">
        <v>32</v>
      </c>
      <c r="F4127" t="s">
        <v>61</v>
      </c>
      <c r="G4127">
        <v>2661.9</v>
      </c>
      <c r="H4127" s="9">
        <v>2.92</v>
      </c>
      <c r="I4127"/>
    </row>
    <row r="4128" spans="1:9" x14ac:dyDescent="0.3">
      <c r="A4128" t="s">
        <v>4</v>
      </c>
      <c r="B4128" t="s">
        <v>11</v>
      </c>
      <c r="C4128" t="s">
        <v>151</v>
      </c>
      <c r="D4128" s="9" t="s">
        <v>150</v>
      </c>
      <c r="E4128" t="s">
        <v>33</v>
      </c>
      <c r="F4128" t="s">
        <v>63</v>
      </c>
      <c r="G4128">
        <v>2420.3000000000002</v>
      </c>
      <c r="H4128" s="9">
        <v>0.26</v>
      </c>
      <c r="I4128"/>
    </row>
    <row r="4129" spans="1:9" x14ac:dyDescent="0.3">
      <c r="A4129" t="s">
        <v>4</v>
      </c>
      <c r="B4129" t="s">
        <v>11</v>
      </c>
      <c r="C4129" t="s">
        <v>152</v>
      </c>
      <c r="D4129" s="9" t="s">
        <v>150</v>
      </c>
      <c r="E4129" t="s">
        <v>34</v>
      </c>
      <c r="F4129" t="s">
        <v>65</v>
      </c>
      <c r="G4129">
        <v>2722.5</v>
      </c>
      <c r="H4129" s="9">
        <v>3.49</v>
      </c>
      <c r="I4129"/>
    </row>
    <row r="4130" spans="1:9" x14ac:dyDescent="0.3">
      <c r="A4130" t="s">
        <v>4</v>
      </c>
      <c r="B4130" t="s">
        <v>11</v>
      </c>
      <c r="C4130" t="s">
        <v>153</v>
      </c>
      <c r="D4130" s="9" t="s">
        <v>150</v>
      </c>
      <c r="E4130" t="s">
        <v>35</v>
      </c>
      <c r="F4130" t="s">
        <v>67</v>
      </c>
      <c r="G4130">
        <v>2589.6999999999998</v>
      </c>
      <c r="H4130" s="9">
        <v>5.45</v>
      </c>
      <c r="I4130"/>
    </row>
    <row r="4131" spans="1:9" x14ac:dyDescent="0.3">
      <c r="A4131" t="s">
        <v>4</v>
      </c>
      <c r="B4131" t="s">
        <v>11</v>
      </c>
      <c r="C4131" t="s">
        <v>154</v>
      </c>
      <c r="D4131" s="9" t="s">
        <v>150</v>
      </c>
      <c r="E4131" t="s">
        <v>36</v>
      </c>
      <c r="F4131" t="s">
        <v>69</v>
      </c>
      <c r="G4131">
        <v>2652.8</v>
      </c>
      <c r="H4131" s="9">
        <v>4.1399999999999997</v>
      </c>
      <c r="I4131"/>
    </row>
    <row r="4132" spans="1:9" x14ac:dyDescent="0.3">
      <c r="A4132" t="s">
        <v>4</v>
      </c>
      <c r="B4132" t="s">
        <v>11</v>
      </c>
      <c r="C4132" t="s">
        <v>155</v>
      </c>
      <c r="D4132" s="9" t="s">
        <v>150</v>
      </c>
      <c r="E4132" t="s">
        <v>37</v>
      </c>
      <c r="F4132" t="s">
        <v>71</v>
      </c>
      <c r="G4132">
        <v>2562.6999999999998</v>
      </c>
      <c r="H4132" s="9">
        <v>3.5</v>
      </c>
      <c r="I4132"/>
    </row>
    <row r="4133" spans="1:9" x14ac:dyDescent="0.3">
      <c r="A4133" t="s">
        <v>4</v>
      </c>
      <c r="B4133" t="s">
        <v>18</v>
      </c>
      <c r="C4133" t="s">
        <v>59</v>
      </c>
      <c r="D4133" s="9" t="s">
        <v>60</v>
      </c>
      <c r="E4133" t="s">
        <v>32</v>
      </c>
      <c r="F4133" t="s">
        <v>61</v>
      </c>
      <c r="G4133">
        <v>306</v>
      </c>
      <c r="I4133"/>
    </row>
    <row r="4134" spans="1:9" x14ac:dyDescent="0.3">
      <c r="A4134" t="s">
        <v>4</v>
      </c>
      <c r="B4134" t="s">
        <v>18</v>
      </c>
      <c r="C4134" t="s">
        <v>62</v>
      </c>
      <c r="D4134" s="9" t="s">
        <v>60</v>
      </c>
      <c r="E4134" t="s">
        <v>33</v>
      </c>
      <c r="F4134" t="s">
        <v>63</v>
      </c>
      <c r="G4134">
        <v>271.8</v>
      </c>
      <c r="I4134"/>
    </row>
    <row r="4135" spans="1:9" x14ac:dyDescent="0.3">
      <c r="A4135" t="s">
        <v>4</v>
      </c>
      <c r="B4135" t="s">
        <v>18</v>
      </c>
      <c r="C4135" t="s">
        <v>64</v>
      </c>
      <c r="D4135" s="9" t="s">
        <v>60</v>
      </c>
      <c r="E4135" t="s">
        <v>34</v>
      </c>
      <c r="F4135" t="s">
        <v>65</v>
      </c>
      <c r="G4135">
        <v>316.39999999999998</v>
      </c>
      <c r="I4135"/>
    </row>
    <row r="4136" spans="1:9" x14ac:dyDescent="0.3">
      <c r="A4136" t="s">
        <v>4</v>
      </c>
      <c r="B4136" t="s">
        <v>18</v>
      </c>
      <c r="C4136" t="s">
        <v>66</v>
      </c>
      <c r="D4136" s="9" t="s">
        <v>60</v>
      </c>
      <c r="E4136" t="s">
        <v>35</v>
      </c>
      <c r="F4136" t="s">
        <v>67</v>
      </c>
      <c r="G4136">
        <v>306.7</v>
      </c>
      <c r="I4136"/>
    </row>
    <row r="4137" spans="1:9" x14ac:dyDescent="0.3">
      <c r="A4137" t="s">
        <v>4</v>
      </c>
      <c r="B4137" t="s">
        <v>18</v>
      </c>
      <c r="C4137" t="s">
        <v>68</v>
      </c>
      <c r="D4137" s="9" t="s">
        <v>60</v>
      </c>
      <c r="E4137" t="s">
        <v>36</v>
      </c>
      <c r="F4137" t="s">
        <v>69</v>
      </c>
      <c r="G4137">
        <v>300.2</v>
      </c>
      <c r="I4137"/>
    </row>
    <row r="4138" spans="1:9" x14ac:dyDescent="0.3">
      <c r="A4138" t="s">
        <v>4</v>
      </c>
      <c r="B4138" t="s">
        <v>18</v>
      </c>
      <c r="C4138" t="s">
        <v>70</v>
      </c>
      <c r="D4138" s="9" t="s">
        <v>60</v>
      </c>
      <c r="E4138" t="s">
        <v>37</v>
      </c>
      <c r="F4138" t="s">
        <v>71</v>
      </c>
      <c r="G4138">
        <v>307.60000000000002</v>
      </c>
      <c r="I4138"/>
    </row>
    <row r="4139" spans="1:9" x14ac:dyDescent="0.3">
      <c r="A4139" t="s">
        <v>4</v>
      </c>
      <c r="B4139" t="s">
        <v>18</v>
      </c>
      <c r="C4139" t="s">
        <v>72</v>
      </c>
      <c r="D4139" s="9" t="s">
        <v>60</v>
      </c>
      <c r="E4139" t="s">
        <v>38</v>
      </c>
      <c r="F4139" t="s">
        <v>73</v>
      </c>
      <c r="G4139">
        <v>332</v>
      </c>
      <c r="I4139"/>
    </row>
    <row r="4140" spans="1:9" x14ac:dyDescent="0.3">
      <c r="A4140" t="s">
        <v>4</v>
      </c>
      <c r="B4140" t="s">
        <v>18</v>
      </c>
      <c r="C4140" t="s">
        <v>74</v>
      </c>
      <c r="D4140" s="9" t="s">
        <v>60</v>
      </c>
      <c r="E4140" t="s">
        <v>39</v>
      </c>
      <c r="F4140" t="s">
        <v>75</v>
      </c>
      <c r="G4140">
        <v>334.5</v>
      </c>
      <c r="I4140"/>
    </row>
    <row r="4141" spans="1:9" x14ac:dyDescent="0.3">
      <c r="A4141" t="s">
        <v>4</v>
      </c>
      <c r="B4141" t="s">
        <v>18</v>
      </c>
      <c r="C4141" t="s">
        <v>76</v>
      </c>
      <c r="D4141" s="9" t="s">
        <v>60</v>
      </c>
      <c r="E4141" t="s">
        <v>40</v>
      </c>
      <c r="F4141" t="s">
        <v>77</v>
      </c>
      <c r="G4141">
        <v>315.39999999999998</v>
      </c>
      <c r="I4141"/>
    </row>
    <row r="4142" spans="1:9" x14ac:dyDescent="0.3">
      <c r="A4142" t="s">
        <v>4</v>
      </c>
      <c r="B4142" t="s">
        <v>18</v>
      </c>
      <c r="C4142" t="s">
        <v>78</v>
      </c>
      <c r="D4142" s="9" t="s">
        <v>60</v>
      </c>
      <c r="E4142" t="s">
        <v>41</v>
      </c>
      <c r="F4142" t="s">
        <v>79</v>
      </c>
      <c r="G4142">
        <v>321.5</v>
      </c>
      <c r="I4142"/>
    </row>
    <row r="4143" spans="1:9" x14ac:dyDescent="0.3">
      <c r="A4143" t="s">
        <v>4</v>
      </c>
      <c r="B4143" t="s">
        <v>18</v>
      </c>
      <c r="C4143" t="s">
        <v>80</v>
      </c>
      <c r="D4143" s="9" t="s">
        <v>60</v>
      </c>
      <c r="E4143" t="s">
        <v>42</v>
      </c>
      <c r="F4143" t="s">
        <v>81</v>
      </c>
      <c r="G4143">
        <v>327.8</v>
      </c>
      <c r="I4143"/>
    </row>
    <row r="4144" spans="1:9" x14ac:dyDescent="0.3">
      <c r="A4144" t="s">
        <v>4</v>
      </c>
      <c r="B4144" t="s">
        <v>18</v>
      </c>
      <c r="C4144" t="s">
        <v>82</v>
      </c>
      <c r="D4144" s="9" t="s">
        <v>60</v>
      </c>
      <c r="E4144" t="s">
        <v>43</v>
      </c>
      <c r="F4144" t="s">
        <v>83</v>
      </c>
      <c r="G4144">
        <v>344.5</v>
      </c>
      <c r="I4144"/>
    </row>
    <row r="4145" spans="1:9" x14ac:dyDescent="0.3">
      <c r="A4145" t="s">
        <v>4</v>
      </c>
      <c r="B4145" t="s">
        <v>18</v>
      </c>
      <c r="C4145" t="s">
        <v>84</v>
      </c>
      <c r="D4145" s="9" t="s">
        <v>85</v>
      </c>
      <c r="E4145" t="s">
        <v>32</v>
      </c>
      <c r="F4145" t="s">
        <v>61</v>
      </c>
      <c r="G4145">
        <v>320.8</v>
      </c>
      <c r="H4145" s="9">
        <v>4.84</v>
      </c>
      <c r="I4145"/>
    </row>
    <row r="4146" spans="1:9" x14ac:dyDescent="0.3">
      <c r="A4146" t="s">
        <v>4</v>
      </c>
      <c r="B4146" t="s">
        <v>18</v>
      </c>
      <c r="C4146" t="s">
        <v>86</v>
      </c>
      <c r="D4146" s="9" t="s">
        <v>85</v>
      </c>
      <c r="E4146" t="s">
        <v>33</v>
      </c>
      <c r="F4146" t="s">
        <v>63</v>
      </c>
      <c r="G4146">
        <v>298.3</v>
      </c>
      <c r="H4146" s="9">
        <v>9.75</v>
      </c>
      <c r="I4146"/>
    </row>
    <row r="4147" spans="1:9" x14ac:dyDescent="0.3">
      <c r="A4147" t="s">
        <v>4</v>
      </c>
      <c r="B4147" t="s">
        <v>18</v>
      </c>
      <c r="C4147" t="s">
        <v>87</v>
      </c>
      <c r="D4147" s="9" t="s">
        <v>85</v>
      </c>
      <c r="E4147" t="s">
        <v>34</v>
      </c>
      <c r="F4147" t="s">
        <v>65</v>
      </c>
      <c r="G4147">
        <v>297.10000000000002</v>
      </c>
      <c r="H4147" s="9">
        <v>-6.1</v>
      </c>
      <c r="I4147"/>
    </row>
    <row r="4148" spans="1:9" x14ac:dyDescent="0.3">
      <c r="A4148" t="s">
        <v>4</v>
      </c>
      <c r="B4148" t="s">
        <v>18</v>
      </c>
      <c r="C4148" t="s">
        <v>88</v>
      </c>
      <c r="D4148" s="9" t="s">
        <v>85</v>
      </c>
      <c r="E4148" t="s">
        <v>35</v>
      </c>
      <c r="F4148" t="s">
        <v>67</v>
      </c>
      <c r="G4148">
        <v>254.7</v>
      </c>
      <c r="H4148" s="9">
        <v>-16.95</v>
      </c>
      <c r="I4148"/>
    </row>
    <row r="4149" spans="1:9" x14ac:dyDescent="0.3">
      <c r="A4149" t="s">
        <v>4</v>
      </c>
      <c r="B4149" t="s">
        <v>18</v>
      </c>
      <c r="C4149" t="s">
        <v>89</v>
      </c>
      <c r="D4149" s="9" t="s">
        <v>85</v>
      </c>
      <c r="E4149" t="s">
        <v>36</v>
      </c>
      <c r="F4149" t="s">
        <v>69</v>
      </c>
      <c r="G4149">
        <v>306.2</v>
      </c>
      <c r="H4149" s="9">
        <v>2</v>
      </c>
      <c r="I4149"/>
    </row>
    <row r="4150" spans="1:9" x14ac:dyDescent="0.3">
      <c r="A4150" t="s">
        <v>4</v>
      </c>
      <c r="B4150" t="s">
        <v>18</v>
      </c>
      <c r="C4150" t="s">
        <v>90</v>
      </c>
      <c r="D4150" s="9" t="s">
        <v>85</v>
      </c>
      <c r="E4150" t="s">
        <v>37</v>
      </c>
      <c r="F4150" t="s">
        <v>71</v>
      </c>
      <c r="G4150">
        <v>314.8</v>
      </c>
      <c r="H4150" s="9">
        <v>2.34</v>
      </c>
      <c r="I4150"/>
    </row>
    <row r="4151" spans="1:9" x14ac:dyDescent="0.3">
      <c r="A4151" t="s">
        <v>4</v>
      </c>
      <c r="B4151" t="s">
        <v>18</v>
      </c>
      <c r="C4151" t="s">
        <v>91</v>
      </c>
      <c r="D4151" s="9" t="s">
        <v>85</v>
      </c>
      <c r="E4151" t="s">
        <v>38</v>
      </c>
      <c r="F4151" t="s">
        <v>73</v>
      </c>
      <c r="G4151">
        <v>368.5</v>
      </c>
      <c r="H4151" s="9">
        <v>10.99</v>
      </c>
      <c r="I4151"/>
    </row>
    <row r="4152" spans="1:9" x14ac:dyDescent="0.3">
      <c r="A4152" t="s">
        <v>4</v>
      </c>
      <c r="B4152" t="s">
        <v>18</v>
      </c>
      <c r="C4152" t="s">
        <v>92</v>
      </c>
      <c r="D4152" s="9" t="s">
        <v>85</v>
      </c>
      <c r="E4152" t="s">
        <v>39</v>
      </c>
      <c r="F4152" t="s">
        <v>75</v>
      </c>
      <c r="G4152">
        <v>346.1</v>
      </c>
      <c r="H4152" s="9">
        <v>3.47</v>
      </c>
      <c r="I4152"/>
    </row>
    <row r="4153" spans="1:9" x14ac:dyDescent="0.3">
      <c r="A4153" t="s">
        <v>4</v>
      </c>
      <c r="B4153" t="s">
        <v>18</v>
      </c>
      <c r="C4153" t="s">
        <v>93</v>
      </c>
      <c r="D4153" s="9" t="s">
        <v>85</v>
      </c>
      <c r="E4153" t="s">
        <v>40</v>
      </c>
      <c r="F4153" t="s">
        <v>77</v>
      </c>
      <c r="G4153">
        <v>349.6</v>
      </c>
      <c r="H4153" s="9">
        <v>10.84</v>
      </c>
      <c r="I4153"/>
    </row>
    <row r="4154" spans="1:9" x14ac:dyDescent="0.3">
      <c r="A4154" t="s">
        <v>4</v>
      </c>
      <c r="B4154" t="s">
        <v>18</v>
      </c>
      <c r="C4154" t="s">
        <v>94</v>
      </c>
      <c r="D4154" s="9" t="s">
        <v>85</v>
      </c>
      <c r="E4154" t="s">
        <v>41</v>
      </c>
      <c r="F4154" t="s">
        <v>79</v>
      </c>
      <c r="G4154">
        <v>367.7</v>
      </c>
      <c r="H4154" s="9">
        <v>14.37</v>
      </c>
      <c r="I4154"/>
    </row>
    <row r="4155" spans="1:9" x14ac:dyDescent="0.3">
      <c r="A4155" t="s">
        <v>4</v>
      </c>
      <c r="B4155" t="s">
        <v>18</v>
      </c>
      <c r="C4155" t="s">
        <v>95</v>
      </c>
      <c r="D4155" s="9" t="s">
        <v>85</v>
      </c>
      <c r="E4155" t="s">
        <v>42</v>
      </c>
      <c r="F4155" t="s">
        <v>81</v>
      </c>
      <c r="G4155">
        <v>360.4</v>
      </c>
      <c r="H4155" s="9">
        <v>9.9499999999999993</v>
      </c>
      <c r="I4155"/>
    </row>
    <row r="4156" spans="1:9" x14ac:dyDescent="0.3">
      <c r="A4156" t="s">
        <v>4</v>
      </c>
      <c r="B4156" t="s">
        <v>18</v>
      </c>
      <c r="C4156" t="s">
        <v>96</v>
      </c>
      <c r="D4156" s="9" t="s">
        <v>85</v>
      </c>
      <c r="E4156" t="s">
        <v>43</v>
      </c>
      <c r="F4156" t="s">
        <v>83</v>
      </c>
      <c r="G4156">
        <v>409.9</v>
      </c>
      <c r="H4156" s="9">
        <v>18.98</v>
      </c>
      <c r="I4156"/>
    </row>
    <row r="4157" spans="1:9" x14ac:dyDescent="0.3">
      <c r="A4157" t="s">
        <v>4</v>
      </c>
      <c r="B4157" t="s">
        <v>18</v>
      </c>
      <c r="C4157" t="s">
        <v>97</v>
      </c>
      <c r="D4157" s="9" t="s">
        <v>98</v>
      </c>
      <c r="E4157" t="s">
        <v>32</v>
      </c>
      <c r="F4157" t="s">
        <v>61</v>
      </c>
      <c r="G4157">
        <v>357.8</v>
      </c>
      <c r="H4157" s="9">
        <v>11.53</v>
      </c>
      <c r="I4157"/>
    </row>
    <row r="4158" spans="1:9" x14ac:dyDescent="0.3">
      <c r="A4158" t="s">
        <v>4</v>
      </c>
      <c r="B4158" t="s">
        <v>18</v>
      </c>
      <c r="C4158" t="s">
        <v>99</v>
      </c>
      <c r="D4158" s="9" t="s">
        <v>98</v>
      </c>
      <c r="E4158" t="s">
        <v>33</v>
      </c>
      <c r="F4158" t="s">
        <v>63</v>
      </c>
      <c r="G4158">
        <v>316.3</v>
      </c>
      <c r="H4158" s="9">
        <v>6.03</v>
      </c>
      <c r="I4158"/>
    </row>
    <row r="4159" spans="1:9" x14ac:dyDescent="0.3">
      <c r="A4159" t="s">
        <v>4</v>
      </c>
      <c r="B4159" t="s">
        <v>18</v>
      </c>
      <c r="C4159" t="s">
        <v>100</v>
      </c>
      <c r="D4159" s="9" t="s">
        <v>98</v>
      </c>
      <c r="E4159" t="s">
        <v>34</v>
      </c>
      <c r="F4159" t="s">
        <v>65</v>
      </c>
      <c r="G4159">
        <v>372.2</v>
      </c>
      <c r="H4159" s="9">
        <v>25.28</v>
      </c>
      <c r="I4159"/>
    </row>
    <row r="4160" spans="1:9" x14ac:dyDescent="0.3">
      <c r="A4160" t="s">
        <v>4</v>
      </c>
      <c r="B4160" t="s">
        <v>18</v>
      </c>
      <c r="C4160" t="s">
        <v>101</v>
      </c>
      <c r="D4160" s="9" t="s">
        <v>98</v>
      </c>
      <c r="E4160" t="s">
        <v>35</v>
      </c>
      <c r="F4160" t="s">
        <v>67</v>
      </c>
      <c r="G4160">
        <v>377.2</v>
      </c>
      <c r="H4160" s="9">
        <v>48.1</v>
      </c>
      <c r="I4160"/>
    </row>
    <row r="4161" spans="1:9" x14ac:dyDescent="0.3">
      <c r="A4161" t="s">
        <v>4</v>
      </c>
      <c r="B4161" t="s">
        <v>18</v>
      </c>
      <c r="C4161" t="s">
        <v>102</v>
      </c>
      <c r="D4161" s="9" t="s">
        <v>98</v>
      </c>
      <c r="E4161" t="s">
        <v>36</v>
      </c>
      <c r="F4161" t="s">
        <v>69</v>
      </c>
      <c r="G4161">
        <v>372.4</v>
      </c>
      <c r="H4161" s="9">
        <v>21.62</v>
      </c>
      <c r="I4161"/>
    </row>
    <row r="4162" spans="1:9" x14ac:dyDescent="0.3">
      <c r="A4162" t="s">
        <v>4</v>
      </c>
      <c r="B4162" t="s">
        <v>18</v>
      </c>
      <c r="C4162" t="s">
        <v>103</v>
      </c>
      <c r="D4162" s="9" t="s">
        <v>98</v>
      </c>
      <c r="E4162" t="s">
        <v>37</v>
      </c>
      <c r="F4162" t="s">
        <v>71</v>
      </c>
      <c r="G4162">
        <v>339.1</v>
      </c>
      <c r="H4162" s="9">
        <v>7.72</v>
      </c>
      <c r="I4162"/>
    </row>
    <row r="4163" spans="1:9" x14ac:dyDescent="0.3">
      <c r="A4163" t="s">
        <v>4</v>
      </c>
      <c r="B4163" t="s">
        <v>18</v>
      </c>
      <c r="C4163" t="s">
        <v>104</v>
      </c>
      <c r="D4163" s="9" t="s">
        <v>98</v>
      </c>
      <c r="E4163" t="s">
        <v>38</v>
      </c>
      <c r="F4163" t="s">
        <v>73</v>
      </c>
      <c r="G4163">
        <v>346.7</v>
      </c>
      <c r="H4163" s="9">
        <v>-5.92</v>
      </c>
      <c r="I4163"/>
    </row>
    <row r="4164" spans="1:9" x14ac:dyDescent="0.3">
      <c r="A4164" t="s">
        <v>4</v>
      </c>
      <c r="B4164" t="s">
        <v>18</v>
      </c>
      <c r="C4164" t="s">
        <v>105</v>
      </c>
      <c r="D4164" s="9" t="s">
        <v>98</v>
      </c>
      <c r="E4164" t="s">
        <v>39</v>
      </c>
      <c r="F4164" t="s">
        <v>75</v>
      </c>
      <c r="G4164">
        <v>332.7</v>
      </c>
      <c r="H4164" s="9">
        <v>-3.87</v>
      </c>
      <c r="I4164"/>
    </row>
    <row r="4165" spans="1:9" x14ac:dyDescent="0.3">
      <c r="A4165" t="s">
        <v>4</v>
      </c>
      <c r="B4165" t="s">
        <v>18</v>
      </c>
      <c r="C4165" t="s">
        <v>106</v>
      </c>
      <c r="D4165" s="9" t="s">
        <v>98</v>
      </c>
      <c r="E4165" t="s">
        <v>40</v>
      </c>
      <c r="F4165" t="s">
        <v>77</v>
      </c>
      <c r="G4165">
        <v>361.6</v>
      </c>
      <c r="H4165" s="9">
        <v>3.43</v>
      </c>
      <c r="I4165"/>
    </row>
    <row r="4166" spans="1:9" x14ac:dyDescent="0.3">
      <c r="A4166" t="s">
        <v>4</v>
      </c>
      <c r="B4166" t="s">
        <v>18</v>
      </c>
      <c r="C4166" t="s">
        <v>107</v>
      </c>
      <c r="D4166" s="9" t="s">
        <v>98</v>
      </c>
      <c r="E4166" t="s">
        <v>41</v>
      </c>
      <c r="F4166" t="s">
        <v>79</v>
      </c>
      <c r="G4166">
        <v>363.3</v>
      </c>
      <c r="H4166" s="9">
        <v>-1.2</v>
      </c>
      <c r="I4166"/>
    </row>
    <row r="4167" spans="1:9" x14ac:dyDescent="0.3">
      <c r="A4167" t="s">
        <v>4</v>
      </c>
      <c r="B4167" t="s">
        <v>18</v>
      </c>
      <c r="C4167" t="s">
        <v>108</v>
      </c>
      <c r="D4167" s="9" t="s">
        <v>98</v>
      </c>
      <c r="E4167" t="s">
        <v>42</v>
      </c>
      <c r="F4167" t="s">
        <v>81</v>
      </c>
      <c r="G4167">
        <v>335.6</v>
      </c>
      <c r="H4167" s="9">
        <v>-6.88</v>
      </c>
      <c r="I4167"/>
    </row>
    <row r="4168" spans="1:9" x14ac:dyDescent="0.3">
      <c r="A4168" t="s">
        <v>4</v>
      </c>
      <c r="B4168" t="s">
        <v>18</v>
      </c>
      <c r="C4168" t="s">
        <v>109</v>
      </c>
      <c r="D4168" s="9" t="s">
        <v>98</v>
      </c>
      <c r="E4168" t="s">
        <v>43</v>
      </c>
      <c r="F4168" t="s">
        <v>83</v>
      </c>
      <c r="G4168">
        <v>399.9</v>
      </c>
      <c r="H4168" s="9">
        <v>-2.44</v>
      </c>
      <c r="I4168"/>
    </row>
    <row r="4169" spans="1:9" x14ac:dyDescent="0.3">
      <c r="A4169" t="s">
        <v>4</v>
      </c>
      <c r="B4169" t="s">
        <v>18</v>
      </c>
      <c r="C4169" t="s">
        <v>110</v>
      </c>
      <c r="D4169" s="9" t="s">
        <v>111</v>
      </c>
      <c r="E4169" t="s">
        <v>32</v>
      </c>
      <c r="F4169" t="s">
        <v>61</v>
      </c>
      <c r="G4169">
        <v>365.4</v>
      </c>
      <c r="H4169" s="9">
        <v>2.12</v>
      </c>
      <c r="I4169"/>
    </row>
    <row r="4170" spans="1:9" x14ac:dyDescent="0.3">
      <c r="A4170" t="s">
        <v>4</v>
      </c>
      <c r="B4170" t="s">
        <v>18</v>
      </c>
      <c r="C4170" t="s">
        <v>112</v>
      </c>
      <c r="D4170" s="9" t="s">
        <v>111</v>
      </c>
      <c r="E4170" t="s">
        <v>33</v>
      </c>
      <c r="F4170" t="s">
        <v>63</v>
      </c>
      <c r="G4170">
        <v>320</v>
      </c>
      <c r="H4170" s="9">
        <v>1.17</v>
      </c>
      <c r="I4170"/>
    </row>
    <row r="4171" spans="1:9" x14ac:dyDescent="0.3">
      <c r="A4171" t="s">
        <v>4</v>
      </c>
      <c r="B4171" t="s">
        <v>18</v>
      </c>
      <c r="C4171" t="s">
        <v>113</v>
      </c>
      <c r="D4171" s="9" t="s">
        <v>111</v>
      </c>
      <c r="E4171" t="s">
        <v>34</v>
      </c>
      <c r="F4171" t="s">
        <v>65</v>
      </c>
      <c r="G4171">
        <v>363.1</v>
      </c>
      <c r="H4171" s="9">
        <v>-2.44</v>
      </c>
      <c r="I4171"/>
    </row>
    <row r="4172" spans="1:9" x14ac:dyDescent="0.3">
      <c r="A4172" t="s">
        <v>4</v>
      </c>
      <c r="B4172" t="s">
        <v>18</v>
      </c>
      <c r="C4172" t="s">
        <v>114</v>
      </c>
      <c r="D4172" s="9" t="s">
        <v>111</v>
      </c>
      <c r="E4172" t="s">
        <v>35</v>
      </c>
      <c r="F4172" t="s">
        <v>67</v>
      </c>
      <c r="G4172">
        <v>401.3</v>
      </c>
      <c r="H4172" s="9">
        <v>6.39</v>
      </c>
      <c r="I4172"/>
    </row>
    <row r="4173" spans="1:9" x14ac:dyDescent="0.3">
      <c r="A4173" t="s">
        <v>4</v>
      </c>
      <c r="B4173" t="s">
        <v>18</v>
      </c>
      <c r="C4173" t="s">
        <v>115</v>
      </c>
      <c r="D4173" s="9" t="s">
        <v>111</v>
      </c>
      <c r="E4173" t="s">
        <v>36</v>
      </c>
      <c r="F4173" t="s">
        <v>69</v>
      </c>
      <c r="G4173">
        <v>400.4</v>
      </c>
      <c r="H4173" s="9">
        <v>7.52</v>
      </c>
      <c r="I4173"/>
    </row>
    <row r="4174" spans="1:9" x14ac:dyDescent="0.3">
      <c r="A4174" t="s">
        <v>4</v>
      </c>
      <c r="B4174" t="s">
        <v>18</v>
      </c>
      <c r="C4174" t="s">
        <v>116</v>
      </c>
      <c r="D4174" s="9" t="s">
        <v>111</v>
      </c>
      <c r="E4174" t="s">
        <v>37</v>
      </c>
      <c r="F4174" t="s">
        <v>71</v>
      </c>
      <c r="G4174">
        <v>404.4</v>
      </c>
      <c r="H4174" s="9">
        <v>19.260000000000002</v>
      </c>
      <c r="I4174"/>
    </row>
    <row r="4175" spans="1:9" x14ac:dyDescent="0.3">
      <c r="A4175" t="s">
        <v>4</v>
      </c>
      <c r="B4175" t="s">
        <v>18</v>
      </c>
      <c r="C4175" t="s">
        <v>117</v>
      </c>
      <c r="D4175" s="9" t="s">
        <v>111</v>
      </c>
      <c r="E4175" t="s">
        <v>38</v>
      </c>
      <c r="F4175" t="s">
        <v>73</v>
      </c>
      <c r="G4175">
        <v>454.2</v>
      </c>
      <c r="H4175" s="9">
        <v>31.01</v>
      </c>
      <c r="I4175"/>
    </row>
    <row r="4176" spans="1:9" x14ac:dyDescent="0.3">
      <c r="A4176" t="s">
        <v>4</v>
      </c>
      <c r="B4176" t="s">
        <v>18</v>
      </c>
      <c r="C4176" t="s">
        <v>118</v>
      </c>
      <c r="D4176" s="9" t="s">
        <v>111</v>
      </c>
      <c r="E4176" t="s">
        <v>39</v>
      </c>
      <c r="F4176" t="s">
        <v>75</v>
      </c>
      <c r="G4176">
        <v>459.3</v>
      </c>
      <c r="H4176" s="9">
        <v>38.049999999999997</v>
      </c>
      <c r="I4176"/>
    </row>
    <row r="4177" spans="1:9" x14ac:dyDescent="0.3">
      <c r="A4177" t="s">
        <v>4</v>
      </c>
      <c r="B4177" t="s">
        <v>18</v>
      </c>
      <c r="C4177" t="s">
        <v>119</v>
      </c>
      <c r="D4177" s="9" t="s">
        <v>111</v>
      </c>
      <c r="E4177" t="s">
        <v>40</v>
      </c>
      <c r="F4177" t="s">
        <v>77</v>
      </c>
      <c r="G4177">
        <v>450.4</v>
      </c>
      <c r="H4177" s="9">
        <v>24.56</v>
      </c>
      <c r="I4177"/>
    </row>
    <row r="4178" spans="1:9" x14ac:dyDescent="0.3">
      <c r="A4178" t="s">
        <v>4</v>
      </c>
      <c r="B4178" t="s">
        <v>18</v>
      </c>
      <c r="C4178" t="s">
        <v>120</v>
      </c>
      <c r="D4178" s="9" t="s">
        <v>111</v>
      </c>
      <c r="E4178" t="s">
        <v>41</v>
      </c>
      <c r="F4178" t="s">
        <v>79</v>
      </c>
      <c r="G4178">
        <v>458.7</v>
      </c>
      <c r="H4178" s="9">
        <v>26.26</v>
      </c>
      <c r="I4178"/>
    </row>
    <row r="4179" spans="1:9" x14ac:dyDescent="0.3">
      <c r="A4179" t="s">
        <v>4</v>
      </c>
      <c r="B4179" t="s">
        <v>18</v>
      </c>
      <c r="C4179" t="s">
        <v>121</v>
      </c>
      <c r="D4179" s="9" t="s">
        <v>111</v>
      </c>
      <c r="E4179" t="s">
        <v>42</v>
      </c>
      <c r="F4179" t="s">
        <v>81</v>
      </c>
      <c r="G4179">
        <v>436.3</v>
      </c>
      <c r="H4179" s="9">
        <v>30.01</v>
      </c>
      <c r="I4179"/>
    </row>
    <row r="4180" spans="1:9" x14ac:dyDescent="0.3">
      <c r="A4180" t="s">
        <v>4</v>
      </c>
      <c r="B4180" t="s">
        <v>18</v>
      </c>
      <c r="C4180" t="s">
        <v>122</v>
      </c>
      <c r="D4180" s="9" t="s">
        <v>111</v>
      </c>
      <c r="E4180" t="s">
        <v>43</v>
      </c>
      <c r="F4180" t="s">
        <v>83</v>
      </c>
      <c r="G4180">
        <v>506.1</v>
      </c>
      <c r="H4180" s="9">
        <v>26.56</v>
      </c>
      <c r="I4180"/>
    </row>
    <row r="4181" spans="1:9" x14ac:dyDescent="0.3">
      <c r="A4181" t="s">
        <v>4</v>
      </c>
      <c r="B4181" t="s">
        <v>18</v>
      </c>
      <c r="C4181" t="s">
        <v>123</v>
      </c>
      <c r="D4181" s="9" t="s">
        <v>124</v>
      </c>
      <c r="E4181" t="s">
        <v>32</v>
      </c>
      <c r="F4181" t="s">
        <v>61</v>
      </c>
      <c r="G4181">
        <v>422.4</v>
      </c>
      <c r="H4181" s="9">
        <v>15.6</v>
      </c>
      <c r="I4181"/>
    </row>
    <row r="4182" spans="1:9" x14ac:dyDescent="0.3">
      <c r="A4182" t="s">
        <v>4</v>
      </c>
      <c r="B4182" t="s">
        <v>18</v>
      </c>
      <c r="C4182" t="s">
        <v>125</v>
      </c>
      <c r="D4182" s="9" t="s">
        <v>124</v>
      </c>
      <c r="E4182" t="s">
        <v>33</v>
      </c>
      <c r="F4182" t="s">
        <v>63</v>
      </c>
      <c r="G4182">
        <v>383.5</v>
      </c>
      <c r="H4182" s="9">
        <v>19.84</v>
      </c>
      <c r="I4182"/>
    </row>
    <row r="4183" spans="1:9" x14ac:dyDescent="0.3">
      <c r="A4183" t="s">
        <v>4</v>
      </c>
      <c r="B4183" t="s">
        <v>18</v>
      </c>
      <c r="C4183" t="s">
        <v>126</v>
      </c>
      <c r="D4183" s="9" t="s">
        <v>124</v>
      </c>
      <c r="E4183" t="s">
        <v>34</v>
      </c>
      <c r="F4183" t="s">
        <v>65</v>
      </c>
      <c r="G4183">
        <v>439.1</v>
      </c>
      <c r="H4183" s="9">
        <v>20.93</v>
      </c>
      <c r="I4183"/>
    </row>
    <row r="4184" spans="1:9" x14ac:dyDescent="0.3">
      <c r="A4184" t="s">
        <v>4</v>
      </c>
      <c r="B4184" t="s">
        <v>18</v>
      </c>
      <c r="C4184" t="s">
        <v>127</v>
      </c>
      <c r="D4184" s="9" t="s">
        <v>124</v>
      </c>
      <c r="E4184" t="s">
        <v>35</v>
      </c>
      <c r="F4184" t="s">
        <v>67</v>
      </c>
      <c r="G4184">
        <v>432.3</v>
      </c>
      <c r="H4184" s="9">
        <v>7.72</v>
      </c>
      <c r="I4184"/>
    </row>
    <row r="4185" spans="1:9" x14ac:dyDescent="0.3">
      <c r="A4185" t="s">
        <v>4</v>
      </c>
      <c r="B4185" t="s">
        <v>18</v>
      </c>
      <c r="C4185" t="s">
        <v>128</v>
      </c>
      <c r="D4185" s="9" t="s">
        <v>124</v>
      </c>
      <c r="E4185" t="s">
        <v>36</v>
      </c>
      <c r="F4185" t="s">
        <v>69</v>
      </c>
      <c r="G4185">
        <v>425.5</v>
      </c>
      <c r="H4185" s="9">
        <v>6.27</v>
      </c>
      <c r="I4185"/>
    </row>
    <row r="4186" spans="1:9" x14ac:dyDescent="0.3">
      <c r="A4186" t="s">
        <v>4</v>
      </c>
      <c r="B4186" t="s">
        <v>18</v>
      </c>
      <c r="C4186" t="s">
        <v>129</v>
      </c>
      <c r="D4186" s="9" t="s">
        <v>124</v>
      </c>
      <c r="E4186" t="s">
        <v>37</v>
      </c>
      <c r="F4186" t="s">
        <v>71</v>
      </c>
      <c r="G4186">
        <v>417.2</v>
      </c>
      <c r="H4186" s="9">
        <v>3.17</v>
      </c>
      <c r="I4186"/>
    </row>
    <row r="4187" spans="1:9" x14ac:dyDescent="0.3">
      <c r="A4187" t="s">
        <v>4</v>
      </c>
      <c r="B4187" t="s">
        <v>18</v>
      </c>
      <c r="C4187" t="s">
        <v>130</v>
      </c>
      <c r="D4187" s="9" t="s">
        <v>124</v>
      </c>
      <c r="E4187" t="s">
        <v>38</v>
      </c>
      <c r="F4187" t="s">
        <v>73</v>
      </c>
      <c r="G4187">
        <v>474.8</v>
      </c>
      <c r="H4187" s="9">
        <v>4.54</v>
      </c>
      <c r="I4187"/>
    </row>
    <row r="4188" spans="1:9" x14ac:dyDescent="0.3">
      <c r="A4188" t="s">
        <v>4</v>
      </c>
      <c r="B4188" t="s">
        <v>18</v>
      </c>
      <c r="C4188" t="s">
        <v>131</v>
      </c>
      <c r="D4188" s="9" t="s">
        <v>124</v>
      </c>
      <c r="E4188" t="s">
        <v>39</v>
      </c>
      <c r="F4188" t="s">
        <v>75</v>
      </c>
      <c r="G4188">
        <v>471.1</v>
      </c>
      <c r="H4188" s="9">
        <v>2.57</v>
      </c>
      <c r="I4188"/>
    </row>
    <row r="4189" spans="1:9" x14ac:dyDescent="0.3">
      <c r="A4189" t="s">
        <v>4</v>
      </c>
      <c r="B4189" t="s">
        <v>18</v>
      </c>
      <c r="C4189" t="s">
        <v>132</v>
      </c>
      <c r="D4189" s="9" t="s">
        <v>124</v>
      </c>
      <c r="E4189" t="s">
        <v>40</v>
      </c>
      <c r="F4189" t="s">
        <v>77</v>
      </c>
      <c r="G4189">
        <v>465.1</v>
      </c>
      <c r="H4189" s="9">
        <v>3.26</v>
      </c>
      <c r="I4189"/>
    </row>
    <row r="4190" spans="1:9" x14ac:dyDescent="0.3">
      <c r="A4190" t="s">
        <v>4</v>
      </c>
      <c r="B4190" t="s">
        <v>18</v>
      </c>
      <c r="C4190" t="s">
        <v>133</v>
      </c>
      <c r="D4190" s="9" t="s">
        <v>124</v>
      </c>
      <c r="E4190" t="s">
        <v>41</v>
      </c>
      <c r="F4190" t="s">
        <v>79</v>
      </c>
      <c r="G4190">
        <v>467.1</v>
      </c>
      <c r="H4190" s="9">
        <v>1.83</v>
      </c>
      <c r="I4190"/>
    </row>
    <row r="4191" spans="1:9" x14ac:dyDescent="0.3">
      <c r="A4191" t="s">
        <v>4</v>
      </c>
      <c r="B4191" t="s">
        <v>18</v>
      </c>
      <c r="C4191" t="s">
        <v>134</v>
      </c>
      <c r="D4191" s="9" t="s">
        <v>124</v>
      </c>
      <c r="E4191" t="s">
        <v>42</v>
      </c>
      <c r="F4191" t="s">
        <v>81</v>
      </c>
      <c r="G4191">
        <v>462.3</v>
      </c>
      <c r="H4191" s="9">
        <v>5.96</v>
      </c>
      <c r="I4191"/>
    </row>
    <row r="4192" spans="1:9" x14ac:dyDescent="0.3">
      <c r="A4192" t="s">
        <v>4</v>
      </c>
      <c r="B4192" t="s">
        <v>18</v>
      </c>
      <c r="C4192" t="s">
        <v>135</v>
      </c>
      <c r="D4192" s="9" t="s">
        <v>124</v>
      </c>
      <c r="E4192" t="s">
        <v>43</v>
      </c>
      <c r="F4192" t="s">
        <v>83</v>
      </c>
      <c r="G4192">
        <v>518.1</v>
      </c>
      <c r="H4192" s="9">
        <v>2.37</v>
      </c>
      <c r="I4192"/>
    </row>
    <row r="4193" spans="1:9" x14ac:dyDescent="0.3">
      <c r="A4193" t="s">
        <v>4</v>
      </c>
      <c r="B4193" t="s">
        <v>18</v>
      </c>
      <c r="C4193" t="s">
        <v>136</v>
      </c>
      <c r="D4193" s="9" t="s">
        <v>137</v>
      </c>
      <c r="E4193" t="s">
        <v>32</v>
      </c>
      <c r="F4193" t="s">
        <v>61</v>
      </c>
      <c r="G4193">
        <v>445.9</v>
      </c>
      <c r="H4193" s="9">
        <v>5.56</v>
      </c>
      <c r="I4193"/>
    </row>
    <row r="4194" spans="1:9" x14ac:dyDescent="0.3">
      <c r="A4194" t="s">
        <v>4</v>
      </c>
      <c r="B4194" t="s">
        <v>18</v>
      </c>
      <c r="C4194" t="s">
        <v>138</v>
      </c>
      <c r="D4194" s="9" t="s">
        <v>137</v>
      </c>
      <c r="E4194" t="s">
        <v>33</v>
      </c>
      <c r="F4194" t="s">
        <v>63</v>
      </c>
      <c r="G4194">
        <v>407.1</v>
      </c>
      <c r="H4194" s="9">
        <v>6.15</v>
      </c>
      <c r="I4194"/>
    </row>
    <row r="4195" spans="1:9" x14ac:dyDescent="0.3">
      <c r="A4195" t="s">
        <v>4</v>
      </c>
      <c r="B4195" t="s">
        <v>18</v>
      </c>
      <c r="C4195" t="s">
        <v>139</v>
      </c>
      <c r="D4195" s="9" t="s">
        <v>137</v>
      </c>
      <c r="E4195" t="s">
        <v>34</v>
      </c>
      <c r="F4195" t="s">
        <v>65</v>
      </c>
      <c r="G4195">
        <v>451.8</v>
      </c>
      <c r="H4195" s="9">
        <v>2.89</v>
      </c>
      <c r="I4195"/>
    </row>
    <row r="4196" spans="1:9" x14ac:dyDescent="0.3">
      <c r="A4196" t="s">
        <v>4</v>
      </c>
      <c r="B4196" t="s">
        <v>18</v>
      </c>
      <c r="C4196" t="s">
        <v>140</v>
      </c>
      <c r="D4196" s="9" t="s">
        <v>137</v>
      </c>
      <c r="E4196" t="s">
        <v>35</v>
      </c>
      <c r="F4196" t="s">
        <v>67</v>
      </c>
      <c r="G4196">
        <v>435.5</v>
      </c>
      <c r="H4196" s="9">
        <v>0.74</v>
      </c>
      <c r="I4196"/>
    </row>
    <row r="4197" spans="1:9" x14ac:dyDescent="0.3">
      <c r="A4197" t="s">
        <v>4</v>
      </c>
      <c r="B4197" t="s">
        <v>18</v>
      </c>
      <c r="C4197" t="s">
        <v>141</v>
      </c>
      <c r="D4197" s="9" t="s">
        <v>137</v>
      </c>
      <c r="E4197" t="s">
        <v>36</v>
      </c>
      <c r="F4197" t="s">
        <v>69</v>
      </c>
      <c r="G4197">
        <v>447.7</v>
      </c>
      <c r="H4197" s="9">
        <v>5.22</v>
      </c>
      <c r="I4197"/>
    </row>
    <row r="4198" spans="1:9" x14ac:dyDescent="0.3">
      <c r="A4198" t="s">
        <v>4</v>
      </c>
      <c r="B4198" t="s">
        <v>18</v>
      </c>
      <c r="C4198" t="s">
        <v>142</v>
      </c>
      <c r="D4198" s="9" t="s">
        <v>137</v>
      </c>
      <c r="E4198" t="s">
        <v>37</v>
      </c>
      <c r="F4198" t="s">
        <v>71</v>
      </c>
      <c r="G4198">
        <v>424.4</v>
      </c>
      <c r="H4198" s="9">
        <v>1.73</v>
      </c>
      <c r="I4198"/>
    </row>
    <row r="4199" spans="1:9" x14ac:dyDescent="0.3">
      <c r="A4199" t="s">
        <v>4</v>
      </c>
      <c r="B4199" t="s">
        <v>18</v>
      </c>
      <c r="C4199" t="s">
        <v>143</v>
      </c>
      <c r="D4199" s="9" t="s">
        <v>137</v>
      </c>
      <c r="E4199" t="s">
        <v>38</v>
      </c>
      <c r="F4199" t="s">
        <v>73</v>
      </c>
      <c r="G4199">
        <v>479.9</v>
      </c>
      <c r="H4199" s="9">
        <v>1.07</v>
      </c>
      <c r="I4199"/>
    </row>
    <row r="4200" spans="1:9" x14ac:dyDescent="0.3">
      <c r="A4200" t="s">
        <v>4</v>
      </c>
      <c r="B4200" t="s">
        <v>18</v>
      </c>
      <c r="C4200" t="s">
        <v>144</v>
      </c>
      <c r="D4200" s="9" t="s">
        <v>137</v>
      </c>
      <c r="E4200" t="s">
        <v>39</v>
      </c>
      <c r="F4200" t="s">
        <v>75</v>
      </c>
      <c r="G4200">
        <v>488.6</v>
      </c>
      <c r="H4200" s="9">
        <v>3.71</v>
      </c>
      <c r="I4200"/>
    </row>
    <row r="4201" spans="1:9" x14ac:dyDescent="0.3">
      <c r="A4201" t="s">
        <v>4</v>
      </c>
      <c r="B4201" t="s">
        <v>18</v>
      </c>
      <c r="C4201" t="s">
        <v>145</v>
      </c>
      <c r="D4201" s="9" t="s">
        <v>137</v>
      </c>
      <c r="E4201" t="s">
        <v>40</v>
      </c>
      <c r="F4201" t="s">
        <v>77</v>
      </c>
      <c r="G4201">
        <v>477.2</v>
      </c>
      <c r="H4201" s="9">
        <v>2.6</v>
      </c>
      <c r="I4201"/>
    </row>
    <row r="4202" spans="1:9" x14ac:dyDescent="0.3">
      <c r="A4202" t="s">
        <v>4</v>
      </c>
      <c r="B4202" t="s">
        <v>18</v>
      </c>
      <c r="C4202" t="s">
        <v>146</v>
      </c>
      <c r="D4202" s="9" t="s">
        <v>137</v>
      </c>
      <c r="E4202" t="s">
        <v>41</v>
      </c>
      <c r="F4202" t="s">
        <v>79</v>
      </c>
      <c r="G4202">
        <v>491.2</v>
      </c>
      <c r="H4202" s="9">
        <v>5.16</v>
      </c>
      <c r="I4202"/>
    </row>
    <row r="4203" spans="1:9" x14ac:dyDescent="0.3">
      <c r="A4203" t="s">
        <v>4</v>
      </c>
      <c r="B4203" t="s">
        <v>18</v>
      </c>
      <c r="C4203" t="s">
        <v>147</v>
      </c>
      <c r="D4203" s="9" t="s">
        <v>137</v>
      </c>
      <c r="E4203" t="s">
        <v>42</v>
      </c>
      <c r="F4203" t="s">
        <v>81</v>
      </c>
      <c r="G4203">
        <v>491.8</v>
      </c>
      <c r="H4203" s="9">
        <v>6.38</v>
      </c>
      <c r="I4203"/>
    </row>
    <row r="4204" spans="1:9" x14ac:dyDescent="0.3">
      <c r="A4204" t="s">
        <v>4</v>
      </c>
      <c r="B4204" t="s">
        <v>18</v>
      </c>
      <c r="C4204" t="s">
        <v>148</v>
      </c>
      <c r="D4204" s="9" t="s">
        <v>137</v>
      </c>
      <c r="E4204" t="s">
        <v>43</v>
      </c>
      <c r="F4204" t="s">
        <v>83</v>
      </c>
      <c r="G4204">
        <v>537.6</v>
      </c>
      <c r="H4204" s="9">
        <v>3.76</v>
      </c>
      <c r="I4204"/>
    </row>
    <row r="4205" spans="1:9" x14ac:dyDescent="0.3">
      <c r="A4205" t="s">
        <v>4</v>
      </c>
      <c r="B4205" t="s">
        <v>18</v>
      </c>
      <c r="C4205" t="s">
        <v>149</v>
      </c>
      <c r="D4205" s="9" t="s">
        <v>150</v>
      </c>
      <c r="E4205" t="s">
        <v>32</v>
      </c>
      <c r="F4205" t="s">
        <v>61</v>
      </c>
      <c r="G4205">
        <v>465.1</v>
      </c>
      <c r="H4205" s="9">
        <v>4.3099999999999996</v>
      </c>
      <c r="I4205"/>
    </row>
    <row r="4206" spans="1:9" x14ac:dyDescent="0.3">
      <c r="A4206" t="s">
        <v>4</v>
      </c>
      <c r="B4206" t="s">
        <v>18</v>
      </c>
      <c r="C4206" t="s">
        <v>151</v>
      </c>
      <c r="D4206" s="9" t="s">
        <v>150</v>
      </c>
      <c r="E4206" t="s">
        <v>33</v>
      </c>
      <c r="F4206" t="s">
        <v>63</v>
      </c>
      <c r="G4206">
        <v>413.7</v>
      </c>
      <c r="H4206" s="9">
        <v>1.62</v>
      </c>
      <c r="I4206"/>
    </row>
    <row r="4207" spans="1:9" x14ac:dyDescent="0.3">
      <c r="A4207" t="s">
        <v>4</v>
      </c>
      <c r="B4207" t="s">
        <v>18</v>
      </c>
      <c r="C4207" t="s">
        <v>152</v>
      </c>
      <c r="D4207" s="9" t="s">
        <v>150</v>
      </c>
      <c r="E4207" t="s">
        <v>34</v>
      </c>
      <c r="F4207" t="s">
        <v>65</v>
      </c>
      <c r="G4207">
        <v>453.5</v>
      </c>
      <c r="H4207" s="9">
        <v>0.38</v>
      </c>
      <c r="I4207"/>
    </row>
    <row r="4208" spans="1:9" x14ac:dyDescent="0.3">
      <c r="A4208" t="s">
        <v>4</v>
      </c>
      <c r="B4208" t="s">
        <v>18</v>
      </c>
      <c r="C4208" t="s">
        <v>153</v>
      </c>
      <c r="D4208" s="9" t="s">
        <v>150</v>
      </c>
      <c r="E4208" t="s">
        <v>35</v>
      </c>
      <c r="F4208" t="s">
        <v>67</v>
      </c>
      <c r="G4208">
        <v>467.7</v>
      </c>
      <c r="H4208" s="9">
        <v>7.39</v>
      </c>
      <c r="I4208"/>
    </row>
    <row r="4209" spans="1:9" x14ac:dyDescent="0.3">
      <c r="A4209" t="s">
        <v>4</v>
      </c>
      <c r="B4209" t="s">
        <v>18</v>
      </c>
      <c r="C4209" t="s">
        <v>154</v>
      </c>
      <c r="D4209" s="9" t="s">
        <v>150</v>
      </c>
      <c r="E4209" t="s">
        <v>36</v>
      </c>
      <c r="F4209" t="s">
        <v>69</v>
      </c>
      <c r="G4209">
        <v>476.7</v>
      </c>
      <c r="H4209" s="9">
        <v>6.48</v>
      </c>
      <c r="I4209"/>
    </row>
    <row r="4210" spans="1:9" x14ac:dyDescent="0.3">
      <c r="A4210" t="s">
        <v>4</v>
      </c>
      <c r="B4210" t="s">
        <v>18</v>
      </c>
      <c r="C4210" t="s">
        <v>155</v>
      </c>
      <c r="D4210" s="9" t="s">
        <v>150</v>
      </c>
      <c r="E4210" t="s">
        <v>37</v>
      </c>
      <c r="F4210" t="s">
        <v>71</v>
      </c>
      <c r="G4210">
        <v>454.1</v>
      </c>
      <c r="H4210" s="9">
        <v>7</v>
      </c>
      <c r="I4210"/>
    </row>
    <row r="4211" spans="1:9" x14ac:dyDescent="0.3">
      <c r="A4211" t="s">
        <v>6</v>
      </c>
      <c r="B4211" t="s">
        <v>12</v>
      </c>
      <c r="C4211" t="s">
        <v>59</v>
      </c>
      <c r="D4211" s="9" t="s">
        <v>60</v>
      </c>
      <c r="E4211" t="s">
        <v>32</v>
      </c>
      <c r="F4211" t="s">
        <v>61</v>
      </c>
      <c r="G4211">
        <v>118</v>
      </c>
      <c r="I4211"/>
    </row>
    <row r="4212" spans="1:9" x14ac:dyDescent="0.3">
      <c r="A4212" t="s">
        <v>6</v>
      </c>
      <c r="B4212" t="s">
        <v>12</v>
      </c>
      <c r="C4212" t="s">
        <v>62</v>
      </c>
      <c r="D4212" s="9" t="s">
        <v>60</v>
      </c>
      <c r="E4212" t="s">
        <v>33</v>
      </c>
      <c r="F4212" t="s">
        <v>63</v>
      </c>
      <c r="G4212">
        <v>118.9</v>
      </c>
      <c r="I4212"/>
    </row>
    <row r="4213" spans="1:9" x14ac:dyDescent="0.3">
      <c r="A4213" t="s">
        <v>6</v>
      </c>
      <c r="B4213" t="s">
        <v>12</v>
      </c>
      <c r="C4213" t="s">
        <v>64</v>
      </c>
      <c r="D4213" s="9" t="s">
        <v>60</v>
      </c>
      <c r="E4213" t="s">
        <v>34</v>
      </c>
      <c r="F4213" t="s">
        <v>65</v>
      </c>
      <c r="G4213">
        <v>139.80000000000001</v>
      </c>
      <c r="I4213"/>
    </row>
    <row r="4214" spans="1:9" x14ac:dyDescent="0.3">
      <c r="A4214" t="s">
        <v>6</v>
      </c>
      <c r="B4214" t="s">
        <v>12</v>
      </c>
      <c r="C4214" t="s">
        <v>66</v>
      </c>
      <c r="D4214" s="9" t="s">
        <v>60</v>
      </c>
      <c r="E4214" t="s">
        <v>35</v>
      </c>
      <c r="F4214" t="s">
        <v>67</v>
      </c>
      <c r="G4214">
        <v>123.3</v>
      </c>
      <c r="I4214"/>
    </row>
    <row r="4215" spans="1:9" x14ac:dyDescent="0.3">
      <c r="A4215" t="s">
        <v>6</v>
      </c>
      <c r="B4215" t="s">
        <v>12</v>
      </c>
      <c r="C4215" t="s">
        <v>68</v>
      </c>
      <c r="D4215" s="9" t="s">
        <v>60</v>
      </c>
      <c r="E4215" t="s">
        <v>36</v>
      </c>
      <c r="F4215" t="s">
        <v>69</v>
      </c>
      <c r="G4215">
        <v>127.9</v>
      </c>
      <c r="I4215"/>
    </row>
    <row r="4216" spans="1:9" x14ac:dyDescent="0.3">
      <c r="A4216" t="s">
        <v>6</v>
      </c>
      <c r="B4216" t="s">
        <v>12</v>
      </c>
      <c r="C4216" t="s">
        <v>70</v>
      </c>
      <c r="D4216" s="9" t="s">
        <v>60</v>
      </c>
      <c r="E4216" t="s">
        <v>37</v>
      </c>
      <c r="F4216" t="s">
        <v>71</v>
      </c>
      <c r="G4216">
        <v>125.4</v>
      </c>
      <c r="I4216"/>
    </row>
    <row r="4217" spans="1:9" x14ac:dyDescent="0.3">
      <c r="A4217" t="s">
        <v>6</v>
      </c>
      <c r="B4217" t="s">
        <v>12</v>
      </c>
      <c r="C4217" t="s">
        <v>72</v>
      </c>
      <c r="D4217" s="9" t="s">
        <v>60</v>
      </c>
      <c r="E4217" t="s">
        <v>38</v>
      </c>
      <c r="F4217" t="s">
        <v>73</v>
      </c>
      <c r="G4217">
        <v>117.5</v>
      </c>
      <c r="I4217"/>
    </row>
    <row r="4218" spans="1:9" x14ac:dyDescent="0.3">
      <c r="A4218" t="s">
        <v>6</v>
      </c>
      <c r="B4218" t="s">
        <v>12</v>
      </c>
      <c r="C4218" t="s">
        <v>74</v>
      </c>
      <c r="D4218" s="9" t="s">
        <v>60</v>
      </c>
      <c r="E4218" t="s">
        <v>39</v>
      </c>
      <c r="F4218" t="s">
        <v>75</v>
      </c>
      <c r="G4218">
        <v>124</v>
      </c>
      <c r="I4218"/>
    </row>
    <row r="4219" spans="1:9" x14ac:dyDescent="0.3">
      <c r="A4219" t="s">
        <v>6</v>
      </c>
      <c r="B4219" t="s">
        <v>12</v>
      </c>
      <c r="C4219" t="s">
        <v>76</v>
      </c>
      <c r="D4219" s="9" t="s">
        <v>60</v>
      </c>
      <c r="E4219" t="s">
        <v>40</v>
      </c>
      <c r="F4219" t="s">
        <v>77</v>
      </c>
      <c r="G4219">
        <v>128.80000000000001</v>
      </c>
      <c r="I4219"/>
    </row>
    <row r="4220" spans="1:9" x14ac:dyDescent="0.3">
      <c r="A4220" t="s">
        <v>6</v>
      </c>
      <c r="B4220" t="s">
        <v>12</v>
      </c>
      <c r="C4220" t="s">
        <v>78</v>
      </c>
      <c r="D4220" s="9" t="s">
        <v>60</v>
      </c>
      <c r="E4220" t="s">
        <v>41</v>
      </c>
      <c r="F4220" t="s">
        <v>79</v>
      </c>
      <c r="G4220">
        <v>126.9</v>
      </c>
      <c r="I4220"/>
    </row>
    <row r="4221" spans="1:9" x14ac:dyDescent="0.3">
      <c r="A4221" t="s">
        <v>6</v>
      </c>
      <c r="B4221" t="s">
        <v>12</v>
      </c>
      <c r="C4221" t="s">
        <v>80</v>
      </c>
      <c r="D4221" s="9" t="s">
        <v>60</v>
      </c>
      <c r="E4221" t="s">
        <v>42</v>
      </c>
      <c r="F4221" t="s">
        <v>81</v>
      </c>
      <c r="G4221">
        <v>129.6</v>
      </c>
      <c r="I4221"/>
    </row>
    <row r="4222" spans="1:9" x14ac:dyDescent="0.3">
      <c r="A4222" t="s">
        <v>6</v>
      </c>
      <c r="B4222" t="s">
        <v>12</v>
      </c>
      <c r="C4222" t="s">
        <v>82</v>
      </c>
      <c r="D4222" s="9" t="s">
        <v>60</v>
      </c>
      <c r="E4222" t="s">
        <v>43</v>
      </c>
      <c r="F4222" t="s">
        <v>83</v>
      </c>
      <c r="G4222">
        <v>127.5</v>
      </c>
      <c r="I4222"/>
    </row>
    <row r="4223" spans="1:9" x14ac:dyDescent="0.3">
      <c r="A4223" t="s">
        <v>6</v>
      </c>
      <c r="B4223" t="s">
        <v>12</v>
      </c>
      <c r="C4223" t="s">
        <v>84</v>
      </c>
      <c r="D4223" s="9" t="s">
        <v>85</v>
      </c>
      <c r="E4223" t="s">
        <v>32</v>
      </c>
      <c r="F4223" t="s">
        <v>61</v>
      </c>
      <c r="G4223">
        <v>120.1</v>
      </c>
      <c r="H4223" s="9">
        <v>1.78</v>
      </c>
      <c r="I4223"/>
    </row>
    <row r="4224" spans="1:9" x14ac:dyDescent="0.3">
      <c r="A4224" t="s">
        <v>6</v>
      </c>
      <c r="B4224" t="s">
        <v>12</v>
      </c>
      <c r="C4224" t="s">
        <v>86</v>
      </c>
      <c r="D4224" s="9" t="s">
        <v>85</v>
      </c>
      <c r="E4224" t="s">
        <v>33</v>
      </c>
      <c r="F4224" t="s">
        <v>63</v>
      </c>
      <c r="G4224">
        <v>108.4</v>
      </c>
      <c r="H4224" s="9">
        <v>-8.83</v>
      </c>
      <c r="I4224"/>
    </row>
    <row r="4225" spans="1:9" x14ac:dyDescent="0.3">
      <c r="A4225" t="s">
        <v>6</v>
      </c>
      <c r="B4225" t="s">
        <v>12</v>
      </c>
      <c r="C4225" t="s">
        <v>87</v>
      </c>
      <c r="D4225" s="9" t="s">
        <v>85</v>
      </c>
      <c r="E4225" t="s">
        <v>34</v>
      </c>
      <c r="F4225" t="s">
        <v>65</v>
      </c>
      <c r="G4225">
        <v>86.8</v>
      </c>
      <c r="H4225" s="9">
        <v>-37.909999999999997</v>
      </c>
      <c r="I4225"/>
    </row>
    <row r="4226" spans="1:9" x14ac:dyDescent="0.3">
      <c r="A4226" t="s">
        <v>6</v>
      </c>
      <c r="B4226" t="s">
        <v>12</v>
      </c>
      <c r="C4226" t="s">
        <v>88</v>
      </c>
      <c r="D4226" s="9" t="s">
        <v>85</v>
      </c>
      <c r="E4226" t="s">
        <v>35</v>
      </c>
      <c r="F4226" t="s">
        <v>67</v>
      </c>
      <c r="G4226">
        <v>48.3</v>
      </c>
      <c r="H4226" s="9">
        <v>-60.83</v>
      </c>
      <c r="I4226"/>
    </row>
    <row r="4227" spans="1:9" x14ac:dyDescent="0.3">
      <c r="A4227" t="s">
        <v>6</v>
      </c>
      <c r="B4227" t="s">
        <v>12</v>
      </c>
      <c r="C4227" t="s">
        <v>89</v>
      </c>
      <c r="D4227" s="9" t="s">
        <v>85</v>
      </c>
      <c r="E4227" t="s">
        <v>36</v>
      </c>
      <c r="F4227" t="s">
        <v>69</v>
      </c>
      <c r="G4227">
        <v>71.099999999999994</v>
      </c>
      <c r="H4227" s="9">
        <v>-44.41</v>
      </c>
      <c r="I4227"/>
    </row>
    <row r="4228" spans="1:9" x14ac:dyDescent="0.3">
      <c r="A4228" t="s">
        <v>6</v>
      </c>
      <c r="B4228" t="s">
        <v>12</v>
      </c>
      <c r="C4228" t="s">
        <v>90</v>
      </c>
      <c r="D4228" s="9" t="s">
        <v>85</v>
      </c>
      <c r="E4228" t="s">
        <v>37</v>
      </c>
      <c r="F4228" t="s">
        <v>71</v>
      </c>
      <c r="G4228">
        <v>86</v>
      </c>
      <c r="H4228" s="9">
        <v>-31.42</v>
      </c>
      <c r="I4228"/>
    </row>
    <row r="4229" spans="1:9" x14ac:dyDescent="0.3">
      <c r="A4229" t="s">
        <v>6</v>
      </c>
      <c r="B4229" t="s">
        <v>12</v>
      </c>
      <c r="C4229" t="s">
        <v>91</v>
      </c>
      <c r="D4229" s="9" t="s">
        <v>85</v>
      </c>
      <c r="E4229" t="s">
        <v>38</v>
      </c>
      <c r="F4229" t="s">
        <v>73</v>
      </c>
      <c r="G4229">
        <v>101.2</v>
      </c>
      <c r="H4229" s="9">
        <v>-13.87</v>
      </c>
      <c r="I4229"/>
    </row>
    <row r="4230" spans="1:9" x14ac:dyDescent="0.3">
      <c r="A4230" t="s">
        <v>6</v>
      </c>
      <c r="B4230" t="s">
        <v>12</v>
      </c>
      <c r="C4230" t="s">
        <v>92</v>
      </c>
      <c r="D4230" s="9" t="s">
        <v>85</v>
      </c>
      <c r="E4230" t="s">
        <v>39</v>
      </c>
      <c r="F4230" t="s">
        <v>75</v>
      </c>
      <c r="G4230">
        <v>100</v>
      </c>
      <c r="H4230" s="9">
        <v>-19.350000000000001</v>
      </c>
      <c r="I4230"/>
    </row>
    <row r="4231" spans="1:9" x14ac:dyDescent="0.3">
      <c r="A4231" t="s">
        <v>6</v>
      </c>
      <c r="B4231" t="s">
        <v>12</v>
      </c>
      <c r="C4231" t="s">
        <v>93</v>
      </c>
      <c r="D4231" s="9" t="s">
        <v>85</v>
      </c>
      <c r="E4231" t="s">
        <v>40</v>
      </c>
      <c r="F4231" t="s">
        <v>77</v>
      </c>
      <c r="G4231">
        <v>103.8</v>
      </c>
      <c r="H4231" s="9">
        <v>-19.41</v>
      </c>
      <c r="I4231"/>
    </row>
    <row r="4232" spans="1:9" x14ac:dyDescent="0.3">
      <c r="A4232" t="s">
        <v>6</v>
      </c>
      <c r="B4232" t="s">
        <v>12</v>
      </c>
      <c r="C4232" t="s">
        <v>94</v>
      </c>
      <c r="D4232" s="9" t="s">
        <v>85</v>
      </c>
      <c r="E4232" t="s">
        <v>41</v>
      </c>
      <c r="F4232" t="s">
        <v>79</v>
      </c>
      <c r="G4232">
        <v>109.2</v>
      </c>
      <c r="H4232" s="9">
        <v>-13.95</v>
      </c>
      <c r="I4232"/>
    </row>
    <row r="4233" spans="1:9" x14ac:dyDescent="0.3">
      <c r="A4233" t="s">
        <v>6</v>
      </c>
      <c r="B4233" t="s">
        <v>12</v>
      </c>
      <c r="C4233" t="s">
        <v>95</v>
      </c>
      <c r="D4233" s="9" t="s">
        <v>85</v>
      </c>
      <c r="E4233" t="s">
        <v>42</v>
      </c>
      <c r="F4233" t="s">
        <v>81</v>
      </c>
      <c r="G4233">
        <v>85.7</v>
      </c>
      <c r="H4233" s="9">
        <v>-33.869999999999997</v>
      </c>
      <c r="I4233"/>
    </row>
    <row r="4234" spans="1:9" x14ac:dyDescent="0.3">
      <c r="A4234" t="s">
        <v>6</v>
      </c>
      <c r="B4234" t="s">
        <v>12</v>
      </c>
      <c r="C4234" t="s">
        <v>96</v>
      </c>
      <c r="D4234" s="9" t="s">
        <v>85</v>
      </c>
      <c r="E4234" t="s">
        <v>43</v>
      </c>
      <c r="F4234" t="s">
        <v>83</v>
      </c>
      <c r="G4234">
        <v>108.6</v>
      </c>
      <c r="H4234" s="9">
        <v>-14.82</v>
      </c>
      <c r="I4234"/>
    </row>
    <row r="4235" spans="1:9" x14ac:dyDescent="0.3">
      <c r="A4235" t="s">
        <v>6</v>
      </c>
      <c r="B4235" t="s">
        <v>12</v>
      </c>
      <c r="C4235" t="s">
        <v>97</v>
      </c>
      <c r="D4235" s="9" t="s">
        <v>98</v>
      </c>
      <c r="E4235" t="s">
        <v>32</v>
      </c>
      <c r="F4235" t="s">
        <v>61</v>
      </c>
      <c r="G4235">
        <v>108.1</v>
      </c>
      <c r="H4235" s="9">
        <v>-9.99</v>
      </c>
      <c r="I4235"/>
    </row>
    <row r="4236" spans="1:9" x14ac:dyDescent="0.3">
      <c r="A4236" t="s">
        <v>6</v>
      </c>
      <c r="B4236" t="s">
        <v>12</v>
      </c>
      <c r="C4236" t="s">
        <v>99</v>
      </c>
      <c r="D4236" s="9" t="s">
        <v>98</v>
      </c>
      <c r="E4236" t="s">
        <v>33</v>
      </c>
      <c r="F4236" t="s">
        <v>63</v>
      </c>
      <c r="G4236">
        <v>101.6</v>
      </c>
      <c r="H4236" s="9">
        <v>-6.27</v>
      </c>
      <c r="I4236"/>
    </row>
    <row r="4237" spans="1:9" x14ac:dyDescent="0.3">
      <c r="A4237" t="s">
        <v>6</v>
      </c>
      <c r="B4237" t="s">
        <v>12</v>
      </c>
      <c r="C4237" t="s">
        <v>100</v>
      </c>
      <c r="D4237" s="9" t="s">
        <v>98</v>
      </c>
      <c r="E4237" t="s">
        <v>34</v>
      </c>
      <c r="F4237" t="s">
        <v>65</v>
      </c>
      <c r="G4237">
        <v>113.5</v>
      </c>
      <c r="H4237" s="9">
        <v>30.76</v>
      </c>
      <c r="I4237"/>
    </row>
    <row r="4238" spans="1:9" x14ac:dyDescent="0.3">
      <c r="A4238" t="s">
        <v>6</v>
      </c>
      <c r="B4238" t="s">
        <v>12</v>
      </c>
      <c r="C4238" t="s">
        <v>101</v>
      </c>
      <c r="D4238" s="9" t="s">
        <v>98</v>
      </c>
      <c r="E4238" t="s">
        <v>35</v>
      </c>
      <c r="F4238" t="s">
        <v>67</v>
      </c>
      <c r="G4238">
        <v>108.4</v>
      </c>
      <c r="H4238" s="9">
        <v>124.43</v>
      </c>
      <c r="I4238"/>
    </row>
    <row r="4239" spans="1:9" x14ac:dyDescent="0.3">
      <c r="A4239" t="s">
        <v>6</v>
      </c>
      <c r="B4239" t="s">
        <v>12</v>
      </c>
      <c r="C4239" t="s">
        <v>102</v>
      </c>
      <c r="D4239" s="9" t="s">
        <v>98</v>
      </c>
      <c r="E4239" t="s">
        <v>36</v>
      </c>
      <c r="F4239" t="s">
        <v>69</v>
      </c>
      <c r="G4239">
        <v>114.3</v>
      </c>
      <c r="H4239" s="9">
        <v>60.76</v>
      </c>
      <c r="I4239"/>
    </row>
    <row r="4240" spans="1:9" x14ac:dyDescent="0.3">
      <c r="A4240" t="s">
        <v>6</v>
      </c>
      <c r="B4240" t="s">
        <v>12</v>
      </c>
      <c r="C4240" t="s">
        <v>103</v>
      </c>
      <c r="D4240" s="9" t="s">
        <v>98</v>
      </c>
      <c r="E4240" t="s">
        <v>37</v>
      </c>
      <c r="F4240" t="s">
        <v>71</v>
      </c>
      <c r="G4240">
        <v>103.2</v>
      </c>
      <c r="H4240" s="9">
        <v>20</v>
      </c>
      <c r="I4240"/>
    </row>
    <row r="4241" spans="1:9" x14ac:dyDescent="0.3">
      <c r="A4241" t="s">
        <v>6</v>
      </c>
      <c r="B4241" t="s">
        <v>12</v>
      </c>
      <c r="C4241" t="s">
        <v>104</v>
      </c>
      <c r="D4241" s="9" t="s">
        <v>98</v>
      </c>
      <c r="E4241" t="s">
        <v>38</v>
      </c>
      <c r="F4241" t="s">
        <v>73</v>
      </c>
      <c r="G4241">
        <v>100.6</v>
      </c>
      <c r="H4241" s="9">
        <v>-0.59</v>
      </c>
      <c r="I4241"/>
    </row>
    <row r="4242" spans="1:9" x14ac:dyDescent="0.3">
      <c r="A4242" t="s">
        <v>6</v>
      </c>
      <c r="B4242" t="s">
        <v>12</v>
      </c>
      <c r="C4242" t="s">
        <v>105</v>
      </c>
      <c r="D4242" s="9" t="s">
        <v>98</v>
      </c>
      <c r="E4242" t="s">
        <v>39</v>
      </c>
      <c r="F4242" t="s">
        <v>75</v>
      </c>
      <c r="G4242">
        <v>110.8</v>
      </c>
      <c r="H4242" s="9">
        <v>10.8</v>
      </c>
      <c r="I4242"/>
    </row>
    <row r="4243" spans="1:9" x14ac:dyDescent="0.3">
      <c r="A4243" t="s">
        <v>6</v>
      </c>
      <c r="B4243" t="s">
        <v>12</v>
      </c>
      <c r="C4243" t="s">
        <v>106</v>
      </c>
      <c r="D4243" s="9" t="s">
        <v>98</v>
      </c>
      <c r="E4243" t="s">
        <v>40</v>
      </c>
      <c r="F4243" t="s">
        <v>77</v>
      </c>
      <c r="G4243">
        <v>110.8</v>
      </c>
      <c r="H4243" s="9">
        <v>6.74</v>
      </c>
      <c r="I4243"/>
    </row>
    <row r="4244" spans="1:9" x14ac:dyDescent="0.3">
      <c r="A4244" t="s">
        <v>6</v>
      </c>
      <c r="B4244" t="s">
        <v>12</v>
      </c>
      <c r="C4244" t="s">
        <v>107</v>
      </c>
      <c r="D4244" s="9" t="s">
        <v>98</v>
      </c>
      <c r="E4244" t="s">
        <v>41</v>
      </c>
      <c r="F4244" t="s">
        <v>79</v>
      </c>
      <c r="G4244">
        <v>107</v>
      </c>
      <c r="H4244" s="9">
        <v>-2.0099999999999998</v>
      </c>
      <c r="I4244"/>
    </row>
    <row r="4245" spans="1:9" x14ac:dyDescent="0.3">
      <c r="A4245" t="s">
        <v>6</v>
      </c>
      <c r="B4245" t="s">
        <v>12</v>
      </c>
      <c r="C4245" t="s">
        <v>108</v>
      </c>
      <c r="D4245" s="9" t="s">
        <v>98</v>
      </c>
      <c r="E4245" t="s">
        <v>42</v>
      </c>
      <c r="F4245" t="s">
        <v>81</v>
      </c>
      <c r="G4245">
        <v>103.7</v>
      </c>
      <c r="H4245" s="9">
        <v>21</v>
      </c>
      <c r="I4245"/>
    </row>
    <row r="4246" spans="1:9" x14ac:dyDescent="0.3">
      <c r="A4246" t="s">
        <v>6</v>
      </c>
      <c r="B4246" t="s">
        <v>12</v>
      </c>
      <c r="C4246" t="s">
        <v>109</v>
      </c>
      <c r="D4246" s="9" t="s">
        <v>98</v>
      </c>
      <c r="E4246" t="s">
        <v>43</v>
      </c>
      <c r="F4246" t="s">
        <v>83</v>
      </c>
      <c r="G4246">
        <v>93.6</v>
      </c>
      <c r="H4246" s="9">
        <v>-13.81</v>
      </c>
      <c r="I4246"/>
    </row>
    <row r="4247" spans="1:9" x14ac:dyDescent="0.3">
      <c r="A4247" t="s">
        <v>6</v>
      </c>
      <c r="B4247" t="s">
        <v>12</v>
      </c>
      <c r="C4247" t="s">
        <v>110</v>
      </c>
      <c r="D4247" s="9" t="s">
        <v>111</v>
      </c>
      <c r="E4247" t="s">
        <v>32</v>
      </c>
      <c r="F4247" t="s">
        <v>61</v>
      </c>
      <c r="G4247">
        <v>83.5</v>
      </c>
      <c r="H4247" s="9">
        <v>-22.76</v>
      </c>
      <c r="I4247"/>
    </row>
    <row r="4248" spans="1:9" x14ac:dyDescent="0.3">
      <c r="A4248" t="s">
        <v>6</v>
      </c>
      <c r="B4248" t="s">
        <v>12</v>
      </c>
      <c r="C4248" t="s">
        <v>112</v>
      </c>
      <c r="D4248" s="9" t="s">
        <v>111</v>
      </c>
      <c r="E4248" t="s">
        <v>33</v>
      </c>
      <c r="F4248" t="s">
        <v>63</v>
      </c>
      <c r="G4248">
        <v>96.9</v>
      </c>
      <c r="H4248" s="9">
        <v>-4.63</v>
      </c>
      <c r="I4248"/>
    </row>
    <row r="4249" spans="1:9" x14ac:dyDescent="0.3">
      <c r="A4249" t="s">
        <v>6</v>
      </c>
      <c r="B4249" t="s">
        <v>12</v>
      </c>
      <c r="C4249" t="s">
        <v>113</v>
      </c>
      <c r="D4249" s="9" t="s">
        <v>111</v>
      </c>
      <c r="E4249" t="s">
        <v>34</v>
      </c>
      <c r="F4249" t="s">
        <v>65</v>
      </c>
      <c r="G4249">
        <v>108.9</v>
      </c>
      <c r="H4249" s="9">
        <v>-4.05</v>
      </c>
      <c r="I4249"/>
    </row>
    <row r="4250" spans="1:9" x14ac:dyDescent="0.3">
      <c r="A4250" t="s">
        <v>6</v>
      </c>
      <c r="B4250" t="s">
        <v>12</v>
      </c>
      <c r="C4250" t="s">
        <v>114</v>
      </c>
      <c r="D4250" s="9" t="s">
        <v>111</v>
      </c>
      <c r="E4250" t="s">
        <v>35</v>
      </c>
      <c r="F4250" t="s">
        <v>67</v>
      </c>
      <c r="G4250">
        <v>110.9</v>
      </c>
      <c r="H4250" s="9">
        <v>2.31</v>
      </c>
      <c r="I4250"/>
    </row>
    <row r="4251" spans="1:9" x14ac:dyDescent="0.3">
      <c r="A4251" t="s">
        <v>6</v>
      </c>
      <c r="B4251" t="s">
        <v>12</v>
      </c>
      <c r="C4251" t="s">
        <v>115</v>
      </c>
      <c r="D4251" s="9" t="s">
        <v>111</v>
      </c>
      <c r="E4251" t="s">
        <v>36</v>
      </c>
      <c r="F4251" t="s">
        <v>69</v>
      </c>
      <c r="G4251">
        <v>123.4</v>
      </c>
      <c r="H4251" s="9">
        <v>7.96</v>
      </c>
      <c r="I4251"/>
    </row>
    <row r="4252" spans="1:9" x14ac:dyDescent="0.3">
      <c r="A4252" t="s">
        <v>6</v>
      </c>
      <c r="B4252" t="s">
        <v>12</v>
      </c>
      <c r="C4252" t="s">
        <v>116</v>
      </c>
      <c r="D4252" s="9" t="s">
        <v>111</v>
      </c>
      <c r="E4252" t="s">
        <v>37</v>
      </c>
      <c r="F4252" t="s">
        <v>71</v>
      </c>
      <c r="G4252">
        <v>117.7</v>
      </c>
      <c r="H4252" s="9">
        <v>14.05</v>
      </c>
      <c r="I4252"/>
    </row>
    <row r="4253" spans="1:9" x14ac:dyDescent="0.3">
      <c r="A4253" t="s">
        <v>6</v>
      </c>
      <c r="B4253" t="s">
        <v>12</v>
      </c>
      <c r="C4253" t="s">
        <v>117</v>
      </c>
      <c r="D4253" s="9" t="s">
        <v>111</v>
      </c>
      <c r="E4253" t="s">
        <v>38</v>
      </c>
      <c r="F4253" t="s">
        <v>73</v>
      </c>
      <c r="G4253">
        <v>119.1</v>
      </c>
      <c r="H4253" s="9">
        <v>18.39</v>
      </c>
      <c r="I4253"/>
    </row>
    <row r="4254" spans="1:9" x14ac:dyDescent="0.3">
      <c r="A4254" t="s">
        <v>6</v>
      </c>
      <c r="B4254" t="s">
        <v>12</v>
      </c>
      <c r="C4254" t="s">
        <v>118</v>
      </c>
      <c r="D4254" s="9" t="s">
        <v>111</v>
      </c>
      <c r="E4254" t="s">
        <v>39</v>
      </c>
      <c r="F4254" t="s">
        <v>75</v>
      </c>
      <c r="G4254">
        <v>123</v>
      </c>
      <c r="H4254" s="9">
        <v>11.01</v>
      </c>
      <c r="I4254"/>
    </row>
    <row r="4255" spans="1:9" x14ac:dyDescent="0.3">
      <c r="A4255" t="s">
        <v>6</v>
      </c>
      <c r="B4255" t="s">
        <v>12</v>
      </c>
      <c r="C4255" t="s">
        <v>119</v>
      </c>
      <c r="D4255" s="9" t="s">
        <v>111</v>
      </c>
      <c r="E4255" t="s">
        <v>40</v>
      </c>
      <c r="F4255" t="s">
        <v>77</v>
      </c>
      <c r="G4255">
        <v>125.1</v>
      </c>
      <c r="H4255" s="9">
        <v>12.91</v>
      </c>
      <c r="I4255"/>
    </row>
    <row r="4256" spans="1:9" x14ac:dyDescent="0.3">
      <c r="A4256" t="s">
        <v>6</v>
      </c>
      <c r="B4256" t="s">
        <v>12</v>
      </c>
      <c r="C4256" t="s">
        <v>120</v>
      </c>
      <c r="D4256" s="9" t="s">
        <v>111</v>
      </c>
      <c r="E4256" t="s">
        <v>41</v>
      </c>
      <c r="F4256" t="s">
        <v>79</v>
      </c>
      <c r="G4256">
        <v>127.3</v>
      </c>
      <c r="H4256" s="9">
        <v>18.97</v>
      </c>
      <c r="I4256"/>
    </row>
    <row r="4257" spans="1:9" x14ac:dyDescent="0.3">
      <c r="A4257" t="s">
        <v>6</v>
      </c>
      <c r="B4257" t="s">
        <v>12</v>
      </c>
      <c r="C4257" t="s">
        <v>121</v>
      </c>
      <c r="D4257" s="9" t="s">
        <v>111</v>
      </c>
      <c r="E4257" t="s">
        <v>42</v>
      </c>
      <c r="F4257" t="s">
        <v>81</v>
      </c>
      <c r="G4257">
        <v>127.6</v>
      </c>
      <c r="H4257" s="9">
        <v>23.05</v>
      </c>
      <c r="I4257"/>
    </row>
    <row r="4258" spans="1:9" x14ac:dyDescent="0.3">
      <c r="A4258" t="s">
        <v>6</v>
      </c>
      <c r="B4258" t="s">
        <v>12</v>
      </c>
      <c r="C4258" t="s">
        <v>122</v>
      </c>
      <c r="D4258" s="9" t="s">
        <v>111</v>
      </c>
      <c r="E4258" t="s">
        <v>43</v>
      </c>
      <c r="F4258" t="s">
        <v>83</v>
      </c>
      <c r="G4258">
        <v>142.19999999999999</v>
      </c>
      <c r="H4258" s="9">
        <v>51.92</v>
      </c>
      <c r="I4258"/>
    </row>
    <row r="4259" spans="1:9" x14ac:dyDescent="0.3">
      <c r="A4259" t="s">
        <v>6</v>
      </c>
      <c r="B4259" t="s">
        <v>12</v>
      </c>
      <c r="C4259" t="s">
        <v>123</v>
      </c>
      <c r="D4259" s="9" t="s">
        <v>124</v>
      </c>
      <c r="E4259" t="s">
        <v>32</v>
      </c>
      <c r="F4259" t="s">
        <v>61</v>
      </c>
      <c r="G4259">
        <v>123.4</v>
      </c>
      <c r="H4259" s="9">
        <v>47.78</v>
      </c>
      <c r="I4259"/>
    </row>
    <row r="4260" spans="1:9" x14ac:dyDescent="0.3">
      <c r="A4260" t="s">
        <v>6</v>
      </c>
      <c r="B4260" t="s">
        <v>12</v>
      </c>
      <c r="C4260" t="s">
        <v>125</v>
      </c>
      <c r="D4260" s="9" t="s">
        <v>124</v>
      </c>
      <c r="E4260" t="s">
        <v>33</v>
      </c>
      <c r="F4260" t="s">
        <v>63</v>
      </c>
      <c r="G4260">
        <v>122.9</v>
      </c>
      <c r="H4260" s="9">
        <v>26.83</v>
      </c>
      <c r="I4260"/>
    </row>
    <row r="4261" spans="1:9" x14ac:dyDescent="0.3">
      <c r="A4261" t="s">
        <v>6</v>
      </c>
      <c r="B4261" t="s">
        <v>12</v>
      </c>
      <c r="C4261" t="s">
        <v>126</v>
      </c>
      <c r="D4261" s="9" t="s">
        <v>124</v>
      </c>
      <c r="E4261" t="s">
        <v>34</v>
      </c>
      <c r="F4261" t="s">
        <v>65</v>
      </c>
      <c r="G4261">
        <v>148.5</v>
      </c>
      <c r="H4261" s="9">
        <v>36.36</v>
      </c>
      <c r="I4261"/>
    </row>
    <row r="4262" spans="1:9" x14ac:dyDescent="0.3">
      <c r="A4262" t="s">
        <v>6</v>
      </c>
      <c r="B4262" t="s">
        <v>12</v>
      </c>
      <c r="C4262" t="s">
        <v>127</v>
      </c>
      <c r="D4262" s="9" t="s">
        <v>124</v>
      </c>
      <c r="E4262" t="s">
        <v>35</v>
      </c>
      <c r="F4262" t="s">
        <v>67</v>
      </c>
      <c r="G4262">
        <v>152.19999999999999</v>
      </c>
      <c r="H4262" s="9">
        <v>37.24</v>
      </c>
      <c r="I4262"/>
    </row>
    <row r="4263" spans="1:9" x14ac:dyDescent="0.3">
      <c r="A4263" t="s">
        <v>6</v>
      </c>
      <c r="B4263" t="s">
        <v>12</v>
      </c>
      <c r="C4263" t="s">
        <v>128</v>
      </c>
      <c r="D4263" s="9" t="s">
        <v>124</v>
      </c>
      <c r="E4263" t="s">
        <v>36</v>
      </c>
      <c r="F4263" t="s">
        <v>69</v>
      </c>
      <c r="G4263">
        <v>149.30000000000001</v>
      </c>
      <c r="H4263" s="9">
        <v>20.99</v>
      </c>
      <c r="I4263"/>
    </row>
    <row r="4264" spans="1:9" x14ac:dyDescent="0.3">
      <c r="A4264" t="s">
        <v>6</v>
      </c>
      <c r="B4264" t="s">
        <v>12</v>
      </c>
      <c r="C4264" t="s">
        <v>129</v>
      </c>
      <c r="D4264" s="9" t="s">
        <v>124</v>
      </c>
      <c r="E4264" t="s">
        <v>37</v>
      </c>
      <c r="F4264" t="s">
        <v>71</v>
      </c>
      <c r="G4264">
        <v>147.5</v>
      </c>
      <c r="H4264" s="9">
        <v>25.32</v>
      </c>
      <c r="I4264"/>
    </row>
    <row r="4265" spans="1:9" x14ac:dyDescent="0.3">
      <c r="A4265" t="s">
        <v>6</v>
      </c>
      <c r="B4265" t="s">
        <v>12</v>
      </c>
      <c r="C4265" t="s">
        <v>130</v>
      </c>
      <c r="D4265" s="9" t="s">
        <v>124</v>
      </c>
      <c r="E4265" t="s">
        <v>38</v>
      </c>
      <c r="F4265" t="s">
        <v>73</v>
      </c>
      <c r="G4265">
        <v>137.30000000000001</v>
      </c>
      <c r="H4265" s="9">
        <v>15.28</v>
      </c>
      <c r="I4265"/>
    </row>
    <row r="4266" spans="1:9" x14ac:dyDescent="0.3">
      <c r="A4266" t="s">
        <v>6</v>
      </c>
      <c r="B4266" t="s">
        <v>12</v>
      </c>
      <c r="C4266" t="s">
        <v>131</v>
      </c>
      <c r="D4266" s="9" t="s">
        <v>124</v>
      </c>
      <c r="E4266" t="s">
        <v>39</v>
      </c>
      <c r="F4266" t="s">
        <v>75</v>
      </c>
      <c r="G4266">
        <v>146.1</v>
      </c>
      <c r="H4266" s="9">
        <v>18.78</v>
      </c>
      <c r="I4266"/>
    </row>
    <row r="4267" spans="1:9" x14ac:dyDescent="0.3">
      <c r="A4267" t="s">
        <v>6</v>
      </c>
      <c r="B4267" t="s">
        <v>12</v>
      </c>
      <c r="C4267" t="s">
        <v>132</v>
      </c>
      <c r="D4267" s="9" t="s">
        <v>124</v>
      </c>
      <c r="E4267" t="s">
        <v>40</v>
      </c>
      <c r="F4267" t="s">
        <v>77</v>
      </c>
      <c r="G4267">
        <v>140.4</v>
      </c>
      <c r="H4267" s="9">
        <v>12.23</v>
      </c>
      <c r="I4267"/>
    </row>
    <row r="4268" spans="1:9" x14ac:dyDescent="0.3">
      <c r="A4268" t="s">
        <v>6</v>
      </c>
      <c r="B4268" t="s">
        <v>12</v>
      </c>
      <c r="C4268" t="s">
        <v>133</v>
      </c>
      <c r="D4268" s="9" t="s">
        <v>124</v>
      </c>
      <c r="E4268" t="s">
        <v>41</v>
      </c>
      <c r="F4268" t="s">
        <v>79</v>
      </c>
      <c r="G4268">
        <v>138.80000000000001</v>
      </c>
      <c r="H4268" s="9">
        <v>9.0299999999999994</v>
      </c>
      <c r="I4268"/>
    </row>
    <row r="4269" spans="1:9" x14ac:dyDescent="0.3">
      <c r="A4269" t="s">
        <v>6</v>
      </c>
      <c r="B4269" t="s">
        <v>12</v>
      </c>
      <c r="C4269" t="s">
        <v>134</v>
      </c>
      <c r="D4269" s="9" t="s">
        <v>124</v>
      </c>
      <c r="E4269" t="s">
        <v>42</v>
      </c>
      <c r="F4269" t="s">
        <v>81</v>
      </c>
      <c r="G4269">
        <v>138.30000000000001</v>
      </c>
      <c r="H4269" s="9">
        <v>8.39</v>
      </c>
      <c r="I4269"/>
    </row>
    <row r="4270" spans="1:9" x14ac:dyDescent="0.3">
      <c r="A4270" t="s">
        <v>6</v>
      </c>
      <c r="B4270" t="s">
        <v>12</v>
      </c>
      <c r="C4270" t="s">
        <v>135</v>
      </c>
      <c r="D4270" s="9" t="s">
        <v>124</v>
      </c>
      <c r="E4270" t="s">
        <v>43</v>
      </c>
      <c r="F4270" t="s">
        <v>83</v>
      </c>
      <c r="G4270">
        <v>141.5</v>
      </c>
      <c r="H4270" s="9">
        <v>-0.49</v>
      </c>
      <c r="I4270"/>
    </row>
    <row r="4271" spans="1:9" x14ac:dyDescent="0.3">
      <c r="A4271" t="s">
        <v>6</v>
      </c>
      <c r="B4271" t="s">
        <v>12</v>
      </c>
      <c r="C4271" t="s">
        <v>136</v>
      </c>
      <c r="D4271" s="9" t="s">
        <v>137</v>
      </c>
      <c r="E4271" t="s">
        <v>32</v>
      </c>
      <c r="F4271" t="s">
        <v>61</v>
      </c>
      <c r="G4271">
        <v>126</v>
      </c>
      <c r="H4271" s="9">
        <v>2.11</v>
      </c>
      <c r="I4271"/>
    </row>
    <row r="4272" spans="1:9" x14ac:dyDescent="0.3">
      <c r="A4272" t="s">
        <v>6</v>
      </c>
      <c r="B4272" t="s">
        <v>12</v>
      </c>
      <c r="C4272" t="s">
        <v>138</v>
      </c>
      <c r="D4272" s="9" t="s">
        <v>137</v>
      </c>
      <c r="E4272" t="s">
        <v>33</v>
      </c>
      <c r="F4272" t="s">
        <v>63</v>
      </c>
      <c r="G4272">
        <v>132.19999999999999</v>
      </c>
      <c r="H4272" s="9">
        <v>7.57</v>
      </c>
      <c r="I4272"/>
    </row>
    <row r="4273" spans="1:9" x14ac:dyDescent="0.3">
      <c r="A4273" t="s">
        <v>6</v>
      </c>
      <c r="B4273" t="s">
        <v>12</v>
      </c>
      <c r="C4273" t="s">
        <v>139</v>
      </c>
      <c r="D4273" s="9" t="s">
        <v>137</v>
      </c>
      <c r="E4273" t="s">
        <v>34</v>
      </c>
      <c r="F4273" t="s">
        <v>65</v>
      </c>
      <c r="G4273">
        <v>146.30000000000001</v>
      </c>
      <c r="H4273" s="9">
        <v>-1.48</v>
      </c>
      <c r="I4273"/>
    </row>
    <row r="4274" spans="1:9" x14ac:dyDescent="0.3">
      <c r="A4274" t="s">
        <v>6</v>
      </c>
      <c r="B4274" t="s">
        <v>12</v>
      </c>
      <c r="C4274" t="s">
        <v>140</v>
      </c>
      <c r="D4274" s="9" t="s">
        <v>137</v>
      </c>
      <c r="E4274" t="s">
        <v>35</v>
      </c>
      <c r="F4274" t="s">
        <v>67</v>
      </c>
      <c r="G4274">
        <v>153.6</v>
      </c>
      <c r="H4274" s="9">
        <v>0.92</v>
      </c>
      <c r="I4274"/>
    </row>
    <row r="4275" spans="1:9" x14ac:dyDescent="0.3">
      <c r="A4275" t="s">
        <v>6</v>
      </c>
      <c r="B4275" t="s">
        <v>12</v>
      </c>
      <c r="C4275" t="s">
        <v>141</v>
      </c>
      <c r="D4275" s="9" t="s">
        <v>137</v>
      </c>
      <c r="E4275" t="s">
        <v>36</v>
      </c>
      <c r="F4275" t="s">
        <v>69</v>
      </c>
      <c r="G4275">
        <v>144.5</v>
      </c>
      <c r="H4275" s="9">
        <v>-3.22</v>
      </c>
      <c r="I4275"/>
    </row>
    <row r="4276" spans="1:9" x14ac:dyDescent="0.3">
      <c r="A4276" t="s">
        <v>6</v>
      </c>
      <c r="B4276" t="s">
        <v>12</v>
      </c>
      <c r="C4276" t="s">
        <v>142</v>
      </c>
      <c r="D4276" s="9" t="s">
        <v>137</v>
      </c>
      <c r="E4276" t="s">
        <v>37</v>
      </c>
      <c r="F4276" t="s">
        <v>71</v>
      </c>
      <c r="G4276">
        <v>134.80000000000001</v>
      </c>
      <c r="H4276" s="9">
        <v>-8.61</v>
      </c>
      <c r="I4276"/>
    </row>
    <row r="4277" spans="1:9" x14ac:dyDescent="0.3">
      <c r="A4277" t="s">
        <v>6</v>
      </c>
      <c r="B4277" t="s">
        <v>12</v>
      </c>
      <c r="C4277" t="s">
        <v>143</v>
      </c>
      <c r="D4277" s="9" t="s">
        <v>137</v>
      </c>
      <c r="E4277" t="s">
        <v>38</v>
      </c>
      <c r="F4277" t="s">
        <v>73</v>
      </c>
      <c r="G4277">
        <v>137.19999999999999</v>
      </c>
      <c r="H4277" s="9">
        <v>-7.0000000000000007E-2</v>
      </c>
      <c r="I4277"/>
    </row>
    <row r="4278" spans="1:9" x14ac:dyDescent="0.3">
      <c r="A4278" t="s">
        <v>6</v>
      </c>
      <c r="B4278" t="s">
        <v>12</v>
      </c>
      <c r="C4278" t="s">
        <v>144</v>
      </c>
      <c r="D4278" s="9" t="s">
        <v>137</v>
      </c>
      <c r="E4278" t="s">
        <v>39</v>
      </c>
      <c r="F4278" t="s">
        <v>75</v>
      </c>
      <c r="G4278">
        <v>142.9</v>
      </c>
      <c r="H4278" s="9">
        <v>-2.19</v>
      </c>
      <c r="I4278"/>
    </row>
    <row r="4279" spans="1:9" x14ac:dyDescent="0.3">
      <c r="A4279" t="s">
        <v>6</v>
      </c>
      <c r="B4279" t="s">
        <v>12</v>
      </c>
      <c r="C4279" t="s">
        <v>145</v>
      </c>
      <c r="D4279" s="9" t="s">
        <v>137</v>
      </c>
      <c r="E4279" t="s">
        <v>40</v>
      </c>
      <c r="F4279" t="s">
        <v>77</v>
      </c>
      <c r="G4279">
        <v>146.9</v>
      </c>
      <c r="H4279" s="9">
        <v>4.63</v>
      </c>
      <c r="I4279"/>
    </row>
    <row r="4280" spans="1:9" x14ac:dyDescent="0.3">
      <c r="A4280" t="s">
        <v>6</v>
      </c>
      <c r="B4280" t="s">
        <v>12</v>
      </c>
      <c r="C4280" t="s">
        <v>146</v>
      </c>
      <c r="D4280" s="9" t="s">
        <v>137</v>
      </c>
      <c r="E4280" t="s">
        <v>41</v>
      </c>
      <c r="F4280" t="s">
        <v>79</v>
      </c>
      <c r="G4280">
        <v>149</v>
      </c>
      <c r="H4280" s="9">
        <v>7.35</v>
      </c>
      <c r="I4280"/>
    </row>
    <row r="4281" spans="1:9" x14ac:dyDescent="0.3">
      <c r="A4281" t="s">
        <v>6</v>
      </c>
      <c r="B4281" t="s">
        <v>12</v>
      </c>
      <c r="C4281" t="s">
        <v>147</v>
      </c>
      <c r="D4281" s="9" t="s">
        <v>137</v>
      </c>
      <c r="E4281" t="s">
        <v>42</v>
      </c>
      <c r="F4281" t="s">
        <v>81</v>
      </c>
      <c r="G4281">
        <v>155</v>
      </c>
      <c r="H4281" s="9">
        <v>12.08</v>
      </c>
      <c r="I4281"/>
    </row>
    <row r="4282" spans="1:9" x14ac:dyDescent="0.3">
      <c r="A4282" t="s">
        <v>6</v>
      </c>
      <c r="B4282" t="s">
        <v>12</v>
      </c>
      <c r="C4282" t="s">
        <v>148</v>
      </c>
      <c r="D4282" s="9" t="s">
        <v>137</v>
      </c>
      <c r="E4282" t="s">
        <v>43</v>
      </c>
      <c r="F4282" t="s">
        <v>83</v>
      </c>
      <c r="G4282">
        <v>155</v>
      </c>
      <c r="H4282" s="9">
        <v>9.5399999999999991</v>
      </c>
      <c r="I4282"/>
    </row>
    <row r="4283" spans="1:9" x14ac:dyDescent="0.3">
      <c r="A4283" t="s">
        <v>6</v>
      </c>
      <c r="B4283" t="s">
        <v>12</v>
      </c>
      <c r="C4283" t="s">
        <v>149</v>
      </c>
      <c r="D4283" s="9" t="s">
        <v>150</v>
      </c>
      <c r="E4283" t="s">
        <v>32</v>
      </c>
      <c r="F4283" t="s">
        <v>61</v>
      </c>
      <c r="G4283">
        <v>138.80000000000001</v>
      </c>
      <c r="H4283" s="9">
        <v>10.16</v>
      </c>
      <c r="I4283"/>
    </row>
    <row r="4284" spans="1:9" x14ac:dyDescent="0.3">
      <c r="A4284" t="s">
        <v>6</v>
      </c>
      <c r="B4284" t="s">
        <v>12</v>
      </c>
      <c r="C4284" t="s">
        <v>151</v>
      </c>
      <c r="D4284" s="9" t="s">
        <v>150</v>
      </c>
      <c r="E4284" t="s">
        <v>33</v>
      </c>
      <c r="F4284" t="s">
        <v>63</v>
      </c>
      <c r="G4284">
        <v>143.4</v>
      </c>
      <c r="H4284" s="9">
        <v>8.4700000000000006</v>
      </c>
      <c r="I4284"/>
    </row>
    <row r="4285" spans="1:9" x14ac:dyDescent="0.3">
      <c r="A4285" t="s">
        <v>6</v>
      </c>
      <c r="B4285" t="s">
        <v>12</v>
      </c>
      <c r="C4285" t="s">
        <v>152</v>
      </c>
      <c r="D4285" s="9" t="s">
        <v>150</v>
      </c>
      <c r="E4285" t="s">
        <v>34</v>
      </c>
      <c r="F4285" t="s">
        <v>65</v>
      </c>
      <c r="G4285">
        <v>163.69999999999999</v>
      </c>
      <c r="H4285" s="9">
        <v>11.89</v>
      </c>
      <c r="I4285"/>
    </row>
    <row r="4286" spans="1:9" x14ac:dyDescent="0.3">
      <c r="A4286" t="s">
        <v>6</v>
      </c>
      <c r="B4286" t="s">
        <v>12</v>
      </c>
      <c r="C4286" t="s">
        <v>153</v>
      </c>
      <c r="D4286" s="9" t="s">
        <v>150</v>
      </c>
      <c r="E4286" t="s">
        <v>35</v>
      </c>
      <c r="F4286" t="s">
        <v>67</v>
      </c>
      <c r="G4286">
        <v>152</v>
      </c>
      <c r="H4286" s="9">
        <v>-1.04</v>
      </c>
      <c r="I4286"/>
    </row>
    <row r="4287" spans="1:9" x14ac:dyDescent="0.3">
      <c r="A4287" t="s">
        <v>6</v>
      </c>
      <c r="B4287" t="s">
        <v>12</v>
      </c>
      <c r="C4287" t="s">
        <v>154</v>
      </c>
      <c r="D4287" s="9" t="s">
        <v>150</v>
      </c>
      <c r="E4287" t="s">
        <v>36</v>
      </c>
      <c r="F4287" t="s">
        <v>69</v>
      </c>
      <c r="G4287">
        <v>152.80000000000001</v>
      </c>
      <c r="H4287" s="9">
        <v>5.74</v>
      </c>
      <c r="I4287"/>
    </row>
    <row r="4288" spans="1:9" x14ac:dyDescent="0.3">
      <c r="A4288" t="s">
        <v>6</v>
      </c>
      <c r="B4288" t="s">
        <v>12</v>
      </c>
      <c r="C4288" t="s">
        <v>155</v>
      </c>
      <c r="D4288" s="9" t="s">
        <v>150</v>
      </c>
      <c r="E4288" t="s">
        <v>37</v>
      </c>
      <c r="F4288" t="s">
        <v>71</v>
      </c>
      <c r="G4288">
        <v>139.69999999999999</v>
      </c>
      <c r="H4288" s="9">
        <v>3.64</v>
      </c>
      <c r="I4288"/>
    </row>
    <row r="4289" spans="1:9" x14ac:dyDescent="0.3">
      <c r="A4289" t="s">
        <v>6</v>
      </c>
      <c r="B4289" t="s">
        <v>19</v>
      </c>
      <c r="C4289" t="s">
        <v>59</v>
      </c>
      <c r="D4289" s="9" t="s">
        <v>60</v>
      </c>
      <c r="E4289" t="s">
        <v>32</v>
      </c>
      <c r="F4289" t="s">
        <v>61</v>
      </c>
      <c r="G4289">
        <v>57.1</v>
      </c>
      <c r="I4289"/>
    </row>
    <row r="4290" spans="1:9" x14ac:dyDescent="0.3">
      <c r="A4290" t="s">
        <v>6</v>
      </c>
      <c r="B4290" t="s">
        <v>19</v>
      </c>
      <c r="C4290" t="s">
        <v>62</v>
      </c>
      <c r="D4290" s="9" t="s">
        <v>60</v>
      </c>
      <c r="E4290" t="s">
        <v>33</v>
      </c>
      <c r="F4290" t="s">
        <v>63</v>
      </c>
      <c r="G4290">
        <v>44.5</v>
      </c>
      <c r="I4290"/>
    </row>
    <row r="4291" spans="1:9" x14ac:dyDescent="0.3">
      <c r="A4291" t="s">
        <v>6</v>
      </c>
      <c r="B4291" t="s">
        <v>19</v>
      </c>
      <c r="C4291" t="s">
        <v>64</v>
      </c>
      <c r="D4291" s="9" t="s">
        <v>60</v>
      </c>
      <c r="E4291" t="s">
        <v>34</v>
      </c>
      <c r="F4291" t="s">
        <v>65</v>
      </c>
      <c r="G4291">
        <v>56.8</v>
      </c>
      <c r="I4291"/>
    </row>
    <row r="4292" spans="1:9" x14ac:dyDescent="0.3">
      <c r="A4292" t="s">
        <v>6</v>
      </c>
      <c r="B4292" t="s">
        <v>19</v>
      </c>
      <c r="C4292" t="s">
        <v>66</v>
      </c>
      <c r="D4292" s="9" t="s">
        <v>60</v>
      </c>
      <c r="E4292" t="s">
        <v>35</v>
      </c>
      <c r="F4292" t="s">
        <v>67</v>
      </c>
      <c r="G4292">
        <v>60.3</v>
      </c>
      <c r="I4292"/>
    </row>
    <row r="4293" spans="1:9" x14ac:dyDescent="0.3">
      <c r="A4293" t="s">
        <v>6</v>
      </c>
      <c r="B4293" t="s">
        <v>19</v>
      </c>
      <c r="C4293" t="s">
        <v>68</v>
      </c>
      <c r="D4293" s="9" t="s">
        <v>60</v>
      </c>
      <c r="E4293" t="s">
        <v>36</v>
      </c>
      <c r="F4293" t="s">
        <v>69</v>
      </c>
      <c r="G4293">
        <v>66.099999999999994</v>
      </c>
      <c r="I4293"/>
    </row>
    <row r="4294" spans="1:9" x14ac:dyDescent="0.3">
      <c r="A4294" t="s">
        <v>6</v>
      </c>
      <c r="B4294" t="s">
        <v>19</v>
      </c>
      <c r="C4294" t="s">
        <v>70</v>
      </c>
      <c r="D4294" s="9" t="s">
        <v>60</v>
      </c>
      <c r="E4294" t="s">
        <v>37</v>
      </c>
      <c r="F4294" t="s">
        <v>71</v>
      </c>
      <c r="G4294">
        <v>62.3</v>
      </c>
      <c r="I4294"/>
    </row>
    <row r="4295" spans="1:9" x14ac:dyDescent="0.3">
      <c r="A4295" t="s">
        <v>6</v>
      </c>
      <c r="B4295" t="s">
        <v>19</v>
      </c>
      <c r="C4295" t="s">
        <v>72</v>
      </c>
      <c r="D4295" s="9" t="s">
        <v>60</v>
      </c>
      <c r="E4295" t="s">
        <v>38</v>
      </c>
      <c r="F4295" t="s">
        <v>73</v>
      </c>
      <c r="G4295">
        <v>58.8</v>
      </c>
      <c r="I4295"/>
    </row>
    <row r="4296" spans="1:9" x14ac:dyDescent="0.3">
      <c r="A4296" t="s">
        <v>6</v>
      </c>
      <c r="B4296" t="s">
        <v>19</v>
      </c>
      <c r="C4296" t="s">
        <v>74</v>
      </c>
      <c r="D4296" s="9" t="s">
        <v>60</v>
      </c>
      <c r="E4296" t="s">
        <v>39</v>
      </c>
      <c r="F4296" t="s">
        <v>75</v>
      </c>
      <c r="G4296">
        <v>53</v>
      </c>
      <c r="I4296"/>
    </row>
    <row r="4297" spans="1:9" x14ac:dyDescent="0.3">
      <c r="A4297" t="s">
        <v>6</v>
      </c>
      <c r="B4297" t="s">
        <v>19</v>
      </c>
      <c r="C4297" t="s">
        <v>76</v>
      </c>
      <c r="D4297" s="9" t="s">
        <v>60</v>
      </c>
      <c r="E4297" t="s">
        <v>40</v>
      </c>
      <c r="F4297" t="s">
        <v>77</v>
      </c>
      <c r="G4297">
        <v>54.2</v>
      </c>
      <c r="I4297"/>
    </row>
    <row r="4298" spans="1:9" x14ac:dyDescent="0.3">
      <c r="A4298" t="s">
        <v>6</v>
      </c>
      <c r="B4298" t="s">
        <v>19</v>
      </c>
      <c r="C4298" t="s">
        <v>78</v>
      </c>
      <c r="D4298" s="9" t="s">
        <v>60</v>
      </c>
      <c r="E4298" t="s">
        <v>41</v>
      </c>
      <c r="F4298" t="s">
        <v>79</v>
      </c>
      <c r="G4298">
        <v>60</v>
      </c>
      <c r="I4298"/>
    </row>
    <row r="4299" spans="1:9" x14ac:dyDescent="0.3">
      <c r="A4299" t="s">
        <v>6</v>
      </c>
      <c r="B4299" t="s">
        <v>19</v>
      </c>
      <c r="C4299" t="s">
        <v>80</v>
      </c>
      <c r="D4299" s="9" t="s">
        <v>60</v>
      </c>
      <c r="E4299" t="s">
        <v>42</v>
      </c>
      <c r="F4299" t="s">
        <v>81</v>
      </c>
      <c r="G4299">
        <v>63.1</v>
      </c>
      <c r="I4299"/>
    </row>
    <row r="4300" spans="1:9" x14ac:dyDescent="0.3">
      <c r="A4300" t="s">
        <v>6</v>
      </c>
      <c r="B4300" t="s">
        <v>19</v>
      </c>
      <c r="C4300" t="s">
        <v>82</v>
      </c>
      <c r="D4300" s="9" t="s">
        <v>60</v>
      </c>
      <c r="E4300" t="s">
        <v>43</v>
      </c>
      <c r="F4300" t="s">
        <v>83</v>
      </c>
      <c r="G4300">
        <v>90.7</v>
      </c>
      <c r="I4300"/>
    </row>
    <row r="4301" spans="1:9" x14ac:dyDescent="0.3">
      <c r="A4301" t="s">
        <v>6</v>
      </c>
      <c r="B4301" t="s">
        <v>19</v>
      </c>
      <c r="C4301" t="s">
        <v>84</v>
      </c>
      <c r="D4301" s="9" t="s">
        <v>85</v>
      </c>
      <c r="E4301" t="s">
        <v>32</v>
      </c>
      <c r="F4301" t="s">
        <v>61</v>
      </c>
      <c r="G4301">
        <v>54.1</v>
      </c>
      <c r="H4301" s="9">
        <v>-5.25</v>
      </c>
      <c r="I4301"/>
    </row>
    <row r="4302" spans="1:9" x14ac:dyDescent="0.3">
      <c r="A4302" t="s">
        <v>6</v>
      </c>
      <c r="B4302" t="s">
        <v>19</v>
      </c>
      <c r="C4302" t="s">
        <v>86</v>
      </c>
      <c r="D4302" s="9" t="s">
        <v>85</v>
      </c>
      <c r="E4302" t="s">
        <v>33</v>
      </c>
      <c r="F4302" t="s">
        <v>63</v>
      </c>
      <c r="G4302">
        <v>44.6</v>
      </c>
      <c r="H4302" s="9">
        <v>0.22</v>
      </c>
      <c r="I4302"/>
    </row>
    <row r="4303" spans="1:9" x14ac:dyDescent="0.3">
      <c r="A4303" t="s">
        <v>6</v>
      </c>
      <c r="B4303" t="s">
        <v>19</v>
      </c>
      <c r="C4303" t="s">
        <v>87</v>
      </c>
      <c r="D4303" s="9" t="s">
        <v>85</v>
      </c>
      <c r="E4303" t="s">
        <v>34</v>
      </c>
      <c r="F4303" t="s">
        <v>65</v>
      </c>
      <c r="G4303">
        <v>38.299999999999997</v>
      </c>
      <c r="H4303" s="9">
        <v>-32.57</v>
      </c>
      <c r="I4303"/>
    </row>
    <row r="4304" spans="1:9" x14ac:dyDescent="0.3">
      <c r="A4304" t="s">
        <v>6</v>
      </c>
      <c r="B4304" t="s">
        <v>19</v>
      </c>
      <c r="C4304" t="s">
        <v>88</v>
      </c>
      <c r="D4304" s="9" t="s">
        <v>85</v>
      </c>
      <c r="E4304" t="s">
        <v>35</v>
      </c>
      <c r="F4304" t="s">
        <v>67</v>
      </c>
      <c r="G4304">
        <v>14.3</v>
      </c>
      <c r="H4304" s="9">
        <v>-76.290000000000006</v>
      </c>
      <c r="I4304"/>
    </row>
    <row r="4305" spans="1:9" x14ac:dyDescent="0.3">
      <c r="A4305" t="s">
        <v>6</v>
      </c>
      <c r="B4305" t="s">
        <v>19</v>
      </c>
      <c r="C4305" t="s">
        <v>89</v>
      </c>
      <c r="D4305" s="9" t="s">
        <v>85</v>
      </c>
      <c r="E4305" t="s">
        <v>36</v>
      </c>
      <c r="F4305" t="s">
        <v>69</v>
      </c>
      <c r="G4305">
        <v>44.4</v>
      </c>
      <c r="H4305" s="9">
        <v>-32.83</v>
      </c>
      <c r="I4305"/>
    </row>
    <row r="4306" spans="1:9" x14ac:dyDescent="0.3">
      <c r="A4306" t="s">
        <v>6</v>
      </c>
      <c r="B4306" t="s">
        <v>19</v>
      </c>
      <c r="C4306" t="s">
        <v>90</v>
      </c>
      <c r="D4306" s="9" t="s">
        <v>85</v>
      </c>
      <c r="E4306" t="s">
        <v>37</v>
      </c>
      <c r="F4306" t="s">
        <v>71</v>
      </c>
      <c r="G4306">
        <v>65.099999999999994</v>
      </c>
      <c r="H4306" s="9">
        <v>4.49</v>
      </c>
      <c r="I4306"/>
    </row>
    <row r="4307" spans="1:9" x14ac:dyDescent="0.3">
      <c r="A4307" t="s">
        <v>6</v>
      </c>
      <c r="B4307" t="s">
        <v>19</v>
      </c>
      <c r="C4307" t="s">
        <v>91</v>
      </c>
      <c r="D4307" s="9" t="s">
        <v>85</v>
      </c>
      <c r="E4307" t="s">
        <v>38</v>
      </c>
      <c r="F4307" t="s">
        <v>73</v>
      </c>
      <c r="G4307">
        <v>73.8</v>
      </c>
      <c r="H4307" s="9">
        <v>25.51</v>
      </c>
      <c r="I4307"/>
    </row>
    <row r="4308" spans="1:9" x14ac:dyDescent="0.3">
      <c r="A4308" t="s">
        <v>6</v>
      </c>
      <c r="B4308" t="s">
        <v>19</v>
      </c>
      <c r="C4308" t="s">
        <v>92</v>
      </c>
      <c r="D4308" s="9" t="s">
        <v>85</v>
      </c>
      <c r="E4308" t="s">
        <v>39</v>
      </c>
      <c r="F4308" t="s">
        <v>75</v>
      </c>
      <c r="G4308">
        <v>61.7</v>
      </c>
      <c r="H4308" s="9">
        <v>16.420000000000002</v>
      </c>
      <c r="I4308"/>
    </row>
    <row r="4309" spans="1:9" x14ac:dyDescent="0.3">
      <c r="A4309" t="s">
        <v>6</v>
      </c>
      <c r="B4309" t="s">
        <v>19</v>
      </c>
      <c r="C4309" t="s">
        <v>93</v>
      </c>
      <c r="D4309" s="9" t="s">
        <v>85</v>
      </c>
      <c r="E4309" t="s">
        <v>40</v>
      </c>
      <c r="F4309" t="s">
        <v>77</v>
      </c>
      <c r="G4309">
        <v>62.8</v>
      </c>
      <c r="H4309" s="9">
        <v>15.87</v>
      </c>
      <c r="I4309"/>
    </row>
    <row r="4310" spans="1:9" x14ac:dyDescent="0.3">
      <c r="A4310" t="s">
        <v>6</v>
      </c>
      <c r="B4310" t="s">
        <v>19</v>
      </c>
      <c r="C4310" t="s">
        <v>94</v>
      </c>
      <c r="D4310" s="9" t="s">
        <v>85</v>
      </c>
      <c r="E4310" t="s">
        <v>41</v>
      </c>
      <c r="F4310" t="s">
        <v>79</v>
      </c>
      <c r="G4310">
        <v>70</v>
      </c>
      <c r="H4310" s="9">
        <v>16.670000000000002</v>
      </c>
      <c r="I4310"/>
    </row>
    <row r="4311" spans="1:9" x14ac:dyDescent="0.3">
      <c r="A4311" t="s">
        <v>6</v>
      </c>
      <c r="B4311" t="s">
        <v>19</v>
      </c>
      <c r="C4311" t="s">
        <v>95</v>
      </c>
      <c r="D4311" s="9" t="s">
        <v>85</v>
      </c>
      <c r="E4311" t="s">
        <v>42</v>
      </c>
      <c r="F4311" t="s">
        <v>81</v>
      </c>
      <c r="G4311">
        <v>67.099999999999994</v>
      </c>
      <c r="H4311" s="9">
        <v>6.34</v>
      </c>
      <c r="I4311"/>
    </row>
    <row r="4312" spans="1:9" x14ac:dyDescent="0.3">
      <c r="A4312" t="s">
        <v>6</v>
      </c>
      <c r="B4312" t="s">
        <v>19</v>
      </c>
      <c r="C4312" t="s">
        <v>96</v>
      </c>
      <c r="D4312" s="9" t="s">
        <v>85</v>
      </c>
      <c r="E4312" t="s">
        <v>43</v>
      </c>
      <c r="F4312" t="s">
        <v>83</v>
      </c>
      <c r="G4312">
        <v>111.4</v>
      </c>
      <c r="H4312" s="9">
        <v>22.82</v>
      </c>
      <c r="I4312"/>
    </row>
    <row r="4313" spans="1:9" x14ac:dyDescent="0.3">
      <c r="A4313" t="s">
        <v>6</v>
      </c>
      <c r="B4313" t="s">
        <v>19</v>
      </c>
      <c r="C4313" t="s">
        <v>97</v>
      </c>
      <c r="D4313" s="9" t="s">
        <v>98</v>
      </c>
      <c r="E4313" t="s">
        <v>32</v>
      </c>
      <c r="F4313" t="s">
        <v>61</v>
      </c>
      <c r="G4313">
        <v>67.2</v>
      </c>
      <c r="H4313" s="9">
        <v>24.21</v>
      </c>
      <c r="I4313"/>
    </row>
    <row r="4314" spans="1:9" x14ac:dyDescent="0.3">
      <c r="A4314" t="s">
        <v>6</v>
      </c>
      <c r="B4314" t="s">
        <v>19</v>
      </c>
      <c r="C4314" t="s">
        <v>99</v>
      </c>
      <c r="D4314" s="9" t="s">
        <v>98</v>
      </c>
      <c r="E4314" t="s">
        <v>33</v>
      </c>
      <c r="F4314" t="s">
        <v>63</v>
      </c>
      <c r="G4314">
        <v>57.3</v>
      </c>
      <c r="H4314" s="9">
        <v>28.48</v>
      </c>
      <c r="I4314"/>
    </row>
    <row r="4315" spans="1:9" x14ac:dyDescent="0.3">
      <c r="A4315" t="s">
        <v>6</v>
      </c>
      <c r="B4315" t="s">
        <v>19</v>
      </c>
      <c r="C4315" t="s">
        <v>100</v>
      </c>
      <c r="D4315" s="9" t="s">
        <v>98</v>
      </c>
      <c r="E4315" t="s">
        <v>34</v>
      </c>
      <c r="F4315" t="s">
        <v>65</v>
      </c>
      <c r="G4315">
        <v>72.599999999999994</v>
      </c>
      <c r="H4315" s="9">
        <v>89.56</v>
      </c>
      <c r="I4315"/>
    </row>
    <row r="4316" spans="1:9" x14ac:dyDescent="0.3">
      <c r="A4316" t="s">
        <v>6</v>
      </c>
      <c r="B4316" t="s">
        <v>19</v>
      </c>
      <c r="C4316" t="s">
        <v>101</v>
      </c>
      <c r="D4316" s="9" t="s">
        <v>98</v>
      </c>
      <c r="E4316" t="s">
        <v>35</v>
      </c>
      <c r="F4316" t="s">
        <v>67</v>
      </c>
      <c r="G4316">
        <v>79.3</v>
      </c>
      <c r="H4316" s="9">
        <v>454.55</v>
      </c>
      <c r="I4316"/>
    </row>
    <row r="4317" spans="1:9" x14ac:dyDescent="0.3">
      <c r="A4317" t="s">
        <v>6</v>
      </c>
      <c r="B4317" t="s">
        <v>19</v>
      </c>
      <c r="C4317" t="s">
        <v>102</v>
      </c>
      <c r="D4317" s="9" t="s">
        <v>98</v>
      </c>
      <c r="E4317" t="s">
        <v>36</v>
      </c>
      <c r="F4317" t="s">
        <v>69</v>
      </c>
      <c r="G4317">
        <v>78.8</v>
      </c>
      <c r="H4317" s="9">
        <v>77.48</v>
      </c>
      <c r="I4317"/>
    </row>
    <row r="4318" spans="1:9" x14ac:dyDescent="0.3">
      <c r="A4318" t="s">
        <v>6</v>
      </c>
      <c r="B4318" t="s">
        <v>19</v>
      </c>
      <c r="C4318" t="s">
        <v>103</v>
      </c>
      <c r="D4318" s="9" t="s">
        <v>98</v>
      </c>
      <c r="E4318" t="s">
        <v>37</v>
      </c>
      <c r="F4318" t="s">
        <v>71</v>
      </c>
      <c r="G4318">
        <v>78.400000000000006</v>
      </c>
      <c r="H4318" s="9">
        <v>20.43</v>
      </c>
      <c r="I4318"/>
    </row>
    <row r="4319" spans="1:9" x14ac:dyDescent="0.3">
      <c r="A4319" t="s">
        <v>6</v>
      </c>
      <c r="B4319" t="s">
        <v>19</v>
      </c>
      <c r="C4319" t="s">
        <v>104</v>
      </c>
      <c r="D4319" s="9" t="s">
        <v>98</v>
      </c>
      <c r="E4319" t="s">
        <v>38</v>
      </c>
      <c r="F4319" t="s">
        <v>73</v>
      </c>
      <c r="G4319">
        <v>66.7</v>
      </c>
      <c r="H4319" s="9">
        <v>-9.6199999999999992</v>
      </c>
      <c r="I4319"/>
    </row>
    <row r="4320" spans="1:9" x14ac:dyDescent="0.3">
      <c r="A4320" t="s">
        <v>6</v>
      </c>
      <c r="B4320" t="s">
        <v>19</v>
      </c>
      <c r="C4320" t="s">
        <v>105</v>
      </c>
      <c r="D4320" s="9" t="s">
        <v>98</v>
      </c>
      <c r="E4320" t="s">
        <v>39</v>
      </c>
      <c r="F4320" t="s">
        <v>75</v>
      </c>
      <c r="G4320">
        <v>69.3</v>
      </c>
      <c r="H4320" s="9">
        <v>12.32</v>
      </c>
      <c r="I4320"/>
    </row>
    <row r="4321" spans="1:9" x14ac:dyDescent="0.3">
      <c r="A4321" t="s">
        <v>6</v>
      </c>
      <c r="B4321" t="s">
        <v>19</v>
      </c>
      <c r="C4321" t="s">
        <v>106</v>
      </c>
      <c r="D4321" s="9" t="s">
        <v>98</v>
      </c>
      <c r="E4321" t="s">
        <v>40</v>
      </c>
      <c r="F4321" t="s">
        <v>77</v>
      </c>
      <c r="G4321">
        <v>75.900000000000006</v>
      </c>
      <c r="H4321" s="9">
        <v>20.86</v>
      </c>
      <c r="I4321"/>
    </row>
    <row r="4322" spans="1:9" x14ac:dyDescent="0.3">
      <c r="A4322" t="s">
        <v>6</v>
      </c>
      <c r="B4322" t="s">
        <v>19</v>
      </c>
      <c r="C4322" t="s">
        <v>107</v>
      </c>
      <c r="D4322" s="9" t="s">
        <v>98</v>
      </c>
      <c r="E4322" t="s">
        <v>41</v>
      </c>
      <c r="F4322" t="s">
        <v>79</v>
      </c>
      <c r="G4322">
        <v>77.8</v>
      </c>
      <c r="H4322" s="9">
        <v>11.14</v>
      </c>
      <c r="I4322"/>
    </row>
    <row r="4323" spans="1:9" x14ac:dyDescent="0.3">
      <c r="A4323" t="s">
        <v>6</v>
      </c>
      <c r="B4323" t="s">
        <v>19</v>
      </c>
      <c r="C4323" t="s">
        <v>108</v>
      </c>
      <c r="D4323" s="9" t="s">
        <v>98</v>
      </c>
      <c r="E4323" t="s">
        <v>42</v>
      </c>
      <c r="F4323" t="s">
        <v>81</v>
      </c>
      <c r="G4323">
        <v>88.7</v>
      </c>
      <c r="H4323" s="9">
        <v>32.19</v>
      </c>
      <c r="I4323"/>
    </row>
    <row r="4324" spans="1:9" x14ac:dyDescent="0.3">
      <c r="A4324" t="s">
        <v>6</v>
      </c>
      <c r="B4324" t="s">
        <v>19</v>
      </c>
      <c r="C4324" t="s">
        <v>109</v>
      </c>
      <c r="D4324" s="9" t="s">
        <v>98</v>
      </c>
      <c r="E4324" t="s">
        <v>43</v>
      </c>
      <c r="F4324" t="s">
        <v>83</v>
      </c>
      <c r="G4324">
        <v>113.7</v>
      </c>
      <c r="H4324" s="9">
        <v>2.06</v>
      </c>
      <c r="I4324"/>
    </row>
    <row r="4325" spans="1:9" x14ac:dyDescent="0.3">
      <c r="A4325" t="s">
        <v>6</v>
      </c>
      <c r="B4325" t="s">
        <v>19</v>
      </c>
      <c r="C4325" t="s">
        <v>110</v>
      </c>
      <c r="D4325" s="9" t="s">
        <v>111</v>
      </c>
      <c r="E4325" t="s">
        <v>32</v>
      </c>
      <c r="F4325" t="s">
        <v>61</v>
      </c>
      <c r="G4325">
        <v>60.1</v>
      </c>
      <c r="H4325" s="9">
        <v>-10.57</v>
      </c>
      <c r="I4325"/>
    </row>
    <row r="4326" spans="1:9" x14ac:dyDescent="0.3">
      <c r="A4326" t="s">
        <v>6</v>
      </c>
      <c r="B4326" t="s">
        <v>19</v>
      </c>
      <c r="C4326" t="s">
        <v>112</v>
      </c>
      <c r="D4326" s="9" t="s">
        <v>111</v>
      </c>
      <c r="E4326" t="s">
        <v>33</v>
      </c>
      <c r="F4326" t="s">
        <v>63</v>
      </c>
      <c r="G4326">
        <v>60.7</v>
      </c>
      <c r="H4326" s="9">
        <v>5.93</v>
      </c>
      <c r="I4326"/>
    </row>
    <row r="4327" spans="1:9" x14ac:dyDescent="0.3">
      <c r="A4327" t="s">
        <v>6</v>
      </c>
      <c r="B4327" t="s">
        <v>19</v>
      </c>
      <c r="C4327" t="s">
        <v>113</v>
      </c>
      <c r="D4327" s="9" t="s">
        <v>111</v>
      </c>
      <c r="E4327" t="s">
        <v>34</v>
      </c>
      <c r="F4327" t="s">
        <v>65</v>
      </c>
      <c r="G4327">
        <v>74.3</v>
      </c>
      <c r="H4327" s="9">
        <v>2.34</v>
      </c>
      <c r="I4327"/>
    </row>
    <row r="4328" spans="1:9" x14ac:dyDescent="0.3">
      <c r="A4328" t="s">
        <v>6</v>
      </c>
      <c r="B4328" t="s">
        <v>19</v>
      </c>
      <c r="C4328" t="s">
        <v>114</v>
      </c>
      <c r="D4328" s="9" t="s">
        <v>111</v>
      </c>
      <c r="E4328" t="s">
        <v>35</v>
      </c>
      <c r="F4328" t="s">
        <v>67</v>
      </c>
      <c r="G4328">
        <v>85.6</v>
      </c>
      <c r="H4328" s="9">
        <v>7.94</v>
      </c>
      <c r="I4328"/>
    </row>
    <row r="4329" spans="1:9" x14ac:dyDescent="0.3">
      <c r="A4329" t="s">
        <v>6</v>
      </c>
      <c r="B4329" t="s">
        <v>19</v>
      </c>
      <c r="C4329" t="s">
        <v>115</v>
      </c>
      <c r="D4329" s="9" t="s">
        <v>111</v>
      </c>
      <c r="E4329" t="s">
        <v>36</v>
      </c>
      <c r="F4329" t="s">
        <v>69</v>
      </c>
      <c r="G4329">
        <v>90.1</v>
      </c>
      <c r="H4329" s="9">
        <v>14.34</v>
      </c>
      <c r="I4329"/>
    </row>
    <row r="4330" spans="1:9" x14ac:dyDescent="0.3">
      <c r="A4330" t="s">
        <v>6</v>
      </c>
      <c r="B4330" t="s">
        <v>19</v>
      </c>
      <c r="C4330" t="s">
        <v>116</v>
      </c>
      <c r="D4330" s="9" t="s">
        <v>111</v>
      </c>
      <c r="E4330" t="s">
        <v>37</v>
      </c>
      <c r="F4330" t="s">
        <v>71</v>
      </c>
      <c r="G4330">
        <v>87.1</v>
      </c>
      <c r="H4330" s="9">
        <v>11.1</v>
      </c>
      <c r="I4330"/>
    </row>
    <row r="4331" spans="1:9" x14ac:dyDescent="0.3">
      <c r="A4331" t="s">
        <v>6</v>
      </c>
      <c r="B4331" t="s">
        <v>19</v>
      </c>
      <c r="C4331" t="s">
        <v>117</v>
      </c>
      <c r="D4331" s="9" t="s">
        <v>111</v>
      </c>
      <c r="E4331" t="s">
        <v>38</v>
      </c>
      <c r="F4331" t="s">
        <v>73</v>
      </c>
      <c r="G4331">
        <v>89</v>
      </c>
      <c r="H4331" s="9">
        <v>33.43</v>
      </c>
      <c r="I4331"/>
    </row>
    <row r="4332" spans="1:9" x14ac:dyDescent="0.3">
      <c r="A4332" t="s">
        <v>6</v>
      </c>
      <c r="B4332" t="s">
        <v>19</v>
      </c>
      <c r="C4332" t="s">
        <v>118</v>
      </c>
      <c r="D4332" s="9" t="s">
        <v>111</v>
      </c>
      <c r="E4332" t="s">
        <v>39</v>
      </c>
      <c r="F4332" t="s">
        <v>75</v>
      </c>
      <c r="G4332">
        <v>84.6</v>
      </c>
      <c r="H4332" s="9">
        <v>22.08</v>
      </c>
      <c r="I4332"/>
    </row>
    <row r="4333" spans="1:9" x14ac:dyDescent="0.3">
      <c r="A4333" t="s">
        <v>6</v>
      </c>
      <c r="B4333" t="s">
        <v>19</v>
      </c>
      <c r="C4333" t="s">
        <v>119</v>
      </c>
      <c r="D4333" s="9" t="s">
        <v>111</v>
      </c>
      <c r="E4333" t="s">
        <v>40</v>
      </c>
      <c r="F4333" t="s">
        <v>77</v>
      </c>
      <c r="G4333">
        <v>86.7</v>
      </c>
      <c r="H4333" s="9">
        <v>14.23</v>
      </c>
      <c r="I4333"/>
    </row>
    <row r="4334" spans="1:9" x14ac:dyDescent="0.3">
      <c r="A4334" t="s">
        <v>6</v>
      </c>
      <c r="B4334" t="s">
        <v>19</v>
      </c>
      <c r="C4334" t="s">
        <v>120</v>
      </c>
      <c r="D4334" s="9" t="s">
        <v>111</v>
      </c>
      <c r="E4334" t="s">
        <v>41</v>
      </c>
      <c r="F4334" t="s">
        <v>79</v>
      </c>
      <c r="G4334">
        <v>96.6</v>
      </c>
      <c r="H4334" s="9">
        <v>24.16</v>
      </c>
      <c r="I4334"/>
    </row>
    <row r="4335" spans="1:9" x14ac:dyDescent="0.3">
      <c r="A4335" t="s">
        <v>6</v>
      </c>
      <c r="B4335" t="s">
        <v>19</v>
      </c>
      <c r="C4335" t="s">
        <v>121</v>
      </c>
      <c r="D4335" s="9" t="s">
        <v>111</v>
      </c>
      <c r="E4335" t="s">
        <v>42</v>
      </c>
      <c r="F4335" t="s">
        <v>81</v>
      </c>
      <c r="G4335">
        <v>106.6</v>
      </c>
      <c r="H4335" s="9">
        <v>20.18</v>
      </c>
      <c r="I4335"/>
    </row>
    <row r="4336" spans="1:9" x14ac:dyDescent="0.3">
      <c r="A4336" t="s">
        <v>6</v>
      </c>
      <c r="B4336" t="s">
        <v>19</v>
      </c>
      <c r="C4336" t="s">
        <v>122</v>
      </c>
      <c r="D4336" s="9" t="s">
        <v>111</v>
      </c>
      <c r="E4336" t="s">
        <v>43</v>
      </c>
      <c r="F4336" t="s">
        <v>83</v>
      </c>
      <c r="G4336">
        <v>132.80000000000001</v>
      </c>
      <c r="H4336" s="9">
        <v>16.8</v>
      </c>
      <c r="I4336"/>
    </row>
    <row r="4337" spans="1:9" x14ac:dyDescent="0.3">
      <c r="A4337" t="s">
        <v>6</v>
      </c>
      <c r="B4337" t="s">
        <v>19</v>
      </c>
      <c r="C4337" t="s">
        <v>123</v>
      </c>
      <c r="D4337" s="9" t="s">
        <v>124</v>
      </c>
      <c r="E4337" t="s">
        <v>32</v>
      </c>
      <c r="F4337" t="s">
        <v>61</v>
      </c>
      <c r="G4337">
        <v>87.2</v>
      </c>
      <c r="H4337" s="9">
        <v>45.09</v>
      </c>
      <c r="I4337"/>
    </row>
    <row r="4338" spans="1:9" x14ac:dyDescent="0.3">
      <c r="A4338" t="s">
        <v>6</v>
      </c>
      <c r="B4338" t="s">
        <v>19</v>
      </c>
      <c r="C4338" t="s">
        <v>125</v>
      </c>
      <c r="D4338" s="9" t="s">
        <v>124</v>
      </c>
      <c r="E4338" t="s">
        <v>33</v>
      </c>
      <c r="F4338" t="s">
        <v>63</v>
      </c>
      <c r="G4338">
        <v>73.8</v>
      </c>
      <c r="H4338" s="9">
        <v>21.58</v>
      </c>
      <c r="I4338"/>
    </row>
    <row r="4339" spans="1:9" x14ac:dyDescent="0.3">
      <c r="A4339" t="s">
        <v>6</v>
      </c>
      <c r="B4339" t="s">
        <v>19</v>
      </c>
      <c r="C4339" t="s">
        <v>126</v>
      </c>
      <c r="D4339" s="9" t="s">
        <v>124</v>
      </c>
      <c r="E4339" t="s">
        <v>34</v>
      </c>
      <c r="F4339" t="s">
        <v>65</v>
      </c>
      <c r="G4339">
        <v>94.1</v>
      </c>
      <c r="H4339" s="9">
        <v>26.65</v>
      </c>
      <c r="I4339"/>
    </row>
    <row r="4340" spans="1:9" x14ac:dyDescent="0.3">
      <c r="A4340" t="s">
        <v>6</v>
      </c>
      <c r="B4340" t="s">
        <v>19</v>
      </c>
      <c r="C4340" t="s">
        <v>127</v>
      </c>
      <c r="D4340" s="9" t="s">
        <v>124</v>
      </c>
      <c r="E4340" t="s">
        <v>35</v>
      </c>
      <c r="F4340" t="s">
        <v>67</v>
      </c>
      <c r="G4340">
        <v>97</v>
      </c>
      <c r="H4340" s="9">
        <v>13.32</v>
      </c>
      <c r="I4340"/>
    </row>
    <row r="4341" spans="1:9" x14ac:dyDescent="0.3">
      <c r="A4341" t="s">
        <v>6</v>
      </c>
      <c r="B4341" t="s">
        <v>19</v>
      </c>
      <c r="C4341" t="s">
        <v>128</v>
      </c>
      <c r="D4341" s="9" t="s">
        <v>124</v>
      </c>
      <c r="E4341" t="s">
        <v>36</v>
      </c>
      <c r="F4341" t="s">
        <v>69</v>
      </c>
      <c r="G4341">
        <v>101.8</v>
      </c>
      <c r="H4341" s="9">
        <v>12.99</v>
      </c>
      <c r="I4341"/>
    </row>
    <row r="4342" spans="1:9" x14ac:dyDescent="0.3">
      <c r="A4342" t="s">
        <v>6</v>
      </c>
      <c r="B4342" t="s">
        <v>19</v>
      </c>
      <c r="C4342" t="s">
        <v>129</v>
      </c>
      <c r="D4342" s="9" t="s">
        <v>124</v>
      </c>
      <c r="E4342" t="s">
        <v>37</v>
      </c>
      <c r="F4342" t="s">
        <v>71</v>
      </c>
      <c r="G4342">
        <v>94.1</v>
      </c>
      <c r="H4342" s="9">
        <v>8.0399999999999991</v>
      </c>
      <c r="I4342"/>
    </row>
    <row r="4343" spans="1:9" x14ac:dyDescent="0.3">
      <c r="A4343" t="s">
        <v>6</v>
      </c>
      <c r="B4343" t="s">
        <v>19</v>
      </c>
      <c r="C4343" t="s">
        <v>130</v>
      </c>
      <c r="D4343" s="9" t="s">
        <v>124</v>
      </c>
      <c r="E4343" t="s">
        <v>38</v>
      </c>
      <c r="F4343" t="s">
        <v>73</v>
      </c>
      <c r="G4343">
        <v>92.3</v>
      </c>
      <c r="H4343" s="9">
        <v>3.71</v>
      </c>
      <c r="I4343"/>
    </row>
    <row r="4344" spans="1:9" x14ac:dyDescent="0.3">
      <c r="A4344" t="s">
        <v>6</v>
      </c>
      <c r="B4344" t="s">
        <v>19</v>
      </c>
      <c r="C4344" t="s">
        <v>131</v>
      </c>
      <c r="D4344" s="9" t="s">
        <v>124</v>
      </c>
      <c r="E4344" t="s">
        <v>39</v>
      </c>
      <c r="F4344" t="s">
        <v>75</v>
      </c>
      <c r="G4344">
        <v>85.5</v>
      </c>
      <c r="H4344" s="9">
        <v>1.06</v>
      </c>
      <c r="I4344"/>
    </row>
    <row r="4345" spans="1:9" x14ac:dyDescent="0.3">
      <c r="A4345" t="s">
        <v>6</v>
      </c>
      <c r="B4345" t="s">
        <v>19</v>
      </c>
      <c r="C4345" t="s">
        <v>132</v>
      </c>
      <c r="D4345" s="9" t="s">
        <v>124</v>
      </c>
      <c r="E4345" t="s">
        <v>40</v>
      </c>
      <c r="F4345" t="s">
        <v>77</v>
      </c>
      <c r="G4345">
        <v>88.9</v>
      </c>
      <c r="H4345" s="9">
        <v>2.54</v>
      </c>
      <c r="I4345"/>
    </row>
    <row r="4346" spans="1:9" x14ac:dyDescent="0.3">
      <c r="A4346" t="s">
        <v>6</v>
      </c>
      <c r="B4346" t="s">
        <v>19</v>
      </c>
      <c r="C4346" t="s">
        <v>133</v>
      </c>
      <c r="D4346" s="9" t="s">
        <v>124</v>
      </c>
      <c r="E4346" t="s">
        <v>41</v>
      </c>
      <c r="F4346" t="s">
        <v>79</v>
      </c>
      <c r="G4346">
        <v>91.4</v>
      </c>
      <c r="H4346" s="9">
        <v>-5.38</v>
      </c>
      <c r="I4346"/>
    </row>
    <row r="4347" spans="1:9" x14ac:dyDescent="0.3">
      <c r="A4347" t="s">
        <v>6</v>
      </c>
      <c r="B4347" t="s">
        <v>19</v>
      </c>
      <c r="C4347" t="s">
        <v>134</v>
      </c>
      <c r="D4347" s="9" t="s">
        <v>124</v>
      </c>
      <c r="E4347" t="s">
        <v>42</v>
      </c>
      <c r="F4347" t="s">
        <v>81</v>
      </c>
      <c r="G4347">
        <v>103.2</v>
      </c>
      <c r="H4347" s="9">
        <v>-3.19</v>
      </c>
      <c r="I4347"/>
    </row>
    <row r="4348" spans="1:9" x14ac:dyDescent="0.3">
      <c r="A4348" t="s">
        <v>6</v>
      </c>
      <c r="B4348" t="s">
        <v>19</v>
      </c>
      <c r="C4348" t="s">
        <v>135</v>
      </c>
      <c r="D4348" s="9" t="s">
        <v>124</v>
      </c>
      <c r="E4348" t="s">
        <v>43</v>
      </c>
      <c r="F4348" t="s">
        <v>83</v>
      </c>
      <c r="G4348">
        <v>132</v>
      </c>
      <c r="H4348" s="9">
        <v>-0.6</v>
      </c>
      <c r="I4348"/>
    </row>
    <row r="4349" spans="1:9" x14ac:dyDescent="0.3">
      <c r="A4349" t="s">
        <v>6</v>
      </c>
      <c r="B4349" t="s">
        <v>19</v>
      </c>
      <c r="C4349" t="s">
        <v>136</v>
      </c>
      <c r="D4349" s="9" t="s">
        <v>137</v>
      </c>
      <c r="E4349" t="s">
        <v>32</v>
      </c>
      <c r="F4349" t="s">
        <v>61</v>
      </c>
      <c r="G4349">
        <v>87</v>
      </c>
      <c r="H4349" s="9">
        <v>-0.23</v>
      </c>
      <c r="I4349"/>
    </row>
    <row r="4350" spans="1:9" x14ac:dyDescent="0.3">
      <c r="A4350" t="s">
        <v>6</v>
      </c>
      <c r="B4350" t="s">
        <v>19</v>
      </c>
      <c r="C4350" t="s">
        <v>138</v>
      </c>
      <c r="D4350" s="9" t="s">
        <v>137</v>
      </c>
      <c r="E4350" t="s">
        <v>33</v>
      </c>
      <c r="F4350" t="s">
        <v>63</v>
      </c>
      <c r="G4350">
        <v>74.599999999999994</v>
      </c>
      <c r="H4350" s="9">
        <v>1.08</v>
      </c>
      <c r="I4350"/>
    </row>
    <row r="4351" spans="1:9" x14ac:dyDescent="0.3">
      <c r="A4351" t="s">
        <v>6</v>
      </c>
      <c r="B4351" t="s">
        <v>19</v>
      </c>
      <c r="C4351" t="s">
        <v>139</v>
      </c>
      <c r="D4351" s="9" t="s">
        <v>137</v>
      </c>
      <c r="E4351" t="s">
        <v>34</v>
      </c>
      <c r="F4351" t="s">
        <v>65</v>
      </c>
      <c r="G4351">
        <v>81.2</v>
      </c>
      <c r="H4351" s="9">
        <v>-13.71</v>
      </c>
      <c r="I4351"/>
    </row>
    <row r="4352" spans="1:9" x14ac:dyDescent="0.3">
      <c r="A4352" t="s">
        <v>6</v>
      </c>
      <c r="B4352" t="s">
        <v>19</v>
      </c>
      <c r="C4352" t="s">
        <v>140</v>
      </c>
      <c r="D4352" s="9" t="s">
        <v>137</v>
      </c>
      <c r="E4352" t="s">
        <v>35</v>
      </c>
      <c r="F4352" t="s">
        <v>67</v>
      </c>
      <c r="G4352">
        <v>95.1</v>
      </c>
      <c r="H4352" s="9">
        <v>-1.96</v>
      </c>
      <c r="I4352"/>
    </row>
    <row r="4353" spans="1:9" x14ac:dyDescent="0.3">
      <c r="A4353" t="s">
        <v>6</v>
      </c>
      <c r="B4353" t="s">
        <v>19</v>
      </c>
      <c r="C4353" t="s">
        <v>141</v>
      </c>
      <c r="D4353" s="9" t="s">
        <v>137</v>
      </c>
      <c r="E4353" t="s">
        <v>36</v>
      </c>
      <c r="F4353" t="s">
        <v>69</v>
      </c>
      <c r="G4353">
        <v>92.3</v>
      </c>
      <c r="H4353" s="9">
        <v>-9.33</v>
      </c>
      <c r="I4353"/>
    </row>
    <row r="4354" spans="1:9" x14ac:dyDescent="0.3">
      <c r="A4354" t="s">
        <v>6</v>
      </c>
      <c r="B4354" t="s">
        <v>19</v>
      </c>
      <c r="C4354" t="s">
        <v>142</v>
      </c>
      <c r="D4354" s="9" t="s">
        <v>137</v>
      </c>
      <c r="E4354" t="s">
        <v>37</v>
      </c>
      <c r="F4354" t="s">
        <v>71</v>
      </c>
      <c r="G4354">
        <v>90.2</v>
      </c>
      <c r="H4354" s="9">
        <v>-4.1399999999999997</v>
      </c>
      <c r="I4354"/>
    </row>
    <row r="4355" spans="1:9" x14ac:dyDescent="0.3">
      <c r="A4355" t="s">
        <v>6</v>
      </c>
      <c r="B4355" t="s">
        <v>19</v>
      </c>
      <c r="C4355" t="s">
        <v>143</v>
      </c>
      <c r="D4355" s="9" t="s">
        <v>137</v>
      </c>
      <c r="E4355" t="s">
        <v>38</v>
      </c>
      <c r="F4355" t="s">
        <v>73</v>
      </c>
      <c r="G4355">
        <v>86.2</v>
      </c>
      <c r="H4355" s="9">
        <v>-6.61</v>
      </c>
      <c r="I4355"/>
    </row>
    <row r="4356" spans="1:9" x14ac:dyDescent="0.3">
      <c r="A4356" t="s">
        <v>6</v>
      </c>
      <c r="B4356" t="s">
        <v>19</v>
      </c>
      <c r="C4356" t="s">
        <v>144</v>
      </c>
      <c r="D4356" s="9" t="s">
        <v>137</v>
      </c>
      <c r="E4356" t="s">
        <v>39</v>
      </c>
      <c r="F4356" t="s">
        <v>75</v>
      </c>
      <c r="G4356">
        <v>79</v>
      </c>
      <c r="H4356" s="9">
        <v>-7.6</v>
      </c>
      <c r="I4356"/>
    </row>
    <row r="4357" spans="1:9" x14ac:dyDescent="0.3">
      <c r="A4357" t="s">
        <v>6</v>
      </c>
      <c r="B4357" t="s">
        <v>19</v>
      </c>
      <c r="C4357" t="s">
        <v>145</v>
      </c>
      <c r="D4357" s="9" t="s">
        <v>137</v>
      </c>
      <c r="E4357" t="s">
        <v>40</v>
      </c>
      <c r="F4357" t="s">
        <v>77</v>
      </c>
      <c r="G4357">
        <v>80</v>
      </c>
      <c r="H4357" s="9">
        <v>-10.01</v>
      </c>
      <c r="I4357"/>
    </row>
    <row r="4358" spans="1:9" x14ac:dyDescent="0.3">
      <c r="A4358" t="s">
        <v>6</v>
      </c>
      <c r="B4358" t="s">
        <v>19</v>
      </c>
      <c r="C4358" t="s">
        <v>146</v>
      </c>
      <c r="D4358" s="9" t="s">
        <v>137</v>
      </c>
      <c r="E4358" t="s">
        <v>41</v>
      </c>
      <c r="F4358" t="s">
        <v>79</v>
      </c>
      <c r="G4358">
        <v>88.3</v>
      </c>
      <c r="H4358" s="9">
        <v>-3.39</v>
      </c>
      <c r="I4358"/>
    </row>
    <row r="4359" spans="1:9" x14ac:dyDescent="0.3">
      <c r="A4359" t="s">
        <v>6</v>
      </c>
      <c r="B4359" t="s">
        <v>19</v>
      </c>
      <c r="C4359" t="s">
        <v>147</v>
      </c>
      <c r="D4359" s="9" t="s">
        <v>137</v>
      </c>
      <c r="E4359" t="s">
        <v>42</v>
      </c>
      <c r="F4359" t="s">
        <v>81</v>
      </c>
      <c r="G4359">
        <v>103.9</v>
      </c>
      <c r="H4359" s="9">
        <v>0.68</v>
      </c>
      <c r="I4359"/>
    </row>
    <row r="4360" spans="1:9" x14ac:dyDescent="0.3">
      <c r="A4360" t="s">
        <v>6</v>
      </c>
      <c r="B4360" t="s">
        <v>19</v>
      </c>
      <c r="C4360" t="s">
        <v>148</v>
      </c>
      <c r="D4360" s="9" t="s">
        <v>137</v>
      </c>
      <c r="E4360" t="s">
        <v>43</v>
      </c>
      <c r="F4360" t="s">
        <v>83</v>
      </c>
      <c r="G4360">
        <v>128.4</v>
      </c>
      <c r="H4360" s="9">
        <v>-2.73</v>
      </c>
      <c r="I4360"/>
    </row>
    <row r="4361" spans="1:9" x14ac:dyDescent="0.3">
      <c r="A4361" t="s">
        <v>6</v>
      </c>
      <c r="B4361" t="s">
        <v>19</v>
      </c>
      <c r="C4361" t="s">
        <v>149</v>
      </c>
      <c r="D4361" s="9" t="s">
        <v>150</v>
      </c>
      <c r="E4361" t="s">
        <v>32</v>
      </c>
      <c r="F4361" t="s">
        <v>61</v>
      </c>
      <c r="G4361">
        <v>85.8</v>
      </c>
      <c r="H4361" s="9">
        <v>-1.38</v>
      </c>
      <c r="I4361"/>
    </row>
    <row r="4362" spans="1:9" x14ac:dyDescent="0.3">
      <c r="A4362" t="s">
        <v>6</v>
      </c>
      <c r="B4362" t="s">
        <v>19</v>
      </c>
      <c r="C4362" t="s">
        <v>151</v>
      </c>
      <c r="D4362" s="9" t="s">
        <v>150</v>
      </c>
      <c r="E4362" t="s">
        <v>33</v>
      </c>
      <c r="F4362" t="s">
        <v>63</v>
      </c>
      <c r="G4362">
        <v>70.8</v>
      </c>
      <c r="H4362" s="9">
        <v>-5.09</v>
      </c>
      <c r="I4362"/>
    </row>
    <row r="4363" spans="1:9" x14ac:dyDescent="0.3">
      <c r="A4363" t="s">
        <v>6</v>
      </c>
      <c r="B4363" t="s">
        <v>19</v>
      </c>
      <c r="C4363" t="s">
        <v>152</v>
      </c>
      <c r="D4363" s="9" t="s">
        <v>150</v>
      </c>
      <c r="E4363" t="s">
        <v>34</v>
      </c>
      <c r="F4363" t="s">
        <v>65</v>
      </c>
      <c r="G4363">
        <v>83.5</v>
      </c>
      <c r="H4363" s="9">
        <v>2.83</v>
      </c>
      <c r="I4363"/>
    </row>
    <row r="4364" spans="1:9" x14ac:dyDescent="0.3">
      <c r="A4364" t="s">
        <v>6</v>
      </c>
      <c r="B4364" t="s">
        <v>19</v>
      </c>
      <c r="C4364" t="s">
        <v>153</v>
      </c>
      <c r="D4364" s="9" t="s">
        <v>150</v>
      </c>
      <c r="E4364" t="s">
        <v>35</v>
      </c>
      <c r="F4364" t="s">
        <v>67</v>
      </c>
      <c r="G4364">
        <v>89.7</v>
      </c>
      <c r="H4364" s="9">
        <v>-5.68</v>
      </c>
      <c r="I4364"/>
    </row>
    <row r="4365" spans="1:9" x14ac:dyDescent="0.3">
      <c r="A4365" t="s">
        <v>6</v>
      </c>
      <c r="B4365" t="s">
        <v>19</v>
      </c>
      <c r="C4365" t="s">
        <v>154</v>
      </c>
      <c r="D4365" s="9" t="s">
        <v>150</v>
      </c>
      <c r="E4365" t="s">
        <v>36</v>
      </c>
      <c r="F4365" t="s">
        <v>69</v>
      </c>
      <c r="G4365">
        <v>99.5</v>
      </c>
      <c r="H4365" s="9">
        <v>7.8</v>
      </c>
      <c r="I4365"/>
    </row>
    <row r="4366" spans="1:9" x14ac:dyDescent="0.3">
      <c r="A4366" t="s">
        <v>6</v>
      </c>
      <c r="B4366" t="s">
        <v>19</v>
      </c>
      <c r="C4366" t="s">
        <v>155</v>
      </c>
      <c r="D4366" s="9" t="s">
        <v>150</v>
      </c>
      <c r="E4366" t="s">
        <v>37</v>
      </c>
      <c r="F4366" t="s">
        <v>71</v>
      </c>
      <c r="G4366">
        <v>99.6</v>
      </c>
      <c r="H4366" s="9">
        <v>10.42</v>
      </c>
      <c r="I4366"/>
    </row>
    <row r="4367" spans="1:9" x14ac:dyDescent="0.3">
      <c r="A4367" t="s">
        <v>6</v>
      </c>
      <c r="B4367" t="s">
        <v>16</v>
      </c>
      <c r="C4367" t="s">
        <v>59</v>
      </c>
      <c r="D4367" s="9" t="s">
        <v>60</v>
      </c>
      <c r="E4367" t="s">
        <v>32</v>
      </c>
      <c r="F4367" t="s">
        <v>61</v>
      </c>
      <c r="G4367">
        <v>98.9</v>
      </c>
      <c r="I4367"/>
    </row>
    <row r="4368" spans="1:9" x14ac:dyDescent="0.3">
      <c r="A4368" t="s">
        <v>6</v>
      </c>
      <c r="B4368" t="s">
        <v>16</v>
      </c>
      <c r="C4368" t="s">
        <v>62</v>
      </c>
      <c r="D4368" s="9" t="s">
        <v>60</v>
      </c>
      <c r="E4368" t="s">
        <v>33</v>
      </c>
      <c r="F4368" t="s">
        <v>63</v>
      </c>
      <c r="G4368">
        <v>78.7</v>
      </c>
      <c r="I4368"/>
    </row>
    <row r="4369" spans="1:9" x14ac:dyDescent="0.3">
      <c r="A4369" t="s">
        <v>6</v>
      </c>
      <c r="B4369" t="s">
        <v>16</v>
      </c>
      <c r="C4369" t="s">
        <v>64</v>
      </c>
      <c r="D4369" s="9" t="s">
        <v>60</v>
      </c>
      <c r="E4369" t="s">
        <v>34</v>
      </c>
      <c r="F4369" t="s">
        <v>65</v>
      </c>
      <c r="G4369">
        <v>93.7</v>
      </c>
      <c r="I4369"/>
    </row>
    <row r="4370" spans="1:9" x14ac:dyDescent="0.3">
      <c r="A4370" t="s">
        <v>6</v>
      </c>
      <c r="B4370" t="s">
        <v>16</v>
      </c>
      <c r="C4370" t="s">
        <v>66</v>
      </c>
      <c r="D4370" s="9" t="s">
        <v>60</v>
      </c>
      <c r="E4370" t="s">
        <v>35</v>
      </c>
      <c r="F4370" t="s">
        <v>67</v>
      </c>
      <c r="G4370">
        <v>103.9</v>
      </c>
      <c r="I4370"/>
    </row>
    <row r="4371" spans="1:9" x14ac:dyDescent="0.3">
      <c r="A4371" t="s">
        <v>6</v>
      </c>
      <c r="B4371" t="s">
        <v>16</v>
      </c>
      <c r="C4371" t="s">
        <v>68</v>
      </c>
      <c r="D4371" s="9" t="s">
        <v>60</v>
      </c>
      <c r="E4371" t="s">
        <v>36</v>
      </c>
      <c r="F4371" t="s">
        <v>69</v>
      </c>
      <c r="G4371">
        <v>111.6</v>
      </c>
      <c r="I4371"/>
    </row>
    <row r="4372" spans="1:9" x14ac:dyDescent="0.3">
      <c r="A4372" t="s">
        <v>6</v>
      </c>
      <c r="B4372" t="s">
        <v>16</v>
      </c>
      <c r="C4372" t="s">
        <v>70</v>
      </c>
      <c r="D4372" s="9" t="s">
        <v>60</v>
      </c>
      <c r="E4372" t="s">
        <v>37</v>
      </c>
      <c r="F4372" t="s">
        <v>71</v>
      </c>
      <c r="G4372">
        <v>108.2</v>
      </c>
      <c r="I4372"/>
    </row>
    <row r="4373" spans="1:9" x14ac:dyDescent="0.3">
      <c r="A4373" t="s">
        <v>6</v>
      </c>
      <c r="B4373" t="s">
        <v>16</v>
      </c>
      <c r="C4373" t="s">
        <v>72</v>
      </c>
      <c r="D4373" s="9" t="s">
        <v>60</v>
      </c>
      <c r="E4373" t="s">
        <v>38</v>
      </c>
      <c r="F4373" t="s">
        <v>73</v>
      </c>
      <c r="G4373">
        <v>102.7</v>
      </c>
      <c r="I4373"/>
    </row>
    <row r="4374" spans="1:9" x14ac:dyDescent="0.3">
      <c r="A4374" t="s">
        <v>6</v>
      </c>
      <c r="B4374" t="s">
        <v>16</v>
      </c>
      <c r="C4374" t="s">
        <v>74</v>
      </c>
      <c r="D4374" s="9" t="s">
        <v>60</v>
      </c>
      <c r="E4374" t="s">
        <v>39</v>
      </c>
      <c r="F4374" t="s">
        <v>75</v>
      </c>
      <c r="G4374">
        <v>95.5</v>
      </c>
      <c r="I4374"/>
    </row>
    <row r="4375" spans="1:9" x14ac:dyDescent="0.3">
      <c r="A4375" t="s">
        <v>6</v>
      </c>
      <c r="B4375" t="s">
        <v>16</v>
      </c>
      <c r="C4375" t="s">
        <v>76</v>
      </c>
      <c r="D4375" s="9" t="s">
        <v>60</v>
      </c>
      <c r="E4375" t="s">
        <v>40</v>
      </c>
      <c r="F4375" t="s">
        <v>77</v>
      </c>
      <c r="G4375">
        <v>94.2</v>
      </c>
      <c r="I4375"/>
    </row>
    <row r="4376" spans="1:9" x14ac:dyDescent="0.3">
      <c r="A4376" t="s">
        <v>6</v>
      </c>
      <c r="B4376" t="s">
        <v>16</v>
      </c>
      <c r="C4376" t="s">
        <v>78</v>
      </c>
      <c r="D4376" s="9" t="s">
        <v>60</v>
      </c>
      <c r="E4376" t="s">
        <v>41</v>
      </c>
      <c r="F4376" t="s">
        <v>79</v>
      </c>
      <c r="G4376">
        <v>107.1</v>
      </c>
      <c r="I4376"/>
    </row>
    <row r="4377" spans="1:9" x14ac:dyDescent="0.3">
      <c r="A4377" t="s">
        <v>6</v>
      </c>
      <c r="B4377" t="s">
        <v>16</v>
      </c>
      <c r="C4377" t="s">
        <v>80</v>
      </c>
      <c r="D4377" s="9" t="s">
        <v>60</v>
      </c>
      <c r="E4377" t="s">
        <v>42</v>
      </c>
      <c r="F4377" t="s">
        <v>81</v>
      </c>
      <c r="G4377">
        <v>127.5</v>
      </c>
      <c r="I4377"/>
    </row>
    <row r="4378" spans="1:9" x14ac:dyDescent="0.3">
      <c r="A4378" t="s">
        <v>6</v>
      </c>
      <c r="B4378" t="s">
        <v>16</v>
      </c>
      <c r="C4378" t="s">
        <v>82</v>
      </c>
      <c r="D4378" s="9" t="s">
        <v>60</v>
      </c>
      <c r="E4378" t="s">
        <v>43</v>
      </c>
      <c r="F4378" t="s">
        <v>83</v>
      </c>
      <c r="G4378">
        <v>194.3</v>
      </c>
      <c r="I4378"/>
    </row>
    <row r="4379" spans="1:9" x14ac:dyDescent="0.3">
      <c r="A4379" t="s">
        <v>6</v>
      </c>
      <c r="B4379" t="s">
        <v>16</v>
      </c>
      <c r="C4379" t="s">
        <v>84</v>
      </c>
      <c r="D4379" s="9" t="s">
        <v>85</v>
      </c>
      <c r="E4379" t="s">
        <v>32</v>
      </c>
      <c r="F4379" t="s">
        <v>61</v>
      </c>
      <c r="G4379">
        <v>99</v>
      </c>
      <c r="H4379" s="9">
        <v>0.1</v>
      </c>
      <c r="I4379"/>
    </row>
    <row r="4380" spans="1:9" x14ac:dyDescent="0.3">
      <c r="A4380" t="s">
        <v>6</v>
      </c>
      <c r="B4380" t="s">
        <v>16</v>
      </c>
      <c r="C4380" t="s">
        <v>86</v>
      </c>
      <c r="D4380" s="9" t="s">
        <v>85</v>
      </c>
      <c r="E4380" t="s">
        <v>33</v>
      </c>
      <c r="F4380" t="s">
        <v>63</v>
      </c>
      <c r="G4380">
        <v>82.3</v>
      </c>
      <c r="H4380" s="9">
        <v>4.57</v>
      </c>
      <c r="I4380"/>
    </row>
    <row r="4381" spans="1:9" x14ac:dyDescent="0.3">
      <c r="A4381" t="s">
        <v>6</v>
      </c>
      <c r="B4381" t="s">
        <v>16</v>
      </c>
      <c r="C4381" t="s">
        <v>87</v>
      </c>
      <c r="D4381" s="9" t="s">
        <v>85</v>
      </c>
      <c r="E4381" t="s">
        <v>34</v>
      </c>
      <c r="F4381" t="s">
        <v>65</v>
      </c>
      <c r="G4381">
        <v>87</v>
      </c>
      <c r="H4381" s="9">
        <v>-7.15</v>
      </c>
      <c r="I4381"/>
    </row>
    <row r="4382" spans="1:9" x14ac:dyDescent="0.3">
      <c r="A4382" t="s">
        <v>6</v>
      </c>
      <c r="B4382" t="s">
        <v>16</v>
      </c>
      <c r="C4382" t="s">
        <v>88</v>
      </c>
      <c r="D4382" s="9" t="s">
        <v>85</v>
      </c>
      <c r="E4382" t="s">
        <v>35</v>
      </c>
      <c r="F4382" t="s">
        <v>67</v>
      </c>
      <c r="G4382">
        <v>90.1</v>
      </c>
      <c r="H4382" s="9">
        <v>-13.28</v>
      </c>
      <c r="I4382"/>
    </row>
    <row r="4383" spans="1:9" x14ac:dyDescent="0.3">
      <c r="A4383" t="s">
        <v>6</v>
      </c>
      <c r="B4383" t="s">
        <v>16</v>
      </c>
      <c r="C4383" t="s">
        <v>89</v>
      </c>
      <c r="D4383" s="9" t="s">
        <v>85</v>
      </c>
      <c r="E4383" t="s">
        <v>36</v>
      </c>
      <c r="F4383" t="s">
        <v>69</v>
      </c>
      <c r="G4383">
        <v>129.6</v>
      </c>
      <c r="H4383" s="9">
        <v>16.13</v>
      </c>
      <c r="I4383"/>
    </row>
    <row r="4384" spans="1:9" x14ac:dyDescent="0.3">
      <c r="A4384" t="s">
        <v>6</v>
      </c>
      <c r="B4384" t="s">
        <v>16</v>
      </c>
      <c r="C4384" t="s">
        <v>90</v>
      </c>
      <c r="D4384" s="9" t="s">
        <v>85</v>
      </c>
      <c r="E4384" t="s">
        <v>37</v>
      </c>
      <c r="F4384" t="s">
        <v>71</v>
      </c>
      <c r="G4384">
        <v>116.1</v>
      </c>
      <c r="H4384" s="9">
        <v>7.3</v>
      </c>
      <c r="I4384"/>
    </row>
    <row r="4385" spans="1:9" x14ac:dyDescent="0.3">
      <c r="A4385" t="s">
        <v>6</v>
      </c>
      <c r="B4385" t="s">
        <v>16</v>
      </c>
      <c r="C4385" t="s">
        <v>91</v>
      </c>
      <c r="D4385" s="9" t="s">
        <v>85</v>
      </c>
      <c r="E4385" t="s">
        <v>38</v>
      </c>
      <c r="F4385" t="s">
        <v>73</v>
      </c>
      <c r="G4385">
        <v>121.9</v>
      </c>
      <c r="H4385" s="9">
        <v>18.7</v>
      </c>
      <c r="I4385"/>
    </row>
    <row r="4386" spans="1:9" x14ac:dyDescent="0.3">
      <c r="A4386" t="s">
        <v>6</v>
      </c>
      <c r="B4386" t="s">
        <v>16</v>
      </c>
      <c r="C4386" t="s">
        <v>92</v>
      </c>
      <c r="D4386" s="9" t="s">
        <v>85</v>
      </c>
      <c r="E4386" t="s">
        <v>39</v>
      </c>
      <c r="F4386" t="s">
        <v>75</v>
      </c>
      <c r="G4386">
        <v>104.4</v>
      </c>
      <c r="H4386" s="9">
        <v>9.32</v>
      </c>
      <c r="I4386"/>
    </row>
    <row r="4387" spans="1:9" x14ac:dyDescent="0.3">
      <c r="A4387" t="s">
        <v>6</v>
      </c>
      <c r="B4387" t="s">
        <v>16</v>
      </c>
      <c r="C4387" t="s">
        <v>93</v>
      </c>
      <c r="D4387" s="9" t="s">
        <v>85</v>
      </c>
      <c r="E4387" t="s">
        <v>40</v>
      </c>
      <c r="F4387" t="s">
        <v>77</v>
      </c>
      <c r="G4387">
        <v>111.5</v>
      </c>
      <c r="H4387" s="9">
        <v>18.37</v>
      </c>
      <c r="I4387"/>
    </row>
    <row r="4388" spans="1:9" x14ac:dyDescent="0.3">
      <c r="A4388" t="s">
        <v>6</v>
      </c>
      <c r="B4388" t="s">
        <v>16</v>
      </c>
      <c r="C4388" t="s">
        <v>94</v>
      </c>
      <c r="D4388" s="9" t="s">
        <v>85</v>
      </c>
      <c r="E4388" t="s">
        <v>41</v>
      </c>
      <c r="F4388" t="s">
        <v>79</v>
      </c>
      <c r="G4388">
        <v>121</v>
      </c>
      <c r="H4388" s="9">
        <v>12.98</v>
      </c>
      <c r="I4388"/>
    </row>
    <row r="4389" spans="1:9" x14ac:dyDescent="0.3">
      <c r="A4389" t="s">
        <v>6</v>
      </c>
      <c r="B4389" t="s">
        <v>16</v>
      </c>
      <c r="C4389" t="s">
        <v>95</v>
      </c>
      <c r="D4389" s="9" t="s">
        <v>85</v>
      </c>
      <c r="E4389" t="s">
        <v>42</v>
      </c>
      <c r="F4389" t="s">
        <v>81</v>
      </c>
      <c r="G4389">
        <v>128.4</v>
      </c>
      <c r="H4389" s="9">
        <v>0.71</v>
      </c>
      <c r="I4389"/>
    </row>
    <row r="4390" spans="1:9" x14ac:dyDescent="0.3">
      <c r="A4390" t="s">
        <v>6</v>
      </c>
      <c r="B4390" t="s">
        <v>16</v>
      </c>
      <c r="C4390" t="s">
        <v>96</v>
      </c>
      <c r="D4390" s="9" t="s">
        <v>85</v>
      </c>
      <c r="E4390" t="s">
        <v>43</v>
      </c>
      <c r="F4390" t="s">
        <v>83</v>
      </c>
      <c r="G4390">
        <v>207.8</v>
      </c>
      <c r="H4390" s="9">
        <v>6.95</v>
      </c>
      <c r="I4390"/>
    </row>
    <row r="4391" spans="1:9" x14ac:dyDescent="0.3">
      <c r="A4391" t="s">
        <v>6</v>
      </c>
      <c r="B4391" t="s">
        <v>16</v>
      </c>
      <c r="C4391" t="s">
        <v>97</v>
      </c>
      <c r="D4391" s="9" t="s">
        <v>98</v>
      </c>
      <c r="E4391" t="s">
        <v>32</v>
      </c>
      <c r="F4391" t="s">
        <v>61</v>
      </c>
      <c r="G4391">
        <v>109.6</v>
      </c>
      <c r="H4391" s="9">
        <v>10.71</v>
      </c>
      <c r="I4391"/>
    </row>
    <row r="4392" spans="1:9" x14ac:dyDescent="0.3">
      <c r="A4392" t="s">
        <v>6</v>
      </c>
      <c r="B4392" t="s">
        <v>16</v>
      </c>
      <c r="C4392" t="s">
        <v>99</v>
      </c>
      <c r="D4392" s="9" t="s">
        <v>98</v>
      </c>
      <c r="E4392" t="s">
        <v>33</v>
      </c>
      <c r="F4392" t="s">
        <v>63</v>
      </c>
      <c r="G4392">
        <v>88.5</v>
      </c>
      <c r="H4392" s="9">
        <v>7.53</v>
      </c>
      <c r="I4392"/>
    </row>
    <row r="4393" spans="1:9" x14ac:dyDescent="0.3">
      <c r="A4393" t="s">
        <v>6</v>
      </c>
      <c r="B4393" t="s">
        <v>16</v>
      </c>
      <c r="C4393" t="s">
        <v>100</v>
      </c>
      <c r="D4393" s="9" t="s">
        <v>98</v>
      </c>
      <c r="E4393" t="s">
        <v>34</v>
      </c>
      <c r="F4393" t="s">
        <v>65</v>
      </c>
      <c r="G4393">
        <v>115.5</v>
      </c>
      <c r="H4393" s="9">
        <v>32.76</v>
      </c>
      <c r="I4393"/>
    </row>
    <row r="4394" spans="1:9" x14ac:dyDescent="0.3">
      <c r="A4394" t="s">
        <v>6</v>
      </c>
      <c r="B4394" t="s">
        <v>16</v>
      </c>
      <c r="C4394" t="s">
        <v>101</v>
      </c>
      <c r="D4394" s="9" t="s">
        <v>98</v>
      </c>
      <c r="E4394" t="s">
        <v>35</v>
      </c>
      <c r="F4394" t="s">
        <v>67</v>
      </c>
      <c r="G4394">
        <v>117.3</v>
      </c>
      <c r="H4394" s="9">
        <v>30.19</v>
      </c>
      <c r="I4394"/>
    </row>
    <row r="4395" spans="1:9" x14ac:dyDescent="0.3">
      <c r="A4395" t="s">
        <v>6</v>
      </c>
      <c r="B4395" t="s">
        <v>16</v>
      </c>
      <c r="C4395" t="s">
        <v>102</v>
      </c>
      <c r="D4395" s="9" t="s">
        <v>98</v>
      </c>
      <c r="E4395" t="s">
        <v>36</v>
      </c>
      <c r="F4395" t="s">
        <v>69</v>
      </c>
      <c r="G4395">
        <v>116.5</v>
      </c>
      <c r="H4395" s="9">
        <v>-10.11</v>
      </c>
      <c r="I4395"/>
    </row>
    <row r="4396" spans="1:9" x14ac:dyDescent="0.3">
      <c r="A4396" t="s">
        <v>6</v>
      </c>
      <c r="B4396" t="s">
        <v>16</v>
      </c>
      <c r="C4396" t="s">
        <v>103</v>
      </c>
      <c r="D4396" s="9" t="s">
        <v>98</v>
      </c>
      <c r="E4396" t="s">
        <v>37</v>
      </c>
      <c r="F4396" t="s">
        <v>71</v>
      </c>
      <c r="G4396">
        <v>116.9</v>
      </c>
      <c r="H4396" s="9">
        <v>0.69</v>
      </c>
      <c r="I4396"/>
    </row>
    <row r="4397" spans="1:9" x14ac:dyDescent="0.3">
      <c r="A4397" t="s">
        <v>6</v>
      </c>
      <c r="B4397" t="s">
        <v>16</v>
      </c>
      <c r="C4397" t="s">
        <v>104</v>
      </c>
      <c r="D4397" s="9" t="s">
        <v>98</v>
      </c>
      <c r="E4397" t="s">
        <v>38</v>
      </c>
      <c r="F4397" t="s">
        <v>73</v>
      </c>
      <c r="G4397">
        <v>100.3</v>
      </c>
      <c r="H4397" s="9">
        <v>-17.72</v>
      </c>
      <c r="I4397"/>
    </row>
    <row r="4398" spans="1:9" x14ac:dyDescent="0.3">
      <c r="A4398" t="s">
        <v>6</v>
      </c>
      <c r="B4398" t="s">
        <v>16</v>
      </c>
      <c r="C4398" t="s">
        <v>105</v>
      </c>
      <c r="D4398" s="9" t="s">
        <v>98</v>
      </c>
      <c r="E4398" t="s">
        <v>39</v>
      </c>
      <c r="F4398" t="s">
        <v>75</v>
      </c>
      <c r="G4398">
        <v>105.4</v>
      </c>
      <c r="H4398" s="9">
        <v>0.96</v>
      </c>
      <c r="I4398"/>
    </row>
    <row r="4399" spans="1:9" x14ac:dyDescent="0.3">
      <c r="A4399" t="s">
        <v>6</v>
      </c>
      <c r="B4399" t="s">
        <v>16</v>
      </c>
      <c r="C4399" t="s">
        <v>106</v>
      </c>
      <c r="D4399" s="9" t="s">
        <v>98</v>
      </c>
      <c r="E4399" t="s">
        <v>40</v>
      </c>
      <c r="F4399" t="s">
        <v>77</v>
      </c>
      <c r="G4399">
        <v>112.5</v>
      </c>
      <c r="H4399" s="9">
        <v>0.9</v>
      </c>
      <c r="I4399"/>
    </row>
    <row r="4400" spans="1:9" x14ac:dyDescent="0.3">
      <c r="A4400" t="s">
        <v>6</v>
      </c>
      <c r="B4400" t="s">
        <v>16</v>
      </c>
      <c r="C4400" t="s">
        <v>107</v>
      </c>
      <c r="D4400" s="9" t="s">
        <v>98</v>
      </c>
      <c r="E4400" t="s">
        <v>41</v>
      </c>
      <c r="F4400" t="s">
        <v>79</v>
      </c>
      <c r="G4400">
        <v>117</v>
      </c>
      <c r="H4400" s="9">
        <v>-3.31</v>
      </c>
      <c r="I4400"/>
    </row>
    <row r="4401" spans="1:9" x14ac:dyDescent="0.3">
      <c r="A4401" t="s">
        <v>6</v>
      </c>
      <c r="B4401" t="s">
        <v>16</v>
      </c>
      <c r="C4401" t="s">
        <v>108</v>
      </c>
      <c r="D4401" s="9" t="s">
        <v>98</v>
      </c>
      <c r="E4401" t="s">
        <v>42</v>
      </c>
      <c r="F4401" t="s">
        <v>81</v>
      </c>
      <c r="G4401">
        <v>141.5</v>
      </c>
      <c r="H4401" s="9">
        <v>10.199999999999999</v>
      </c>
      <c r="I4401"/>
    </row>
    <row r="4402" spans="1:9" x14ac:dyDescent="0.3">
      <c r="A4402" t="s">
        <v>6</v>
      </c>
      <c r="B4402" t="s">
        <v>16</v>
      </c>
      <c r="C4402" t="s">
        <v>109</v>
      </c>
      <c r="D4402" s="9" t="s">
        <v>98</v>
      </c>
      <c r="E4402" t="s">
        <v>43</v>
      </c>
      <c r="F4402" t="s">
        <v>83</v>
      </c>
      <c r="G4402">
        <v>189.5</v>
      </c>
      <c r="H4402" s="9">
        <v>-8.81</v>
      </c>
      <c r="I4402"/>
    </row>
    <row r="4403" spans="1:9" x14ac:dyDescent="0.3">
      <c r="A4403" t="s">
        <v>6</v>
      </c>
      <c r="B4403" t="s">
        <v>16</v>
      </c>
      <c r="C4403" t="s">
        <v>110</v>
      </c>
      <c r="D4403" s="9" t="s">
        <v>111</v>
      </c>
      <c r="E4403" t="s">
        <v>32</v>
      </c>
      <c r="F4403" t="s">
        <v>61</v>
      </c>
      <c r="G4403">
        <v>99.1</v>
      </c>
      <c r="H4403" s="9">
        <v>-9.58</v>
      </c>
      <c r="I4403"/>
    </row>
    <row r="4404" spans="1:9" x14ac:dyDescent="0.3">
      <c r="A4404" t="s">
        <v>6</v>
      </c>
      <c r="B4404" t="s">
        <v>16</v>
      </c>
      <c r="C4404" t="s">
        <v>112</v>
      </c>
      <c r="D4404" s="9" t="s">
        <v>111</v>
      </c>
      <c r="E4404" t="s">
        <v>33</v>
      </c>
      <c r="F4404" t="s">
        <v>63</v>
      </c>
      <c r="G4404">
        <v>89</v>
      </c>
      <c r="H4404" s="9">
        <v>0.56000000000000005</v>
      </c>
      <c r="I4404"/>
    </row>
    <row r="4405" spans="1:9" x14ac:dyDescent="0.3">
      <c r="A4405" t="s">
        <v>6</v>
      </c>
      <c r="B4405" t="s">
        <v>16</v>
      </c>
      <c r="C4405" t="s">
        <v>113</v>
      </c>
      <c r="D4405" s="9" t="s">
        <v>111</v>
      </c>
      <c r="E4405" t="s">
        <v>34</v>
      </c>
      <c r="F4405" t="s">
        <v>65</v>
      </c>
      <c r="G4405">
        <v>107.1</v>
      </c>
      <c r="H4405" s="9">
        <v>-7.27</v>
      </c>
      <c r="I4405"/>
    </row>
    <row r="4406" spans="1:9" x14ac:dyDescent="0.3">
      <c r="A4406" t="s">
        <v>6</v>
      </c>
      <c r="B4406" t="s">
        <v>16</v>
      </c>
      <c r="C4406" t="s">
        <v>114</v>
      </c>
      <c r="D4406" s="9" t="s">
        <v>111</v>
      </c>
      <c r="E4406" t="s">
        <v>35</v>
      </c>
      <c r="F4406" t="s">
        <v>67</v>
      </c>
      <c r="G4406">
        <v>119.7</v>
      </c>
      <c r="H4406" s="9">
        <v>2.0499999999999998</v>
      </c>
      <c r="I4406"/>
    </row>
    <row r="4407" spans="1:9" x14ac:dyDescent="0.3">
      <c r="A4407" t="s">
        <v>6</v>
      </c>
      <c r="B4407" t="s">
        <v>16</v>
      </c>
      <c r="C4407" t="s">
        <v>115</v>
      </c>
      <c r="D4407" s="9" t="s">
        <v>111</v>
      </c>
      <c r="E4407" t="s">
        <v>36</v>
      </c>
      <c r="F4407" t="s">
        <v>69</v>
      </c>
      <c r="G4407">
        <v>130.30000000000001</v>
      </c>
      <c r="H4407" s="9">
        <v>11.85</v>
      </c>
      <c r="I4407"/>
    </row>
    <row r="4408" spans="1:9" x14ac:dyDescent="0.3">
      <c r="A4408" t="s">
        <v>6</v>
      </c>
      <c r="B4408" t="s">
        <v>16</v>
      </c>
      <c r="C4408" t="s">
        <v>116</v>
      </c>
      <c r="D4408" s="9" t="s">
        <v>111</v>
      </c>
      <c r="E4408" t="s">
        <v>37</v>
      </c>
      <c r="F4408" t="s">
        <v>71</v>
      </c>
      <c r="G4408">
        <v>126.9</v>
      </c>
      <c r="H4408" s="9">
        <v>8.5500000000000007</v>
      </c>
      <c r="I4408"/>
    </row>
    <row r="4409" spans="1:9" x14ac:dyDescent="0.3">
      <c r="A4409" t="s">
        <v>6</v>
      </c>
      <c r="B4409" t="s">
        <v>16</v>
      </c>
      <c r="C4409" t="s">
        <v>117</v>
      </c>
      <c r="D4409" s="9" t="s">
        <v>111</v>
      </c>
      <c r="E4409" t="s">
        <v>38</v>
      </c>
      <c r="F4409" t="s">
        <v>73</v>
      </c>
      <c r="G4409">
        <v>126.2</v>
      </c>
      <c r="H4409" s="9">
        <v>25.82</v>
      </c>
      <c r="I4409"/>
    </row>
    <row r="4410" spans="1:9" x14ac:dyDescent="0.3">
      <c r="A4410" t="s">
        <v>6</v>
      </c>
      <c r="B4410" t="s">
        <v>16</v>
      </c>
      <c r="C4410" t="s">
        <v>118</v>
      </c>
      <c r="D4410" s="9" t="s">
        <v>111</v>
      </c>
      <c r="E4410" t="s">
        <v>39</v>
      </c>
      <c r="F4410" t="s">
        <v>75</v>
      </c>
      <c r="G4410">
        <v>114.6</v>
      </c>
      <c r="H4410" s="9">
        <v>8.73</v>
      </c>
      <c r="I4410"/>
    </row>
    <row r="4411" spans="1:9" x14ac:dyDescent="0.3">
      <c r="A4411" t="s">
        <v>6</v>
      </c>
      <c r="B4411" t="s">
        <v>16</v>
      </c>
      <c r="C4411" t="s">
        <v>119</v>
      </c>
      <c r="D4411" s="9" t="s">
        <v>111</v>
      </c>
      <c r="E4411" t="s">
        <v>40</v>
      </c>
      <c r="F4411" t="s">
        <v>77</v>
      </c>
      <c r="G4411">
        <v>119.7</v>
      </c>
      <c r="H4411" s="9">
        <v>6.4</v>
      </c>
      <c r="I4411"/>
    </row>
    <row r="4412" spans="1:9" x14ac:dyDescent="0.3">
      <c r="A4412" t="s">
        <v>6</v>
      </c>
      <c r="B4412" t="s">
        <v>16</v>
      </c>
      <c r="C4412" t="s">
        <v>120</v>
      </c>
      <c r="D4412" s="9" t="s">
        <v>111</v>
      </c>
      <c r="E4412" t="s">
        <v>41</v>
      </c>
      <c r="F4412" t="s">
        <v>79</v>
      </c>
      <c r="G4412">
        <v>129.5</v>
      </c>
      <c r="H4412" s="9">
        <v>10.68</v>
      </c>
      <c r="I4412"/>
    </row>
    <row r="4413" spans="1:9" x14ac:dyDescent="0.3">
      <c r="A4413" t="s">
        <v>6</v>
      </c>
      <c r="B4413" t="s">
        <v>16</v>
      </c>
      <c r="C4413" t="s">
        <v>121</v>
      </c>
      <c r="D4413" s="9" t="s">
        <v>111</v>
      </c>
      <c r="E4413" t="s">
        <v>42</v>
      </c>
      <c r="F4413" t="s">
        <v>81</v>
      </c>
      <c r="G4413">
        <v>163.19999999999999</v>
      </c>
      <c r="H4413" s="9">
        <v>15.34</v>
      </c>
      <c r="I4413"/>
    </row>
    <row r="4414" spans="1:9" x14ac:dyDescent="0.3">
      <c r="A4414" t="s">
        <v>6</v>
      </c>
      <c r="B4414" t="s">
        <v>16</v>
      </c>
      <c r="C4414" t="s">
        <v>122</v>
      </c>
      <c r="D4414" s="9" t="s">
        <v>111</v>
      </c>
      <c r="E4414" t="s">
        <v>43</v>
      </c>
      <c r="F4414" t="s">
        <v>83</v>
      </c>
      <c r="G4414">
        <v>219.7</v>
      </c>
      <c r="H4414" s="9">
        <v>15.94</v>
      </c>
      <c r="I4414"/>
    </row>
    <row r="4415" spans="1:9" x14ac:dyDescent="0.3">
      <c r="A4415" t="s">
        <v>6</v>
      </c>
      <c r="B4415" t="s">
        <v>16</v>
      </c>
      <c r="C4415" t="s">
        <v>123</v>
      </c>
      <c r="D4415" s="9" t="s">
        <v>124</v>
      </c>
      <c r="E4415" t="s">
        <v>32</v>
      </c>
      <c r="F4415" t="s">
        <v>61</v>
      </c>
      <c r="G4415">
        <v>119</v>
      </c>
      <c r="H4415" s="9">
        <v>20.079999999999998</v>
      </c>
      <c r="I4415"/>
    </row>
    <row r="4416" spans="1:9" x14ac:dyDescent="0.3">
      <c r="A4416" t="s">
        <v>6</v>
      </c>
      <c r="B4416" t="s">
        <v>16</v>
      </c>
      <c r="C4416" t="s">
        <v>125</v>
      </c>
      <c r="D4416" s="9" t="s">
        <v>124</v>
      </c>
      <c r="E4416" t="s">
        <v>33</v>
      </c>
      <c r="F4416" t="s">
        <v>63</v>
      </c>
      <c r="G4416">
        <v>95.3</v>
      </c>
      <c r="H4416" s="9">
        <v>7.08</v>
      </c>
      <c r="I4416"/>
    </row>
    <row r="4417" spans="1:9" x14ac:dyDescent="0.3">
      <c r="A4417" t="s">
        <v>6</v>
      </c>
      <c r="B4417" t="s">
        <v>16</v>
      </c>
      <c r="C4417" t="s">
        <v>126</v>
      </c>
      <c r="D4417" s="9" t="s">
        <v>124</v>
      </c>
      <c r="E4417" t="s">
        <v>34</v>
      </c>
      <c r="F4417" t="s">
        <v>65</v>
      </c>
      <c r="G4417">
        <v>121.3</v>
      </c>
      <c r="H4417" s="9">
        <v>13.26</v>
      </c>
      <c r="I4417"/>
    </row>
    <row r="4418" spans="1:9" x14ac:dyDescent="0.3">
      <c r="A4418" t="s">
        <v>6</v>
      </c>
      <c r="B4418" t="s">
        <v>16</v>
      </c>
      <c r="C4418" t="s">
        <v>127</v>
      </c>
      <c r="D4418" s="9" t="s">
        <v>124</v>
      </c>
      <c r="E4418" t="s">
        <v>35</v>
      </c>
      <c r="F4418" t="s">
        <v>67</v>
      </c>
      <c r="G4418">
        <v>128.6</v>
      </c>
      <c r="H4418" s="9">
        <v>7.44</v>
      </c>
      <c r="I4418"/>
    </row>
    <row r="4419" spans="1:9" x14ac:dyDescent="0.3">
      <c r="A4419" t="s">
        <v>6</v>
      </c>
      <c r="B4419" t="s">
        <v>16</v>
      </c>
      <c r="C4419" t="s">
        <v>128</v>
      </c>
      <c r="D4419" s="9" t="s">
        <v>124</v>
      </c>
      <c r="E4419" t="s">
        <v>36</v>
      </c>
      <c r="F4419" t="s">
        <v>69</v>
      </c>
      <c r="G4419">
        <v>132</v>
      </c>
      <c r="H4419" s="9">
        <v>1.3</v>
      </c>
      <c r="I4419"/>
    </row>
    <row r="4420" spans="1:9" x14ac:dyDescent="0.3">
      <c r="A4420" t="s">
        <v>6</v>
      </c>
      <c r="B4420" t="s">
        <v>16</v>
      </c>
      <c r="C4420" t="s">
        <v>129</v>
      </c>
      <c r="D4420" s="9" t="s">
        <v>124</v>
      </c>
      <c r="E4420" t="s">
        <v>37</v>
      </c>
      <c r="F4420" t="s">
        <v>71</v>
      </c>
      <c r="G4420">
        <v>125.3</v>
      </c>
      <c r="H4420" s="9">
        <v>-1.26</v>
      </c>
      <c r="I4420"/>
    </row>
    <row r="4421" spans="1:9" x14ac:dyDescent="0.3">
      <c r="A4421" t="s">
        <v>6</v>
      </c>
      <c r="B4421" t="s">
        <v>16</v>
      </c>
      <c r="C4421" t="s">
        <v>130</v>
      </c>
      <c r="D4421" s="9" t="s">
        <v>124</v>
      </c>
      <c r="E4421" t="s">
        <v>38</v>
      </c>
      <c r="F4421" t="s">
        <v>73</v>
      </c>
      <c r="G4421">
        <v>127.2</v>
      </c>
      <c r="H4421" s="9">
        <v>0.79</v>
      </c>
      <c r="I4421"/>
    </row>
    <row r="4422" spans="1:9" x14ac:dyDescent="0.3">
      <c r="A4422" t="s">
        <v>6</v>
      </c>
      <c r="B4422" t="s">
        <v>16</v>
      </c>
      <c r="C4422" t="s">
        <v>131</v>
      </c>
      <c r="D4422" s="9" t="s">
        <v>124</v>
      </c>
      <c r="E4422" t="s">
        <v>39</v>
      </c>
      <c r="F4422" t="s">
        <v>75</v>
      </c>
      <c r="G4422">
        <v>115.1</v>
      </c>
      <c r="H4422" s="9">
        <v>0.44</v>
      </c>
      <c r="I4422"/>
    </row>
    <row r="4423" spans="1:9" x14ac:dyDescent="0.3">
      <c r="A4423" t="s">
        <v>6</v>
      </c>
      <c r="B4423" t="s">
        <v>16</v>
      </c>
      <c r="C4423" t="s">
        <v>132</v>
      </c>
      <c r="D4423" s="9" t="s">
        <v>124</v>
      </c>
      <c r="E4423" t="s">
        <v>40</v>
      </c>
      <c r="F4423" t="s">
        <v>77</v>
      </c>
      <c r="G4423">
        <v>124</v>
      </c>
      <c r="H4423" s="9">
        <v>3.59</v>
      </c>
      <c r="I4423"/>
    </row>
    <row r="4424" spans="1:9" x14ac:dyDescent="0.3">
      <c r="A4424" t="s">
        <v>6</v>
      </c>
      <c r="B4424" t="s">
        <v>16</v>
      </c>
      <c r="C4424" t="s">
        <v>133</v>
      </c>
      <c r="D4424" s="9" t="s">
        <v>124</v>
      </c>
      <c r="E4424" t="s">
        <v>41</v>
      </c>
      <c r="F4424" t="s">
        <v>79</v>
      </c>
      <c r="G4424">
        <v>130.9</v>
      </c>
      <c r="H4424" s="9">
        <v>1.08</v>
      </c>
      <c r="I4424"/>
    </row>
    <row r="4425" spans="1:9" x14ac:dyDescent="0.3">
      <c r="A4425" t="s">
        <v>6</v>
      </c>
      <c r="B4425" t="s">
        <v>16</v>
      </c>
      <c r="C4425" t="s">
        <v>134</v>
      </c>
      <c r="D4425" s="9" t="s">
        <v>124</v>
      </c>
      <c r="E4425" t="s">
        <v>42</v>
      </c>
      <c r="F4425" t="s">
        <v>81</v>
      </c>
      <c r="G4425">
        <v>170.1</v>
      </c>
      <c r="H4425" s="9">
        <v>4.2300000000000004</v>
      </c>
      <c r="I4425"/>
    </row>
    <row r="4426" spans="1:9" x14ac:dyDescent="0.3">
      <c r="A4426" t="s">
        <v>6</v>
      </c>
      <c r="B4426" t="s">
        <v>16</v>
      </c>
      <c r="C4426" t="s">
        <v>135</v>
      </c>
      <c r="D4426" s="9" t="s">
        <v>124</v>
      </c>
      <c r="E4426" t="s">
        <v>43</v>
      </c>
      <c r="F4426" t="s">
        <v>83</v>
      </c>
      <c r="G4426">
        <v>224.4</v>
      </c>
      <c r="H4426" s="9">
        <v>2.14</v>
      </c>
      <c r="I4426"/>
    </row>
    <row r="4427" spans="1:9" x14ac:dyDescent="0.3">
      <c r="A4427" t="s">
        <v>6</v>
      </c>
      <c r="B4427" t="s">
        <v>16</v>
      </c>
      <c r="C4427" t="s">
        <v>136</v>
      </c>
      <c r="D4427" s="9" t="s">
        <v>137</v>
      </c>
      <c r="E4427" t="s">
        <v>32</v>
      </c>
      <c r="F4427" t="s">
        <v>61</v>
      </c>
      <c r="G4427">
        <v>120.2</v>
      </c>
      <c r="H4427" s="9">
        <v>1.01</v>
      </c>
      <c r="I4427"/>
    </row>
    <row r="4428" spans="1:9" x14ac:dyDescent="0.3">
      <c r="A4428" t="s">
        <v>6</v>
      </c>
      <c r="B4428" t="s">
        <v>16</v>
      </c>
      <c r="C4428" t="s">
        <v>138</v>
      </c>
      <c r="D4428" s="9" t="s">
        <v>137</v>
      </c>
      <c r="E4428" t="s">
        <v>33</v>
      </c>
      <c r="F4428" t="s">
        <v>63</v>
      </c>
      <c r="G4428">
        <v>102.7</v>
      </c>
      <c r="H4428" s="9">
        <v>7.76</v>
      </c>
      <c r="I4428"/>
    </row>
    <row r="4429" spans="1:9" x14ac:dyDescent="0.3">
      <c r="A4429" t="s">
        <v>6</v>
      </c>
      <c r="B4429" t="s">
        <v>16</v>
      </c>
      <c r="C4429" t="s">
        <v>139</v>
      </c>
      <c r="D4429" s="9" t="s">
        <v>137</v>
      </c>
      <c r="E4429" t="s">
        <v>34</v>
      </c>
      <c r="F4429" t="s">
        <v>65</v>
      </c>
      <c r="G4429">
        <v>123.5</v>
      </c>
      <c r="H4429" s="9">
        <v>1.81</v>
      </c>
      <c r="I4429"/>
    </row>
    <row r="4430" spans="1:9" x14ac:dyDescent="0.3">
      <c r="A4430" t="s">
        <v>6</v>
      </c>
      <c r="B4430" t="s">
        <v>16</v>
      </c>
      <c r="C4430" t="s">
        <v>140</v>
      </c>
      <c r="D4430" s="9" t="s">
        <v>137</v>
      </c>
      <c r="E4430" t="s">
        <v>35</v>
      </c>
      <c r="F4430" t="s">
        <v>67</v>
      </c>
      <c r="G4430">
        <v>129.9</v>
      </c>
      <c r="H4430" s="9">
        <v>1.01</v>
      </c>
      <c r="I4430"/>
    </row>
    <row r="4431" spans="1:9" x14ac:dyDescent="0.3">
      <c r="A4431" t="s">
        <v>6</v>
      </c>
      <c r="B4431" t="s">
        <v>16</v>
      </c>
      <c r="C4431" t="s">
        <v>141</v>
      </c>
      <c r="D4431" s="9" t="s">
        <v>137</v>
      </c>
      <c r="E4431" t="s">
        <v>36</v>
      </c>
      <c r="F4431" t="s">
        <v>69</v>
      </c>
      <c r="G4431">
        <v>130</v>
      </c>
      <c r="H4431" s="9">
        <v>-1.52</v>
      </c>
      <c r="I4431"/>
    </row>
    <row r="4432" spans="1:9" x14ac:dyDescent="0.3">
      <c r="A4432" t="s">
        <v>6</v>
      </c>
      <c r="B4432" t="s">
        <v>16</v>
      </c>
      <c r="C4432" t="s">
        <v>142</v>
      </c>
      <c r="D4432" s="9" t="s">
        <v>137</v>
      </c>
      <c r="E4432" t="s">
        <v>37</v>
      </c>
      <c r="F4432" t="s">
        <v>71</v>
      </c>
      <c r="G4432">
        <v>133.6</v>
      </c>
      <c r="H4432" s="9">
        <v>6.62</v>
      </c>
      <c r="I4432"/>
    </row>
    <row r="4433" spans="1:9" x14ac:dyDescent="0.3">
      <c r="A4433" t="s">
        <v>6</v>
      </c>
      <c r="B4433" t="s">
        <v>16</v>
      </c>
      <c r="C4433" t="s">
        <v>143</v>
      </c>
      <c r="D4433" s="9" t="s">
        <v>137</v>
      </c>
      <c r="E4433" t="s">
        <v>38</v>
      </c>
      <c r="F4433" t="s">
        <v>73</v>
      </c>
      <c r="G4433">
        <v>127.8</v>
      </c>
      <c r="H4433" s="9">
        <v>0.47</v>
      </c>
      <c r="I4433"/>
    </row>
    <row r="4434" spans="1:9" x14ac:dyDescent="0.3">
      <c r="A4434" t="s">
        <v>6</v>
      </c>
      <c r="B4434" t="s">
        <v>16</v>
      </c>
      <c r="C4434" t="s">
        <v>144</v>
      </c>
      <c r="D4434" s="9" t="s">
        <v>137</v>
      </c>
      <c r="E4434" t="s">
        <v>39</v>
      </c>
      <c r="F4434" t="s">
        <v>75</v>
      </c>
      <c r="G4434">
        <v>119.7</v>
      </c>
      <c r="H4434" s="9">
        <v>4</v>
      </c>
      <c r="I4434"/>
    </row>
    <row r="4435" spans="1:9" x14ac:dyDescent="0.3">
      <c r="A4435" t="s">
        <v>6</v>
      </c>
      <c r="B4435" t="s">
        <v>16</v>
      </c>
      <c r="C4435" t="s">
        <v>145</v>
      </c>
      <c r="D4435" s="9" t="s">
        <v>137</v>
      </c>
      <c r="E4435" t="s">
        <v>40</v>
      </c>
      <c r="F4435" t="s">
        <v>77</v>
      </c>
      <c r="G4435">
        <v>119.5</v>
      </c>
      <c r="H4435" s="9">
        <v>-3.63</v>
      </c>
      <c r="I4435"/>
    </row>
    <row r="4436" spans="1:9" x14ac:dyDescent="0.3">
      <c r="A4436" t="s">
        <v>6</v>
      </c>
      <c r="B4436" t="s">
        <v>16</v>
      </c>
      <c r="C4436" t="s">
        <v>146</v>
      </c>
      <c r="D4436" s="9" t="s">
        <v>137</v>
      </c>
      <c r="E4436" t="s">
        <v>41</v>
      </c>
      <c r="F4436" t="s">
        <v>79</v>
      </c>
      <c r="G4436">
        <v>134.6</v>
      </c>
      <c r="H4436" s="9">
        <v>2.83</v>
      </c>
      <c r="I4436"/>
    </row>
    <row r="4437" spans="1:9" x14ac:dyDescent="0.3">
      <c r="A4437" t="s">
        <v>6</v>
      </c>
      <c r="B4437" t="s">
        <v>16</v>
      </c>
      <c r="C4437" t="s">
        <v>147</v>
      </c>
      <c r="D4437" s="9" t="s">
        <v>137</v>
      </c>
      <c r="E4437" t="s">
        <v>42</v>
      </c>
      <c r="F4437" t="s">
        <v>81</v>
      </c>
      <c r="G4437">
        <v>171.5</v>
      </c>
      <c r="H4437" s="9">
        <v>0.82</v>
      </c>
      <c r="I4437"/>
    </row>
    <row r="4438" spans="1:9" x14ac:dyDescent="0.3">
      <c r="A4438" t="s">
        <v>6</v>
      </c>
      <c r="B4438" t="s">
        <v>16</v>
      </c>
      <c r="C4438" t="s">
        <v>148</v>
      </c>
      <c r="D4438" s="9" t="s">
        <v>137</v>
      </c>
      <c r="E4438" t="s">
        <v>43</v>
      </c>
      <c r="F4438" t="s">
        <v>83</v>
      </c>
      <c r="G4438">
        <v>228.3</v>
      </c>
      <c r="H4438" s="9">
        <v>1.74</v>
      </c>
      <c r="I4438"/>
    </row>
    <row r="4439" spans="1:9" x14ac:dyDescent="0.3">
      <c r="A4439" t="s">
        <v>6</v>
      </c>
      <c r="B4439" t="s">
        <v>16</v>
      </c>
      <c r="C4439" t="s">
        <v>149</v>
      </c>
      <c r="D4439" s="9" t="s">
        <v>150</v>
      </c>
      <c r="E4439" t="s">
        <v>32</v>
      </c>
      <c r="F4439" t="s">
        <v>61</v>
      </c>
      <c r="G4439">
        <v>123.2</v>
      </c>
      <c r="H4439" s="9">
        <v>2.5</v>
      </c>
      <c r="I4439"/>
    </row>
    <row r="4440" spans="1:9" x14ac:dyDescent="0.3">
      <c r="A4440" t="s">
        <v>6</v>
      </c>
      <c r="B4440" t="s">
        <v>16</v>
      </c>
      <c r="C4440" t="s">
        <v>151</v>
      </c>
      <c r="D4440" s="9" t="s">
        <v>150</v>
      </c>
      <c r="E4440" t="s">
        <v>33</v>
      </c>
      <c r="F4440" t="s">
        <v>63</v>
      </c>
      <c r="G4440">
        <v>102</v>
      </c>
      <c r="H4440" s="9">
        <v>-0.68</v>
      </c>
      <c r="I4440"/>
    </row>
    <row r="4441" spans="1:9" x14ac:dyDescent="0.3">
      <c r="A4441" t="s">
        <v>6</v>
      </c>
      <c r="B4441" t="s">
        <v>16</v>
      </c>
      <c r="C4441" t="s">
        <v>152</v>
      </c>
      <c r="D4441" s="9" t="s">
        <v>150</v>
      </c>
      <c r="E4441" t="s">
        <v>34</v>
      </c>
      <c r="F4441" t="s">
        <v>65</v>
      </c>
      <c r="G4441">
        <v>122.6</v>
      </c>
      <c r="H4441" s="9">
        <v>-0.73</v>
      </c>
      <c r="I4441"/>
    </row>
    <row r="4442" spans="1:9" x14ac:dyDescent="0.3">
      <c r="A4442" t="s">
        <v>6</v>
      </c>
      <c r="B4442" t="s">
        <v>16</v>
      </c>
      <c r="C4442" t="s">
        <v>153</v>
      </c>
      <c r="D4442" s="9" t="s">
        <v>150</v>
      </c>
      <c r="E4442" t="s">
        <v>35</v>
      </c>
      <c r="F4442" t="s">
        <v>67</v>
      </c>
      <c r="G4442">
        <v>129.1</v>
      </c>
      <c r="H4442" s="9">
        <v>-0.62</v>
      </c>
      <c r="I4442"/>
    </row>
    <row r="4443" spans="1:9" x14ac:dyDescent="0.3">
      <c r="A4443" t="s">
        <v>6</v>
      </c>
      <c r="B4443" t="s">
        <v>16</v>
      </c>
      <c r="C4443" t="s">
        <v>154</v>
      </c>
      <c r="D4443" s="9" t="s">
        <v>150</v>
      </c>
      <c r="E4443" t="s">
        <v>36</v>
      </c>
      <c r="F4443" t="s">
        <v>69</v>
      </c>
      <c r="G4443">
        <v>139.69999999999999</v>
      </c>
      <c r="H4443" s="9">
        <v>7.46</v>
      </c>
      <c r="I4443"/>
    </row>
    <row r="4444" spans="1:9" x14ac:dyDescent="0.3">
      <c r="A4444" t="s">
        <v>6</v>
      </c>
      <c r="B4444" t="s">
        <v>16</v>
      </c>
      <c r="C4444" t="s">
        <v>155</v>
      </c>
      <c r="D4444" s="9" t="s">
        <v>150</v>
      </c>
      <c r="E4444" t="s">
        <v>37</v>
      </c>
      <c r="F4444" t="s">
        <v>71</v>
      </c>
      <c r="G4444">
        <v>138.9</v>
      </c>
      <c r="H4444" s="9">
        <v>3.97</v>
      </c>
      <c r="I4444"/>
    </row>
    <row r="4445" spans="1:9" x14ac:dyDescent="0.3">
      <c r="A4445" t="s">
        <v>6</v>
      </c>
      <c r="B4445" t="s">
        <v>13</v>
      </c>
      <c r="C4445" t="s">
        <v>59</v>
      </c>
      <c r="D4445" s="9" t="s">
        <v>60</v>
      </c>
      <c r="E4445" t="s">
        <v>32</v>
      </c>
      <c r="F4445" t="s">
        <v>61</v>
      </c>
      <c r="G4445">
        <v>107.6</v>
      </c>
      <c r="I4445"/>
    </row>
    <row r="4446" spans="1:9" x14ac:dyDescent="0.3">
      <c r="A4446" t="s">
        <v>6</v>
      </c>
      <c r="B4446" t="s">
        <v>13</v>
      </c>
      <c r="C4446" t="s">
        <v>62</v>
      </c>
      <c r="D4446" s="9" t="s">
        <v>60</v>
      </c>
      <c r="E4446" t="s">
        <v>33</v>
      </c>
      <c r="F4446" t="s">
        <v>63</v>
      </c>
      <c r="G4446">
        <v>92</v>
      </c>
      <c r="I4446"/>
    </row>
    <row r="4447" spans="1:9" x14ac:dyDescent="0.3">
      <c r="A4447" t="s">
        <v>6</v>
      </c>
      <c r="B4447" t="s">
        <v>13</v>
      </c>
      <c r="C4447" t="s">
        <v>64</v>
      </c>
      <c r="D4447" s="9" t="s">
        <v>60</v>
      </c>
      <c r="E4447" t="s">
        <v>34</v>
      </c>
      <c r="F4447" t="s">
        <v>65</v>
      </c>
      <c r="G4447">
        <v>98.8</v>
      </c>
      <c r="I4447"/>
    </row>
    <row r="4448" spans="1:9" x14ac:dyDescent="0.3">
      <c r="A4448" t="s">
        <v>6</v>
      </c>
      <c r="B4448" t="s">
        <v>13</v>
      </c>
      <c r="C4448" t="s">
        <v>66</v>
      </c>
      <c r="D4448" s="9" t="s">
        <v>60</v>
      </c>
      <c r="E4448" t="s">
        <v>35</v>
      </c>
      <c r="F4448" t="s">
        <v>67</v>
      </c>
      <c r="G4448">
        <v>91.6</v>
      </c>
      <c r="I4448"/>
    </row>
    <row r="4449" spans="1:9" x14ac:dyDescent="0.3">
      <c r="A4449" t="s">
        <v>6</v>
      </c>
      <c r="B4449" t="s">
        <v>13</v>
      </c>
      <c r="C4449" t="s">
        <v>68</v>
      </c>
      <c r="D4449" s="9" t="s">
        <v>60</v>
      </c>
      <c r="E4449" t="s">
        <v>36</v>
      </c>
      <c r="F4449" t="s">
        <v>69</v>
      </c>
      <c r="G4449">
        <v>107.6</v>
      </c>
      <c r="I4449"/>
    </row>
    <row r="4450" spans="1:9" x14ac:dyDescent="0.3">
      <c r="A4450" t="s">
        <v>6</v>
      </c>
      <c r="B4450" t="s">
        <v>13</v>
      </c>
      <c r="C4450" t="s">
        <v>70</v>
      </c>
      <c r="D4450" s="9" t="s">
        <v>60</v>
      </c>
      <c r="E4450" t="s">
        <v>37</v>
      </c>
      <c r="F4450" t="s">
        <v>71</v>
      </c>
      <c r="G4450">
        <v>115</v>
      </c>
      <c r="I4450"/>
    </row>
    <row r="4451" spans="1:9" x14ac:dyDescent="0.3">
      <c r="A4451" t="s">
        <v>6</v>
      </c>
      <c r="B4451" t="s">
        <v>13</v>
      </c>
      <c r="C4451" t="s">
        <v>72</v>
      </c>
      <c r="D4451" s="9" t="s">
        <v>60</v>
      </c>
      <c r="E4451" t="s">
        <v>38</v>
      </c>
      <c r="F4451" t="s">
        <v>73</v>
      </c>
      <c r="G4451">
        <v>105.9</v>
      </c>
      <c r="I4451"/>
    </row>
    <row r="4452" spans="1:9" x14ac:dyDescent="0.3">
      <c r="A4452" t="s">
        <v>6</v>
      </c>
      <c r="B4452" t="s">
        <v>13</v>
      </c>
      <c r="C4452" t="s">
        <v>74</v>
      </c>
      <c r="D4452" s="9" t="s">
        <v>60</v>
      </c>
      <c r="E4452" t="s">
        <v>39</v>
      </c>
      <c r="F4452" t="s">
        <v>75</v>
      </c>
      <c r="G4452">
        <v>103.4</v>
      </c>
      <c r="I4452"/>
    </row>
    <row r="4453" spans="1:9" x14ac:dyDescent="0.3">
      <c r="A4453" t="s">
        <v>6</v>
      </c>
      <c r="B4453" t="s">
        <v>13</v>
      </c>
      <c r="C4453" t="s">
        <v>76</v>
      </c>
      <c r="D4453" s="9" t="s">
        <v>60</v>
      </c>
      <c r="E4453" t="s">
        <v>40</v>
      </c>
      <c r="F4453" t="s">
        <v>77</v>
      </c>
      <c r="G4453">
        <v>98.5</v>
      </c>
      <c r="I4453"/>
    </row>
    <row r="4454" spans="1:9" x14ac:dyDescent="0.3">
      <c r="A4454" t="s">
        <v>6</v>
      </c>
      <c r="B4454" t="s">
        <v>13</v>
      </c>
      <c r="C4454" t="s">
        <v>78</v>
      </c>
      <c r="D4454" s="9" t="s">
        <v>60</v>
      </c>
      <c r="E4454" t="s">
        <v>41</v>
      </c>
      <c r="F4454" t="s">
        <v>79</v>
      </c>
      <c r="G4454">
        <v>100.8</v>
      </c>
      <c r="I4454"/>
    </row>
    <row r="4455" spans="1:9" x14ac:dyDescent="0.3">
      <c r="A4455" t="s">
        <v>6</v>
      </c>
      <c r="B4455" t="s">
        <v>13</v>
      </c>
      <c r="C4455" t="s">
        <v>80</v>
      </c>
      <c r="D4455" s="9" t="s">
        <v>60</v>
      </c>
      <c r="E4455" t="s">
        <v>42</v>
      </c>
      <c r="F4455" t="s">
        <v>81</v>
      </c>
      <c r="G4455">
        <v>119.2</v>
      </c>
      <c r="I4455"/>
    </row>
    <row r="4456" spans="1:9" x14ac:dyDescent="0.3">
      <c r="A4456" t="s">
        <v>6</v>
      </c>
      <c r="B4456" t="s">
        <v>13</v>
      </c>
      <c r="C4456" t="s">
        <v>82</v>
      </c>
      <c r="D4456" s="9" t="s">
        <v>60</v>
      </c>
      <c r="E4456" t="s">
        <v>43</v>
      </c>
      <c r="F4456" t="s">
        <v>83</v>
      </c>
      <c r="G4456">
        <v>152</v>
      </c>
      <c r="I4456"/>
    </row>
    <row r="4457" spans="1:9" x14ac:dyDescent="0.3">
      <c r="A4457" t="s">
        <v>6</v>
      </c>
      <c r="B4457" t="s">
        <v>13</v>
      </c>
      <c r="C4457" t="s">
        <v>84</v>
      </c>
      <c r="D4457" s="9" t="s">
        <v>85</v>
      </c>
      <c r="E4457" t="s">
        <v>32</v>
      </c>
      <c r="F4457" t="s">
        <v>61</v>
      </c>
      <c r="G4457">
        <v>106</v>
      </c>
      <c r="H4457" s="9">
        <v>-1.49</v>
      </c>
      <c r="I4457"/>
    </row>
    <row r="4458" spans="1:9" x14ac:dyDescent="0.3">
      <c r="A4458" t="s">
        <v>6</v>
      </c>
      <c r="B4458" t="s">
        <v>13</v>
      </c>
      <c r="C4458" t="s">
        <v>86</v>
      </c>
      <c r="D4458" s="9" t="s">
        <v>85</v>
      </c>
      <c r="E4458" t="s">
        <v>33</v>
      </c>
      <c r="F4458" t="s">
        <v>63</v>
      </c>
      <c r="G4458">
        <v>95</v>
      </c>
      <c r="H4458" s="9">
        <v>3.26</v>
      </c>
      <c r="I4458"/>
    </row>
    <row r="4459" spans="1:9" x14ac:dyDescent="0.3">
      <c r="A4459" t="s">
        <v>6</v>
      </c>
      <c r="B4459" t="s">
        <v>13</v>
      </c>
      <c r="C4459" t="s">
        <v>87</v>
      </c>
      <c r="D4459" s="9" t="s">
        <v>85</v>
      </c>
      <c r="E4459" t="s">
        <v>34</v>
      </c>
      <c r="F4459" t="s">
        <v>65</v>
      </c>
      <c r="G4459">
        <v>107.6</v>
      </c>
      <c r="H4459" s="9">
        <v>8.91</v>
      </c>
      <c r="I4459"/>
    </row>
    <row r="4460" spans="1:9" x14ac:dyDescent="0.3">
      <c r="A4460" t="s">
        <v>6</v>
      </c>
      <c r="B4460" t="s">
        <v>13</v>
      </c>
      <c r="C4460" t="s">
        <v>88</v>
      </c>
      <c r="D4460" s="9" t="s">
        <v>85</v>
      </c>
      <c r="E4460" t="s">
        <v>35</v>
      </c>
      <c r="F4460" t="s">
        <v>67</v>
      </c>
      <c r="G4460">
        <v>102.2</v>
      </c>
      <c r="H4460" s="9">
        <v>11.57</v>
      </c>
      <c r="I4460"/>
    </row>
    <row r="4461" spans="1:9" x14ac:dyDescent="0.3">
      <c r="A4461" t="s">
        <v>6</v>
      </c>
      <c r="B4461" t="s">
        <v>13</v>
      </c>
      <c r="C4461" t="s">
        <v>89</v>
      </c>
      <c r="D4461" s="9" t="s">
        <v>85</v>
      </c>
      <c r="E4461" t="s">
        <v>36</v>
      </c>
      <c r="F4461" t="s">
        <v>69</v>
      </c>
      <c r="G4461">
        <v>132.9</v>
      </c>
      <c r="H4461" s="9">
        <v>23.51</v>
      </c>
      <c r="I4461"/>
    </row>
    <row r="4462" spans="1:9" x14ac:dyDescent="0.3">
      <c r="A4462" t="s">
        <v>6</v>
      </c>
      <c r="B4462" t="s">
        <v>13</v>
      </c>
      <c r="C4462" t="s">
        <v>90</v>
      </c>
      <c r="D4462" s="9" t="s">
        <v>85</v>
      </c>
      <c r="E4462" t="s">
        <v>37</v>
      </c>
      <c r="F4462" t="s">
        <v>71</v>
      </c>
      <c r="G4462">
        <v>147</v>
      </c>
      <c r="H4462" s="9">
        <v>27.83</v>
      </c>
      <c r="I4462"/>
    </row>
    <row r="4463" spans="1:9" x14ac:dyDescent="0.3">
      <c r="A4463" t="s">
        <v>6</v>
      </c>
      <c r="B4463" t="s">
        <v>13</v>
      </c>
      <c r="C4463" t="s">
        <v>91</v>
      </c>
      <c r="D4463" s="9" t="s">
        <v>85</v>
      </c>
      <c r="E4463" t="s">
        <v>38</v>
      </c>
      <c r="F4463" t="s">
        <v>73</v>
      </c>
      <c r="G4463">
        <v>143.4</v>
      </c>
      <c r="H4463" s="9">
        <v>35.409999999999997</v>
      </c>
      <c r="I4463"/>
    </row>
    <row r="4464" spans="1:9" x14ac:dyDescent="0.3">
      <c r="A4464" t="s">
        <v>6</v>
      </c>
      <c r="B4464" t="s">
        <v>13</v>
      </c>
      <c r="C4464" t="s">
        <v>92</v>
      </c>
      <c r="D4464" s="9" t="s">
        <v>85</v>
      </c>
      <c r="E4464" t="s">
        <v>39</v>
      </c>
      <c r="F4464" t="s">
        <v>75</v>
      </c>
      <c r="G4464">
        <v>138.19999999999999</v>
      </c>
      <c r="H4464" s="9">
        <v>33.659999999999997</v>
      </c>
      <c r="I4464"/>
    </row>
    <row r="4465" spans="1:9" x14ac:dyDescent="0.3">
      <c r="A4465" t="s">
        <v>6</v>
      </c>
      <c r="B4465" t="s">
        <v>13</v>
      </c>
      <c r="C4465" t="s">
        <v>93</v>
      </c>
      <c r="D4465" s="9" t="s">
        <v>85</v>
      </c>
      <c r="E4465" t="s">
        <v>40</v>
      </c>
      <c r="F4465" t="s">
        <v>77</v>
      </c>
      <c r="G4465">
        <v>123.7</v>
      </c>
      <c r="H4465" s="9">
        <v>25.58</v>
      </c>
      <c r="I4465"/>
    </row>
    <row r="4466" spans="1:9" x14ac:dyDescent="0.3">
      <c r="A4466" t="s">
        <v>6</v>
      </c>
      <c r="B4466" t="s">
        <v>13</v>
      </c>
      <c r="C4466" t="s">
        <v>94</v>
      </c>
      <c r="D4466" s="9" t="s">
        <v>85</v>
      </c>
      <c r="E4466" t="s">
        <v>41</v>
      </c>
      <c r="F4466" t="s">
        <v>79</v>
      </c>
      <c r="G4466">
        <v>130.9</v>
      </c>
      <c r="H4466" s="9">
        <v>29.86</v>
      </c>
      <c r="I4466"/>
    </row>
    <row r="4467" spans="1:9" x14ac:dyDescent="0.3">
      <c r="A4467" t="s">
        <v>6</v>
      </c>
      <c r="B4467" t="s">
        <v>13</v>
      </c>
      <c r="C4467" t="s">
        <v>95</v>
      </c>
      <c r="D4467" s="9" t="s">
        <v>85</v>
      </c>
      <c r="E4467" t="s">
        <v>42</v>
      </c>
      <c r="F4467" t="s">
        <v>81</v>
      </c>
      <c r="G4467">
        <v>153</v>
      </c>
      <c r="H4467" s="9">
        <v>28.36</v>
      </c>
      <c r="I4467"/>
    </row>
    <row r="4468" spans="1:9" x14ac:dyDescent="0.3">
      <c r="A4468" t="s">
        <v>6</v>
      </c>
      <c r="B4468" t="s">
        <v>13</v>
      </c>
      <c r="C4468" t="s">
        <v>96</v>
      </c>
      <c r="D4468" s="9" t="s">
        <v>85</v>
      </c>
      <c r="E4468" t="s">
        <v>43</v>
      </c>
      <c r="F4468" t="s">
        <v>83</v>
      </c>
      <c r="G4468">
        <v>189</v>
      </c>
      <c r="H4468" s="9">
        <v>24.34</v>
      </c>
      <c r="I4468"/>
    </row>
    <row r="4469" spans="1:9" x14ac:dyDescent="0.3">
      <c r="A4469" t="s">
        <v>6</v>
      </c>
      <c r="B4469" t="s">
        <v>13</v>
      </c>
      <c r="C4469" t="s">
        <v>97</v>
      </c>
      <c r="D4469" s="9" t="s">
        <v>98</v>
      </c>
      <c r="E4469" t="s">
        <v>32</v>
      </c>
      <c r="F4469" t="s">
        <v>61</v>
      </c>
      <c r="G4469">
        <v>128.1</v>
      </c>
      <c r="H4469" s="9">
        <v>20.85</v>
      </c>
      <c r="I4469"/>
    </row>
    <row r="4470" spans="1:9" x14ac:dyDescent="0.3">
      <c r="A4470" t="s">
        <v>6</v>
      </c>
      <c r="B4470" t="s">
        <v>13</v>
      </c>
      <c r="C4470" t="s">
        <v>99</v>
      </c>
      <c r="D4470" s="9" t="s">
        <v>98</v>
      </c>
      <c r="E4470" t="s">
        <v>33</v>
      </c>
      <c r="F4470" t="s">
        <v>63</v>
      </c>
      <c r="G4470">
        <v>118.4</v>
      </c>
      <c r="H4470" s="9">
        <v>24.63</v>
      </c>
      <c r="I4470"/>
    </row>
    <row r="4471" spans="1:9" x14ac:dyDescent="0.3">
      <c r="A4471" t="s">
        <v>6</v>
      </c>
      <c r="B4471" t="s">
        <v>13</v>
      </c>
      <c r="C4471" t="s">
        <v>100</v>
      </c>
      <c r="D4471" s="9" t="s">
        <v>98</v>
      </c>
      <c r="E4471" t="s">
        <v>34</v>
      </c>
      <c r="F4471" t="s">
        <v>65</v>
      </c>
      <c r="G4471">
        <v>119.4</v>
      </c>
      <c r="H4471" s="9">
        <v>10.97</v>
      </c>
      <c r="I4471"/>
    </row>
    <row r="4472" spans="1:9" x14ac:dyDescent="0.3">
      <c r="A4472" t="s">
        <v>6</v>
      </c>
      <c r="B4472" t="s">
        <v>13</v>
      </c>
      <c r="C4472" t="s">
        <v>101</v>
      </c>
      <c r="D4472" s="9" t="s">
        <v>98</v>
      </c>
      <c r="E4472" t="s">
        <v>35</v>
      </c>
      <c r="F4472" t="s">
        <v>67</v>
      </c>
      <c r="G4472">
        <v>111</v>
      </c>
      <c r="H4472" s="9">
        <v>8.61</v>
      </c>
      <c r="I4472"/>
    </row>
    <row r="4473" spans="1:9" x14ac:dyDescent="0.3">
      <c r="A4473" t="s">
        <v>6</v>
      </c>
      <c r="B4473" t="s">
        <v>13</v>
      </c>
      <c r="C4473" t="s">
        <v>102</v>
      </c>
      <c r="D4473" s="9" t="s">
        <v>98</v>
      </c>
      <c r="E4473" t="s">
        <v>36</v>
      </c>
      <c r="F4473" t="s">
        <v>69</v>
      </c>
      <c r="G4473">
        <v>124.2</v>
      </c>
      <c r="H4473" s="9">
        <v>-6.55</v>
      </c>
      <c r="I4473"/>
    </row>
    <row r="4474" spans="1:9" x14ac:dyDescent="0.3">
      <c r="A4474" t="s">
        <v>6</v>
      </c>
      <c r="B4474" t="s">
        <v>13</v>
      </c>
      <c r="C4474" t="s">
        <v>103</v>
      </c>
      <c r="D4474" s="9" t="s">
        <v>98</v>
      </c>
      <c r="E4474" t="s">
        <v>37</v>
      </c>
      <c r="F4474" t="s">
        <v>71</v>
      </c>
      <c r="G4474">
        <v>142</v>
      </c>
      <c r="H4474" s="9">
        <v>-3.4</v>
      </c>
      <c r="I4474"/>
    </row>
    <row r="4475" spans="1:9" x14ac:dyDescent="0.3">
      <c r="A4475" t="s">
        <v>6</v>
      </c>
      <c r="B4475" t="s">
        <v>13</v>
      </c>
      <c r="C4475" t="s">
        <v>104</v>
      </c>
      <c r="D4475" s="9" t="s">
        <v>98</v>
      </c>
      <c r="E4475" t="s">
        <v>38</v>
      </c>
      <c r="F4475" t="s">
        <v>73</v>
      </c>
      <c r="G4475">
        <v>128.30000000000001</v>
      </c>
      <c r="H4475" s="9">
        <v>-10.53</v>
      </c>
      <c r="I4475"/>
    </row>
    <row r="4476" spans="1:9" x14ac:dyDescent="0.3">
      <c r="A4476" t="s">
        <v>6</v>
      </c>
      <c r="B4476" t="s">
        <v>13</v>
      </c>
      <c r="C4476" t="s">
        <v>105</v>
      </c>
      <c r="D4476" s="9" t="s">
        <v>98</v>
      </c>
      <c r="E4476" t="s">
        <v>39</v>
      </c>
      <c r="F4476" t="s">
        <v>75</v>
      </c>
      <c r="G4476">
        <v>142.1</v>
      </c>
      <c r="H4476" s="9">
        <v>2.82</v>
      </c>
      <c r="I4476"/>
    </row>
    <row r="4477" spans="1:9" x14ac:dyDescent="0.3">
      <c r="A4477" t="s">
        <v>6</v>
      </c>
      <c r="B4477" t="s">
        <v>13</v>
      </c>
      <c r="C4477" t="s">
        <v>106</v>
      </c>
      <c r="D4477" s="9" t="s">
        <v>98</v>
      </c>
      <c r="E4477" t="s">
        <v>40</v>
      </c>
      <c r="F4477" t="s">
        <v>77</v>
      </c>
      <c r="G4477">
        <v>141.5</v>
      </c>
      <c r="H4477" s="9">
        <v>14.39</v>
      </c>
      <c r="I4477"/>
    </row>
    <row r="4478" spans="1:9" x14ac:dyDescent="0.3">
      <c r="A4478" t="s">
        <v>6</v>
      </c>
      <c r="B4478" t="s">
        <v>13</v>
      </c>
      <c r="C4478" t="s">
        <v>107</v>
      </c>
      <c r="D4478" s="9" t="s">
        <v>98</v>
      </c>
      <c r="E4478" t="s">
        <v>41</v>
      </c>
      <c r="F4478" t="s">
        <v>79</v>
      </c>
      <c r="G4478">
        <v>142.19999999999999</v>
      </c>
      <c r="H4478" s="9">
        <v>8.6300000000000008</v>
      </c>
      <c r="I4478"/>
    </row>
    <row r="4479" spans="1:9" x14ac:dyDescent="0.3">
      <c r="A4479" t="s">
        <v>6</v>
      </c>
      <c r="B4479" t="s">
        <v>13</v>
      </c>
      <c r="C4479" t="s">
        <v>108</v>
      </c>
      <c r="D4479" s="9" t="s">
        <v>98</v>
      </c>
      <c r="E4479" t="s">
        <v>42</v>
      </c>
      <c r="F4479" t="s">
        <v>81</v>
      </c>
      <c r="G4479">
        <v>168.2</v>
      </c>
      <c r="H4479" s="9">
        <v>9.93</v>
      </c>
      <c r="I4479"/>
    </row>
    <row r="4480" spans="1:9" x14ac:dyDescent="0.3">
      <c r="A4480" t="s">
        <v>6</v>
      </c>
      <c r="B4480" t="s">
        <v>13</v>
      </c>
      <c r="C4480" t="s">
        <v>109</v>
      </c>
      <c r="D4480" s="9" t="s">
        <v>98</v>
      </c>
      <c r="E4480" t="s">
        <v>43</v>
      </c>
      <c r="F4480" t="s">
        <v>83</v>
      </c>
      <c r="G4480">
        <v>182.8</v>
      </c>
      <c r="H4480" s="9">
        <v>-3.28</v>
      </c>
      <c r="I4480"/>
    </row>
    <row r="4481" spans="1:9" x14ac:dyDescent="0.3">
      <c r="A4481" t="s">
        <v>6</v>
      </c>
      <c r="B4481" t="s">
        <v>13</v>
      </c>
      <c r="C4481" t="s">
        <v>110</v>
      </c>
      <c r="D4481" s="9" t="s">
        <v>111</v>
      </c>
      <c r="E4481" t="s">
        <v>32</v>
      </c>
      <c r="F4481" t="s">
        <v>61</v>
      </c>
      <c r="G4481">
        <v>128.5</v>
      </c>
      <c r="H4481" s="9">
        <v>0.31</v>
      </c>
      <c r="I4481"/>
    </row>
    <row r="4482" spans="1:9" x14ac:dyDescent="0.3">
      <c r="A4482" t="s">
        <v>6</v>
      </c>
      <c r="B4482" t="s">
        <v>13</v>
      </c>
      <c r="C4482" t="s">
        <v>112</v>
      </c>
      <c r="D4482" s="9" t="s">
        <v>111</v>
      </c>
      <c r="E4482" t="s">
        <v>33</v>
      </c>
      <c r="F4482" t="s">
        <v>63</v>
      </c>
      <c r="G4482">
        <v>123.1</v>
      </c>
      <c r="H4482" s="9">
        <v>3.97</v>
      </c>
      <c r="I4482"/>
    </row>
    <row r="4483" spans="1:9" x14ac:dyDescent="0.3">
      <c r="A4483" t="s">
        <v>6</v>
      </c>
      <c r="B4483" t="s">
        <v>13</v>
      </c>
      <c r="C4483" t="s">
        <v>113</v>
      </c>
      <c r="D4483" s="9" t="s">
        <v>111</v>
      </c>
      <c r="E4483" t="s">
        <v>34</v>
      </c>
      <c r="F4483" t="s">
        <v>65</v>
      </c>
      <c r="G4483">
        <v>126.3</v>
      </c>
      <c r="H4483" s="9">
        <v>5.78</v>
      </c>
      <c r="I4483"/>
    </row>
    <row r="4484" spans="1:9" x14ac:dyDescent="0.3">
      <c r="A4484" t="s">
        <v>6</v>
      </c>
      <c r="B4484" t="s">
        <v>13</v>
      </c>
      <c r="C4484" t="s">
        <v>114</v>
      </c>
      <c r="D4484" s="9" t="s">
        <v>111</v>
      </c>
      <c r="E4484" t="s">
        <v>35</v>
      </c>
      <c r="F4484" t="s">
        <v>67</v>
      </c>
      <c r="G4484">
        <v>107.4</v>
      </c>
      <c r="H4484" s="9">
        <v>-3.24</v>
      </c>
      <c r="I4484"/>
    </row>
    <row r="4485" spans="1:9" x14ac:dyDescent="0.3">
      <c r="A4485" t="s">
        <v>6</v>
      </c>
      <c r="B4485" t="s">
        <v>13</v>
      </c>
      <c r="C4485" t="s">
        <v>115</v>
      </c>
      <c r="D4485" s="9" t="s">
        <v>111</v>
      </c>
      <c r="E4485" t="s">
        <v>36</v>
      </c>
      <c r="F4485" t="s">
        <v>69</v>
      </c>
      <c r="G4485">
        <v>119.7</v>
      </c>
      <c r="H4485" s="9">
        <v>-3.62</v>
      </c>
      <c r="I4485"/>
    </row>
    <row r="4486" spans="1:9" x14ac:dyDescent="0.3">
      <c r="A4486" t="s">
        <v>6</v>
      </c>
      <c r="B4486" t="s">
        <v>13</v>
      </c>
      <c r="C4486" t="s">
        <v>116</v>
      </c>
      <c r="D4486" s="9" t="s">
        <v>111</v>
      </c>
      <c r="E4486" t="s">
        <v>37</v>
      </c>
      <c r="F4486" t="s">
        <v>71</v>
      </c>
      <c r="G4486">
        <v>130.80000000000001</v>
      </c>
      <c r="H4486" s="9">
        <v>-7.89</v>
      </c>
      <c r="I4486"/>
    </row>
    <row r="4487" spans="1:9" x14ac:dyDescent="0.3">
      <c r="A4487" t="s">
        <v>6</v>
      </c>
      <c r="B4487" t="s">
        <v>13</v>
      </c>
      <c r="C4487" t="s">
        <v>117</v>
      </c>
      <c r="D4487" s="9" t="s">
        <v>111</v>
      </c>
      <c r="E4487" t="s">
        <v>38</v>
      </c>
      <c r="F4487" t="s">
        <v>73</v>
      </c>
      <c r="G4487">
        <v>125.9</v>
      </c>
      <c r="H4487" s="9">
        <v>-1.87</v>
      </c>
      <c r="I4487"/>
    </row>
    <row r="4488" spans="1:9" x14ac:dyDescent="0.3">
      <c r="A4488" t="s">
        <v>6</v>
      </c>
      <c r="B4488" t="s">
        <v>13</v>
      </c>
      <c r="C4488" t="s">
        <v>118</v>
      </c>
      <c r="D4488" s="9" t="s">
        <v>111</v>
      </c>
      <c r="E4488" t="s">
        <v>39</v>
      </c>
      <c r="F4488" t="s">
        <v>75</v>
      </c>
      <c r="G4488">
        <v>125.1</v>
      </c>
      <c r="H4488" s="9">
        <v>-11.96</v>
      </c>
      <c r="I4488"/>
    </row>
    <row r="4489" spans="1:9" x14ac:dyDescent="0.3">
      <c r="A4489" t="s">
        <v>6</v>
      </c>
      <c r="B4489" t="s">
        <v>13</v>
      </c>
      <c r="C4489" t="s">
        <v>119</v>
      </c>
      <c r="D4489" s="9" t="s">
        <v>111</v>
      </c>
      <c r="E4489" t="s">
        <v>40</v>
      </c>
      <c r="F4489" t="s">
        <v>77</v>
      </c>
      <c r="G4489">
        <v>126.9</v>
      </c>
      <c r="H4489" s="9">
        <v>-10.32</v>
      </c>
      <c r="I4489"/>
    </row>
    <row r="4490" spans="1:9" x14ac:dyDescent="0.3">
      <c r="A4490" t="s">
        <v>6</v>
      </c>
      <c r="B4490" t="s">
        <v>13</v>
      </c>
      <c r="C4490" t="s">
        <v>120</v>
      </c>
      <c r="D4490" s="9" t="s">
        <v>111</v>
      </c>
      <c r="E4490" t="s">
        <v>41</v>
      </c>
      <c r="F4490" t="s">
        <v>79</v>
      </c>
      <c r="G4490">
        <v>123.4</v>
      </c>
      <c r="H4490" s="9">
        <v>-13.22</v>
      </c>
      <c r="I4490"/>
    </row>
    <row r="4491" spans="1:9" x14ac:dyDescent="0.3">
      <c r="A4491" t="s">
        <v>6</v>
      </c>
      <c r="B4491" t="s">
        <v>13</v>
      </c>
      <c r="C4491" t="s">
        <v>121</v>
      </c>
      <c r="D4491" s="9" t="s">
        <v>111</v>
      </c>
      <c r="E4491" t="s">
        <v>42</v>
      </c>
      <c r="F4491" t="s">
        <v>81</v>
      </c>
      <c r="G4491">
        <v>156.80000000000001</v>
      </c>
      <c r="H4491" s="9">
        <v>-6.78</v>
      </c>
      <c r="I4491"/>
    </row>
    <row r="4492" spans="1:9" x14ac:dyDescent="0.3">
      <c r="A4492" t="s">
        <v>6</v>
      </c>
      <c r="B4492" t="s">
        <v>13</v>
      </c>
      <c r="C4492" t="s">
        <v>122</v>
      </c>
      <c r="D4492" s="9" t="s">
        <v>111</v>
      </c>
      <c r="E4492" t="s">
        <v>43</v>
      </c>
      <c r="F4492" t="s">
        <v>83</v>
      </c>
      <c r="G4492">
        <v>172.3</v>
      </c>
      <c r="H4492" s="9">
        <v>-5.74</v>
      </c>
      <c r="I4492"/>
    </row>
    <row r="4493" spans="1:9" x14ac:dyDescent="0.3">
      <c r="A4493" t="s">
        <v>6</v>
      </c>
      <c r="B4493" t="s">
        <v>13</v>
      </c>
      <c r="C4493" t="s">
        <v>123</v>
      </c>
      <c r="D4493" s="9" t="s">
        <v>124</v>
      </c>
      <c r="E4493" t="s">
        <v>32</v>
      </c>
      <c r="F4493" t="s">
        <v>61</v>
      </c>
      <c r="G4493">
        <v>126.7</v>
      </c>
      <c r="H4493" s="9">
        <v>-1.4</v>
      </c>
      <c r="I4493"/>
    </row>
    <row r="4494" spans="1:9" x14ac:dyDescent="0.3">
      <c r="A4494" t="s">
        <v>6</v>
      </c>
      <c r="B4494" t="s">
        <v>13</v>
      </c>
      <c r="C4494" t="s">
        <v>125</v>
      </c>
      <c r="D4494" s="9" t="s">
        <v>124</v>
      </c>
      <c r="E4494" t="s">
        <v>33</v>
      </c>
      <c r="F4494" t="s">
        <v>63</v>
      </c>
      <c r="G4494">
        <v>116.4</v>
      </c>
      <c r="H4494" s="9">
        <v>-5.44</v>
      </c>
      <c r="I4494"/>
    </row>
    <row r="4495" spans="1:9" x14ac:dyDescent="0.3">
      <c r="A4495" t="s">
        <v>6</v>
      </c>
      <c r="B4495" t="s">
        <v>13</v>
      </c>
      <c r="C4495" t="s">
        <v>126</v>
      </c>
      <c r="D4495" s="9" t="s">
        <v>124</v>
      </c>
      <c r="E4495" t="s">
        <v>34</v>
      </c>
      <c r="F4495" t="s">
        <v>65</v>
      </c>
      <c r="G4495">
        <v>117.9</v>
      </c>
      <c r="H4495" s="9">
        <v>-6.65</v>
      </c>
      <c r="I4495"/>
    </row>
    <row r="4496" spans="1:9" x14ac:dyDescent="0.3">
      <c r="A4496" t="s">
        <v>6</v>
      </c>
      <c r="B4496" t="s">
        <v>13</v>
      </c>
      <c r="C4496" t="s">
        <v>127</v>
      </c>
      <c r="D4496" s="9" t="s">
        <v>124</v>
      </c>
      <c r="E4496" t="s">
        <v>35</v>
      </c>
      <c r="F4496" t="s">
        <v>67</v>
      </c>
      <c r="G4496">
        <v>106.3</v>
      </c>
      <c r="H4496" s="9">
        <v>-1.02</v>
      </c>
      <c r="I4496"/>
    </row>
    <row r="4497" spans="1:9" x14ac:dyDescent="0.3">
      <c r="A4497" t="s">
        <v>6</v>
      </c>
      <c r="B4497" t="s">
        <v>13</v>
      </c>
      <c r="C4497" t="s">
        <v>128</v>
      </c>
      <c r="D4497" s="9" t="s">
        <v>124</v>
      </c>
      <c r="E4497" t="s">
        <v>36</v>
      </c>
      <c r="F4497" t="s">
        <v>69</v>
      </c>
      <c r="G4497">
        <v>122.2</v>
      </c>
      <c r="H4497" s="9">
        <v>2.09</v>
      </c>
      <c r="I4497"/>
    </row>
    <row r="4498" spans="1:9" x14ac:dyDescent="0.3">
      <c r="A4498" t="s">
        <v>6</v>
      </c>
      <c r="B4498" t="s">
        <v>13</v>
      </c>
      <c r="C4498" t="s">
        <v>129</v>
      </c>
      <c r="D4498" s="9" t="s">
        <v>124</v>
      </c>
      <c r="E4498" t="s">
        <v>37</v>
      </c>
      <c r="F4498" t="s">
        <v>71</v>
      </c>
      <c r="G4498">
        <v>142.1</v>
      </c>
      <c r="H4498" s="9">
        <v>8.64</v>
      </c>
      <c r="I4498"/>
    </row>
    <row r="4499" spans="1:9" x14ac:dyDescent="0.3">
      <c r="A4499" t="s">
        <v>6</v>
      </c>
      <c r="B4499" t="s">
        <v>13</v>
      </c>
      <c r="C4499" t="s">
        <v>130</v>
      </c>
      <c r="D4499" s="9" t="s">
        <v>124</v>
      </c>
      <c r="E4499" t="s">
        <v>38</v>
      </c>
      <c r="F4499" t="s">
        <v>73</v>
      </c>
      <c r="G4499">
        <v>125.9</v>
      </c>
      <c r="H4499" s="9">
        <v>0</v>
      </c>
      <c r="I4499"/>
    </row>
    <row r="4500" spans="1:9" x14ac:dyDescent="0.3">
      <c r="A4500" t="s">
        <v>6</v>
      </c>
      <c r="B4500" t="s">
        <v>13</v>
      </c>
      <c r="C4500" t="s">
        <v>131</v>
      </c>
      <c r="D4500" s="9" t="s">
        <v>124</v>
      </c>
      <c r="E4500" t="s">
        <v>39</v>
      </c>
      <c r="F4500" t="s">
        <v>75</v>
      </c>
      <c r="G4500">
        <v>122.8</v>
      </c>
      <c r="H4500" s="9">
        <v>-1.84</v>
      </c>
      <c r="I4500"/>
    </row>
    <row r="4501" spans="1:9" x14ac:dyDescent="0.3">
      <c r="A4501" t="s">
        <v>6</v>
      </c>
      <c r="B4501" t="s">
        <v>13</v>
      </c>
      <c r="C4501" t="s">
        <v>132</v>
      </c>
      <c r="D4501" s="9" t="s">
        <v>124</v>
      </c>
      <c r="E4501" t="s">
        <v>40</v>
      </c>
      <c r="F4501" t="s">
        <v>77</v>
      </c>
      <c r="G4501">
        <v>122.4</v>
      </c>
      <c r="H4501" s="9">
        <v>-3.55</v>
      </c>
      <c r="I4501"/>
    </row>
    <row r="4502" spans="1:9" x14ac:dyDescent="0.3">
      <c r="A4502" t="s">
        <v>6</v>
      </c>
      <c r="B4502" t="s">
        <v>13</v>
      </c>
      <c r="C4502" t="s">
        <v>133</v>
      </c>
      <c r="D4502" s="9" t="s">
        <v>124</v>
      </c>
      <c r="E4502" t="s">
        <v>41</v>
      </c>
      <c r="F4502" t="s">
        <v>79</v>
      </c>
      <c r="G4502">
        <v>125.8</v>
      </c>
      <c r="H4502" s="9">
        <v>1.94</v>
      </c>
      <c r="I4502"/>
    </row>
    <row r="4503" spans="1:9" x14ac:dyDescent="0.3">
      <c r="A4503" t="s">
        <v>6</v>
      </c>
      <c r="B4503" t="s">
        <v>13</v>
      </c>
      <c r="C4503" t="s">
        <v>134</v>
      </c>
      <c r="D4503" s="9" t="s">
        <v>124</v>
      </c>
      <c r="E4503" t="s">
        <v>42</v>
      </c>
      <c r="F4503" t="s">
        <v>81</v>
      </c>
      <c r="G4503">
        <v>170.4</v>
      </c>
      <c r="H4503" s="9">
        <v>8.67</v>
      </c>
      <c r="I4503"/>
    </row>
    <row r="4504" spans="1:9" x14ac:dyDescent="0.3">
      <c r="A4504" t="s">
        <v>6</v>
      </c>
      <c r="B4504" t="s">
        <v>13</v>
      </c>
      <c r="C4504" t="s">
        <v>135</v>
      </c>
      <c r="D4504" s="9" t="s">
        <v>124</v>
      </c>
      <c r="E4504" t="s">
        <v>43</v>
      </c>
      <c r="F4504" t="s">
        <v>83</v>
      </c>
      <c r="G4504">
        <v>173.7</v>
      </c>
      <c r="H4504" s="9">
        <v>0.81</v>
      </c>
      <c r="I4504"/>
    </row>
    <row r="4505" spans="1:9" x14ac:dyDescent="0.3">
      <c r="A4505" t="s">
        <v>6</v>
      </c>
      <c r="B4505" t="s">
        <v>13</v>
      </c>
      <c r="C4505" t="s">
        <v>136</v>
      </c>
      <c r="D4505" s="9" t="s">
        <v>137</v>
      </c>
      <c r="E4505" t="s">
        <v>32</v>
      </c>
      <c r="F4505" t="s">
        <v>61</v>
      </c>
      <c r="G4505">
        <v>130.9</v>
      </c>
      <c r="H4505" s="9">
        <v>3.31</v>
      </c>
      <c r="I4505"/>
    </row>
    <row r="4506" spans="1:9" x14ac:dyDescent="0.3">
      <c r="A4506" t="s">
        <v>6</v>
      </c>
      <c r="B4506" t="s">
        <v>13</v>
      </c>
      <c r="C4506" t="s">
        <v>138</v>
      </c>
      <c r="D4506" s="9" t="s">
        <v>137</v>
      </c>
      <c r="E4506" t="s">
        <v>33</v>
      </c>
      <c r="F4506" t="s">
        <v>63</v>
      </c>
      <c r="G4506">
        <v>120.8</v>
      </c>
      <c r="H4506" s="9">
        <v>3.78</v>
      </c>
      <c r="I4506"/>
    </row>
    <row r="4507" spans="1:9" x14ac:dyDescent="0.3">
      <c r="A4507" t="s">
        <v>6</v>
      </c>
      <c r="B4507" t="s">
        <v>13</v>
      </c>
      <c r="C4507" t="s">
        <v>139</v>
      </c>
      <c r="D4507" s="9" t="s">
        <v>137</v>
      </c>
      <c r="E4507" t="s">
        <v>34</v>
      </c>
      <c r="F4507" t="s">
        <v>65</v>
      </c>
      <c r="G4507">
        <v>123.1</v>
      </c>
      <c r="H4507" s="9">
        <v>4.41</v>
      </c>
      <c r="I4507"/>
    </row>
    <row r="4508" spans="1:9" x14ac:dyDescent="0.3">
      <c r="A4508" t="s">
        <v>6</v>
      </c>
      <c r="B4508" t="s">
        <v>13</v>
      </c>
      <c r="C4508" t="s">
        <v>140</v>
      </c>
      <c r="D4508" s="9" t="s">
        <v>137</v>
      </c>
      <c r="E4508" t="s">
        <v>35</v>
      </c>
      <c r="F4508" t="s">
        <v>67</v>
      </c>
      <c r="G4508">
        <v>113.5</v>
      </c>
      <c r="H4508" s="9">
        <v>6.77</v>
      </c>
      <c r="I4508"/>
    </row>
    <row r="4509" spans="1:9" x14ac:dyDescent="0.3">
      <c r="A4509" t="s">
        <v>6</v>
      </c>
      <c r="B4509" t="s">
        <v>13</v>
      </c>
      <c r="C4509" t="s">
        <v>141</v>
      </c>
      <c r="D4509" s="9" t="s">
        <v>137</v>
      </c>
      <c r="E4509" t="s">
        <v>36</v>
      </c>
      <c r="F4509" t="s">
        <v>69</v>
      </c>
      <c r="G4509">
        <v>128.9</v>
      </c>
      <c r="H4509" s="9">
        <v>5.48</v>
      </c>
      <c r="I4509"/>
    </row>
    <row r="4510" spans="1:9" x14ac:dyDescent="0.3">
      <c r="A4510" t="s">
        <v>6</v>
      </c>
      <c r="B4510" t="s">
        <v>13</v>
      </c>
      <c r="C4510" t="s">
        <v>142</v>
      </c>
      <c r="D4510" s="9" t="s">
        <v>137</v>
      </c>
      <c r="E4510" t="s">
        <v>37</v>
      </c>
      <c r="F4510" t="s">
        <v>71</v>
      </c>
      <c r="G4510">
        <v>145.9</v>
      </c>
      <c r="H4510" s="9">
        <v>2.67</v>
      </c>
      <c r="I4510"/>
    </row>
    <row r="4511" spans="1:9" x14ac:dyDescent="0.3">
      <c r="A4511" t="s">
        <v>6</v>
      </c>
      <c r="B4511" t="s">
        <v>13</v>
      </c>
      <c r="C4511" t="s">
        <v>143</v>
      </c>
      <c r="D4511" s="9" t="s">
        <v>137</v>
      </c>
      <c r="E4511" t="s">
        <v>38</v>
      </c>
      <c r="F4511" t="s">
        <v>73</v>
      </c>
      <c r="G4511">
        <v>130.30000000000001</v>
      </c>
      <c r="H4511" s="9">
        <v>3.49</v>
      </c>
      <c r="I4511"/>
    </row>
    <row r="4512" spans="1:9" x14ac:dyDescent="0.3">
      <c r="A4512" t="s">
        <v>6</v>
      </c>
      <c r="B4512" t="s">
        <v>13</v>
      </c>
      <c r="C4512" t="s">
        <v>144</v>
      </c>
      <c r="D4512" s="9" t="s">
        <v>137</v>
      </c>
      <c r="E4512" t="s">
        <v>39</v>
      </c>
      <c r="F4512" t="s">
        <v>75</v>
      </c>
      <c r="G4512">
        <v>128.9</v>
      </c>
      <c r="H4512" s="9">
        <v>4.97</v>
      </c>
      <c r="I4512"/>
    </row>
    <row r="4513" spans="1:9" x14ac:dyDescent="0.3">
      <c r="A4513" t="s">
        <v>6</v>
      </c>
      <c r="B4513" t="s">
        <v>13</v>
      </c>
      <c r="C4513" t="s">
        <v>145</v>
      </c>
      <c r="D4513" s="9" t="s">
        <v>137</v>
      </c>
      <c r="E4513" t="s">
        <v>40</v>
      </c>
      <c r="F4513" t="s">
        <v>77</v>
      </c>
      <c r="G4513">
        <v>130.4</v>
      </c>
      <c r="H4513" s="9">
        <v>6.54</v>
      </c>
      <c r="I4513"/>
    </row>
    <row r="4514" spans="1:9" x14ac:dyDescent="0.3">
      <c r="A4514" t="s">
        <v>6</v>
      </c>
      <c r="B4514" t="s">
        <v>13</v>
      </c>
      <c r="C4514" t="s">
        <v>146</v>
      </c>
      <c r="D4514" s="9" t="s">
        <v>137</v>
      </c>
      <c r="E4514" t="s">
        <v>41</v>
      </c>
      <c r="F4514" t="s">
        <v>79</v>
      </c>
      <c r="G4514">
        <v>138</v>
      </c>
      <c r="H4514" s="9">
        <v>9.6999999999999993</v>
      </c>
      <c r="I4514"/>
    </row>
    <row r="4515" spans="1:9" x14ac:dyDescent="0.3">
      <c r="A4515" t="s">
        <v>6</v>
      </c>
      <c r="B4515" t="s">
        <v>13</v>
      </c>
      <c r="C4515" t="s">
        <v>147</v>
      </c>
      <c r="D4515" s="9" t="s">
        <v>137</v>
      </c>
      <c r="E4515" t="s">
        <v>42</v>
      </c>
      <c r="F4515" t="s">
        <v>81</v>
      </c>
      <c r="G4515">
        <v>173.6</v>
      </c>
      <c r="H4515" s="9">
        <v>1.88</v>
      </c>
      <c r="I4515"/>
    </row>
    <row r="4516" spans="1:9" x14ac:dyDescent="0.3">
      <c r="A4516" t="s">
        <v>6</v>
      </c>
      <c r="B4516" t="s">
        <v>13</v>
      </c>
      <c r="C4516" t="s">
        <v>148</v>
      </c>
      <c r="D4516" s="9" t="s">
        <v>137</v>
      </c>
      <c r="E4516" t="s">
        <v>43</v>
      </c>
      <c r="F4516" t="s">
        <v>83</v>
      </c>
      <c r="G4516">
        <v>191.8</v>
      </c>
      <c r="H4516" s="9">
        <v>10.42</v>
      </c>
      <c r="I4516"/>
    </row>
    <row r="4517" spans="1:9" x14ac:dyDescent="0.3">
      <c r="A4517" t="s">
        <v>6</v>
      </c>
      <c r="B4517" t="s">
        <v>13</v>
      </c>
      <c r="C4517" t="s">
        <v>149</v>
      </c>
      <c r="D4517" s="9" t="s">
        <v>150</v>
      </c>
      <c r="E4517" t="s">
        <v>32</v>
      </c>
      <c r="F4517" t="s">
        <v>61</v>
      </c>
      <c r="G4517">
        <v>132.19999999999999</v>
      </c>
      <c r="H4517" s="9">
        <v>0.99</v>
      </c>
      <c r="I4517"/>
    </row>
    <row r="4518" spans="1:9" x14ac:dyDescent="0.3">
      <c r="A4518" t="s">
        <v>6</v>
      </c>
      <c r="B4518" t="s">
        <v>13</v>
      </c>
      <c r="C4518" t="s">
        <v>151</v>
      </c>
      <c r="D4518" s="9" t="s">
        <v>150</v>
      </c>
      <c r="E4518" t="s">
        <v>33</v>
      </c>
      <c r="F4518" t="s">
        <v>63</v>
      </c>
      <c r="G4518">
        <v>126.6</v>
      </c>
      <c r="H4518" s="9">
        <v>4.8</v>
      </c>
      <c r="I4518"/>
    </row>
    <row r="4519" spans="1:9" x14ac:dyDescent="0.3">
      <c r="A4519" t="s">
        <v>6</v>
      </c>
      <c r="B4519" t="s">
        <v>13</v>
      </c>
      <c r="C4519" t="s">
        <v>152</v>
      </c>
      <c r="D4519" s="9" t="s">
        <v>150</v>
      </c>
      <c r="E4519" t="s">
        <v>34</v>
      </c>
      <c r="F4519" t="s">
        <v>65</v>
      </c>
      <c r="G4519">
        <v>128.69999999999999</v>
      </c>
      <c r="H4519" s="9">
        <v>4.55</v>
      </c>
      <c r="I4519"/>
    </row>
    <row r="4520" spans="1:9" x14ac:dyDescent="0.3">
      <c r="A4520" t="s">
        <v>6</v>
      </c>
      <c r="B4520" t="s">
        <v>13</v>
      </c>
      <c r="C4520" t="s">
        <v>153</v>
      </c>
      <c r="D4520" s="9" t="s">
        <v>150</v>
      </c>
      <c r="E4520" t="s">
        <v>35</v>
      </c>
      <c r="F4520" t="s">
        <v>67</v>
      </c>
      <c r="G4520">
        <v>117.8</v>
      </c>
      <c r="H4520" s="9">
        <v>3.79</v>
      </c>
      <c r="I4520"/>
    </row>
    <row r="4521" spans="1:9" x14ac:dyDescent="0.3">
      <c r="A4521" t="s">
        <v>6</v>
      </c>
      <c r="B4521" t="s">
        <v>13</v>
      </c>
      <c r="C4521" t="s">
        <v>154</v>
      </c>
      <c r="D4521" s="9" t="s">
        <v>150</v>
      </c>
      <c r="E4521" t="s">
        <v>36</v>
      </c>
      <c r="F4521" t="s">
        <v>69</v>
      </c>
      <c r="G4521">
        <v>129.5</v>
      </c>
      <c r="H4521" s="9">
        <v>0.47</v>
      </c>
      <c r="I4521"/>
    </row>
    <row r="4522" spans="1:9" x14ac:dyDescent="0.3">
      <c r="A4522" t="s">
        <v>6</v>
      </c>
      <c r="B4522" t="s">
        <v>13</v>
      </c>
      <c r="C4522" t="s">
        <v>155</v>
      </c>
      <c r="D4522" s="9" t="s">
        <v>150</v>
      </c>
      <c r="E4522" t="s">
        <v>37</v>
      </c>
      <c r="F4522" t="s">
        <v>71</v>
      </c>
      <c r="G4522">
        <v>152.4</v>
      </c>
      <c r="H4522" s="9">
        <v>4.46</v>
      </c>
      <c r="I4522"/>
    </row>
    <row r="4523" spans="1:9" x14ac:dyDescent="0.3">
      <c r="A4523" t="s">
        <v>6</v>
      </c>
      <c r="B4523" t="s">
        <v>22</v>
      </c>
      <c r="C4523" t="s">
        <v>59</v>
      </c>
      <c r="D4523" s="9" t="s">
        <v>60</v>
      </c>
      <c r="E4523" t="s">
        <v>32</v>
      </c>
      <c r="F4523" t="s">
        <v>61</v>
      </c>
      <c r="G4523">
        <v>40.6</v>
      </c>
      <c r="I4523"/>
    </row>
    <row r="4524" spans="1:9" x14ac:dyDescent="0.3">
      <c r="A4524" t="s">
        <v>6</v>
      </c>
      <c r="B4524" t="s">
        <v>22</v>
      </c>
      <c r="C4524" t="s">
        <v>62</v>
      </c>
      <c r="D4524" s="9" t="s">
        <v>60</v>
      </c>
      <c r="E4524" t="s">
        <v>33</v>
      </c>
      <c r="F4524" t="s">
        <v>63</v>
      </c>
      <c r="G4524">
        <v>34.799999999999997</v>
      </c>
      <c r="I4524"/>
    </row>
    <row r="4525" spans="1:9" x14ac:dyDescent="0.3">
      <c r="A4525" t="s">
        <v>6</v>
      </c>
      <c r="B4525" t="s">
        <v>22</v>
      </c>
      <c r="C4525" t="s">
        <v>64</v>
      </c>
      <c r="D4525" s="9" t="s">
        <v>60</v>
      </c>
      <c r="E4525" t="s">
        <v>34</v>
      </c>
      <c r="F4525" t="s">
        <v>65</v>
      </c>
      <c r="G4525">
        <v>38.799999999999997</v>
      </c>
      <c r="I4525"/>
    </row>
    <row r="4526" spans="1:9" x14ac:dyDescent="0.3">
      <c r="A4526" t="s">
        <v>6</v>
      </c>
      <c r="B4526" t="s">
        <v>22</v>
      </c>
      <c r="C4526" t="s">
        <v>66</v>
      </c>
      <c r="D4526" s="9" t="s">
        <v>60</v>
      </c>
      <c r="E4526" t="s">
        <v>35</v>
      </c>
      <c r="F4526" t="s">
        <v>67</v>
      </c>
      <c r="G4526">
        <v>35</v>
      </c>
      <c r="I4526"/>
    </row>
    <row r="4527" spans="1:9" x14ac:dyDescent="0.3">
      <c r="A4527" t="s">
        <v>6</v>
      </c>
      <c r="B4527" t="s">
        <v>22</v>
      </c>
      <c r="C4527" t="s">
        <v>68</v>
      </c>
      <c r="D4527" s="9" t="s">
        <v>60</v>
      </c>
      <c r="E4527" t="s">
        <v>36</v>
      </c>
      <c r="F4527" t="s">
        <v>69</v>
      </c>
      <c r="G4527">
        <v>40.5</v>
      </c>
      <c r="I4527"/>
    </row>
    <row r="4528" spans="1:9" x14ac:dyDescent="0.3">
      <c r="A4528" t="s">
        <v>6</v>
      </c>
      <c r="B4528" t="s">
        <v>22</v>
      </c>
      <c r="C4528" t="s">
        <v>70</v>
      </c>
      <c r="D4528" s="9" t="s">
        <v>60</v>
      </c>
      <c r="E4528" t="s">
        <v>37</v>
      </c>
      <c r="F4528" t="s">
        <v>71</v>
      </c>
      <c r="G4528">
        <v>37.799999999999997</v>
      </c>
      <c r="I4528"/>
    </row>
    <row r="4529" spans="1:9" x14ac:dyDescent="0.3">
      <c r="A4529" t="s">
        <v>6</v>
      </c>
      <c r="B4529" t="s">
        <v>22</v>
      </c>
      <c r="C4529" t="s">
        <v>72</v>
      </c>
      <c r="D4529" s="9" t="s">
        <v>60</v>
      </c>
      <c r="E4529" t="s">
        <v>38</v>
      </c>
      <c r="F4529" t="s">
        <v>73</v>
      </c>
      <c r="G4529">
        <v>38.1</v>
      </c>
      <c r="I4529"/>
    </row>
    <row r="4530" spans="1:9" x14ac:dyDescent="0.3">
      <c r="A4530" t="s">
        <v>6</v>
      </c>
      <c r="B4530" t="s">
        <v>22</v>
      </c>
      <c r="C4530" t="s">
        <v>74</v>
      </c>
      <c r="D4530" s="9" t="s">
        <v>60</v>
      </c>
      <c r="E4530" t="s">
        <v>39</v>
      </c>
      <c r="F4530" t="s">
        <v>75</v>
      </c>
      <c r="G4530">
        <v>39.799999999999997</v>
      </c>
      <c r="I4530"/>
    </row>
    <row r="4531" spans="1:9" x14ac:dyDescent="0.3">
      <c r="A4531" t="s">
        <v>6</v>
      </c>
      <c r="B4531" t="s">
        <v>22</v>
      </c>
      <c r="C4531" t="s">
        <v>76</v>
      </c>
      <c r="D4531" s="9" t="s">
        <v>60</v>
      </c>
      <c r="E4531" t="s">
        <v>40</v>
      </c>
      <c r="F4531" t="s">
        <v>77</v>
      </c>
      <c r="G4531">
        <v>37.5</v>
      </c>
      <c r="I4531"/>
    </row>
    <row r="4532" spans="1:9" x14ac:dyDescent="0.3">
      <c r="A4532" t="s">
        <v>6</v>
      </c>
      <c r="B4532" t="s">
        <v>22</v>
      </c>
      <c r="C4532" t="s">
        <v>78</v>
      </c>
      <c r="D4532" s="9" t="s">
        <v>60</v>
      </c>
      <c r="E4532" t="s">
        <v>41</v>
      </c>
      <c r="F4532" t="s">
        <v>79</v>
      </c>
      <c r="G4532">
        <v>40.1</v>
      </c>
      <c r="I4532"/>
    </row>
    <row r="4533" spans="1:9" x14ac:dyDescent="0.3">
      <c r="A4533" t="s">
        <v>6</v>
      </c>
      <c r="B4533" t="s">
        <v>22</v>
      </c>
      <c r="C4533" t="s">
        <v>80</v>
      </c>
      <c r="D4533" s="9" t="s">
        <v>60</v>
      </c>
      <c r="E4533" t="s">
        <v>42</v>
      </c>
      <c r="F4533" t="s">
        <v>81</v>
      </c>
      <c r="G4533">
        <v>46.2</v>
      </c>
      <c r="I4533"/>
    </row>
    <row r="4534" spans="1:9" x14ac:dyDescent="0.3">
      <c r="A4534" t="s">
        <v>6</v>
      </c>
      <c r="B4534" t="s">
        <v>22</v>
      </c>
      <c r="C4534" t="s">
        <v>82</v>
      </c>
      <c r="D4534" s="9" t="s">
        <v>60</v>
      </c>
      <c r="E4534" t="s">
        <v>43</v>
      </c>
      <c r="F4534" t="s">
        <v>83</v>
      </c>
      <c r="G4534">
        <v>72.099999999999994</v>
      </c>
      <c r="I4534"/>
    </row>
    <row r="4535" spans="1:9" x14ac:dyDescent="0.3">
      <c r="A4535" t="s">
        <v>6</v>
      </c>
      <c r="B4535" t="s">
        <v>22</v>
      </c>
      <c r="C4535" t="s">
        <v>84</v>
      </c>
      <c r="D4535" s="9" t="s">
        <v>85</v>
      </c>
      <c r="E4535" t="s">
        <v>32</v>
      </c>
      <c r="F4535" t="s">
        <v>61</v>
      </c>
      <c r="G4535">
        <v>40.9</v>
      </c>
      <c r="H4535" s="9">
        <v>0.74</v>
      </c>
      <c r="I4535"/>
    </row>
    <row r="4536" spans="1:9" x14ac:dyDescent="0.3">
      <c r="A4536" t="s">
        <v>6</v>
      </c>
      <c r="B4536" t="s">
        <v>22</v>
      </c>
      <c r="C4536" t="s">
        <v>86</v>
      </c>
      <c r="D4536" s="9" t="s">
        <v>85</v>
      </c>
      <c r="E4536" t="s">
        <v>33</v>
      </c>
      <c r="F4536" t="s">
        <v>63</v>
      </c>
      <c r="G4536">
        <v>37.200000000000003</v>
      </c>
      <c r="H4536" s="9">
        <v>6.9</v>
      </c>
      <c r="I4536"/>
    </row>
    <row r="4537" spans="1:9" x14ac:dyDescent="0.3">
      <c r="A4537" t="s">
        <v>6</v>
      </c>
      <c r="B4537" t="s">
        <v>22</v>
      </c>
      <c r="C4537" t="s">
        <v>87</v>
      </c>
      <c r="D4537" s="9" t="s">
        <v>85</v>
      </c>
      <c r="E4537" t="s">
        <v>34</v>
      </c>
      <c r="F4537" t="s">
        <v>65</v>
      </c>
      <c r="G4537">
        <v>34.4</v>
      </c>
      <c r="H4537" s="9">
        <v>-11.34</v>
      </c>
      <c r="I4537"/>
    </row>
    <row r="4538" spans="1:9" x14ac:dyDescent="0.3">
      <c r="A4538" t="s">
        <v>6</v>
      </c>
      <c r="B4538" t="s">
        <v>22</v>
      </c>
      <c r="C4538" t="s">
        <v>88</v>
      </c>
      <c r="D4538" s="9" t="s">
        <v>85</v>
      </c>
      <c r="E4538" t="s">
        <v>35</v>
      </c>
      <c r="F4538" t="s">
        <v>67</v>
      </c>
      <c r="G4538">
        <v>17.899999999999999</v>
      </c>
      <c r="H4538" s="9">
        <v>-48.86</v>
      </c>
      <c r="I4538"/>
    </row>
    <row r="4539" spans="1:9" x14ac:dyDescent="0.3">
      <c r="A4539" t="s">
        <v>6</v>
      </c>
      <c r="B4539" t="s">
        <v>22</v>
      </c>
      <c r="C4539" t="s">
        <v>89</v>
      </c>
      <c r="D4539" s="9" t="s">
        <v>85</v>
      </c>
      <c r="E4539" t="s">
        <v>36</v>
      </c>
      <c r="F4539" t="s">
        <v>69</v>
      </c>
      <c r="G4539">
        <v>38.6</v>
      </c>
      <c r="H4539" s="9">
        <v>-4.6900000000000004</v>
      </c>
      <c r="I4539"/>
    </row>
    <row r="4540" spans="1:9" x14ac:dyDescent="0.3">
      <c r="A4540" t="s">
        <v>6</v>
      </c>
      <c r="B4540" t="s">
        <v>22</v>
      </c>
      <c r="C4540" t="s">
        <v>90</v>
      </c>
      <c r="D4540" s="9" t="s">
        <v>85</v>
      </c>
      <c r="E4540" t="s">
        <v>37</v>
      </c>
      <c r="F4540" t="s">
        <v>71</v>
      </c>
      <c r="G4540">
        <v>39.1</v>
      </c>
      <c r="H4540" s="9">
        <v>3.44</v>
      </c>
      <c r="I4540"/>
    </row>
    <row r="4541" spans="1:9" x14ac:dyDescent="0.3">
      <c r="A4541" t="s">
        <v>6</v>
      </c>
      <c r="B4541" t="s">
        <v>22</v>
      </c>
      <c r="C4541" t="s">
        <v>91</v>
      </c>
      <c r="D4541" s="9" t="s">
        <v>85</v>
      </c>
      <c r="E4541" t="s">
        <v>38</v>
      </c>
      <c r="F4541" t="s">
        <v>73</v>
      </c>
      <c r="G4541">
        <v>50.8</v>
      </c>
      <c r="H4541" s="9">
        <v>33.33</v>
      </c>
      <c r="I4541"/>
    </row>
    <row r="4542" spans="1:9" x14ac:dyDescent="0.3">
      <c r="A4542" t="s">
        <v>6</v>
      </c>
      <c r="B4542" t="s">
        <v>22</v>
      </c>
      <c r="C4542" t="s">
        <v>92</v>
      </c>
      <c r="D4542" s="9" t="s">
        <v>85</v>
      </c>
      <c r="E4542" t="s">
        <v>39</v>
      </c>
      <c r="F4542" t="s">
        <v>75</v>
      </c>
      <c r="G4542">
        <v>52.7</v>
      </c>
      <c r="H4542" s="9">
        <v>32.409999999999997</v>
      </c>
      <c r="I4542"/>
    </row>
    <row r="4543" spans="1:9" x14ac:dyDescent="0.3">
      <c r="A4543" t="s">
        <v>6</v>
      </c>
      <c r="B4543" t="s">
        <v>22</v>
      </c>
      <c r="C4543" t="s">
        <v>93</v>
      </c>
      <c r="D4543" s="9" t="s">
        <v>85</v>
      </c>
      <c r="E4543" t="s">
        <v>40</v>
      </c>
      <c r="F4543" t="s">
        <v>77</v>
      </c>
      <c r="G4543">
        <v>47.6</v>
      </c>
      <c r="H4543" s="9">
        <v>26.93</v>
      </c>
      <c r="I4543"/>
    </row>
    <row r="4544" spans="1:9" x14ac:dyDescent="0.3">
      <c r="A4544" t="s">
        <v>6</v>
      </c>
      <c r="B4544" t="s">
        <v>22</v>
      </c>
      <c r="C4544" t="s">
        <v>94</v>
      </c>
      <c r="D4544" s="9" t="s">
        <v>85</v>
      </c>
      <c r="E4544" t="s">
        <v>41</v>
      </c>
      <c r="F4544" t="s">
        <v>79</v>
      </c>
      <c r="G4544">
        <v>49.3</v>
      </c>
      <c r="H4544" s="9">
        <v>22.94</v>
      </c>
      <c r="I4544"/>
    </row>
    <row r="4545" spans="1:9" x14ac:dyDescent="0.3">
      <c r="A4545" t="s">
        <v>6</v>
      </c>
      <c r="B4545" t="s">
        <v>22</v>
      </c>
      <c r="C4545" t="s">
        <v>95</v>
      </c>
      <c r="D4545" s="9" t="s">
        <v>85</v>
      </c>
      <c r="E4545" t="s">
        <v>42</v>
      </c>
      <c r="F4545" t="s">
        <v>81</v>
      </c>
      <c r="G4545">
        <v>50.3</v>
      </c>
      <c r="H4545" s="9">
        <v>8.8699999999999992</v>
      </c>
      <c r="I4545"/>
    </row>
    <row r="4546" spans="1:9" x14ac:dyDescent="0.3">
      <c r="A4546" t="s">
        <v>6</v>
      </c>
      <c r="B4546" t="s">
        <v>22</v>
      </c>
      <c r="C4546" t="s">
        <v>96</v>
      </c>
      <c r="D4546" s="9" t="s">
        <v>85</v>
      </c>
      <c r="E4546" t="s">
        <v>43</v>
      </c>
      <c r="F4546" t="s">
        <v>83</v>
      </c>
      <c r="G4546">
        <v>85.7</v>
      </c>
      <c r="H4546" s="9">
        <v>18.86</v>
      </c>
      <c r="I4546"/>
    </row>
    <row r="4547" spans="1:9" x14ac:dyDescent="0.3">
      <c r="A4547" t="s">
        <v>6</v>
      </c>
      <c r="B4547" t="s">
        <v>22</v>
      </c>
      <c r="C4547" t="s">
        <v>97</v>
      </c>
      <c r="D4547" s="9" t="s">
        <v>98</v>
      </c>
      <c r="E4547" t="s">
        <v>32</v>
      </c>
      <c r="F4547" t="s">
        <v>61</v>
      </c>
      <c r="G4547">
        <v>50.2</v>
      </c>
      <c r="H4547" s="9">
        <v>22.74</v>
      </c>
      <c r="I4547"/>
    </row>
    <row r="4548" spans="1:9" x14ac:dyDescent="0.3">
      <c r="A4548" t="s">
        <v>6</v>
      </c>
      <c r="B4548" t="s">
        <v>22</v>
      </c>
      <c r="C4548" t="s">
        <v>99</v>
      </c>
      <c r="D4548" s="9" t="s">
        <v>98</v>
      </c>
      <c r="E4548" t="s">
        <v>33</v>
      </c>
      <c r="F4548" t="s">
        <v>63</v>
      </c>
      <c r="G4548">
        <v>46.4</v>
      </c>
      <c r="H4548" s="9">
        <v>24.73</v>
      </c>
      <c r="I4548"/>
    </row>
    <row r="4549" spans="1:9" x14ac:dyDescent="0.3">
      <c r="A4549" t="s">
        <v>6</v>
      </c>
      <c r="B4549" t="s">
        <v>22</v>
      </c>
      <c r="C4549" t="s">
        <v>100</v>
      </c>
      <c r="D4549" s="9" t="s">
        <v>98</v>
      </c>
      <c r="E4549" t="s">
        <v>34</v>
      </c>
      <c r="F4549" t="s">
        <v>65</v>
      </c>
      <c r="G4549">
        <v>49.4</v>
      </c>
      <c r="H4549" s="9">
        <v>43.6</v>
      </c>
      <c r="I4549"/>
    </row>
    <row r="4550" spans="1:9" x14ac:dyDescent="0.3">
      <c r="A4550" t="s">
        <v>6</v>
      </c>
      <c r="B4550" t="s">
        <v>22</v>
      </c>
      <c r="C4550" t="s">
        <v>101</v>
      </c>
      <c r="D4550" s="9" t="s">
        <v>98</v>
      </c>
      <c r="E4550" t="s">
        <v>35</v>
      </c>
      <c r="F4550" t="s">
        <v>67</v>
      </c>
      <c r="G4550">
        <v>45.3</v>
      </c>
      <c r="H4550" s="9">
        <v>153.07</v>
      </c>
      <c r="I4550"/>
    </row>
    <row r="4551" spans="1:9" x14ac:dyDescent="0.3">
      <c r="A4551" t="s">
        <v>6</v>
      </c>
      <c r="B4551" t="s">
        <v>22</v>
      </c>
      <c r="C4551" t="s">
        <v>102</v>
      </c>
      <c r="D4551" s="9" t="s">
        <v>98</v>
      </c>
      <c r="E4551" t="s">
        <v>36</v>
      </c>
      <c r="F4551" t="s">
        <v>69</v>
      </c>
      <c r="G4551">
        <v>48.8</v>
      </c>
      <c r="H4551" s="9">
        <v>26.42</v>
      </c>
      <c r="I4551"/>
    </row>
    <row r="4552" spans="1:9" x14ac:dyDescent="0.3">
      <c r="A4552" t="s">
        <v>6</v>
      </c>
      <c r="B4552" t="s">
        <v>22</v>
      </c>
      <c r="C4552" t="s">
        <v>103</v>
      </c>
      <c r="D4552" s="9" t="s">
        <v>98</v>
      </c>
      <c r="E4552" t="s">
        <v>37</v>
      </c>
      <c r="F4552" t="s">
        <v>71</v>
      </c>
      <c r="G4552">
        <v>46.6</v>
      </c>
      <c r="H4552" s="9">
        <v>19.18</v>
      </c>
      <c r="I4552"/>
    </row>
    <row r="4553" spans="1:9" x14ac:dyDescent="0.3">
      <c r="A4553" t="s">
        <v>6</v>
      </c>
      <c r="B4553" t="s">
        <v>22</v>
      </c>
      <c r="C4553" t="s">
        <v>104</v>
      </c>
      <c r="D4553" s="9" t="s">
        <v>98</v>
      </c>
      <c r="E4553" t="s">
        <v>38</v>
      </c>
      <c r="F4553" t="s">
        <v>73</v>
      </c>
      <c r="G4553">
        <v>45.3</v>
      </c>
      <c r="H4553" s="9">
        <v>-10.83</v>
      </c>
      <c r="I4553"/>
    </row>
    <row r="4554" spans="1:9" x14ac:dyDescent="0.3">
      <c r="A4554" t="s">
        <v>6</v>
      </c>
      <c r="B4554" t="s">
        <v>22</v>
      </c>
      <c r="C4554" t="s">
        <v>105</v>
      </c>
      <c r="D4554" s="9" t="s">
        <v>98</v>
      </c>
      <c r="E4554" t="s">
        <v>39</v>
      </c>
      <c r="F4554" t="s">
        <v>75</v>
      </c>
      <c r="G4554">
        <v>47</v>
      </c>
      <c r="H4554" s="9">
        <v>-10.82</v>
      </c>
      <c r="I4554"/>
    </row>
    <row r="4555" spans="1:9" x14ac:dyDescent="0.3">
      <c r="A4555" t="s">
        <v>6</v>
      </c>
      <c r="B4555" t="s">
        <v>22</v>
      </c>
      <c r="C4555" t="s">
        <v>106</v>
      </c>
      <c r="D4555" s="9" t="s">
        <v>98</v>
      </c>
      <c r="E4555" t="s">
        <v>40</v>
      </c>
      <c r="F4555" t="s">
        <v>77</v>
      </c>
      <c r="G4555">
        <v>52.2</v>
      </c>
      <c r="H4555" s="9">
        <v>9.66</v>
      </c>
      <c r="I4555"/>
    </row>
    <row r="4556" spans="1:9" x14ac:dyDescent="0.3">
      <c r="A4556" t="s">
        <v>6</v>
      </c>
      <c r="B4556" t="s">
        <v>22</v>
      </c>
      <c r="C4556" t="s">
        <v>107</v>
      </c>
      <c r="D4556" s="9" t="s">
        <v>98</v>
      </c>
      <c r="E4556" t="s">
        <v>41</v>
      </c>
      <c r="F4556" t="s">
        <v>79</v>
      </c>
      <c r="G4556">
        <v>52.5</v>
      </c>
      <c r="H4556" s="9">
        <v>6.49</v>
      </c>
      <c r="I4556"/>
    </row>
    <row r="4557" spans="1:9" x14ac:dyDescent="0.3">
      <c r="A4557" t="s">
        <v>6</v>
      </c>
      <c r="B4557" t="s">
        <v>22</v>
      </c>
      <c r="C4557" t="s">
        <v>108</v>
      </c>
      <c r="D4557" s="9" t="s">
        <v>98</v>
      </c>
      <c r="E4557" t="s">
        <v>42</v>
      </c>
      <c r="F4557" t="s">
        <v>81</v>
      </c>
      <c r="G4557">
        <v>60.4</v>
      </c>
      <c r="H4557" s="9">
        <v>20.079999999999998</v>
      </c>
      <c r="I4557"/>
    </row>
    <row r="4558" spans="1:9" x14ac:dyDescent="0.3">
      <c r="A4558" t="s">
        <v>6</v>
      </c>
      <c r="B4558" t="s">
        <v>22</v>
      </c>
      <c r="C4558" t="s">
        <v>109</v>
      </c>
      <c r="D4558" s="9" t="s">
        <v>98</v>
      </c>
      <c r="E4558" t="s">
        <v>43</v>
      </c>
      <c r="F4558" t="s">
        <v>83</v>
      </c>
      <c r="G4558">
        <v>79.2</v>
      </c>
      <c r="H4558" s="9">
        <v>-7.58</v>
      </c>
      <c r="I4558"/>
    </row>
    <row r="4559" spans="1:9" x14ac:dyDescent="0.3">
      <c r="A4559" t="s">
        <v>6</v>
      </c>
      <c r="B4559" t="s">
        <v>22</v>
      </c>
      <c r="C4559" t="s">
        <v>110</v>
      </c>
      <c r="D4559" s="9" t="s">
        <v>111</v>
      </c>
      <c r="E4559" t="s">
        <v>32</v>
      </c>
      <c r="F4559" t="s">
        <v>61</v>
      </c>
      <c r="G4559">
        <v>44.2</v>
      </c>
      <c r="H4559" s="9">
        <v>-11.95</v>
      </c>
      <c r="I4559"/>
    </row>
    <row r="4560" spans="1:9" x14ac:dyDescent="0.3">
      <c r="A4560" t="s">
        <v>6</v>
      </c>
      <c r="B4560" t="s">
        <v>22</v>
      </c>
      <c r="C4560" t="s">
        <v>112</v>
      </c>
      <c r="D4560" s="9" t="s">
        <v>111</v>
      </c>
      <c r="E4560" t="s">
        <v>33</v>
      </c>
      <c r="F4560" t="s">
        <v>63</v>
      </c>
      <c r="G4560">
        <v>47.2</v>
      </c>
      <c r="H4560" s="9">
        <v>1.72</v>
      </c>
      <c r="I4560"/>
    </row>
    <row r="4561" spans="1:9" x14ac:dyDescent="0.3">
      <c r="A4561" t="s">
        <v>6</v>
      </c>
      <c r="B4561" t="s">
        <v>22</v>
      </c>
      <c r="C4561" t="s">
        <v>113</v>
      </c>
      <c r="D4561" s="9" t="s">
        <v>111</v>
      </c>
      <c r="E4561" t="s">
        <v>34</v>
      </c>
      <c r="F4561" t="s">
        <v>65</v>
      </c>
      <c r="G4561">
        <v>50.9</v>
      </c>
      <c r="H4561" s="9">
        <v>3.04</v>
      </c>
      <c r="I4561"/>
    </row>
    <row r="4562" spans="1:9" x14ac:dyDescent="0.3">
      <c r="A4562" t="s">
        <v>6</v>
      </c>
      <c r="B4562" t="s">
        <v>22</v>
      </c>
      <c r="C4562" t="s">
        <v>114</v>
      </c>
      <c r="D4562" s="9" t="s">
        <v>111</v>
      </c>
      <c r="E4562" t="s">
        <v>35</v>
      </c>
      <c r="F4562" t="s">
        <v>67</v>
      </c>
      <c r="G4562">
        <v>51.5</v>
      </c>
      <c r="H4562" s="9">
        <v>13.69</v>
      </c>
      <c r="I4562"/>
    </row>
    <row r="4563" spans="1:9" x14ac:dyDescent="0.3">
      <c r="A4563" t="s">
        <v>6</v>
      </c>
      <c r="B4563" t="s">
        <v>22</v>
      </c>
      <c r="C4563" t="s">
        <v>115</v>
      </c>
      <c r="D4563" s="9" t="s">
        <v>111</v>
      </c>
      <c r="E4563" t="s">
        <v>36</v>
      </c>
      <c r="F4563" t="s">
        <v>69</v>
      </c>
      <c r="G4563">
        <v>58.9</v>
      </c>
      <c r="H4563" s="9">
        <v>20.7</v>
      </c>
      <c r="I4563"/>
    </row>
    <row r="4564" spans="1:9" x14ac:dyDescent="0.3">
      <c r="A4564" t="s">
        <v>6</v>
      </c>
      <c r="B4564" t="s">
        <v>22</v>
      </c>
      <c r="C4564" t="s">
        <v>116</v>
      </c>
      <c r="D4564" s="9" t="s">
        <v>111</v>
      </c>
      <c r="E4564" t="s">
        <v>37</v>
      </c>
      <c r="F4564" t="s">
        <v>71</v>
      </c>
      <c r="G4564">
        <v>54.1</v>
      </c>
      <c r="H4564" s="9">
        <v>16.09</v>
      </c>
      <c r="I4564"/>
    </row>
    <row r="4565" spans="1:9" x14ac:dyDescent="0.3">
      <c r="A4565" t="s">
        <v>6</v>
      </c>
      <c r="B4565" t="s">
        <v>22</v>
      </c>
      <c r="C4565" t="s">
        <v>117</v>
      </c>
      <c r="D4565" s="9" t="s">
        <v>111</v>
      </c>
      <c r="E4565" t="s">
        <v>38</v>
      </c>
      <c r="F4565" t="s">
        <v>73</v>
      </c>
      <c r="G4565">
        <v>56.9</v>
      </c>
      <c r="H4565" s="9">
        <v>25.61</v>
      </c>
      <c r="I4565"/>
    </row>
    <row r="4566" spans="1:9" x14ac:dyDescent="0.3">
      <c r="A4566" t="s">
        <v>6</v>
      </c>
      <c r="B4566" t="s">
        <v>22</v>
      </c>
      <c r="C4566" t="s">
        <v>118</v>
      </c>
      <c r="D4566" s="9" t="s">
        <v>111</v>
      </c>
      <c r="E4566" t="s">
        <v>39</v>
      </c>
      <c r="F4566" t="s">
        <v>75</v>
      </c>
      <c r="G4566">
        <v>56.2</v>
      </c>
      <c r="H4566" s="9">
        <v>19.57</v>
      </c>
      <c r="I4566"/>
    </row>
    <row r="4567" spans="1:9" x14ac:dyDescent="0.3">
      <c r="A4567" t="s">
        <v>6</v>
      </c>
      <c r="B4567" t="s">
        <v>22</v>
      </c>
      <c r="C4567" t="s">
        <v>119</v>
      </c>
      <c r="D4567" s="9" t="s">
        <v>111</v>
      </c>
      <c r="E4567" t="s">
        <v>40</v>
      </c>
      <c r="F4567" t="s">
        <v>77</v>
      </c>
      <c r="G4567">
        <v>62.9</v>
      </c>
      <c r="H4567" s="9">
        <v>20.5</v>
      </c>
      <c r="I4567"/>
    </row>
    <row r="4568" spans="1:9" x14ac:dyDescent="0.3">
      <c r="A4568" t="s">
        <v>6</v>
      </c>
      <c r="B4568" t="s">
        <v>22</v>
      </c>
      <c r="C4568" t="s">
        <v>120</v>
      </c>
      <c r="D4568" s="9" t="s">
        <v>111</v>
      </c>
      <c r="E4568" t="s">
        <v>41</v>
      </c>
      <c r="F4568" t="s">
        <v>79</v>
      </c>
      <c r="G4568">
        <v>64.400000000000006</v>
      </c>
      <c r="H4568" s="9">
        <v>22.67</v>
      </c>
      <c r="I4568"/>
    </row>
    <row r="4569" spans="1:9" x14ac:dyDescent="0.3">
      <c r="A4569" t="s">
        <v>6</v>
      </c>
      <c r="B4569" t="s">
        <v>22</v>
      </c>
      <c r="C4569" t="s">
        <v>121</v>
      </c>
      <c r="D4569" s="9" t="s">
        <v>111</v>
      </c>
      <c r="E4569" t="s">
        <v>42</v>
      </c>
      <c r="F4569" t="s">
        <v>81</v>
      </c>
      <c r="G4569">
        <v>70.400000000000006</v>
      </c>
      <c r="H4569" s="9">
        <v>16.559999999999999</v>
      </c>
      <c r="I4569"/>
    </row>
    <row r="4570" spans="1:9" x14ac:dyDescent="0.3">
      <c r="A4570" t="s">
        <v>6</v>
      </c>
      <c r="B4570" t="s">
        <v>22</v>
      </c>
      <c r="C4570" t="s">
        <v>122</v>
      </c>
      <c r="D4570" s="9" t="s">
        <v>111</v>
      </c>
      <c r="E4570" t="s">
        <v>43</v>
      </c>
      <c r="F4570" t="s">
        <v>83</v>
      </c>
      <c r="G4570">
        <v>95.3</v>
      </c>
      <c r="H4570" s="9">
        <v>20.329999999999998</v>
      </c>
      <c r="I4570"/>
    </row>
    <row r="4571" spans="1:9" x14ac:dyDescent="0.3">
      <c r="A4571" t="s">
        <v>6</v>
      </c>
      <c r="B4571" t="s">
        <v>22</v>
      </c>
      <c r="C4571" t="s">
        <v>123</v>
      </c>
      <c r="D4571" s="9" t="s">
        <v>124</v>
      </c>
      <c r="E4571" t="s">
        <v>32</v>
      </c>
      <c r="F4571" t="s">
        <v>61</v>
      </c>
      <c r="G4571">
        <v>64.5</v>
      </c>
      <c r="H4571" s="9">
        <v>45.93</v>
      </c>
      <c r="I4571"/>
    </row>
    <row r="4572" spans="1:9" x14ac:dyDescent="0.3">
      <c r="A4572" t="s">
        <v>6</v>
      </c>
      <c r="B4572" t="s">
        <v>22</v>
      </c>
      <c r="C4572" t="s">
        <v>125</v>
      </c>
      <c r="D4572" s="9" t="s">
        <v>124</v>
      </c>
      <c r="E4572" t="s">
        <v>33</v>
      </c>
      <c r="F4572" t="s">
        <v>63</v>
      </c>
      <c r="G4572">
        <v>51.3</v>
      </c>
      <c r="H4572" s="9">
        <v>8.69</v>
      </c>
      <c r="I4572"/>
    </row>
    <row r="4573" spans="1:9" x14ac:dyDescent="0.3">
      <c r="A4573" t="s">
        <v>6</v>
      </c>
      <c r="B4573" t="s">
        <v>22</v>
      </c>
      <c r="C4573" t="s">
        <v>126</v>
      </c>
      <c r="D4573" s="9" t="s">
        <v>124</v>
      </c>
      <c r="E4573" t="s">
        <v>34</v>
      </c>
      <c r="F4573" t="s">
        <v>65</v>
      </c>
      <c r="G4573">
        <v>60.1</v>
      </c>
      <c r="H4573" s="9">
        <v>18.07</v>
      </c>
      <c r="I4573"/>
    </row>
    <row r="4574" spans="1:9" x14ac:dyDescent="0.3">
      <c r="A4574" t="s">
        <v>6</v>
      </c>
      <c r="B4574" t="s">
        <v>22</v>
      </c>
      <c r="C4574" t="s">
        <v>127</v>
      </c>
      <c r="D4574" s="9" t="s">
        <v>124</v>
      </c>
      <c r="E4574" t="s">
        <v>35</v>
      </c>
      <c r="F4574" t="s">
        <v>67</v>
      </c>
      <c r="G4574">
        <v>58.4</v>
      </c>
      <c r="H4574" s="9">
        <v>13.4</v>
      </c>
      <c r="I4574"/>
    </row>
    <row r="4575" spans="1:9" x14ac:dyDescent="0.3">
      <c r="A4575" t="s">
        <v>6</v>
      </c>
      <c r="B4575" t="s">
        <v>22</v>
      </c>
      <c r="C4575" t="s">
        <v>128</v>
      </c>
      <c r="D4575" s="9" t="s">
        <v>124</v>
      </c>
      <c r="E4575" t="s">
        <v>36</v>
      </c>
      <c r="F4575" t="s">
        <v>69</v>
      </c>
      <c r="G4575">
        <v>64.900000000000006</v>
      </c>
      <c r="H4575" s="9">
        <v>10.19</v>
      </c>
      <c r="I4575"/>
    </row>
    <row r="4576" spans="1:9" x14ac:dyDescent="0.3">
      <c r="A4576" t="s">
        <v>6</v>
      </c>
      <c r="B4576" t="s">
        <v>22</v>
      </c>
      <c r="C4576" t="s">
        <v>129</v>
      </c>
      <c r="D4576" s="9" t="s">
        <v>124</v>
      </c>
      <c r="E4576" t="s">
        <v>37</v>
      </c>
      <c r="F4576" t="s">
        <v>71</v>
      </c>
      <c r="G4576">
        <v>55.8</v>
      </c>
      <c r="H4576" s="9">
        <v>3.14</v>
      </c>
      <c r="I4576"/>
    </row>
    <row r="4577" spans="1:9" x14ac:dyDescent="0.3">
      <c r="A4577" t="s">
        <v>6</v>
      </c>
      <c r="B4577" t="s">
        <v>22</v>
      </c>
      <c r="C4577" t="s">
        <v>130</v>
      </c>
      <c r="D4577" s="9" t="s">
        <v>124</v>
      </c>
      <c r="E4577" t="s">
        <v>38</v>
      </c>
      <c r="F4577" t="s">
        <v>73</v>
      </c>
      <c r="G4577">
        <v>59.2</v>
      </c>
      <c r="H4577" s="9">
        <v>4.04</v>
      </c>
      <c r="I4577"/>
    </row>
    <row r="4578" spans="1:9" x14ac:dyDescent="0.3">
      <c r="A4578" t="s">
        <v>6</v>
      </c>
      <c r="B4578" t="s">
        <v>22</v>
      </c>
      <c r="C4578" t="s">
        <v>131</v>
      </c>
      <c r="D4578" s="9" t="s">
        <v>124</v>
      </c>
      <c r="E4578" t="s">
        <v>39</v>
      </c>
      <c r="F4578" t="s">
        <v>75</v>
      </c>
      <c r="G4578">
        <v>57.3</v>
      </c>
      <c r="H4578" s="9">
        <v>1.96</v>
      </c>
      <c r="I4578"/>
    </row>
    <row r="4579" spans="1:9" x14ac:dyDescent="0.3">
      <c r="A4579" t="s">
        <v>6</v>
      </c>
      <c r="B4579" t="s">
        <v>22</v>
      </c>
      <c r="C4579" t="s">
        <v>132</v>
      </c>
      <c r="D4579" s="9" t="s">
        <v>124</v>
      </c>
      <c r="E4579" t="s">
        <v>40</v>
      </c>
      <c r="F4579" t="s">
        <v>77</v>
      </c>
      <c r="G4579">
        <v>62.3</v>
      </c>
      <c r="H4579" s="9">
        <v>-0.95</v>
      </c>
      <c r="I4579"/>
    </row>
    <row r="4580" spans="1:9" x14ac:dyDescent="0.3">
      <c r="A4580" t="s">
        <v>6</v>
      </c>
      <c r="B4580" t="s">
        <v>22</v>
      </c>
      <c r="C4580" t="s">
        <v>133</v>
      </c>
      <c r="D4580" s="9" t="s">
        <v>124</v>
      </c>
      <c r="E4580" t="s">
        <v>41</v>
      </c>
      <c r="F4580" t="s">
        <v>79</v>
      </c>
      <c r="G4580">
        <v>67.099999999999994</v>
      </c>
      <c r="H4580" s="9">
        <v>4.1900000000000004</v>
      </c>
      <c r="I4580"/>
    </row>
    <row r="4581" spans="1:9" x14ac:dyDescent="0.3">
      <c r="A4581" t="s">
        <v>6</v>
      </c>
      <c r="B4581" t="s">
        <v>22</v>
      </c>
      <c r="C4581" t="s">
        <v>134</v>
      </c>
      <c r="D4581" s="9" t="s">
        <v>124</v>
      </c>
      <c r="E4581" t="s">
        <v>42</v>
      </c>
      <c r="F4581" t="s">
        <v>81</v>
      </c>
      <c r="G4581">
        <v>77.3</v>
      </c>
      <c r="H4581" s="9">
        <v>9.8000000000000007</v>
      </c>
      <c r="I4581"/>
    </row>
    <row r="4582" spans="1:9" x14ac:dyDescent="0.3">
      <c r="A4582" t="s">
        <v>6</v>
      </c>
      <c r="B4582" t="s">
        <v>22</v>
      </c>
      <c r="C4582" t="s">
        <v>135</v>
      </c>
      <c r="D4582" s="9" t="s">
        <v>124</v>
      </c>
      <c r="E4582" t="s">
        <v>43</v>
      </c>
      <c r="F4582" t="s">
        <v>83</v>
      </c>
      <c r="G4582">
        <v>107.9</v>
      </c>
      <c r="H4582" s="9">
        <v>13.22</v>
      </c>
      <c r="I4582"/>
    </row>
    <row r="4583" spans="1:9" x14ac:dyDescent="0.3">
      <c r="A4583" t="s">
        <v>6</v>
      </c>
      <c r="B4583" t="s">
        <v>22</v>
      </c>
      <c r="C4583" t="s">
        <v>136</v>
      </c>
      <c r="D4583" s="9" t="s">
        <v>137</v>
      </c>
      <c r="E4583" t="s">
        <v>32</v>
      </c>
      <c r="F4583" t="s">
        <v>61</v>
      </c>
      <c r="G4583">
        <v>64.900000000000006</v>
      </c>
      <c r="H4583" s="9">
        <v>0.62</v>
      </c>
      <c r="I4583"/>
    </row>
    <row r="4584" spans="1:9" x14ac:dyDescent="0.3">
      <c r="A4584" t="s">
        <v>6</v>
      </c>
      <c r="B4584" t="s">
        <v>22</v>
      </c>
      <c r="C4584" t="s">
        <v>138</v>
      </c>
      <c r="D4584" s="9" t="s">
        <v>137</v>
      </c>
      <c r="E4584" t="s">
        <v>33</v>
      </c>
      <c r="F4584" t="s">
        <v>63</v>
      </c>
      <c r="G4584">
        <v>54.3</v>
      </c>
      <c r="H4584" s="9">
        <v>5.85</v>
      </c>
      <c r="I4584"/>
    </row>
    <row r="4585" spans="1:9" x14ac:dyDescent="0.3">
      <c r="A4585" t="s">
        <v>6</v>
      </c>
      <c r="B4585" t="s">
        <v>22</v>
      </c>
      <c r="C4585" t="s">
        <v>139</v>
      </c>
      <c r="D4585" s="9" t="s">
        <v>137</v>
      </c>
      <c r="E4585" t="s">
        <v>34</v>
      </c>
      <c r="F4585" t="s">
        <v>65</v>
      </c>
      <c r="G4585">
        <v>55.8</v>
      </c>
      <c r="H4585" s="9">
        <v>-7.15</v>
      </c>
      <c r="I4585"/>
    </row>
    <row r="4586" spans="1:9" x14ac:dyDescent="0.3">
      <c r="A4586" t="s">
        <v>6</v>
      </c>
      <c r="B4586" t="s">
        <v>22</v>
      </c>
      <c r="C4586" t="s">
        <v>140</v>
      </c>
      <c r="D4586" s="9" t="s">
        <v>137</v>
      </c>
      <c r="E4586" t="s">
        <v>35</v>
      </c>
      <c r="F4586" t="s">
        <v>67</v>
      </c>
      <c r="G4586">
        <v>57.8</v>
      </c>
      <c r="H4586" s="9">
        <v>-1.03</v>
      </c>
      <c r="I4586"/>
    </row>
    <row r="4587" spans="1:9" x14ac:dyDescent="0.3">
      <c r="A4587" t="s">
        <v>6</v>
      </c>
      <c r="B4587" t="s">
        <v>22</v>
      </c>
      <c r="C4587" t="s">
        <v>141</v>
      </c>
      <c r="D4587" s="9" t="s">
        <v>137</v>
      </c>
      <c r="E4587" t="s">
        <v>36</v>
      </c>
      <c r="F4587" t="s">
        <v>69</v>
      </c>
      <c r="G4587">
        <v>59.2</v>
      </c>
      <c r="H4587" s="9">
        <v>-8.7799999999999994</v>
      </c>
      <c r="I4587"/>
    </row>
    <row r="4588" spans="1:9" x14ac:dyDescent="0.3">
      <c r="A4588" t="s">
        <v>6</v>
      </c>
      <c r="B4588" t="s">
        <v>22</v>
      </c>
      <c r="C4588" t="s">
        <v>142</v>
      </c>
      <c r="D4588" s="9" t="s">
        <v>137</v>
      </c>
      <c r="E4588" t="s">
        <v>37</v>
      </c>
      <c r="F4588" t="s">
        <v>71</v>
      </c>
      <c r="G4588">
        <v>56.5</v>
      </c>
      <c r="H4588" s="9">
        <v>1.25</v>
      </c>
      <c r="I4588"/>
    </row>
    <row r="4589" spans="1:9" x14ac:dyDescent="0.3">
      <c r="A4589" t="s">
        <v>6</v>
      </c>
      <c r="B4589" t="s">
        <v>22</v>
      </c>
      <c r="C4589" t="s">
        <v>143</v>
      </c>
      <c r="D4589" s="9" t="s">
        <v>137</v>
      </c>
      <c r="E4589" t="s">
        <v>38</v>
      </c>
      <c r="F4589" t="s">
        <v>73</v>
      </c>
      <c r="G4589">
        <v>58.7</v>
      </c>
      <c r="H4589" s="9">
        <v>-0.84</v>
      </c>
      <c r="I4589"/>
    </row>
    <row r="4590" spans="1:9" x14ac:dyDescent="0.3">
      <c r="A4590" t="s">
        <v>6</v>
      </c>
      <c r="B4590" t="s">
        <v>22</v>
      </c>
      <c r="C4590" t="s">
        <v>144</v>
      </c>
      <c r="D4590" s="9" t="s">
        <v>137</v>
      </c>
      <c r="E4590" t="s">
        <v>39</v>
      </c>
      <c r="F4590" t="s">
        <v>75</v>
      </c>
      <c r="G4590">
        <v>57.7</v>
      </c>
      <c r="H4590" s="9">
        <v>0.7</v>
      </c>
      <c r="I4590"/>
    </row>
    <row r="4591" spans="1:9" x14ac:dyDescent="0.3">
      <c r="A4591" t="s">
        <v>6</v>
      </c>
      <c r="B4591" t="s">
        <v>22</v>
      </c>
      <c r="C4591" t="s">
        <v>145</v>
      </c>
      <c r="D4591" s="9" t="s">
        <v>137</v>
      </c>
      <c r="E4591" t="s">
        <v>40</v>
      </c>
      <c r="F4591" t="s">
        <v>77</v>
      </c>
      <c r="G4591">
        <v>57.1</v>
      </c>
      <c r="H4591" s="9">
        <v>-8.35</v>
      </c>
      <c r="I4591"/>
    </row>
    <row r="4592" spans="1:9" x14ac:dyDescent="0.3">
      <c r="A4592" t="s">
        <v>6</v>
      </c>
      <c r="B4592" t="s">
        <v>22</v>
      </c>
      <c r="C4592" t="s">
        <v>146</v>
      </c>
      <c r="D4592" s="9" t="s">
        <v>137</v>
      </c>
      <c r="E4592" t="s">
        <v>41</v>
      </c>
      <c r="F4592" t="s">
        <v>79</v>
      </c>
      <c r="G4592">
        <v>63.7</v>
      </c>
      <c r="H4592" s="9">
        <v>-5.07</v>
      </c>
      <c r="I4592"/>
    </row>
    <row r="4593" spans="1:9" x14ac:dyDescent="0.3">
      <c r="A4593" t="s">
        <v>6</v>
      </c>
      <c r="B4593" t="s">
        <v>22</v>
      </c>
      <c r="C4593" t="s">
        <v>147</v>
      </c>
      <c r="D4593" s="9" t="s">
        <v>137</v>
      </c>
      <c r="E4593" t="s">
        <v>42</v>
      </c>
      <c r="F4593" t="s">
        <v>81</v>
      </c>
      <c r="G4593">
        <v>74.3</v>
      </c>
      <c r="H4593" s="9">
        <v>-3.88</v>
      </c>
      <c r="I4593"/>
    </row>
    <row r="4594" spans="1:9" x14ac:dyDescent="0.3">
      <c r="A4594" t="s">
        <v>6</v>
      </c>
      <c r="B4594" t="s">
        <v>22</v>
      </c>
      <c r="C4594" t="s">
        <v>148</v>
      </c>
      <c r="D4594" s="9" t="s">
        <v>137</v>
      </c>
      <c r="E4594" t="s">
        <v>43</v>
      </c>
      <c r="F4594" t="s">
        <v>83</v>
      </c>
      <c r="G4594">
        <v>98.9</v>
      </c>
      <c r="H4594" s="9">
        <v>-8.34</v>
      </c>
      <c r="I4594"/>
    </row>
    <row r="4595" spans="1:9" x14ac:dyDescent="0.3">
      <c r="A4595" t="s">
        <v>6</v>
      </c>
      <c r="B4595" t="s">
        <v>22</v>
      </c>
      <c r="C4595" t="s">
        <v>149</v>
      </c>
      <c r="D4595" s="9" t="s">
        <v>150</v>
      </c>
      <c r="E4595" t="s">
        <v>32</v>
      </c>
      <c r="F4595" t="s">
        <v>61</v>
      </c>
      <c r="G4595">
        <v>62.8</v>
      </c>
      <c r="H4595" s="9">
        <v>-3.24</v>
      </c>
      <c r="I4595"/>
    </row>
    <row r="4596" spans="1:9" x14ac:dyDescent="0.3">
      <c r="A4596" t="s">
        <v>6</v>
      </c>
      <c r="B4596" t="s">
        <v>22</v>
      </c>
      <c r="C4596" t="s">
        <v>151</v>
      </c>
      <c r="D4596" s="9" t="s">
        <v>150</v>
      </c>
      <c r="E4596" t="s">
        <v>33</v>
      </c>
      <c r="F4596" t="s">
        <v>63</v>
      </c>
      <c r="G4596">
        <v>52.6</v>
      </c>
      <c r="H4596" s="9">
        <v>-3.13</v>
      </c>
      <c r="I4596"/>
    </row>
    <row r="4597" spans="1:9" x14ac:dyDescent="0.3">
      <c r="A4597" t="s">
        <v>6</v>
      </c>
      <c r="B4597" t="s">
        <v>22</v>
      </c>
      <c r="C4597" t="s">
        <v>152</v>
      </c>
      <c r="D4597" s="9" t="s">
        <v>150</v>
      </c>
      <c r="E4597" t="s">
        <v>34</v>
      </c>
      <c r="F4597" t="s">
        <v>65</v>
      </c>
      <c r="G4597">
        <v>57.8</v>
      </c>
      <c r="H4597" s="9">
        <v>3.58</v>
      </c>
      <c r="I4597"/>
    </row>
    <row r="4598" spans="1:9" x14ac:dyDescent="0.3">
      <c r="A4598" t="s">
        <v>6</v>
      </c>
      <c r="B4598" t="s">
        <v>22</v>
      </c>
      <c r="C4598" t="s">
        <v>153</v>
      </c>
      <c r="D4598" s="9" t="s">
        <v>150</v>
      </c>
      <c r="E4598" t="s">
        <v>35</v>
      </c>
      <c r="F4598" t="s">
        <v>67</v>
      </c>
      <c r="G4598">
        <v>60.7</v>
      </c>
      <c r="H4598" s="9">
        <v>5.0199999999999996</v>
      </c>
      <c r="I4598"/>
    </row>
    <row r="4599" spans="1:9" x14ac:dyDescent="0.3">
      <c r="A4599" t="s">
        <v>6</v>
      </c>
      <c r="B4599" t="s">
        <v>22</v>
      </c>
      <c r="C4599" t="s">
        <v>154</v>
      </c>
      <c r="D4599" s="9" t="s">
        <v>150</v>
      </c>
      <c r="E4599" t="s">
        <v>36</v>
      </c>
      <c r="F4599" t="s">
        <v>69</v>
      </c>
      <c r="G4599">
        <v>64.099999999999994</v>
      </c>
      <c r="H4599" s="9">
        <v>8.2799999999999994</v>
      </c>
      <c r="I4599"/>
    </row>
    <row r="4600" spans="1:9" x14ac:dyDescent="0.3">
      <c r="A4600" t="s">
        <v>6</v>
      </c>
      <c r="B4600" t="s">
        <v>22</v>
      </c>
      <c r="C4600" t="s">
        <v>155</v>
      </c>
      <c r="D4600" s="9" t="s">
        <v>150</v>
      </c>
      <c r="E4600" t="s">
        <v>37</v>
      </c>
      <c r="F4600" t="s">
        <v>71</v>
      </c>
      <c r="G4600">
        <v>56.4</v>
      </c>
      <c r="H4600" s="9">
        <v>-0.18</v>
      </c>
      <c r="I4600"/>
    </row>
    <row r="4601" spans="1:9" x14ac:dyDescent="0.3">
      <c r="A4601" t="s">
        <v>6</v>
      </c>
      <c r="B4601" t="s">
        <v>20</v>
      </c>
      <c r="C4601" t="s">
        <v>59</v>
      </c>
      <c r="D4601" s="9" t="s">
        <v>60</v>
      </c>
      <c r="E4601" t="s">
        <v>32</v>
      </c>
      <c r="F4601" t="s">
        <v>61</v>
      </c>
      <c r="G4601">
        <v>71</v>
      </c>
      <c r="I4601"/>
    </row>
    <row r="4602" spans="1:9" x14ac:dyDescent="0.3">
      <c r="A4602" t="s">
        <v>6</v>
      </c>
      <c r="B4602" t="s">
        <v>20</v>
      </c>
      <c r="C4602" t="s">
        <v>62</v>
      </c>
      <c r="D4602" s="9" t="s">
        <v>60</v>
      </c>
      <c r="E4602" t="s">
        <v>33</v>
      </c>
      <c r="F4602" t="s">
        <v>63</v>
      </c>
      <c r="G4602">
        <v>62.3</v>
      </c>
      <c r="I4602"/>
    </row>
    <row r="4603" spans="1:9" x14ac:dyDescent="0.3">
      <c r="A4603" t="s">
        <v>6</v>
      </c>
      <c r="B4603" t="s">
        <v>20</v>
      </c>
      <c r="C4603" t="s">
        <v>64</v>
      </c>
      <c r="D4603" s="9" t="s">
        <v>60</v>
      </c>
      <c r="E4603" t="s">
        <v>34</v>
      </c>
      <c r="F4603" t="s">
        <v>65</v>
      </c>
      <c r="G4603">
        <v>68</v>
      </c>
      <c r="I4603"/>
    </row>
    <row r="4604" spans="1:9" x14ac:dyDescent="0.3">
      <c r="A4604" t="s">
        <v>6</v>
      </c>
      <c r="B4604" t="s">
        <v>20</v>
      </c>
      <c r="C4604" t="s">
        <v>66</v>
      </c>
      <c r="D4604" s="9" t="s">
        <v>60</v>
      </c>
      <c r="E4604" t="s">
        <v>35</v>
      </c>
      <c r="F4604" t="s">
        <v>67</v>
      </c>
      <c r="G4604">
        <v>63</v>
      </c>
      <c r="I4604"/>
    </row>
    <row r="4605" spans="1:9" x14ac:dyDescent="0.3">
      <c r="A4605" t="s">
        <v>6</v>
      </c>
      <c r="B4605" t="s">
        <v>20</v>
      </c>
      <c r="C4605" t="s">
        <v>68</v>
      </c>
      <c r="D4605" s="9" t="s">
        <v>60</v>
      </c>
      <c r="E4605" t="s">
        <v>36</v>
      </c>
      <c r="F4605" t="s">
        <v>69</v>
      </c>
      <c r="G4605">
        <v>73.599999999999994</v>
      </c>
      <c r="I4605"/>
    </row>
    <row r="4606" spans="1:9" x14ac:dyDescent="0.3">
      <c r="A4606" t="s">
        <v>6</v>
      </c>
      <c r="B4606" t="s">
        <v>20</v>
      </c>
      <c r="C4606" t="s">
        <v>70</v>
      </c>
      <c r="D4606" s="9" t="s">
        <v>60</v>
      </c>
      <c r="E4606" t="s">
        <v>37</v>
      </c>
      <c r="F4606" t="s">
        <v>71</v>
      </c>
      <c r="G4606">
        <v>75.099999999999994</v>
      </c>
      <c r="I4606"/>
    </row>
    <row r="4607" spans="1:9" x14ac:dyDescent="0.3">
      <c r="A4607" t="s">
        <v>6</v>
      </c>
      <c r="B4607" t="s">
        <v>20</v>
      </c>
      <c r="C4607" t="s">
        <v>72</v>
      </c>
      <c r="D4607" s="9" t="s">
        <v>60</v>
      </c>
      <c r="E4607" t="s">
        <v>38</v>
      </c>
      <c r="F4607" t="s">
        <v>73</v>
      </c>
      <c r="G4607">
        <v>77.7</v>
      </c>
      <c r="I4607"/>
    </row>
    <row r="4608" spans="1:9" x14ac:dyDescent="0.3">
      <c r="A4608" t="s">
        <v>6</v>
      </c>
      <c r="B4608" t="s">
        <v>20</v>
      </c>
      <c r="C4608" t="s">
        <v>74</v>
      </c>
      <c r="D4608" s="9" t="s">
        <v>60</v>
      </c>
      <c r="E4608" t="s">
        <v>39</v>
      </c>
      <c r="F4608" t="s">
        <v>75</v>
      </c>
      <c r="G4608">
        <v>70.099999999999994</v>
      </c>
      <c r="I4608"/>
    </row>
    <row r="4609" spans="1:9" x14ac:dyDescent="0.3">
      <c r="A4609" t="s">
        <v>6</v>
      </c>
      <c r="B4609" t="s">
        <v>20</v>
      </c>
      <c r="C4609" t="s">
        <v>76</v>
      </c>
      <c r="D4609" s="9" t="s">
        <v>60</v>
      </c>
      <c r="E4609" t="s">
        <v>40</v>
      </c>
      <c r="F4609" t="s">
        <v>77</v>
      </c>
      <c r="G4609">
        <v>67.7</v>
      </c>
      <c r="I4609"/>
    </row>
    <row r="4610" spans="1:9" x14ac:dyDescent="0.3">
      <c r="A4610" t="s">
        <v>6</v>
      </c>
      <c r="B4610" t="s">
        <v>20</v>
      </c>
      <c r="C4610" t="s">
        <v>78</v>
      </c>
      <c r="D4610" s="9" t="s">
        <v>60</v>
      </c>
      <c r="E4610" t="s">
        <v>41</v>
      </c>
      <c r="F4610" t="s">
        <v>79</v>
      </c>
      <c r="G4610">
        <v>75.5</v>
      </c>
      <c r="I4610"/>
    </row>
    <row r="4611" spans="1:9" x14ac:dyDescent="0.3">
      <c r="A4611" t="s">
        <v>6</v>
      </c>
      <c r="B4611" t="s">
        <v>20</v>
      </c>
      <c r="C4611" t="s">
        <v>80</v>
      </c>
      <c r="D4611" s="9" t="s">
        <v>60</v>
      </c>
      <c r="E4611" t="s">
        <v>42</v>
      </c>
      <c r="F4611" t="s">
        <v>81</v>
      </c>
      <c r="G4611">
        <v>80.900000000000006</v>
      </c>
      <c r="I4611"/>
    </row>
    <row r="4612" spans="1:9" x14ac:dyDescent="0.3">
      <c r="A4612" t="s">
        <v>6</v>
      </c>
      <c r="B4612" t="s">
        <v>20</v>
      </c>
      <c r="C4612" t="s">
        <v>82</v>
      </c>
      <c r="D4612" s="9" t="s">
        <v>60</v>
      </c>
      <c r="E4612" t="s">
        <v>43</v>
      </c>
      <c r="F4612" t="s">
        <v>83</v>
      </c>
      <c r="G4612">
        <v>82.2</v>
      </c>
      <c r="I4612"/>
    </row>
    <row r="4613" spans="1:9" x14ac:dyDescent="0.3">
      <c r="A4613" t="s">
        <v>6</v>
      </c>
      <c r="B4613" t="s">
        <v>20</v>
      </c>
      <c r="C4613" t="s">
        <v>84</v>
      </c>
      <c r="D4613" s="9" t="s">
        <v>85</v>
      </c>
      <c r="E4613" t="s">
        <v>32</v>
      </c>
      <c r="F4613" t="s">
        <v>61</v>
      </c>
      <c r="G4613">
        <v>70.8</v>
      </c>
      <c r="H4613" s="9">
        <v>-0.28000000000000003</v>
      </c>
      <c r="I4613"/>
    </row>
    <row r="4614" spans="1:9" x14ac:dyDescent="0.3">
      <c r="A4614" t="s">
        <v>6</v>
      </c>
      <c r="B4614" t="s">
        <v>20</v>
      </c>
      <c r="C4614" t="s">
        <v>86</v>
      </c>
      <c r="D4614" s="9" t="s">
        <v>85</v>
      </c>
      <c r="E4614" t="s">
        <v>33</v>
      </c>
      <c r="F4614" t="s">
        <v>63</v>
      </c>
      <c r="G4614">
        <v>63</v>
      </c>
      <c r="H4614" s="9">
        <v>1.1200000000000001</v>
      </c>
      <c r="I4614"/>
    </row>
    <row r="4615" spans="1:9" x14ac:dyDescent="0.3">
      <c r="A4615" t="s">
        <v>6</v>
      </c>
      <c r="B4615" t="s">
        <v>20</v>
      </c>
      <c r="C4615" t="s">
        <v>87</v>
      </c>
      <c r="D4615" s="9" t="s">
        <v>85</v>
      </c>
      <c r="E4615" t="s">
        <v>34</v>
      </c>
      <c r="F4615" t="s">
        <v>65</v>
      </c>
      <c r="G4615">
        <v>62</v>
      </c>
      <c r="H4615" s="9">
        <v>-8.82</v>
      </c>
      <c r="I4615"/>
    </row>
    <row r="4616" spans="1:9" x14ac:dyDescent="0.3">
      <c r="A4616" t="s">
        <v>6</v>
      </c>
      <c r="B4616" t="s">
        <v>20</v>
      </c>
      <c r="C4616" t="s">
        <v>88</v>
      </c>
      <c r="D4616" s="9" t="s">
        <v>85</v>
      </c>
      <c r="E4616" t="s">
        <v>35</v>
      </c>
      <c r="F4616" t="s">
        <v>67</v>
      </c>
      <c r="G4616">
        <v>55.6</v>
      </c>
      <c r="H4616" s="9">
        <v>-11.75</v>
      </c>
      <c r="I4616"/>
    </row>
    <row r="4617" spans="1:9" x14ac:dyDescent="0.3">
      <c r="A4617" t="s">
        <v>6</v>
      </c>
      <c r="B4617" t="s">
        <v>20</v>
      </c>
      <c r="C4617" t="s">
        <v>89</v>
      </c>
      <c r="D4617" s="9" t="s">
        <v>85</v>
      </c>
      <c r="E4617" t="s">
        <v>36</v>
      </c>
      <c r="F4617" t="s">
        <v>69</v>
      </c>
      <c r="G4617">
        <v>91.9</v>
      </c>
      <c r="H4617" s="9">
        <v>24.86</v>
      </c>
      <c r="I4617"/>
    </row>
    <row r="4618" spans="1:9" x14ac:dyDescent="0.3">
      <c r="A4618" t="s">
        <v>6</v>
      </c>
      <c r="B4618" t="s">
        <v>20</v>
      </c>
      <c r="C4618" t="s">
        <v>90</v>
      </c>
      <c r="D4618" s="9" t="s">
        <v>85</v>
      </c>
      <c r="E4618" t="s">
        <v>37</v>
      </c>
      <c r="F4618" t="s">
        <v>71</v>
      </c>
      <c r="G4618">
        <v>96.7</v>
      </c>
      <c r="H4618" s="9">
        <v>28.76</v>
      </c>
      <c r="I4618"/>
    </row>
    <row r="4619" spans="1:9" x14ac:dyDescent="0.3">
      <c r="A4619" t="s">
        <v>6</v>
      </c>
      <c r="B4619" t="s">
        <v>20</v>
      </c>
      <c r="C4619" t="s">
        <v>91</v>
      </c>
      <c r="D4619" s="9" t="s">
        <v>85</v>
      </c>
      <c r="E4619" t="s">
        <v>38</v>
      </c>
      <c r="F4619" t="s">
        <v>73</v>
      </c>
      <c r="G4619">
        <v>92.9</v>
      </c>
      <c r="H4619" s="9">
        <v>19.559999999999999</v>
      </c>
      <c r="I4619"/>
    </row>
    <row r="4620" spans="1:9" x14ac:dyDescent="0.3">
      <c r="A4620" t="s">
        <v>6</v>
      </c>
      <c r="B4620" t="s">
        <v>20</v>
      </c>
      <c r="C4620" t="s">
        <v>92</v>
      </c>
      <c r="D4620" s="9" t="s">
        <v>85</v>
      </c>
      <c r="E4620" t="s">
        <v>39</v>
      </c>
      <c r="F4620" t="s">
        <v>75</v>
      </c>
      <c r="G4620">
        <v>89.9</v>
      </c>
      <c r="H4620" s="9">
        <v>28.25</v>
      </c>
      <c r="I4620"/>
    </row>
    <row r="4621" spans="1:9" x14ac:dyDescent="0.3">
      <c r="A4621" t="s">
        <v>6</v>
      </c>
      <c r="B4621" t="s">
        <v>20</v>
      </c>
      <c r="C4621" t="s">
        <v>93</v>
      </c>
      <c r="D4621" s="9" t="s">
        <v>85</v>
      </c>
      <c r="E4621" t="s">
        <v>40</v>
      </c>
      <c r="F4621" t="s">
        <v>77</v>
      </c>
      <c r="G4621">
        <v>82.7</v>
      </c>
      <c r="H4621" s="9">
        <v>22.16</v>
      </c>
      <c r="I4621"/>
    </row>
    <row r="4622" spans="1:9" x14ac:dyDescent="0.3">
      <c r="A4622" t="s">
        <v>6</v>
      </c>
      <c r="B4622" t="s">
        <v>20</v>
      </c>
      <c r="C4622" t="s">
        <v>94</v>
      </c>
      <c r="D4622" s="9" t="s">
        <v>85</v>
      </c>
      <c r="E4622" t="s">
        <v>41</v>
      </c>
      <c r="F4622" t="s">
        <v>79</v>
      </c>
      <c r="G4622">
        <v>99</v>
      </c>
      <c r="H4622" s="9">
        <v>31.13</v>
      </c>
      <c r="I4622"/>
    </row>
    <row r="4623" spans="1:9" x14ac:dyDescent="0.3">
      <c r="A4623" t="s">
        <v>6</v>
      </c>
      <c r="B4623" t="s">
        <v>20</v>
      </c>
      <c r="C4623" t="s">
        <v>95</v>
      </c>
      <c r="D4623" s="9" t="s">
        <v>85</v>
      </c>
      <c r="E4623" t="s">
        <v>42</v>
      </c>
      <c r="F4623" t="s">
        <v>81</v>
      </c>
      <c r="G4623">
        <v>91.3</v>
      </c>
      <c r="H4623" s="9">
        <v>12.86</v>
      </c>
      <c r="I4623"/>
    </row>
    <row r="4624" spans="1:9" x14ac:dyDescent="0.3">
      <c r="A4624" t="s">
        <v>6</v>
      </c>
      <c r="B4624" t="s">
        <v>20</v>
      </c>
      <c r="C4624" t="s">
        <v>96</v>
      </c>
      <c r="D4624" s="9" t="s">
        <v>85</v>
      </c>
      <c r="E4624" t="s">
        <v>43</v>
      </c>
      <c r="F4624" t="s">
        <v>83</v>
      </c>
      <c r="G4624">
        <v>104.7</v>
      </c>
      <c r="H4624" s="9">
        <v>27.37</v>
      </c>
      <c r="I4624"/>
    </row>
    <row r="4625" spans="1:9" x14ac:dyDescent="0.3">
      <c r="A4625" t="s">
        <v>6</v>
      </c>
      <c r="B4625" t="s">
        <v>20</v>
      </c>
      <c r="C4625" t="s">
        <v>97</v>
      </c>
      <c r="D4625" s="9" t="s">
        <v>98</v>
      </c>
      <c r="E4625" t="s">
        <v>32</v>
      </c>
      <c r="F4625" t="s">
        <v>61</v>
      </c>
      <c r="G4625">
        <v>84.5</v>
      </c>
      <c r="H4625" s="9">
        <v>19.350000000000001</v>
      </c>
      <c r="I4625"/>
    </row>
    <row r="4626" spans="1:9" x14ac:dyDescent="0.3">
      <c r="A4626" t="s">
        <v>6</v>
      </c>
      <c r="B4626" t="s">
        <v>20</v>
      </c>
      <c r="C4626" t="s">
        <v>99</v>
      </c>
      <c r="D4626" s="9" t="s">
        <v>98</v>
      </c>
      <c r="E4626" t="s">
        <v>33</v>
      </c>
      <c r="F4626" t="s">
        <v>63</v>
      </c>
      <c r="G4626">
        <v>79</v>
      </c>
      <c r="H4626" s="9">
        <v>25.4</v>
      </c>
      <c r="I4626"/>
    </row>
    <row r="4627" spans="1:9" x14ac:dyDescent="0.3">
      <c r="A4627" t="s">
        <v>6</v>
      </c>
      <c r="B4627" t="s">
        <v>20</v>
      </c>
      <c r="C4627" t="s">
        <v>100</v>
      </c>
      <c r="D4627" s="9" t="s">
        <v>98</v>
      </c>
      <c r="E4627" t="s">
        <v>34</v>
      </c>
      <c r="F4627" t="s">
        <v>65</v>
      </c>
      <c r="G4627">
        <v>82.3</v>
      </c>
      <c r="H4627" s="9">
        <v>32.74</v>
      </c>
      <c r="I4627"/>
    </row>
    <row r="4628" spans="1:9" x14ac:dyDescent="0.3">
      <c r="A4628" t="s">
        <v>6</v>
      </c>
      <c r="B4628" t="s">
        <v>20</v>
      </c>
      <c r="C4628" t="s">
        <v>101</v>
      </c>
      <c r="D4628" s="9" t="s">
        <v>98</v>
      </c>
      <c r="E4628" t="s">
        <v>35</v>
      </c>
      <c r="F4628" t="s">
        <v>67</v>
      </c>
      <c r="G4628">
        <v>80.400000000000006</v>
      </c>
      <c r="H4628" s="9">
        <v>44.6</v>
      </c>
      <c r="I4628"/>
    </row>
    <row r="4629" spans="1:9" x14ac:dyDescent="0.3">
      <c r="A4629" t="s">
        <v>6</v>
      </c>
      <c r="B4629" t="s">
        <v>20</v>
      </c>
      <c r="C4629" t="s">
        <v>102</v>
      </c>
      <c r="D4629" s="9" t="s">
        <v>98</v>
      </c>
      <c r="E4629" t="s">
        <v>36</v>
      </c>
      <c r="F4629" t="s">
        <v>69</v>
      </c>
      <c r="G4629">
        <v>85.3</v>
      </c>
      <c r="H4629" s="9">
        <v>-7.18</v>
      </c>
      <c r="I4629"/>
    </row>
    <row r="4630" spans="1:9" x14ac:dyDescent="0.3">
      <c r="A4630" t="s">
        <v>6</v>
      </c>
      <c r="B4630" t="s">
        <v>20</v>
      </c>
      <c r="C4630" t="s">
        <v>103</v>
      </c>
      <c r="D4630" s="9" t="s">
        <v>98</v>
      </c>
      <c r="E4630" t="s">
        <v>37</v>
      </c>
      <c r="F4630" t="s">
        <v>71</v>
      </c>
      <c r="G4630">
        <v>95</v>
      </c>
      <c r="H4630" s="9">
        <v>-1.76</v>
      </c>
      <c r="I4630"/>
    </row>
    <row r="4631" spans="1:9" x14ac:dyDescent="0.3">
      <c r="A4631" t="s">
        <v>6</v>
      </c>
      <c r="B4631" t="s">
        <v>20</v>
      </c>
      <c r="C4631" t="s">
        <v>104</v>
      </c>
      <c r="D4631" s="9" t="s">
        <v>98</v>
      </c>
      <c r="E4631" t="s">
        <v>38</v>
      </c>
      <c r="F4631" t="s">
        <v>73</v>
      </c>
      <c r="G4631">
        <v>82.1</v>
      </c>
      <c r="H4631" s="9">
        <v>-11.63</v>
      </c>
      <c r="I4631"/>
    </row>
    <row r="4632" spans="1:9" x14ac:dyDescent="0.3">
      <c r="A4632" t="s">
        <v>6</v>
      </c>
      <c r="B4632" t="s">
        <v>20</v>
      </c>
      <c r="C4632" t="s">
        <v>105</v>
      </c>
      <c r="D4632" s="9" t="s">
        <v>98</v>
      </c>
      <c r="E4632" t="s">
        <v>39</v>
      </c>
      <c r="F4632" t="s">
        <v>75</v>
      </c>
      <c r="G4632">
        <v>92.9</v>
      </c>
      <c r="H4632" s="9">
        <v>3.34</v>
      </c>
      <c r="I4632"/>
    </row>
    <row r="4633" spans="1:9" x14ac:dyDescent="0.3">
      <c r="A4633" t="s">
        <v>6</v>
      </c>
      <c r="B4633" t="s">
        <v>20</v>
      </c>
      <c r="C4633" t="s">
        <v>106</v>
      </c>
      <c r="D4633" s="9" t="s">
        <v>98</v>
      </c>
      <c r="E4633" t="s">
        <v>40</v>
      </c>
      <c r="F4633" t="s">
        <v>77</v>
      </c>
      <c r="G4633">
        <v>93.4</v>
      </c>
      <c r="H4633" s="9">
        <v>12.94</v>
      </c>
      <c r="I4633"/>
    </row>
    <row r="4634" spans="1:9" x14ac:dyDescent="0.3">
      <c r="A4634" t="s">
        <v>6</v>
      </c>
      <c r="B4634" t="s">
        <v>20</v>
      </c>
      <c r="C4634" t="s">
        <v>107</v>
      </c>
      <c r="D4634" s="9" t="s">
        <v>98</v>
      </c>
      <c r="E4634" t="s">
        <v>41</v>
      </c>
      <c r="F4634" t="s">
        <v>79</v>
      </c>
      <c r="G4634">
        <v>98.7</v>
      </c>
      <c r="H4634" s="9">
        <v>-0.3</v>
      </c>
      <c r="I4634"/>
    </row>
    <row r="4635" spans="1:9" x14ac:dyDescent="0.3">
      <c r="A4635" t="s">
        <v>6</v>
      </c>
      <c r="B4635" t="s">
        <v>20</v>
      </c>
      <c r="C4635" t="s">
        <v>108</v>
      </c>
      <c r="D4635" s="9" t="s">
        <v>98</v>
      </c>
      <c r="E4635" t="s">
        <v>42</v>
      </c>
      <c r="F4635" t="s">
        <v>81</v>
      </c>
      <c r="G4635">
        <v>112.3</v>
      </c>
      <c r="H4635" s="9">
        <v>23</v>
      </c>
      <c r="I4635"/>
    </row>
    <row r="4636" spans="1:9" x14ac:dyDescent="0.3">
      <c r="A4636" t="s">
        <v>6</v>
      </c>
      <c r="B4636" t="s">
        <v>20</v>
      </c>
      <c r="C4636" t="s">
        <v>109</v>
      </c>
      <c r="D4636" s="9" t="s">
        <v>98</v>
      </c>
      <c r="E4636" t="s">
        <v>43</v>
      </c>
      <c r="F4636" t="s">
        <v>83</v>
      </c>
      <c r="G4636">
        <v>116.6</v>
      </c>
      <c r="H4636" s="9">
        <v>11.37</v>
      </c>
      <c r="I4636"/>
    </row>
    <row r="4637" spans="1:9" x14ac:dyDescent="0.3">
      <c r="A4637" t="s">
        <v>6</v>
      </c>
      <c r="B4637" t="s">
        <v>20</v>
      </c>
      <c r="C4637" t="s">
        <v>110</v>
      </c>
      <c r="D4637" s="9" t="s">
        <v>111</v>
      </c>
      <c r="E4637" t="s">
        <v>32</v>
      </c>
      <c r="F4637" t="s">
        <v>61</v>
      </c>
      <c r="G4637">
        <v>98.1</v>
      </c>
      <c r="H4637" s="9">
        <v>16.09</v>
      </c>
      <c r="I4637"/>
    </row>
    <row r="4638" spans="1:9" x14ac:dyDescent="0.3">
      <c r="A4638" t="s">
        <v>6</v>
      </c>
      <c r="B4638" t="s">
        <v>20</v>
      </c>
      <c r="C4638" t="s">
        <v>112</v>
      </c>
      <c r="D4638" s="9" t="s">
        <v>111</v>
      </c>
      <c r="E4638" t="s">
        <v>33</v>
      </c>
      <c r="F4638" t="s">
        <v>63</v>
      </c>
      <c r="G4638">
        <v>96.7</v>
      </c>
      <c r="H4638" s="9">
        <v>22.41</v>
      </c>
      <c r="I4638"/>
    </row>
    <row r="4639" spans="1:9" x14ac:dyDescent="0.3">
      <c r="A4639" t="s">
        <v>6</v>
      </c>
      <c r="B4639" t="s">
        <v>20</v>
      </c>
      <c r="C4639" t="s">
        <v>113</v>
      </c>
      <c r="D4639" s="9" t="s">
        <v>111</v>
      </c>
      <c r="E4639" t="s">
        <v>34</v>
      </c>
      <c r="F4639" t="s">
        <v>65</v>
      </c>
      <c r="G4639">
        <v>100.3</v>
      </c>
      <c r="H4639" s="9">
        <v>21.87</v>
      </c>
      <c r="I4639"/>
    </row>
    <row r="4640" spans="1:9" x14ac:dyDescent="0.3">
      <c r="A4640" t="s">
        <v>6</v>
      </c>
      <c r="B4640" t="s">
        <v>20</v>
      </c>
      <c r="C4640" t="s">
        <v>114</v>
      </c>
      <c r="D4640" s="9" t="s">
        <v>111</v>
      </c>
      <c r="E4640" t="s">
        <v>35</v>
      </c>
      <c r="F4640" t="s">
        <v>67</v>
      </c>
      <c r="G4640">
        <v>96</v>
      </c>
      <c r="H4640" s="9">
        <v>19.399999999999999</v>
      </c>
      <c r="I4640"/>
    </row>
    <row r="4641" spans="1:9" x14ac:dyDescent="0.3">
      <c r="A4641" t="s">
        <v>6</v>
      </c>
      <c r="B4641" t="s">
        <v>20</v>
      </c>
      <c r="C4641" t="s">
        <v>115</v>
      </c>
      <c r="D4641" s="9" t="s">
        <v>111</v>
      </c>
      <c r="E4641" t="s">
        <v>36</v>
      </c>
      <c r="F4641" t="s">
        <v>69</v>
      </c>
      <c r="G4641">
        <v>105.4</v>
      </c>
      <c r="H4641" s="9">
        <v>23.56</v>
      </c>
      <c r="I4641"/>
    </row>
    <row r="4642" spans="1:9" x14ac:dyDescent="0.3">
      <c r="A4642" t="s">
        <v>6</v>
      </c>
      <c r="B4642" t="s">
        <v>20</v>
      </c>
      <c r="C4642" t="s">
        <v>116</v>
      </c>
      <c r="D4642" s="9" t="s">
        <v>111</v>
      </c>
      <c r="E4642" t="s">
        <v>37</v>
      </c>
      <c r="F4642" t="s">
        <v>71</v>
      </c>
      <c r="G4642">
        <v>109.9</v>
      </c>
      <c r="H4642" s="9">
        <v>15.68</v>
      </c>
      <c r="I4642"/>
    </row>
    <row r="4643" spans="1:9" x14ac:dyDescent="0.3">
      <c r="A4643" t="s">
        <v>6</v>
      </c>
      <c r="B4643" t="s">
        <v>20</v>
      </c>
      <c r="C4643" t="s">
        <v>117</v>
      </c>
      <c r="D4643" s="9" t="s">
        <v>111</v>
      </c>
      <c r="E4643" t="s">
        <v>38</v>
      </c>
      <c r="F4643" t="s">
        <v>73</v>
      </c>
      <c r="G4643">
        <v>103.4</v>
      </c>
      <c r="H4643" s="9">
        <v>25.94</v>
      </c>
      <c r="I4643"/>
    </row>
    <row r="4644" spans="1:9" x14ac:dyDescent="0.3">
      <c r="A4644" t="s">
        <v>6</v>
      </c>
      <c r="B4644" t="s">
        <v>20</v>
      </c>
      <c r="C4644" t="s">
        <v>118</v>
      </c>
      <c r="D4644" s="9" t="s">
        <v>111</v>
      </c>
      <c r="E4644" t="s">
        <v>39</v>
      </c>
      <c r="F4644" t="s">
        <v>75</v>
      </c>
      <c r="G4644">
        <v>103.6</v>
      </c>
      <c r="H4644" s="9">
        <v>11.52</v>
      </c>
      <c r="I4644"/>
    </row>
    <row r="4645" spans="1:9" x14ac:dyDescent="0.3">
      <c r="A4645" t="s">
        <v>6</v>
      </c>
      <c r="B4645" t="s">
        <v>20</v>
      </c>
      <c r="C4645" t="s">
        <v>119</v>
      </c>
      <c r="D4645" s="9" t="s">
        <v>111</v>
      </c>
      <c r="E4645" t="s">
        <v>40</v>
      </c>
      <c r="F4645" t="s">
        <v>77</v>
      </c>
      <c r="G4645">
        <v>95.5</v>
      </c>
      <c r="H4645" s="9">
        <v>2.25</v>
      </c>
      <c r="I4645"/>
    </row>
    <row r="4646" spans="1:9" x14ac:dyDescent="0.3">
      <c r="A4646" t="s">
        <v>6</v>
      </c>
      <c r="B4646" t="s">
        <v>20</v>
      </c>
      <c r="C4646" t="s">
        <v>120</v>
      </c>
      <c r="D4646" s="9" t="s">
        <v>111</v>
      </c>
      <c r="E4646" t="s">
        <v>41</v>
      </c>
      <c r="F4646" t="s">
        <v>79</v>
      </c>
      <c r="G4646">
        <v>104.4</v>
      </c>
      <c r="H4646" s="9">
        <v>5.78</v>
      </c>
      <c r="I4646"/>
    </row>
    <row r="4647" spans="1:9" x14ac:dyDescent="0.3">
      <c r="A4647" t="s">
        <v>6</v>
      </c>
      <c r="B4647" t="s">
        <v>20</v>
      </c>
      <c r="C4647" t="s">
        <v>121</v>
      </c>
      <c r="D4647" s="9" t="s">
        <v>111</v>
      </c>
      <c r="E4647" t="s">
        <v>42</v>
      </c>
      <c r="F4647" t="s">
        <v>81</v>
      </c>
      <c r="G4647">
        <v>110.9</v>
      </c>
      <c r="H4647" s="9">
        <v>-1.25</v>
      </c>
      <c r="I4647"/>
    </row>
    <row r="4648" spans="1:9" x14ac:dyDescent="0.3">
      <c r="A4648" t="s">
        <v>6</v>
      </c>
      <c r="B4648" t="s">
        <v>20</v>
      </c>
      <c r="C4648" t="s">
        <v>122</v>
      </c>
      <c r="D4648" s="9" t="s">
        <v>111</v>
      </c>
      <c r="E4648" t="s">
        <v>43</v>
      </c>
      <c r="F4648" t="s">
        <v>83</v>
      </c>
      <c r="G4648">
        <v>111.3</v>
      </c>
      <c r="H4648" s="9">
        <v>-4.55</v>
      </c>
      <c r="I4648"/>
    </row>
    <row r="4649" spans="1:9" x14ac:dyDescent="0.3">
      <c r="A4649" t="s">
        <v>6</v>
      </c>
      <c r="B4649" t="s">
        <v>20</v>
      </c>
      <c r="C4649" t="s">
        <v>123</v>
      </c>
      <c r="D4649" s="9" t="s">
        <v>124</v>
      </c>
      <c r="E4649" t="s">
        <v>32</v>
      </c>
      <c r="F4649" t="s">
        <v>61</v>
      </c>
      <c r="G4649">
        <v>95.3</v>
      </c>
      <c r="H4649" s="9">
        <v>-2.85</v>
      </c>
      <c r="I4649"/>
    </row>
    <row r="4650" spans="1:9" x14ac:dyDescent="0.3">
      <c r="A4650" t="s">
        <v>6</v>
      </c>
      <c r="B4650" t="s">
        <v>20</v>
      </c>
      <c r="C4650" t="s">
        <v>125</v>
      </c>
      <c r="D4650" s="9" t="s">
        <v>124</v>
      </c>
      <c r="E4650" t="s">
        <v>33</v>
      </c>
      <c r="F4650" t="s">
        <v>63</v>
      </c>
      <c r="G4650">
        <v>84</v>
      </c>
      <c r="H4650" s="9">
        <v>-13.13</v>
      </c>
      <c r="I4650"/>
    </row>
    <row r="4651" spans="1:9" x14ac:dyDescent="0.3">
      <c r="A4651" t="s">
        <v>6</v>
      </c>
      <c r="B4651" t="s">
        <v>20</v>
      </c>
      <c r="C4651" t="s">
        <v>126</v>
      </c>
      <c r="D4651" s="9" t="s">
        <v>124</v>
      </c>
      <c r="E4651" t="s">
        <v>34</v>
      </c>
      <c r="F4651" t="s">
        <v>65</v>
      </c>
      <c r="G4651">
        <v>90.4</v>
      </c>
      <c r="H4651" s="9">
        <v>-9.8699999999999992</v>
      </c>
      <c r="I4651"/>
    </row>
    <row r="4652" spans="1:9" x14ac:dyDescent="0.3">
      <c r="A4652" t="s">
        <v>6</v>
      </c>
      <c r="B4652" t="s">
        <v>20</v>
      </c>
      <c r="C4652" t="s">
        <v>127</v>
      </c>
      <c r="D4652" s="9" t="s">
        <v>124</v>
      </c>
      <c r="E4652" t="s">
        <v>35</v>
      </c>
      <c r="F4652" t="s">
        <v>67</v>
      </c>
      <c r="G4652">
        <v>83.4</v>
      </c>
      <c r="H4652" s="9">
        <v>-13.13</v>
      </c>
      <c r="I4652"/>
    </row>
    <row r="4653" spans="1:9" x14ac:dyDescent="0.3">
      <c r="A4653" t="s">
        <v>6</v>
      </c>
      <c r="B4653" t="s">
        <v>20</v>
      </c>
      <c r="C4653" t="s">
        <v>128</v>
      </c>
      <c r="D4653" s="9" t="s">
        <v>124</v>
      </c>
      <c r="E4653" t="s">
        <v>36</v>
      </c>
      <c r="F4653" t="s">
        <v>69</v>
      </c>
      <c r="G4653">
        <v>100.2</v>
      </c>
      <c r="H4653" s="9">
        <v>-4.93</v>
      </c>
      <c r="I4653"/>
    </row>
    <row r="4654" spans="1:9" x14ac:dyDescent="0.3">
      <c r="A4654" t="s">
        <v>6</v>
      </c>
      <c r="B4654" t="s">
        <v>20</v>
      </c>
      <c r="C4654" t="s">
        <v>129</v>
      </c>
      <c r="D4654" s="9" t="s">
        <v>124</v>
      </c>
      <c r="E4654" t="s">
        <v>37</v>
      </c>
      <c r="F4654" t="s">
        <v>71</v>
      </c>
      <c r="G4654">
        <v>103.6</v>
      </c>
      <c r="H4654" s="9">
        <v>-5.73</v>
      </c>
      <c r="I4654"/>
    </row>
    <row r="4655" spans="1:9" x14ac:dyDescent="0.3">
      <c r="A4655" t="s">
        <v>6</v>
      </c>
      <c r="B4655" t="s">
        <v>20</v>
      </c>
      <c r="C4655" t="s">
        <v>130</v>
      </c>
      <c r="D4655" s="9" t="s">
        <v>124</v>
      </c>
      <c r="E4655" t="s">
        <v>38</v>
      </c>
      <c r="F4655" t="s">
        <v>73</v>
      </c>
      <c r="G4655">
        <v>98.9</v>
      </c>
      <c r="H4655" s="9">
        <v>-4.3499999999999996</v>
      </c>
      <c r="I4655"/>
    </row>
    <row r="4656" spans="1:9" x14ac:dyDescent="0.3">
      <c r="A4656" t="s">
        <v>6</v>
      </c>
      <c r="B4656" t="s">
        <v>20</v>
      </c>
      <c r="C4656" t="s">
        <v>131</v>
      </c>
      <c r="D4656" s="9" t="s">
        <v>124</v>
      </c>
      <c r="E4656" t="s">
        <v>39</v>
      </c>
      <c r="F4656" t="s">
        <v>75</v>
      </c>
      <c r="G4656">
        <v>97.9</v>
      </c>
      <c r="H4656" s="9">
        <v>-5.5</v>
      </c>
      <c r="I4656"/>
    </row>
    <row r="4657" spans="1:9" x14ac:dyDescent="0.3">
      <c r="A4657" t="s">
        <v>6</v>
      </c>
      <c r="B4657" t="s">
        <v>20</v>
      </c>
      <c r="C4657" t="s">
        <v>132</v>
      </c>
      <c r="D4657" s="9" t="s">
        <v>124</v>
      </c>
      <c r="E4657" t="s">
        <v>40</v>
      </c>
      <c r="F4657" t="s">
        <v>77</v>
      </c>
      <c r="G4657">
        <v>91</v>
      </c>
      <c r="H4657" s="9">
        <v>-4.71</v>
      </c>
      <c r="I4657"/>
    </row>
    <row r="4658" spans="1:9" x14ac:dyDescent="0.3">
      <c r="A4658" t="s">
        <v>6</v>
      </c>
      <c r="B4658" t="s">
        <v>20</v>
      </c>
      <c r="C4658" t="s">
        <v>133</v>
      </c>
      <c r="D4658" s="9" t="s">
        <v>124</v>
      </c>
      <c r="E4658" t="s">
        <v>41</v>
      </c>
      <c r="F4658" t="s">
        <v>79</v>
      </c>
      <c r="G4658">
        <v>100.1</v>
      </c>
      <c r="H4658" s="9">
        <v>-4.12</v>
      </c>
      <c r="I4658"/>
    </row>
    <row r="4659" spans="1:9" x14ac:dyDescent="0.3">
      <c r="A4659" t="s">
        <v>6</v>
      </c>
      <c r="B4659" t="s">
        <v>20</v>
      </c>
      <c r="C4659" t="s">
        <v>134</v>
      </c>
      <c r="D4659" s="9" t="s">
        <v>124</v>
      </c>
      <c r="E4659" t="s">
        <v>42</v>
      </c>
      <c r="F4659" t="s">
        <v>81</v>
      </c>
      <c r="G4659">
        <v>113</v>
      </c>
      <c r="H4659" s="9">
        <v>1.89</v>
      </c>
      <c r="I4659"/>
    </row>
    <row r="4660" spans="1:9" x14ac:dyDescent="0.3">
      <c r="A4660" t="s">
        <v>6</v>
      </c>
      <c r="B4660" t="s">
        <v>20</v>
      </c>
      <c r="C4660" t="s">
        <v>135</v>
      </c>
      <c r="D4660" s="9" t="s">
        <v>124</v>
      </c>
      <c r="E4660" t="s">
        <v>43</v>
      </c>
      <c r="F4660" t="s">
        <v>83</v>
      </c>
      <c r="G4660">
        <v>107.8</v>
      </c>
      <c r="H4660" s="9">
        <v>-3.14</v>
      </c>
      <c r="I4660"/>
    </row>
    <row r="4661" spans="1:9" x14ac:dyDescent="0.3">
      <c r="A4661" t="s">
        <v>6</v>
      </c>
      <c r="B4661" t="s">
        <v>20</v>
      </c>
      <c r="C4661" t="s">
        <v>136</v>
      </c>
      <c r="D4661" s="9" t="s">
        <v>137</v>
      </c>
      <c r="E4661" t="s">
        <v>32</v>
      </c>
      <c r="F4661" t="s">
        <v>61</v>
      </c>
      <c r="G4661">
        <v>91.9</v>
      </c>
      <c r="H4661" s="9">
        <v>-3.57</v>
      </c>
      <c r="I4661"/>
    </row>
    <row r="4662" spans="1:9" x14ac:dyDescent="0.3">
      <c r="A4662" t="s">
        <v>6</v>
      </c>
      <c r="B4662" t="s">
        <v>20</v>
      </c>
      <c r="C4662" t="s">
        <v>138</v>
      </c>
      <c r="D4662" s="9" t="s">
        <v>137</v>
      </c>
      <c r="E4662" t="s">
        <v>33</v>
      </c>
      <c r="F4662" t="s">
        <v>63</v>
      </c>
      <c r="G4662">
        <v>85.8</v>
      </c>
      <c r="H4662" s="9">
        <v>2.14</v>
      </c>
      <c r="I4662"/>
    </row>
    <row r="4663" spans="1:9" x14ac:dyDescent="0.3">
      <c r="A4663" t="s">
        <v>6</v>
      </c>
      <c r="B4663" t="s">
        <v>20</v>
      </c>
      <c r="C4663" t="s">
        <v>139</v>
      </c>
      <c r="D4663" s="9" t="s">
        <v>137</v>
      </c>
      <c r="E4663" t="s">
        <v>34</v>
      </c>
      <c r="F4663" t="s">
        <v>65</v>
      </c>
      <c r="G4663">
        <v>88.5</v>
      </c>
      <c r="H4663" s="9">
        <v>-2.1</v>
      </c>
      <c r="I4663"/>
    </row>
    <row r="4664" spans="1:9" x14ac:dyDescent="0.3">
      <c r="A4664" t="s">
        <v>6</v>
      </c>
      <c r="B4664" t="s">
        <v>20</v>
      </c>
      <c r="C4664" t="s">
        <v>140</v>
      </c>
      <c r="D4664" s="9" t="s">
        <v>137</v>
      </c>
      <c r="E4664" t="s">
        <v>35</v>
      </c>
      <c r="F4664" t="s">
        <v>67</v>
      </c>
      <c r="G4664">
        <v>93</v>
      </c>
      <c r="H4664" s="9">
        <v>11.51</v>
      </c>
      <c r="I4664"/>
    </row>
    <row r="4665" spans="1:9" x14ac:dyDescent="0.3">
      <c r="A4665" t="s">
        <v>6</v>
      </c>
      <c r="B4665" t="s">
        <v>20</v>
      </c>
      <c r="C4665" t="s">
        <v>141</v>
      </c>
      <c r="D4665" s="9" t="s">
        <v>137</v>
      </c>
      <c r="E4665" t="s">
        <v>36</v>
      </c>
      <c r="F4665" t="s">
        <v>69</v>
      </c>
      <c r="G4665">
        <v>96.7</v>
      </c>
      <c r="H4665" s="9">
        <v>-3.49</v>
      </c>
      <c r="I4665"/>
    </row>
    <row r="4666" spans="1:9" x14ac:dyDescent="0.3">
      <c r="A4666" t="s">
        <v>6</v>
      </c>
      <c r="B4666" t="s">
        <v>20</v>
      </c>
      <c r="C4666" t="s">
        <v>142</v>
      </c>
      <c r="D4666" s="9" t="s">
        <v>137</v>
      </c>
      <c r="E4666" t="s">
        <v>37</v>
      </c>
      <c r="F4666" t="s">
        <v>71</v>
      </c>
      <c r="G4666">
        <v>99.4</v>
      </c>
      <c r="H4666" s="9">
        <v>-4.05</v>
      </c>
      <c r="I4666"/>
    </row>
    <row r="4667" spans="1:9" x14ac:dyDescent="0.3">
      <c r="A4667" t="s">
        <v>6</v>
      </c>
      <c r="B4667" t="s">
        <v>20</v>
      </c>
      <c r="C4667" t="s">
        <v>143</v>
      </c>
      <c r="D4667" s="9" t="s">
        <v>137</v>
      </c>
      <c r="E4667" t="s">
        <v>38</v>
      </c>
      <c r="F4667" t="s">
        <v>73</v>
      </c>
      <c r="G4667">
        <v>99.7</v>
      </c>
      <c r="H4667" s="9">
        <v>0.81</v>
      </c>
      <c r="I4667"/>
    </row>
    <row r="4668" spans="1:9" x14ac:dyDescent="0.3">
      <c r="A4668" t="s">
        <v>6</v>
      </c>
      <c r="B4668" t="s">
        <v>20</v>
      </c>
      <c r="C4668" t="s">
        <v>144</v>
      </c>
      <c r="D4668" s="9" t="s">
        <v>137</v>
      </c>
      <c r="E4668" t="s">
        <v>39</v>
      </c>
      <c r="F4668" t="s">
        <v>75</v>
      </c>
      <c r="G4668">
        <v>97.7</v>
      </c>
      <c r="H4668" s="9">
        <v>-0.2</v>
      </c>
      <c r="I4668"/>
    </row>
    <row r="4669" spans="1:9" x14ac:dyDescent="0.3">
      <c r="A4669" t="s">
        <v>6</v>
      </c>
      <c r="B4669" t="s">
        <v>20</v>
      </c>
      <c r="C4669" t="s">
        <v>145</v>
      </c>
      <c r="D4669" s="9" t="s">
        <v>137</v>
      </c>
      <c r="E4669" t="s">
        <v>40</v>
      </c>
      <c r="F4669" t="s">
        <v>77</v>
      </c>
      <c r="G4669">
        <v>93.9</v>
      </c>
      <c r="H4669" s="9">
        <v>3.19</v>
      </c>
      <c r="I4669"/>
    </row>
    <row r="4670" spans="1:9" x14ac:dyDescent="0.3">
      <c r="A4670" t="s">
        <v>6</v>
      </c>
      <c r="B4670" t="s">
        <v>20</v>
      </c>
      <c r="C4670" t="s">
        <v>146</v>
      </c>
      <c r="D4670" s="9" t="s">
        <v>137</v>
      </c>
      <c r="E4670" t="s">
        <v>41</v>
      </c>
      <c r="F4670" t="s">
        <v>79</v>
      </c>
      <c r="G4670">
        <v>100.5</v>
      </c>
      <c r="H4670" s="9">
        <v>0.4</v>
      </c>
      <c r="I4670"/>
    </row>
    <row r="4671" spans="1:9" x14ac:dyDescent="0.3">
      <c r="A4671" t="s">
        <v>6</v>
      </c>
      <c r="B4671" t="s">
        <v>20</v>
      </c>
      <c r="C4671" t="s">
        <v>147</v>
      </c>
      <c r="D4671" s="9" t="s">
        <v>137</v>
      </c>
      <c r="E4671" t="s">
        <v>42</v>
      </c>
      <c r="F4671" t="s">
        <v>81</v>
      </c>
      <c r="G4671">
        <v>120</v>
      </c>
      <c r="H4671" s="9">
        <v>6.19</v>
      </c>
      <c r="I4671"/>
    </row>
    <row r="4672" spans="1:9" x14ac:dyDescent="0.3">
      <c r="A4672" t="s">
        <v>6</v>
      </c>
      <c r="B4672" t="s">
        <v>20</v>
      </c>
      <c r="C4672" t="s">
        <v>148</v>
      </c>
      <c r="D4672" s="9" t="s">
        <v>137</v>
      </c>
      <c r="E4672" t="s">
        <v>43</v>
      </c>
      <c r="F4672" t="s">
        <v>83</v>
      </c>
      <c r="G4672">
        <v>122</v>
      </c>
      <c r="H4672" s="9">
        <v>13.17</v>
      </c>
      <c r="I4672"/>
    </row>
    <row r="4673" spans="1:9" x14ac:dyDescent="0.3">
      <c r="A4673" t="s">
        <v>6</v>
      </c>
      <c r="B4673" t="s">
        <v>20</v>
      </c>
      <c r="C4673" t="s">
        <v>149</v>
      </c>
      <c r="D4673" s="9" t="s">
        <v>150</v>
      </c>
      <c r="E4673" t="s">
        <v>32</v>
      </c>
      <c r="F4673" t="s">
        <v>61</v>
      </c>
      <c r="G4673">
        <v>107.3</v>
      </c>
      <c r="H4673" s="9">
        <v>16.760000000000002</v>
      </c>
      <c r="I4673"/>
    </row>
    <row r="4674" spans="1:9" x14ac:dyDescent="0.3">
      <c r="A4674" t="s">
        <v>6</v>
      </c>
      <c r="B4674" t="s">
        <v>20</v>
      </c>
      <c r="C4674" t="s">
        <v>151</v>
      </c>
      <c r="D4674" s="9" t="s">
        <v>150</v>
      </c>
      <c r="E4674" t="s">
        <v>33</v>
      </c>
      <c r="F4674" t="s">
        <v>63</v>
      </c>
      <c r="G4674">
        <v>89.8</v>
      </c>
      <c r="H4674" s="9">
        <v>4.66</v>
      </c>
      <c r="I4674"/>
    </row>
    <row r="4675" spans="1:9" x14ac:dyDescent="0.3">
      <c r="A4675" t="s">
        <v>6</v>
      </c>
      <c r="B4675" t="s">
        <v>20</v>
      </c>
      <c r="C4675" t="s">
        <v>152</v>
      </c>
      <c r="D4675" s="9" t="s">
        <v>150</v>
      </c>
      <c r="E4675" t="s">
        <v>34</v>
      </c>
      <c r="F4675" t="s">
        <v>65</v>
      </c>
      <c r="G4675">
        <v>94.4</v>
      </c>
      <c r="H4675" s="9">
        <v>6.67</v>
      </c>
      <c r="I4675"/>
    </row>
    <row r="4676" spans="1:9" x14ac:dyDescent="0.3">
      <c r="A4676" t="s">
        <v>6</v>
      </c>
      <c r="B4676" t="s">
        <v>20</v>
      </c>
      <c r="C4676" t="s">
        <v>153</v>
      </c>
      <c r="D4676" s="9" t="s">
        <v>150</v>
      </c>
      <c r="E4676" t="s">
        <v>35</v>
      </c>
      <c r="F4676" t="s">
        <v>67</v>
      </c>
      <c r="G4676">
        <v>84.6</v>
      </c>
      <c r="H4676" s="9">
        <v>-9.0299999999999994</v>
      </c>
      <c r="I4676"/>
    </row>
    <row r="4677" spans="1:9" x14ac:dyDescent="0.3">
      <c r="A4677" t="s">
        <v>6</v>
      </c>
      <c r="B4677" t="s">
        <v>20</v>
      </c>
      <c r="C4677" t="s">
        <v>154</v>
      </c>
      <c r="D4677" s="9" t="s">
        <v>150</v>
      </c>
      <c r="E4677" t="s">
        <v>36</v>
      </c>
      <c r="F4677" t="s">
        <v>69</v>
      </c>
      <c r="G4677">
        <v>100.1</v>
      </c>
      <c r="H4677" s="9">
        <v>3.52</v>
      </c>
      <c r="I4677"/>
    </row>
    <row r="4678" spans="1:9" x14ac:dyDescent="0.3">
      <c r="A4678" t="s">
        <v>6</v>
      </c>
      <c r="B4678" t="s">
        <v>20</v>
      </c>
      <c r="C4678" t="s">
        <v>155</v>
      </c>
      <c r="D4678" s="9" t="s">
        <v>150</v>
      </c>
      <c r="E4678" t="s">
        <v>37</v>
      </c>
      <c r="F4678" t="s">
        <v>71</v>
      </c>
      <c r="G4678">
        <v>110.7</v>
      </c>
      <c r="H4678" s="9">
        <v>11.37</v>
      </c>
      <c r="I4678"/>
    </row>
    <row r="4679" spans="1:9" x14ac:dyDescent="0.3">
      <c r="A4679" t="s">
        <v>6</v>
      </c>
      <c r="B4679" t="s">
        <v>15</v>
      </c>
      <c r="C4679" t="s">
        <v>59</v>
      </c>
      <c r="D4679" s="9" t="s">
        <v>60</v>
      </c>
      <c r="E4679" t="s">
        <v>32</v>
      </c>
      <c r="F4679" t="s">
        <v>61</v>
      </c>
      <c r="G4679">
        <v>92.9</v>
      </c>
      <c r="I4679"/>
    </row>
    <row r="4680" spans="1:9" x14ac:dyDescent="0.3">
      <c r="A4680" t="s">
        <v>6</v>
      </c>
      <c r="B4680" t="s">
        <v>15</v>
      </c>
      <c r="C4680" t="s">
        <v>62</v>
      </c>
      <c r="D4680" s="9" t="s">
        <v>60</v>
      </c>
      <c r="E4680" t="s">
        <v>33</v>
      </c>
      <c r="F4680" t="s">
        <v>63</v>
      </c>
      <c r="G4680">
        <v>81.099999999999994</v>
      </c>
      <c r="I4680"/>
    </row>
    <row r="4681" spans="1:9" x14ac:dyDescent="0.3">
      <c r="A4681" t="s">
        <v>6</v>
      </c>
      <c r="B4681" t="s">
        <v>15</v>
      </c>
      <c r="C4681" t="s">
        <v>64</v>
      </c>
      <c r="D4681" s="9" t="s">
        <v>60</v>
      </c>
      <c r="E4681" t="s">
        <v>34</v>
      </c>
      <c r="F4681" t="s">
        <v>65</v>
      </c>
      <c r="G4681">
        <v>92.3</v>
      </c>
      <c r="I4681"/>
    </row>
    <row r="4682" spans="1:9" x14ac:dyDescent="0.3">
      <c r="A4682" t="s">
        <v>6</v>
      </c>
      <c r="B4682" t="s">
        <v>15</v>
      </c>
      <c r="C4682" t="s">
        <v>66</v>
      </c>
      <c r="D4682" s="9" t="s">
        <v>60</v>
      </c>
      <c r="E4682" t="s">
        <v>35</v>
      </c>
      <c r="F4682" t="s">
        <v>67</v>
      </c>
      <c r="G4682">
        <v>95.9</v>
      </c>
      <c r="I4682"/>
    </row>
    <row r="4683" spans="1:9" x14ac:dyDescent="0.3">
      <c r="A4683" t="s">
        <v>6</v>
      </c>
      <c r="B4683" t="s">
        <v>15</v>
      </c>
      <c r="C4683" t="s">
        <v>68</v>
      </c>
      <c r="D4683" s="9" t="s">
        <v>60</v>
      </c>
      <c r="E4683" t="s">
        <v>36</v>
      </c>
      <c r="F4683" t="s">
        <v>69</v>
      </c>
      <c r="G4683">
        <v>95.9</v>
      </c>
      <c r="I4683"/>
    </row>
    <row r="4684" spans="1:9" x14ac:dyDescent="0.3">
      <c r="A4684" t="s">
        <v>6</v>
      </c>
      <c r="B4684" t="s">
        <v>15</v>
      </c>
      <c r="C4684" t="s">
        <v>70</v>
      </c>
      <c r="D4684" s="9" t="s">
        <v>60</v>
      </c>
      <c r="E4684" t="s">
        <v>37</v>
      </c>
      <c r="F4684" t="s">
        <v>71</v>
      </c>
      <c r="G4684">
        <v>84.6</v>
      </c>
      <c r="I4684"/>
    </row>
    <row r="4685" spans="1:9" x14ac:dyDescent="0.3">
      <c r="A4685" t="s">
        <v>6</v>
      </c>
      <c r="B4685" t="s">
        <v>15</v>
      </c>
      <c r="C4685" t="s">
        <v>72</v>
      </c>
      <c r="D4685" s="9" t="s">
        <v>60</v>
      </c>
      <c r="E4685" t="s">
        <v>38</v>
      </c>
      <c r="F4685" t="s">
        <v>73</v>
      </c>
      <c r="G4685">
        <v>89.6</v>
      </c>
      <c r="I4685"/>
    </row>
    <row r="4686" spans="1:9" x14ac:dyDescent="0.3">
      <c r="A4686" t="s">
        <v>6</v>
      </c>
      <c r="B4686" t="s">
        <v>15</v>
      </c>
      <c r="C4686" t="s">
        <v>74</v>
      </c>
      <c r="D4686" s="9" t="s">
        <v>60</v>
      </c>
      <c r="E4686" t="s">
        <v>39</v>
      </c>
      <c r="F4686" t="s">
        <v>75</v>
      </c>
      <c r="G4686">
        <v>92.8</v>
      </c>
      <c r="I4686"/>
    </row>
    <row r="4687" spans="1:9" x14ac:dyDescent="0.3">
      <c r="A4687" t="s">
        <v>6</v>
      </c>
      <c r="B4687" t="s">
        <v>15</v>
      </c>
      <c r="C4687" t="s">
        <v>76</v>
      </c>
      <c r="D4687" s="9" t="s">
        <v>60</v>
      </c>
      <c r="E4687" t="s">
        <v>40</v>
      </c>
      <c r="F4687" t="s">
        <v>77</v>
      </c>
      <c r="G4687">
        <v>101.4</v>
      </c>
      <c r="I4687"/>
    </row>
    <row r="4688" spans="1:9" x14ac:dyDescent="0.3">
      <c r="A4688" t="s">
        <v>6</v>
      </c>
      <c r="B4688" t="s">
        <v>15</v>
      </c>
      <c r="C4688" t="s">
        <v>78</v>
      </c>
      <c r="D4688" s="9" t="s">
        <v>60</v>
      </c>
      <c r="E4688" t="s">
        <v>41</v>
      </c>
      <c r="F4688" t="s">
        <v>79</v>
      </c>
      <c r="G4688">
        <v>119</v>
      </c>
      <c r="I4688"/>
    </row>
    <row r="4689" spans="1:9" x14ac:dyDescent="0.3">
      <c r="A4689" t="s">
        <v>6</v>
      </c>
      <c r="B4689" t="s">
        <v>15</v>
      </c>
      <c r="C4689" t="s">
        <v>80</v>
      </c>
      <c r="D4689" s="9" t="s">
        <v>60</v>
      </c>
      <c r="E4689" t="s">
        <v>42</v>
      </c>
      <c r="F4689" t="s">
        <v>81</v>
      </c>
      <c r="G4689">
        <v>118.3</v>
      </c>
      <c r="I4689"/>
    </row>
    <row r="4690" spans="1:9" x14ac:dyDescent="0.3">
      <c r="A4690" t="s">
        <v>6</v>
      </c>
      <c r="B4690" t="s">
        <v>15</v>
      </c>
      <c r="C4690" t="s">
        <v>82</v>
      </c>
      <c r="D4690" s="9" t="s">
        <v>60</v>
      </c>
      <c r="E4690" t="s">
        <v>43</v>
      </c>
      <c r="F4690" t="s">
        <v>83</v>
      </c>
      <c r="G4690">
        <v>115.7</v>
      </c>
      <c r="I4690"/>
    </row>
    <row r="4691" spans="1:9" x14ac:dyDescent="0.3">
      <c r="A4691" t="s">
        <v>6</v>
      </c>
      <c r="B4691" t="s">
        <v>15</v>
      </c>
      <c r="C4691" t="s">
        <v>84</v>
      </c>
      <c r="D4691" s="9" t="s">
        <v>85</v>
      </c>
      <c r="E4691" t="s">
        <v>32</v>
      </c>
      <c r="F4691" t="s">
        <v>61</v>
      </c>
      <c r="G4691">
        <v>95.4</v>
      </c>
      <c r="H4691" s="9">
        <v>2.69</v>
      </c>
      <c r="I4691"/>
    </row>
    <row r="4692" spans="1:9" x14ac:dyDescent="0.3">
      <c r="A4692" t="s">
        <v>6</v>
      </c>
      <c r="B4692" t="s">
        <v>15</v>
      </c>
      <c r="C4692" t="s">
        <v>86</v>
      </c>
      <c r="D4692" s="9" t="s">
        <v>85</v>
      </c>
      <c r="E4692" t="s">
        <v>33</v>
      </c>
      <c r="F4692" t="s">
        <v>63</v>
      </c>
      <c r="G4692">
        <v>90.6</v>
      </c>
      <c r="H4692" s="9">
        <v>11.71</v>
      </c>
      <c r="I4692"/>
    </row>
    <row r="4693" spans="1:9" x14ac:dyDescent="0.3">
      <c r="A4693" t="s">
        <v>6</v>
      </c>
      <c r="B4693" t="s">
        <v>15</v>
      </c>
      <c r="C4693" t="s">
        <v>87</v>
      </c>
      <c r="D4693" s="9" t="s">
        <v>85</v>
      </c>
      <c r="E4693" t="s">
        <v>34</v>
      </c>
      <c r="F4693" t="s">
        <v>65</v>
      </c>
      <c r="G4693">
        <v>109.4</v>
      </c>
      <c r="H4693" s="9">
        <v>18.53</v>
      </c>
      <c r="I4693"/>
    </row>
    <row r="4694" spans="1:9" x14ac:dyDescent="0.3">
      <c r="A4694" t="s">
        <v>6</v>
      </c>
      <c r="B4694" t="s">
        <v>15</v>
      </c>
      <c r="C4694" t="s">
        <v>88</v>
      </c>
      <c r="D4694" s="9" t="s">
        <v>85</v>
      </c>
      <c r="E4694" t="s">
        <v>35</v>
      </c>
      <c r="F4694" t="s">
        <v>67</v>
      </c>
      <c r="G4694">
        <v>122.9</v>
      </c>
      <c r="H4694" s="9">
        <v>28.15</v>
      </c>
      <c r="I4694"/>
    </row>
    <row r="4695" spans="1:9" x14ac:dyDescent="0.3">
      <c r="A4695" t="s">
        <v>6</v>
      </c>
      <c r="B4695" t="s">
        <v>15</v>
      </c>
      <c r="C4695" t="s">
        <v>89</v>
      </c>
      <c r="D4695" s="9" t="s">
        <v>85</v>
      </c>
      <c r="E4695" t="s">
        <v>36</v>
      </c>
      <c r="F4695" t="s">
        <v>69</v>
      </c>
      <c r="G4695">
        <v>137.30000000000001</v>
      </c>
      <c r="H4695" s="9">
        <v>43.17</v>
      </c>
      <c r="I4695"/>
    </row>
    <row r="4696" spans="1:9" x14ac:dyDescent="0.3">
      <c r="A4696" t="s">
        <v>6</v>
      </c>
      <c r="B4696" t="s">
        <v>15</v>
      </c>
      <c r="C4696" t="s">
        <v>90</v>
      </c>
      <c r="D4696" s="9" t="s">
        <v>85</v>
      </c>
      <c r="E4696" t="s">
        <v>37</v>
      </c>
      <c r="F4696" t="s">
        <v>71</v>
      </c>
      <c r="G4696">
        <v>119.8</v>
      </c>
      <c r="H4696" s="9">
        <v>41.61</v>
      </c>
      <c r="I4696"/>
    </row>
    <row r="4697" spans="1:9" x14ac:dyDescent="0.3">
      <c r="A4697" t="s">
        <v>6</v>
      </c>
      <c r="B4697" t="s">
        <v>15</v>
      </c>
      <c r="C4697" t="s">
        <v>91</v>
      </c>
      <c r="D4697" s="9" t="s">
        <v>85</v>
      </c>
      <c r="E4697" t="s">
        <v>38</v>
      </c>
      <c r="F4697" t="s">
        <v>73</v>
      </c>
      <c r="G4697">
        <v>117.3</v>
      </c>
      <c r="H4697" s="9">
        <v>30.92</v>
      </c>
      <c r="I4697"/>
    </row>
    <row r="4698" spans="1:9" x14ac:dyDescent="0.3">
      <c r="A4698" t="s">
        <v>6</v>
      </c>
      <c r="B4698" t="s">
        <v>15</v>
      </c>
      <c r="C4698" t="s">
        <v>92</v>
      </c>
      <c r="D4698" s="9" t="s">
        <v>85</v>
      </c>
      <c r="E4698" t="s">
        <v>39</v>
      </c>
      <c r="F4698" t="s">
        <v>75</v>
      </c>
      <c r="G4698">
        <v>110.1</v>
      </c>
      <c r="H4698" s="9">
        <v>18.64</v>
      </c>
      <c r="I4698"/>
    </row>
    <row r="4699" spans="1:9" x14ac:dyDescent="0.3">
      <c r="A4699" t="s">
        <v>6</v>
      </c>
      <c r="B4699" t="s">
        <v>15</v>
      </c>
      <c r="C4699" t="s">
        <v>93</v>
      </c>
      <c r="D4699" s="9" t="s">
        <v>85</v>
      </c>
      <c r="E4699" t="s">
        <v>40</v>
      </c>
      <c r="F4699" t="s">
        <v>77</v>
      </c>
      <c r="G4699">
        <v>122.8</v>
      </c>
      <c r="H4699" s="9">
        <v>21.1</v>
      </c>
      <c r="I4699"/>
    </row>
    <row r="4700" spans="1:9" x14ac:dyDescent="0.3">
      <c r="A4700" t="s">
        <v>6</v>
      </c>
      <c r="B4700" t="s">
        <v>15</v>
      </c>
      <c r="C4700" t="s">
        <v>94</v>
      </c>
      <c r="D4700" s="9" t="s">
        <v>85</v>
      </c>
      <c r="E4700" t="s">
        <v>41</v>
      </c>
      <c r="F4700" t="s">
        <v>79</v>
      </c>
      <c r="G4700">
        <v>136.69999999999999</v>
      </c>
      <c r="H4700" s="9">
        <v>14.87</v>
      </c>
      <c r="I4700"/>
    </row>
    <row r="4701" spans="1:9" x14ac:dyDescent="0.3">
      <c r="A4701" t="s">
        <v>6</v>
      </c>
      <c r="B4701" t="s">
        <v>15</v>
      </c>
      <c r="C4701" t="s">
        <v>95</v>
      </c>
      <c r="D4701" s="9" t="s">
        <v>85</v>
      </c>
      <c r="E4701" t="s">
        <v>42</v>
      </c>
      <c r="F4701" t="s">
        <v>81</v>
      </c>
      <c r="G4701">
        <v>126.6</v>
      </c>
      <c r="H4701" s="9">
        <v>7.02</v>
      </c>
      <c r="I4701"/>
    </row>
    <row r="4702" spans="1:9" x14ac:dyDescent="0.3">
      <c r="A4702" t="s">
        <v>6</v>
      </c>
      <c r="B4702" t="s">
        <v>15</v>
      </c>
      <c r="C4702" t="s">
        <v>96</v>
      </c>
      <c r="D4702" s="9" t="s">
        <v>85</v>
      </c>
      <c r="E4702" t="s">
        <v>43</v>
      </c>
      <c r="F4702" t="s">
        <v>83</v>
      </c>
      <c r="G4702">
        <v>143.4</v>
      </c>
      <c r="H4702" s="9">
        <v>23.94</v>
      </c>
      <c r="I4702"/>
    </row>
    <row r="4703" spans="1:9" x14ac:dyDescent="0.3">
      <c r="A4703" t="s">
        <v>6</v>
      </c>
      <c r="B4703" t="s">
        <v>15</v>
      </c>
      <c r="C4703" t="s">
        <v>97</v>
      </c>
      <c r="D4703" s="9" t="s">
        <v>98</v>
      </c>
      <c r="E4703" t="s">
        <v>32</v>
      </c>
      <c r="F4703" t="s">
        <v>61</v>
      </c>
      <c r="G4703">
        <v>116</v>
      </c>
      <c r="H4703" s="9">
        <v>21.59</v>
      </c>
      <c r="I4703"/>
    </row>
    <row r="4704" spans="1:9" x14ac:dyDescent="0.3">
      <c r="A4704" t="s">
        <v>6</v>
      </c>
      <c r="B4704" t="s">
        <v>15</v>
      </c>
      <c r="C4704" t="s">
        <v>99</v>
      </c>
      <c r="D4704" s="9" t="s">
        <v>98</v>
      </c>
      <c r="E4704" t="s">
        <v>33</v>
      </c>
      <c r="F4704" t="s">
        <v>63</v>
      </c>
      <c r="G4704">
        <v>100.8</v>
      </c>
      <c r="H4704" s="9">
        <v>11.26</v>
      </c>
      <c r="I4704"/>
    </row>
    <row r="4705" spans="1:9" x14ac:dyDescent="0.3">
      <c r="A4705" t="s">
        <v>6</v>
      </c>
      <c r="B4705" t="s">
        <v>15</v>
      </c>
      <c r="C4705" t="s">
        <v>100</v>
      </c>
      <c r="D4705" s="9" t="s">
        <v>98</v>
      </c>
      <c r="E4705" t="s">
        <v>34</v>
      </c>
      <c r="F4705" t="s">
        <v>65</v>
      </c>
      <c r="G4705">
        <v>116.7</v>
      </c>
      <c r="H4705" s="9">
        <v>6.67</v>
      </c>
      <c r="I4705"/>
    </row>
    <row r="4706" spans="1:9" x14ac:dyDescent="0.3">
      <c r="A4706" t="s">
        <v>6</v>
      </c>
      <c r="B4706" t="s">
        <v>15</v>
      </c>
      <c r="C4706" t="s">
        <v>101</v>
      </c>
      <c r="D4706" s="9" t="s">
        <v>98</v>
      </c>
      <c r="E4706" t="s">
        <v>35</v>
      </c>
      <c r="F4706" t="s">
        <v>67</v>
      </c>
      <c r="G4706">
        <v>104.7</v>
      </c>
      <c r="H4706" s="9">
        <v>-14.81</v>
      </c>
      <c r="I4706"/>
    </row>
    <row r="4707" spans="1:9" x14ac:dyDescent="0.3">
      <c r="A4707" t="s">
        <v>6</v>
      </c>
      <c r="B4707" t="s">
        <v>15</v>
      </c>
      <c r="C4707" t="s">
        <v>102</v>
      </c>
      <c r="D4707" s="9" t="s">
        <v>98</v>
      </c>
      <c r="E4707" t="s">
        <v>36</v>
      </c>
      <c r="F4707" t="s">
        <v>69</v>
      </c>
      <c r="G4707">
        <v>104.7</v>
      </c>
      <c r="H4707" s="9">
        <v>-23.74</v>
      </c>
      <c r="I4707"/>
    </row>
    <row r="4708" spans="1:9" x14ac:dyDescent="0.3">
      <c r="A4708" t="s">
        <v>6</v>
      </c>
      <c r="B4708" t="s">
        <v>15</v>
      </c>
      <c r="C4708" t="s">
        <v>103</v>
      </c>
      <c r="D4708" s="9" t="s">
        <v>98</v>
      </c>
      <c r="E4708" t="s">
        <v>37</v>
      </c>
      <c r="F4708" t="s">
        <v>71</v>
      </c>
      <c r="G4708">
        <v>100.8</v>
      </c>
      <c r="H4708" s="9">
        <v>-15.86</v>
      </c>
      <c r="I4708"/>
    </row>
    <row r="4709" spans="1:9" x14ac:dyDescent="0.3">
      <c r="A4709" t="s">
        <v>6</v>
      </c>
      <c r="B4709" t="s">
        <v>15</v>
      </c>
      <c r="C4709" t="s">
        <v>104</v>
      </c>
      <c r="D4709" s="9" t="s">
        <v>98</v>
      </c>
      <c r="E4709" t="s">
        <v>38</v>
      </c>
      <c r="F4709" t="s">
        <v>73</v>
      </c>
      <c r="G4709">
        <v>91.6</v>
      </c>
      <c r="H4709" s="9">
        <v>-21.91</v>
      </c>
      <c r="I4709"/>
    </row>
    <row r="4710" spans="1:9" x14ac:dyDescent="0.3">
      <c r="A4710" t="s">
        <v>6</v>
      </c>
      <c r="B4710" t="s">
        <v>15</v>
      </c>
      <c r="C4710" t="s">
        <v>105</v>
      </c>
      <c r="D4710" s="9" t="s">
        <v>98</v>
      </c>
      <c r="E4710" t="s">
        <v>39</v>
      </c>
      <c r="F4710" t="s">
        <v>75</v>
      </c>
      <c r="G4710">
        <v>121</v>
      </c>
      <c r="H4710" s="9">
        <v>9.9</v>
      </c>
      <c r="I4710"/>
    </row>
    <row r="4711" spans="1:9" x14ac:dyDescent="0.3">
      <c r="A4711" t="s">
        <v>6</v>
      </c>
      <c r="B4711" t="s">
        <v>15</v>
      </c>
      <c r="C4711" t="s">
        <v>106</v>
      </c>
      <c r="D4711" s="9" t="s">
        <v>98</v>
      </c>
      <c r="E4711" t="s">
        <v>40</v>
      </c>
      <c r="F4711" t="s">
        <v>77</v>
      </c>
      <c r="G4711">
        <v>130.6</v>
      </c>
      <c r="H4711" s="9">
        <v>6.35</v>
      </c>
      <c r="I4711"/>
    </row>
    <row r="4712" spans="1:9" x14ac:dyDescent="0.3">
      <c r="A4712" t="s">
        <v>6</v>
      </c>
      <c r="B4712" t="s">
        <v>15</v>
      </c>
      <c r="C4712" t="s">
        <v>107</v>
      </c>
      <c r="D4712" s="9" t="s">
        <v>98</v>
      </c>
      <c r="E4712" t="s">
        <v>41</v>
      </c>
      <c r="F4712" t="s">
        <v>79</v>
      </c>
      <c r="G4712">
        <v>145.69999999999999</v>
      </c>
      <c r="H4712" s="9">
        <v>6.58</v>
      </c>
      <c r="I4712"/>
    </row>
    <row r="4713" spans="1:9" x14ac:dyDescent="0.3">
      <c r="A4713" t="s">
        <v>6</v>
      </c>
      <c r="B4713" t="s">
        <v>15</v>
      </c>
      <c r="C4713" t="s">
        <v>108</v>
      </c>
      <c r="D4713" s="9" t="s">
        <v>98</v>
      </c>
      <c r="E4713" t="s">
        <v>42</v>
      </c>
      <c r="F4713" t="s">
        <v>81</v>
      </c>
      <c r="G4713">
        <v>144.6</v>
      </c>
      <c r="H4713" s="9">
        <v>14.22</v>
      </c>
      <c r="I4713"/>
    </row>
    <row r="4714" spans="1:9" x14ac:dyDescent="0.3">
      <c r="A4714" t="s">
        <v>6</v>
      </c>
      <c r="B4714" t="s">
        <v>15</v>
      </c>
      <c r="C4714" t="s">
        <v>109</v>
      </c>
      <c r="D4714" s="9" t="s">
        <v>98</v>
      </c>
      <c r="E4714" t="s">
        <v>43</v>
      </c>
      <c r="F4714" t="s">
        <v>83</v>
      </c>
      <c r="G4714">
        <v>156.19999999999999</v>
      </c>
      <c r="H4714" s="9">
        <v>8.93</v>
      </c>
      <c r="I4714"/>
    </row>
    <row r="4715" spans="1:9" x14ac:dyDescent="0.3">
      <c r="A4715" t="s">
        <v>6</v>
      </c>
      <c r="B4715" t="s">
        <v>15</v>
      </c>
      <c r="C4715" t="s">
        <v>110</v>
      </c>
      <c r="D4715" s="9" t="s">
        <v>111</v>
      </c>
      <c r="E4715" t="s">
        <v>32</v>
      </c>
      <c r="F4715" t="s">
        <v>61</v>
      </c>
      <c r="G4715">
        <v>130.69999999999999</v>
      </c>
      <c r="H4715" s="9">
        <v>12.67</v>
      </c>
      <c r="I4715"/>
    </row>
    <row r="4716" spans="1:9" x14ac:dyDescent="0.3">
      <c r="A4716" t="s">
        <v>6</v>
      </c>
      <c r="B4716" t="s">
        <v>15</v>
      </c>
      <c r="C4716" t="s">
        <v>112</v>
      </c>
      <c r="D4716" s="9" t="s">
        <v>111</v>
      </c>
      <c r="E4716" t="s">
        <v>33</v>
      </c>
      <c r="F4716" t="s">
        <v>63</v>
      </c>
      <c r="G4716">
        <v>124</v>
      </c>
      <c r="H4716" s="9">
        <v>23.02</v>
      </c>
      <c r="I4716"/>
    </row>
    <row r="4717" spans="1:9" x14ac:dyDescent="0.3">
      <c r="A4717" t="s">
        <v>6</v>
      </c>
      <c r="B4717" t="s">
        <v>15</v>
      </c>
      <c r="C4717" t="s">
        <v>113</v>
      </c>
      <c r="D4717" s="9" t="s">
        <v>111</v>
      </c>
      <c r="E4717" t="s">
        <v>34</v>
      </c>
      <c r="F4717" t="s">
        <v>65</v>
      </c>
      <c r="G4717">
        <v>135</v>
      </c>
      <c r="H4717" s="9">
        <v>15.68</v>
      </c>
      <c r="I4717"/>
    </row>
    <row r="4718" spans="1:9" x14ac:dyDescent="0.3">
      <c r="A4718" t="s">
        <v>6</v>
      </c>
      <c r="B4718" t="s">
        <v>15</v>
      </c>
      <c r="C4718" t="s">
        <v>114</v>
      </c>
      <c r="D4718" s="9" t="s">
        <v>111</v>
      </c>
      <c r="E4718" t="s">
        <v>35</v>
      </c>
      <c r="F4718" t="s">
        <v>67</v>
      </c>
      <c r="G4718">
        <v>129.80000000000001</v>
      </c>
      <c r="H4718" s="9">
        <v>23.97</v>
      </c>
      <c r="I4718"/>
    </row>
    <row r="4719" spans="1:9" x14ac:dyDescent="0.3">
      <c r="A4719" t="s">
        <v>6</v>
      </c>
      <c r="B4719" t="s">
        <v>15</v>
      </c>
      <c r="C4719" t="s">
        <v>115</v>
      </c>
      <c r="D4719" s="9" t="s">
        <v>111</v>
      </c>
      <c r="E4719" t="s">
        <v>36</v>
      </c>
      <c r="F4719" t="s">
        <v>69</v>
      </c>
      <c r="G4719">
        <v>135.6</v>
      </c>
      <c r="H4719" s="9">
        <v>29.51</v>
      </c>
      <c r="I4719"/>
    </row>
    <row r="4720" spans="1:9" x14ac:dyDescent="0.3">
      <c r="A4720" t="s">
        <v>6</v>
      </c>
      <c r="B4720" t="s">
        <v>15</v>
      </c>
      <c r="C4720" t="s">
        <v>116</v>
      </c>
      <c r="D4720" s="9" t="s">
        <v>111</v>
      </c>
      <c r="E4720" t="s">
        <v>37</v>
      </c>
      <c r="F4720" t="s">
        <v>71</v>
      </c>
      <c r="G4720">
        <v>135.1</v>
      </c>
      <c r="H4720" s="9">
        <v>34.03</v>
      </c>
      <c r="I4720"/>
    </row>
    <row r="4721" spans="1:9" x14ac:dyDescent="0.3">
      <c r="A4721" t="s">
        <v>6</v>
      </c>
      <c r="B4721" t="s">
        <v>15</v>
      </c>
      <c r="C4721" t="s">
        <v>117</v>
      </c>
      <c r="D4721" s="9" t="s">
        <v>111</v>
      </c>
      <c r="E4721" t="s">
        <v>38</v>
      </c>
      <c r="F4721" t="s">
        <v>73</v>
      </c>
      <c r="G4721">
        <v>132.69999999999999</v>
      </c>
      <c r="H4721" s="9">
        <v>44.87</v>
      </c>
      <c r="I4721"/>
    </row>
    <row r="4722" spans="1:9" x14ac:dyDescent="0.3">
      <c r="A4722" t="s">
        <v>6</v>
      </c>
      <c r="B4722" t="s">
        <v>15</v>
      </c>
      <c r="C4722" t="s">
        <v>118</v>
      </c>
      <c r="D4722" s="9" t="s">
        <v>111</v>
      </c>
      <c r="E4722" t="s">
        <v>39</v>
      </c>
      <c r="F4722" t="s">
        <v>75</v>
      </c>
      <c r="G4722">
        <v>142.19999999999999</v>
      </c>
      <c r="H4722" s="9">
        <v>17.52</v>
      </c>
      <c r="I4722"/>
    </row>
    <row r="4723" spans="1:9" x14ac:dyDescent="0.3">
      <c r="A4723" t="s">
        <v>6</v>
      </c>
      <c r="B4723" t="s">
        <v>15</v>
      </c>
      <c r="C4723" t="s">
        <v>119</v>
      </c>
      <c r="D4723" s="9" t="s">
        <v>111</v>
      </c>
      <c r="E4723" t="s">
        <v>40</v>
      </c>
      <c r="F4723" t="s">
        <v>77</v>
      </c>
      <c r="G4723">
        <v>148.6</v>
      </c>
      <c r="H4723" s="9">
        <v>13.78</v>
      </c>
      <c r="I4723"/>
    </row>
    <row r="4724" spans="1:9" x14ac:dyDescent="0.3">
      <c r="A4724" t="s">
        <v>6</v>
      </c>
      <c r="B4724" t="s">
        <v>15</v>
      </c>
      <c r="C4724" t="s">
        <v>120</v>
      </c>
      <c r="D4724" s="9" t="s">
        <v>111</v>
      </c>
      <c r="E4724" t="s">
        <v>41</v>
      </c>
      <c r="F4724" t="s">
        <v>79</v>
      </c>
      <c r="G4724">
        <v>163.30000000000001</v>
      </c>
      <c r="H4724" s="9">
        <v>12.08</v>
      </c>
      <c r="I4724"/>
    </row>
    <row r="4725" spans="1:9" x14ac:dyDescent="0.3">
      <c r="A4725" t="s">
        <v>6</v>
      </c>
      <c r="B4725" t="s">
        <v>15</v>
      </c>
      <c r="C4725" t="s">
        <v>121</v>
      </c>
      <c r="D4725" s="9" t="s">
        <v>111</v>
      </c>
      <c r="E4725" t="s">
        <v>42</v>
      </c>
      <c r="F4725" t="s">
        <v>81</v>
      </c>
      <c r="G4725">
        <v>159</v>
      </c>
      <c r="H4725" s="9">
        <v>9.9600000000000009</v>
      </c>
      <c r="I4725"/>
    </row>
    <row r="4726" spans="1:9" x14ac:dyDescent="0.3">
      <c r="A4726" t="s">
        <v>6</v>
      </c>
      <c r="B4726" t="s">
        <v>15</v>
      </c>
      <c r="C4726" t="s">
        <v>122</v>
      </c>
      <c r="D4726" s="9" t="s">
        <v>111</v>
      </c>
      <c r="E4726" t="s">
        <v>43</v>
      </c>
      <c r="F4726" t="s">
        <v>83</v>
      </c>
      <c r="G4726">
        <v>172.9</v>
      </c>
      <c r="H4726" s="9">
        <v>10.69</v>
      </c>
      <c r="I4726"/>
    </row>
    <row r="4727" spans="1:9" x14ac:dyDescent="0.3">
      <c r="A4727" t="s">
        <v>6</v>
      </c>
      <c r="B4727" t="s">
        <v>15</v>
      </c>
      <c r="C4727" t="s">
        <v>123</v>
      </c>
      <c r="D4727" s="9" t="s">
        <v>124</v>
      </c>
      <c r="E4727" t="s">
        <v>32</v>
      </c>
      <c r="F4727" t="s">
        <v>61</v>
      </c>
      <c r="G4727">
        <v>144</v>
      </c>
      <c r="H4727" s="9">
        <v>10.18</v>
      </c>
      <c r="I4727"/>
    </row>
    <row r="4728" spans="1:9" x14ac:dyDescent="0.3">
      <c r="A4728" t="s">
        <v>6</v>
      </c>
      <c r="B4728" t="s">
        <v>15</v>
      </c>
      <c r="C4728" t="s">
        <v>125</v>
      </c>
      <c r="D4728" s="9" t="s">
        <v>124</v>
      </c>
      <c r="E4728" t="s">
        <v>33</v>
      </c>
      <c r="F4728" t="s">
        <v>63</v>
      </c>
      <c r="G4728">
        <v>126.9</v>
      </c>
      <c r="H4728" s="9">
        <v>2.34</v>
      </c>
      <c r="I4728"/>
    </row>
    <row r="4729" spans="1:9" x14ac:dyDescent="0.3">
      <c r="A4729" t="s">
        <v>6</v>
      </c>
      <c r="B4729" t="s">
        <v>15</v>
      </c>
      <c r="C4729" t="s">
        <v>126</v>
      </c>
      <c r="D4729" s="9" t="s">
        <v>124</v>
      </c>
      <c r="E4729" t="s">
        <v>34</v>
      </c>
      <c r="F4729" t="s">
        <v>65</v>
      </c>
      <c r="G4729">
        <v>140.19999999999999</v>
      </c>
      <c r="H4729" s="9">
        <v>3.85</v>
      </c>
      <c r="I4729"/>
    </row>
    <row r="4730" spans="1:9" x14ac:dyDescent="0.3">
      <c r="A4730" t="s">
        <v>6</v>
      </c>
      <c r="B4730" t="s">
        <v>15</v>
      </c>
      <c r="C4730" t="s">
        <v>127</v>
      </c>
      <c r="D4730" s="9" t="s">
        <v>124</v>
      </c>
      <c r="E4730" t="s">
        <v>35</v>
      </c>
      <c r="F4730" t="s">
        <v>67</v>
      </c>
      <c r="G4730">
        <v>138.6</v>
      </c>
      <c r="H4730" s="9">
        <v>6.78</v>
      </c>
      <c r="I4730"/>
    </row>
    <row r="4731" spans="1:9" x14ac:dyDescent="0.3">
      <c r="A4731" t="s">
        <v>6</v>
      </c>
      <c r="B4731" t="s">
        <v>15</v>
      </c>
      <c r="C4731" t="s">
        <v>128</v>
      </c>
      <c r="D4731" s="9" t="s">
        <v>124</v>
      </c>
      <c r="E4731" t="s">
        <v>36</v>
      </c>
      <c r="F4731" t="s">
        <v>69</v>
      </c>
      <c r="G4731">
        <v>137.5</v>
      </c>
      <c r="H4731" s="9">
        <v>1.4</v>
      </c>
      <c r="I4731"/>
    </row>
    <row r="4732" spans="1:9" x14ac:dyDescent="0.3">
      <c r="A4732" t="s">
        <v>6</v>
      </c>
      <c r="B4732" t="s">
        <v>15</v>
      </c>
      <c r="C4732" t="s">
        <v>129</v>
      </c>
      <c r="D4732" s="9" t="s">
        <v>124</v>
      </c>
      <c r="E4732" t="s">
        <v>37</v>
      </c>
      <c r="F4732" t="s">
        <v>71</v>
      </c>
      <c r="G4732">
        <v>143.19999999999999</v>
      </c>
      <c r="H4732" s="9">
        <v>6</v>
      </c>
      <c r="I4732"/>
    </row>
    <row r="4733" spans="1:9" x14ac:dyDescent="0.3">
      <c r="A4733" t="s">
        <v>6</v>
      </c>
      <c r="B4733" t="s">
        <v>15</v>
      </c>
      <c r="C4733" t="s">
        <v>130</v>
      </c>
      <c r="D4733" s="9" t="s">
        <v>124</v>
      </c>
      <c r="E4733" t="s">
        <v>38</v>
      </c>
      <c r="F4733" t="s">
        <v>73</v>
      </c>
      <c r="G4733">
        <v>133.5</v>
      </c>
      <c r="H4733" s="9">
        <v>0.6</v>
      </c>
      <c r="I4733"/>
    </row>
    <row r="4734" spans="1:9" x14ac:dyDescent="0.3">
      <c r="A4734" t="s">
        <v>6</v>
      </c>
      <c r="B4734" t="s">
        <v>15</v>
      </c>
      <c r="C4734" t="s">
        <v>131</v>
      </c>
      <c r="D4734" s="9" t="s">
        <v>124</v>
      </c>
      <c r="E4734" t="s">
        <v>39</v>
      </c>
      <c r="F4734" t="s">
        <v>75</v>
      </c>
      <c r="G4734">
        <v>142.80000000000001</v>
      </c>
      <c r="H4734" s="9">
        <v>0.42</v>
      </c>
      <c r="I4734"/>
    </row>
    <row r="4735" spans="1:9" x14ac:dyDescent="0.3">
      <c r="A4735" t="s">
        <v>6</v>
      </c>
      <c r="B4735" t="s">
        <v>15</v>
      </c>
      <c r="C4735" t="s">
        <v>132</v>
      </c>
      <c r="D4735" s="9" t="s">
        <v>124</v>
      </c>
      <c r="E4735" t="s">
        <v>40</v>
      </c>
      <c r="F4735" t="s">
        <v>77</v>
      </c>
      <c r="G4735">
        <v>162.19999999999999</v>
      </c>
      <c r="H4735" s="9">
        <v>9.15</v>
      </c>
      <c r="I4735"/>
    </row>
    <row r="4736" spans="1:9" x14ac:dyDescent="0.3">
      <c r="A4736" t="s">
        <v>6</v>
      </c>
      <c r="B4736" t="s">
        <v>15</v>
      </c>
      <c r="C4736" t="s">
        <v>133</v>
      </c>
      <c r="D4736" s="9" t="s">
        <v>124</v>
      </c>
      <c r="E4736" t="s">
        <v>41</v>
      </c>
      <c r="F4736" t="s">
        <v>79</v>
      </c>
      <c r="G4736">
        <v>169.7</v>
      </c>
      <c r="H4736" s="9">
        <v>3.92</v>
      </c>
      <c r="I4736"/>
    </row>
    <row r="4737" spans="1:9" x14ac:dyDescent="0.3">
      <c r="A4737" t="s">
        <v>6</v>
      </c>
      <c r="B4737" t="s">
        <v>15</v>
      </c>
      <c r="C4737" t="s">
        <v>134</v>
      </c>
      <c r="D4737" s="9" t="s">
        <v>124</v>
      </c>
      <c r="E4737" t="s">
        <v>42</v>
      </c>
      <c r="F4737" t="s">
        <v>81</v>
      </c>
      <c r="G4737">
        <v>161.6</v>
      </c>
      <c r="H4737" s="9">
        <v>1.64</v>
      </c>
      <c r="I4737"/>
    </row>
    <row r="4738" spans="1:9" x14ac:dyDescent="0.3">
      <c r="A4738" t="s">
        <v>6</v>
      </c>
      <c r="B4738" t="s">
        <v>15</v>
      </c>
      <c r="C4738" t="s">
        <v>135</v>
      </c>
      <c r="D4738" s="9" t="s">
        <v>124</v>
      </c>
      <c r="E4738" t="s">
        <v>43</v>
      </c>
      <c r="F4738" t="s">
        <v>83</v>
      </c>
      <c r="G4738">
        <v>165.7</v>
      </c>
      <c r="H4738" s="9">
        <v>-4.16</v>
      </c>
      <c r="I4738"/>
    </row>
    <row r="4739" spans="1:9" x14ac:dyDescent="0.3">
      <c r="A4739" t="s">
        <v>6</v>
      </c>
      <c r="B4739" t="s">
        <v>15</v>
      </c>
      <c r="C4739" t="s">
        <v>136</v>
      </c>
      <c r="D4739" s="9" t="s">
        <v>137</v>
      </c>
      <c r="E4739" t="s">
        <v>32</v>
      </c>
      <c r="F4739" t="s">
        <v>61</v>
      </c>
      <c r="G4739">
        <v>141.19999999999999</v>
      </c>
      <c r="H4739" s="9">
        <v>-1.94</v>
      </c>
      <c r="I4739"/>
    </row>
    <row r="4740" spans="1:9" x14ac:dyDescent="0.3">
      <c r="A4740" t="s">
        <v>6</v>
      </c>
      <c r="B4740" t="s">
        <v>15</v>
      </c>
      <c r="C4740" t="s">
        <v>138</v>
      </c>
      <c r="D4740" s="9" t="s">
        <v>137</v>
      </c>
      <c r="E4740" t="s">
        <v>33</v>
      </c>
      <c r="F4740" t="s">
        <v>63</v>
      </c>
      <c r="G4740">
        <v>134.9</v>
      </c>
      <c r="H4740" s="9">
        <v>6.3</v>
      </c>
      <c r="I4740"/>
    </row>
    <row r="4741" spans="1:9" x14ac:dyDescent="0.3">
      <c r="A4741" t="s">
        <v>6</v>
      </c>
      <c r="B4741" t="s">
        <v>15</v>
      </c>
      <c r="C4741" t="s">
        <v>139</v>
      </c>
      <c r="D4741" s="9" t="s">
        <v>137</v>
      </c>
      <c r="E4741" t="s">
        <v>34</v>
      </c>
      <c r="F4741" t="s">
        <v>65</v>
      </c>
      <c r="G4741">
        <v>136.30000000000001</v>
      </c>
      <c r="H4741" s="9">
        <v>-2.78</v>
      </c>
      <c r="I4741"/>
    </row>
    <row r="4742" spans="1:9" x14ac:dyDescent="0.3">
      <c r="A4742" t="s">
        <v>6</v>
      </c>
      <c r="B4742" t="s">
        <v>15</v>
      </c>
      <c r="C4742" t="s">
        <v>140</v>
      </c>
      <c r="D4742" s="9" t="s">
        <v>137</v>
      </c>
      <c r="E4742" t="s">
        <v>35</v>
      </c>
      <c r="F4742" t="s">
        <v>67</v>
      </c>
      <c r="G4742">
        <v>141.1</v>
      </c>
      <c r="H4742" s="9">
        <v>1.8</v>
      </c>
      <c r="I4742"/>
    </row>
    <row r="4743" spans="1:9" x14ac:dyDescent="0.3">
      <c r="A4743" t="s">
        <v>6</v>
      </c>
      <c r="B4743" t="s">
        <v>15</v>
      </c>
      <c r="C4743" t="s">
        <v>141</v>
      </c>
      <c r="D4743" s="9" t="s">
        <v>137</v>
      </c>
      <c r="E4743" t="s">
        <v>36</v>
      </c>
      <c r="F4743" t="s">
        <v>69</v>
      </c>
      <c r="G4743">
        <v>142.6</v>
      </c>
      <c r="H4743" s="9">
        <v>3.71</v>
      </c>
      <c r="I4743"/>
    </row>
    <row r="4744" spans="1:9" x14ac:dyDescent="0.3">
      <c r="A4744" t="s">
        <v>6</v>
      </c>
      <c r="B4744" t="s">
        <v>15</v>
      </c>
      <c r="C4744" t="s">
        <v>142</v>
      </c>
      <c r="D4744" s="9" t="s">
        <v>137</v>
      </c>
      <c r="E4744" t="s">
        <v>37</v>
      </c>
      <c r="F4744" t="s">
        <v>71</v>
      </c>
      <c r="G4744">
        <v>133.69999999999999</v>
      </c>
      <c r="H4744" s="9">
        <v>-6.63</v>
      </c>
      <c r="I4744"/>
    </row>
    <row r="4745" spans="1:9" x14ac:dyDescent="0.3">
      <c r="A4745" t="s">
        <v>6</v>
      </c>
      <c r="B4745" t="s">
        <v>15</v>
      </c>
      <c r="C4745" t="s">
        <v>143</v>
      </c>
      <c r="D4745" s="9" t="s">
        <v>137</v>
      </c>
      <c r="E4745" t="s">
        <v>38</v>
      </c>
      <c r="F4745" t="s">
        <v>73</v>
      </c>
      <c r="G4745">
        <v>133.69999999999999</v>
      </c>
      <c r="H4745" s="9">
        <v>0.15</v>
      </c>
      <c r="I4745"/>
    </row>
    <row r="4746" spans="1:9" x14ac:dyDescent="0.3">
      <c r="A4746" t="s">
        <v>6</v>
      </c>
      <c r="B4746" t="s">
        <v>15</v>
      </c>
      <c r="C4746" t="s">
        <v>144</v>
      </c>
      <c r="D4746" s="9" t="s">
        <v>137</v>
      </c>
      <c r="E4746" t="s">
        <v>39</v>
      </c>
      <c r="F4746" t="s">
        <v>75</v>
      </c>
      <c r="G4746">
        <v>139.1</v>
      </c>
      <c r="H4746" s="9">
        <v>-2.59</v>
      </c>
      <c r="I4746"/>
    </row>
    <row r="4747" spans="1:9" x14ac:dyDescent="0.3">
      <c r="A4747" t="s">
        <v>6</v>
      </c>
      <c r="B4747" t="s">
        <v>15</v>
      </c>
      <c r="C4747" t="s">
        <v>145</v>
      </c>
      <c r="D4747" s="9" t="s">
        <v>137</v>
      </c>
      <c r="E4747" t="s">
        <v>40</v>
      </c>
      <c r="F4747" t="s">
        <v>77</v>
      </c>
      <c r="G4747">
        <v>146.5</v>
      </c>
      <c r="H4747" s="9">
        <v>-9.68</v>
      </c>
      <c r="I4747"/>
    </row>
    <row r="4748" spans="1:9" x14ac:dyDescent="0.3">
      <c r="A4748" t="s">
        <v>6</v>
      </c>
      <c r="B4748" t="s">
        <v>15</v>
      </c>
      <c r="C4748" t="s">
        <v>146</v>
      </c>
      <c r="D4748" s="9" t="s">
        <v>137</v>
      </c>
      <c r="E4748" t="s">
        <v>41</v>
      </c>
      <c r="F4748" t="s">
        <v>79</v>
      </c>
      <c r="G4748">
        <v>168.8</v>
      </c>
      <c r="H4748" s="9">
        <v>-0.53</v>
      </c>
      <c r="I4748"/>
    </row>
    <row r="4749" spans="1:9" x14ac:dyDescent="0.3">
      <c r="A4749" t="s">
        <v>6</v>
      </c>
      <c r="B4749" t="s">
        <v>15</v>
      </c>
      <c r="C4749" t="s">
        <v>147</v>
      </c>
      <c r="D4749" s="9" t="s">
        <v>137</v>
      </c>
      <c r="E4749" t="s">
        <v>42</v>
      </c>
      <c r="F4749" t="s">
        <v>81</v>
      </c>
      <c r="G4749">
        <v>160.6</v>
      </c>
      <c r="H4749" s="9">
        <v>-0.62</v>
      </c>
      <c r="I4749"/>
    </row>
    <row r="4750" spans="1:9" x14ac:dyDescent="0.3">
      <c r="A4750" t="s">
        <v>6</v>
      </c>
      <c r="B4750" t="s">
        <v>15</v>
      </c>
      <c r="C4750" t="s">
        <v>148</v>
      </c>
      <c r="D4750" s="9" t="s">
        <v>137</v>
      </c>
      <c r="E4750" t="s">
        <v>43</v>
      </c>
      <c r="F4750" t="s">
        <v>83</v>
      </c>
      <c r="G4750">
        <v>166.5</v>
      </c>
      <c r="H4750" s="9">
        <v>0.48</v>
      </c>
      <c r="I4750"/>
    </row>
    <row r="4751" spans="1:9" x14ac:dyDescent="0.3">
      <c r="A4751" t="s">
        <v>6</v>
      </c>
      <c r="B4751" t="s">
        <v>15</v>
      </c>
      <c r="C4751" t="s">
        <v>149</v>
      </c>
      <c r="D4751" s="9" t="s">
        <v>150</v>
      </c>
      <c r="E4751" t="s">
        <v>32</v>
      </c>
      <c r="F4751" t="s">
        <v>61</v>
      </c>
      <c r="G4751">
        <v>142.80000000000001</v>
      </c>
      <c r="H4751" s="9">
        <v>1.1299999999999999</v>
      </c>
      <c r="I4751"/>
    </row>
    <row r="4752" spans="1:9" x14ac:dyDescent="0.3">
      <c r="A4752" t="s">
        <v>6</v>
      </c>
      <c r="B4752" t="s">
        <v>15</v>
      </c>
      <c r="C4752" t="s">
        <v>151</v>
      </c>
      <c r="D4752" s="9" t="s">
        <v>150</v>
      </c>
      <c r="E4752" t="s">
        <v>33</v>
      </c>
      <c r="F4752" t="s">
        <v>63</v>
      </c>
      <c r="G4752">
        <v>125.2</v>
      </c>
      <c r="H4752" s="9">
        <v>-7.19</v>
      </c>
      <c r="I4752"/>
    </row>
    <row r="4753" spans="1:9" x14ac:dyDescent="0.3">
      <c r="A4753" t="s">
        <v>6</v>
      </c>
      <c r="B4753" t="s">
        <v>15</v>
      </c>
      <c r="C4753" t="s">
        <v>152</v>
      </c>
      <c r="D4753" s="9" t="s">
        <v>150</v>
      </c>
      <c r="E4753" t="s">
        <v>34</v>
      </c>
      <c r="F4753" t="s">
        <v>65</v>
      </c>
      <c r="G4753">
        <v>138.1</v>
      </c>
      <c r="H4753" s="9">
        <v>1.32</v>
      </c>
      <c r="I4753"/>
    </row>
    <row r="4754" spans="1:9" x14ac:dyDescent="0.3">
      <c r="A4754" t="s">
        <v>6</v>
      </c>
      <c r="B4754" t="s">
        <v>15</v>
      </c>
      <c r="C4754" t="s">
        <v>153</v>
      </c>
      <c r="D4754" s="9" t="s">
        <v>150</v>
      </c>
      <c r="E4754" t="s">
        <v>35</v>
      </c>
      <c r="F4754" t="s">
        <v>67</v>
      </c>
      <c r="G4754">
        <v>140.69999999999999</v>
      </c>
      <c r="H4754" s="9">
        <v>-0.28000000000000003</v>
      </c>
      <c r="I4754"/>
    </row>
    <row r="4755" spans="1:9" x14ac:dyDescent="0.3">
      <c r="A4755" t="s">
        <v>6</v>
      </c>
      <c r="B4755" t="s">
        <v>15</v>
      </c>
      <c r="C4755" t="s">
        <v>154</v>
      </c>
      <c r="D4755" s="9" t="s">
        <v>150</v>
      </c>
      <c r="E4755" t="s">
        <v>36</v>
      </c>
      <c r="F4755" t="s">
        <v>69</v>
      </c>
      <c r="G4755">
        <v>144.1</v>
      </c>
      <c r="H4755" s="9">
        <v>1.05</v>
      </c>
      <c r="I4755"/>
    </row>
    <row r="4756" spans="1:9" x14ac:dyDescent="0.3">
      <c r="A4756" t="s">
        <v>6</v>
      </c>
      <c r="B4756" t="s">
        <v>15</v>
      </c>
      <c r="C4756" t="s">
        <v>155</v>
      </c>
      <c r="D4756" s="9" t="s">
        <v>150</v>
      </c>
      <c r="E4756" t="s">
        <v>37</v>
      </c>
      <c r="F4756" t="s">
        <v>71</v>
      </c>
      <c r="G4756">
        <v>135.80000000000001</v>
      </c>
      <c r="H4756" s="9">
        <v>1.57</v>
      </c>
      <c r="I4756"/>
    </row>
    <row r="4757" spans="1:9" x14ac:dyDescent="0.3">
      <c r="A4757" t="s">
        <v>6</v>
      </c>
      <c r="B4757" t="s">
        <v>21</v>
      </c>
      <c r="C4757" t="s">
        <v>136</v>
      </c>
      <c r="D4757" s="9" t="s">
        <v>137</v>
      </c>
      <c r="E4757" t="s">
        <v>32</v>
      </c>
      <c r="F4757" t="s">
        <v>61</v>
      </c>
      <c r="G4757">
        <v>81.400000000000006</v>
      </c>
      <c r="I4757"/>
    </row>
    <row r="4758" spans="1:9" x14ac:dyDescent="0.3">
      <c r="A4758" t="s">
        <v>6</v>
      </c>
      <c r="B4758" t="s">
        <v>21</v>
      </c>
      <c r="C4758" t="s">
        <v>138</v>
      </c>
      <c r="D4758" s="9" t="s">
        <v>137</v>
      </c>
      <c r="E4758" t="s">
        <v>33</v>
      </c>
      <c r="F4758" t="s">
        <v>63</v>
      </c>
      <c r="G4758">
        <v>78.5</v>
      </c>
      <c r="I4758"/>
    </row>
    <row r="4759" spans="1:9" x14ac:dyDescent="0.3">
      <c r="A4759" t="s">
        <v>6</v>
      </c>
      <c r="B4759" t="s">
        <v>21</v>
      </c>
      <c r="C4759" t="s">
        <v>139</v>
      </c>
      <c r="D4759" s="9" t="s">
        <v>137</v>
      </c>
      <c r="E4759" t="s">
        <v>34</v>
      </c>
      <c r="F4759" t="s">
        <v>65</v>
      </c>
      <c r="G4759">
        <v>93.8</v>
      </c>
      <c r="I4759"/>
    </row>
    <row r="4760" spans="1:9" x14ac:dyDescent="0.3">
      <c r="A4760" t="s">
        <v>6</v>
      </c>
      <c r="B4760" t="s">
        <v>21</v>
      </c>
      <c r="C4760" t="s">
        <v>140</v>
      </c>
      <c r="D4760" s="9" t="s">
        <v>137</v>
      </c>
      <c r="E4760" t="s">
        <v>35</v>
      </c>
      <c r="F4760" t="s">
        <v>67</v>
      </c>
      <c r="G4760">
        <v>74.900000000000006</v>
      </c>
      <c r="I4760"/>
    </row>
    <row r="4761" spans="1:9" x14ac:dyDescent="0.3">
      <c r="A4761" t="s">
        <v>6</v>
      </c>
      <c r="B4761" t="s">
        <v>21</v>
      </c>
      <c r="C4761" t="s">
        <v>141</v>
      </c>
      <c r="D4761" s="9" t="s">
        <v>137</v>
      </c>
      <c r="E4761" t="s">
        <v>36</v>
      </c>
      <c r="F4761" t="s">
        <v>69</v>
      </c>
      <c r="G4761">
        <v>78.099999999999994</v>
      </c>
      <c r="I4761"/>
    </row>
    <row r="4762" spans="1:9" x14ac:dyDescent="0.3">
      <c r="A4762" t="s">
        <v>6</v>
      </c>
      <c r="B4762" t="s">
        <v>21</v>
      </c>
      <c r="C4762" t="s">
        <v>142</v>
      </c>
      <c r="D4762" s="9" t="s">
        <v>137</v>
      </c>
      <c r="E4762" t="s">
        <v>37</v>
      </c>
      <c r="F4762" t="s">
        <v>71</v>
      </c>
      <c r="G4762">
        <v>74.3</v>
      </c>
      <c r="I4762"/>
    </row>
    <row r="4763" spans="1:9" x14ac:dyDescent="0.3">
      <c r="A4763" t="s">
        <v>6</v>
      </c>
      <c r="B4763" t="s">
        <v>25</v>
      </c>
      <c r="C4763" t="s">
        <v>59</v>
      </c>
      <c r="D4763" s="9" t="s">
        <v>60</v>
      </c>
      <c r="E4763" t="s">
        <v>32</v>
      </c>
      <c r="F4763" t="s">
        <v>61</v>
      </c>
      <c r="G4763">
        <v>9.8000000000000007</v>
      </c>
      <c r="I4763"/>
    </row>
    <row r="4764" spans="1:9" x14ac:dyDescent="0.3">
      <c r="A4764" t="s">
        <v>6</v>
      </c>
      <c r="B4764" t="s">
        <v>25</v>
      </c>
      <c r="C4764" t="s">
        <v>62</v>
      </c>
      <c r="D4764" s="9" t="s">
        <v>60</v>
      </c>
      <c r="E4764" t="s">
        <v>33</v>
      </c>
      <c r="F4764" t="s">
        <v>63</v>
      </c>
      <c r="G4764">
        <v>8.5</v>
      </c>
      <c r="I4764"/>
    </row>
    <row r="4765" spans="1:9" x14ac:dyDescent="0.3">
      <c r="A4765" t="s">
        <v>6</v>
      </c>
      <c r="B4765" t="s">
        <v>25</v>
      </c>
      <c r="C4765" t="s">
        <v>64</v>
      </c>
      <c r="D4765" s="9" t="s">
        <v>60</v>
      </c>
      <c r="E4765" t="s">
        <v>34</v>
      </c>
      <c r="F4765" t="s">
        <v>65</v>
      </c>
      <c r="G4765">
        <v>10.199999999999999</v>
      </c>
      <c r="I4765"/>
    </row>
    <row r="4766" spans="1:9" x14ac:dyDescent="0.3">
      <c r="A4766" t="s">
        <v>6</v>
      </c>
      <c r="B4766" t="s">
        <v>25</v>
      </c>
      <c r="C4766" t="s">
        <v>66</v>
      </c>
      <c r="D4766" s="9" t="s">
        <v>60</v>
      </c>
      <c r="E4766" t="s">
        <v>35</v>
      </c>
      <c r="F4766" t="s">
        <v>67</v>
      </c>
      <c r="G4766">
        <v>8.1999999999999993</v>
      </c>
      <c r="I4766"/>
    </row>
    <row r="4767" spans="1:9" x14ac:dyDescent="0.3">
      <c r="A4767" t="s">
        <v>6</v>
      </c>
      <c r="B4767" t="s">
        <v>25</v>
      </c>
      <c r="C4767" t="s">
        <v>68</v>
      </c>
      <c r="D4767" s="9" t="s">
        <v>60</v>
      </c>
      <c r="E4767" t="s">
        <v>36</v>
      </c>
      <c r="F4767" t="s">
        <v>69</v>
      </c>
      <c r="G4767">
        <v>8.5</v>
      </c>
      <c r="I4767"/>
    </row>
    <row r="4768" spans="1:9" x14ac:dyDescent="0.3">
      <c r="A4768" t="s">
        <v>6</v>
      </c>
      <c r="B4768" t="s">
        <v>25</v>
      </c>
      <c r="C4768" t="s">
        <v>70</v>
      </c>
      <c r="D4768" s="9" t="s">
        <v>60</v>
      </c>
      <c r="E4768" t="s">
        <v>37</v>
      </c>
      <c r="F4768" t="s">
        <v>71</v>
      </c>
      <c r="G4768">
        <v>7.1</v>
      </c>
      <c r="I4768"/>
    </row>
    <row r="4769" spans="1:9" x14ac:dyDescent="0.3">
      <c r="A4769" t="s">
        <v>6</v>
      </c>
      <c r="B4769" t="s">
        <v>25</v>
      </c>
      <c r="C4769" t="s">
        <v>72</v>
      </c>
      <c r="D4769" s="9" t="s">
        <v>60</v>
      </c>
      <c r="E4769" t="s">
        <v>38</v>
      </c>
      <c r="F4769" t="s">
        <v>73</v>
      </c>
      <c r="G4769">
        <v>8.6</v>
      </c>
      <c r="I4769"/>
    </row>
    <row r="4770" spans="1:9" x14ac:dyDescent="0.3">
      <c r="A4770" t="s">
        <v>6</v>
      </c>
      <c r="B4770" t="s">
        <v>25</v>
      </c>
      <c r="C4770" t="s">
        <v>74</v>
      </c>
      <c r="D4770" s="9" t="s">
        <v>60</v>
      </c>
      <c r="E4770" t="s">
        <v>39</v>
      </c>
      <c r="F4770" t="s">
        <v>75</v>
      </c>
      <c r="G4770">
        <v>8.6999999999999993</v>
      </c>
      <c r="I4770"/>
    </row>
    <row r="4771" spans="1:9" x14ac:dyDescent="0.3">
      <c r="A4771" t="s">
        <v>6</v>
      </c>
      <c r="B4771" t="s">
        <v>25</v>
      </c>
      <c r="C4771" t="s">
        <v>76</v>
      </c>
      <c r="D4771" s="9" t="s">
        <v>60</v>
      </c>
      <c r="E4771" t="s">
        <v>40</v>
      </c>
      <c r="F4771" t="s">
        <v>77</v>
      </c>
      <c r="G4771">
        <v>7.7</v>
      </c>
      <c r="I4771"/>
    </row>
    <row r="4772" spans="1:9" x14ac:dyDescent="0.3">
      <c r="A4772" t="s">
        <v>6</v>
      </c>
      <c r="B4772" t="s">
        <v>25</v>
      </c>
      <c r="C4772" t="s">
        <v>78</v>
      </c>
      <c r="D4772" s="9" t="s">
        <v>60</v>
      </c>
      <c r="E4772" t="s">
        <v>41</v>
      </c>
      <c r="F4772" t="s">
        <v>79</v>
      </c>
      <c r="G4772">
        <v>7.1</v>
      </c>
      <c r="I4772"/>
    </row>
    <row r="4773" spans="1:9" x14ac:dyDescent="0.3">
      <c r="A4773" t="s">
        <v>6</v>
      </c>
      <c r="B4773" t="s">
        <v>25</v>
      </c>
      <c r="C4773" t="s">
        <v>80</v>
      </c>
      <c r="D4773" s="9" t="s">
        <v>60</v>
      </c>
      <c r="E4773" t="s">
        <v>42</v>
      </c>
      <c r="F4773" t="s">
        <v>81</v>
      </c>
      <c r="G4773">
        <v>8.8000000000000007</v>
      </c>
      <c r="I4773"/>
    </row>
    <row r="4774" spans="1:9" x14ac:dyDescent="0.3">
      <c r="A4774" t="s">
        <v>6</v>
      </c>
      <c r="B4774" t="s">
        <v>25</v>
      </c>
      <c r="C4774" t="s">
        <v>82</v>
      </c>
      <c r="D4774" s="9" t="s">
        <v>60</v>
      </c>
      <c r="E4774" t="s">
        <v>43</v>
      </c>
      <c r="F4774" t="s">
        <v>83</v>
      </c>
      <c r="G4774">
        <v>12.4</v>
      </c>
      <c r="I4774"/>
    </row>
    <row r="4775" spans="1:9" x14ac:dyDescent="0.3">
      <c r="A4775" t="s">
        <v>6</v>
      </c>
      <c r="B4775" t="s">
        <v>25</v>
      </c>
      <c r="C4775" t="s">
        <v>84</v>
      </c>
      <c r="D4775" s="9" t="s">
        <v>85</v>
      </c>
      <c r="E4775" t="s">
        <v>32</v>
      </c>
      <c r="F4775" t="s">
        <v>61</v>
      </c>
      <c r="G4775">
        <v>8.1999999999999993</v>
      </c>
      <c r="H4775" s="9">
        <v>-16.329999999999998</v>
      </c>
      <c r="I4775"/>
    </row>
    <row r="4776" spans="1:9" x14ac:dyDescent="0.3">
      <c r="A4776" t="s">
        <v>6</v>
      </c>
      <c r="B4776" t="s">
        <v>25</v>
      </c>
      <c r="C4776" t="s">
        <v>86</v>
      </c>
      <c r="D4776" s="9" t="s">
        <v>85</v>
      </c>
      <c r="E4776" t="s">
        <v>33</v>
      </c>
      <c r="F4776" t="s">
        <v>63</v>
      </c>
      <c r="G4776">
        <v>6.8</v>
      </c>
      <c r="H4776" s="9">
        <v>-20</v>
      </c>
      <c r="I4776"/>
    </row>
    <row r="4777" spans="1:9" x14ac:dyDescent="0.3">
      <c r="A4777" t="s">
        <v>6</v>
      </c>
      <c r="B4777" t="s">
        <v>25</v>
      </c>
      <c r="C4777" t="s">
        <v>87</v>
      </c>
      <c r="D4777" s="9" t="s">
        <v>85</v>
      </c>
      <c r="E4777" t="s">
        <v>34</v>
      </c>
      <c r="F4777" t="s">
        <v>65</v>
      </c>
      <c r="G4777">
        <v>6.4</v>
      </c>
      <c r="H4777" s="9">
        <v>-37.25</v>
      </c>
      <c r="I4777"/>
    </row>
    <row r="4778" spans="1:9" x14ac:dyDescent="0.3">
      <c r="A4778" t="s">
        <v>6</v>
      </c>
      <c r="B4778" t="s">
        <v>25</v>
      </c>
      <c r="C4778" t="s">
        <v>88</v>
      </c>
      <c r="D4778" s="9" t="s">
        <v>85</v>
      </c>
      <c r="E4778" t="s">
        <v>35</v>
      </c>
      <c r="F4778" t="s">
        <v>67</v>
      </c>
      <c r="G4778">
        <v>5.0999999999999996</v>
      </c>
      <c r="H4778" s="9">
        <v>-37.799999999999997</v>
      </c>
      <c r="I4778"/>
    </row>
    <row r="4779" spans="1:9" x14ac:dyDescent="0.3">
      <c r="A4779" t="s">
        <v>6</v>
      </c>
      <c r="B4779" t="s">
        <v>25</v>
      </c>
      <c r="C4779" t="s">
        <v>89</v>
      </c>
      <c r="D4779" s="9" t="s">
        <v>85</v>
      </c>
      <c r="E4779" t="s">
        <v>36</v>
      </c>
      <c r="F4779" t="s">
        <v>69</v>
      </c>
      <c r="G4779">
        <v>6.8</v>
      </c>
      <c r="H4779" s="9">
        <v>-20</v>
      </c>
      <c r="I4779"/>
    </row>
    <row r="4780" spans="1:9" x14ac:dyDescent="0.3">
      <c r="A4780" t="s">
        <v>6</v>
      </c>
      <c r="B4780" t="s">
        <v>25</v>
      </c>
      <c r="C4780" t="s">
        <v>90</v>
      </c>
      <c r="D4780" s="9" t="s">
        <v>85</v>
      </c>
      <c r="E4780" t="s">
        <v>37</v>
      </c>
      <c r="F4780" t="s">
        <v>71</v>
      </c>
      <c r="G4780">
        <v>8.3000000000000007</v>
      </c>
      <c r="H4780" s="9">
        <v>16.899999999999999</v>
      </c>
      <c r="I4780"/>
    </row>
    <row r="4781" spans="1:9" x14ac:dyDescent="0.3">
      <c r="A4781" t="s">
        <v>6</v>
      </c>
      <c r="B4781" t="s">
        <v>25</v>
      </c>
      <c r="C4781" t="s">
        <v>91</v>
      </c>
      <c r="D4781" s="9" t="s">
        <v>85</v>
      </c>
      <c r="E4781" t="s">
        <v>38</v>
      </c>
      <c r="F4781" t="s">
        <v>73</v>
      </c>
      <c r="G4781">
        <v>7</v>
      </c>
      <c r="H4781" s="9">
        <v>-18.600000000000001</v>
      </c>
      <c r="I4781"/>
    </row>
    <row r="4782" spans="1:9" x14ac:dyDescent="0.3">
      <c r="A4782" t="s">
        <v>6</v>
      </c>
      <c r="B4782" t="s">
        <v>25</v>
      </c>
      <c r="C4782" t="s">
        <v>92</v>
      </c>
      <c r="D4782" s="9" t="s">
        <v>85</v>
      </c>
      <c r="E4782" t="s">
        <v>39</v>
      </c>
      <c r="F4782" t="s">
        <v>75</v>
      </c>
      <c r="G4782">
        <v>7.3</v>
      </c>
      <c r="H4782" s="9">
        <v>-16.09</v>
      </c>
      <c r="I4782"/>
    </row>
    <row r="4783" spans="1:9" x14ac:dyDescent="0.3">
      <c r="A4783" t="s">
        <v>6</v>
      </c>
      <c r="B4783" t="s">
        <v>25</v>
      </c>
      <c r="C4783" t="s">
        <v>93</v>
      </c>
      <c r="D4783" s="9" t="s">
        <v>85</v>
      </c>
      <c r="E4783" t="s">
        <v>40</v>
      </c>
      <c r="F4783" t="s">
        <v>77</v>
      </c>
      <c r="G4783">
        <v>7.1</v>
      </c>
      <c r="H4783" s="9">
        <v>-7.79</v>
      </c>
      <c r="I4783"/>
    </row>
    <row r="4784" spans="1:9" x14ac:dyDescent="0.3">
      <c r="A4784" t="s">
        <v>6</v>
      </c>
      <c r="B4784" t="s">
        <v>25</v>
      </c>
      <c r="C4784" t="s">
        <v>94</v>
      </c>
      <c r="D4784" s="9" t="s">
        <v>85</v>
      </c>
      <c r="E4784" t="s">
        <v>41</v>
      </c>
      <c r="F4784" t="s">
        <v>79</v>
      </c>
      <c r="G4784">
        <v>7.9</v>
      </c>
      <c r="H4784" s="9">
        <v>11.27</v>
      </c>
      <c r="I4784"/>
    </row>
    <row r="4785" spans="1:9" x14ac:dyDescent="0.3">
      <c r="A4785" t="s">
        <v>6</v>
      </c>
      <c r="B4785" t="s">
        <v>25</v>
      </c>
      <c r="C4785" t="s">
        <v>95</v>
      </c>
      <c r="D4785" s="9" t="s">
        <v>85</v>
      </c>
      <c r="E4785" t="s">
        <v>42</v>
      </c>
      <c r="F4785" t="s">
        <v>81</v>
      </c>
      <c r="G4785">
        <v>7.2</v>
      </c>
      <c r="H4785" s="9">
        <v>-18.18</v>
      </c>
      <c r="I4785"/>
    </row>
    <row r="4786" spans="1:9" x14ac:dyDescent="0.3">
      <c r="A4786" t="s">
        <v>6</v>
      </c>
      <c r="B4786" t="s">
        <v>25</v>
      </c>
      <c r="C4786" t="s">
        <v>96</v>
      </c>
      <c r="D4786" s="9" t="s">
        <v>85</v>
      </c>
      <c r="E4786" t="s">
        <v>43</v>
      </c>
      <c r="F4786" t="s">
        <v>83</v>
      </c>
      <c r="G4786">
        <v>9</v>
      </c>
      <c r="H4786" s="9">
        <v>-27.42</v>
      </c>
      <c r="I4786"/>
    </row>
    <row r="4787" spans="1:9" x14ac:dyDescent="0.3">
      <c r="A4787" t="s">
        <v>6</v>
      </c>
      <c r="B4787" t="s">
        <v>25</v>
      </c>
      <c r="C4787" t="s">
        <v>97</v>
      </c>
      <c r="D4787" s="9" t="s">
        <v>98</v>
      </c>
      <c r="E4787" t="s">
        <v>32</v>
      </c>
      <c r="F4787" t="s">
        <v>61</v>
      </c>
      <c r="G4787">
        <v>6.9</v>
      </c>
      <c r="H4787" s="9">
        <v>-15.85</v>
      </c>
      <c r="I4787"/>
    </row>
    <row r="4788" spans="1:9" x14ac:dyDescent="0.3">
      <c r="A4788" t="s">
        <v>6</v>
      </c>
      <c r="B4788" t="s">
        <v>25</v>
      </c>
      <c r="C4788" t="s">
        <v>99</v>
      </c>
      <c r="D4788" s="9" t="s">
        <v>98</v>
      </c>
      <c r="E4788" t="s">
        <v>33</v>
      </c>
      <c r="F4788" t="s">
        <v>63</v>
      </c>
      <c r="G4788">
        <v>6.5</v>
      </c>
      <c r="H4788" s="9">
        <v>-4.41</v>
      </c>
      <c r="I4788"/>
    </row>
    <row r="4789" spans="1:9" x14ac:dyDescent="0.3">
      <c r="A4789" t="s">
        <v>6</v>
      </c>
      <c r="B4789" t="s">
        <v>25</v>
      </c>
      <c r="C4789" t="s">
        <v>100</v>
      </c>
      <c r="D4789" s="9" t="s">
        <v>98</v>
      </c>
      <c r="E4789" t="s">
        <v>34</v>
      </c>
      <c r="F4789" t="s">
        <v>65</v>
      </c>
      <c r="G4789">
        <v>7.7</v>
      </c>
      <c r="H4789" s="9">
        <v>20.309999999999999</v>
      </c>
      <c r="I4789"/>
    </row>
    <row r="4790" spans="1:9" x14ac:dyDescent="0.3">
      <c r="A4790" t="s">
        <v>6</v>
      </c>
      <c r="B4790" t="s">
        <v>25</v>
      </c>
      <c r="C4790" t="s">
        <v>101</v>
      </c>
      <c r="D4790" s="9" t="s">
        <v>98</v>
      </c>
      <c r="E4790" t="s">
        <v>35</v>
      </c>
      <c r="F4790" t="s">
        <v>67</v>
      </c>
      <c r="G4790">
        <v>7.3</v>
      </c>
      <c r="H4790" s="9">
        <v>43.14</v>
      </c>
      <c r="I4790"/>
    </row>
    <row r="4791" spans="1:9" x14ac:dyDescent="0.3">
      <c r="A4791" t="s">
        <v>6</v>
      </c>
      <c r="B4791" t="s">
        <v>25</v>
      </c>
      <c r="C4791" t="s">
        <v>102</v>
      </c>
      <c r="D4791" s="9" t="s">
        <v>98</v>
      </c>
      <c r="E4791" t="s">
        <v>36</v>
      </c>
      <c r="F4791" t="s">
        <v>69</v>
      </c>
      <c r="G4791">
        <v>6.9</v>
      </c>
      <c r="H4791" s="9">
        <v>1.47</v>
      </c>
      <c r="I4791"/>
    </row>
    <row r="4792" spans="1:9" x14ac:dyDescent="0.3">
      <c r="A4792" t="s">
        <v>6</v>
      </c>
      <c r="B4792" t="s">
        <v>25</v>
      </c>
      <c r="C4792" t="s">
        <v>103</v>
      </c>
      <c r="D4792" s="9" t="s">
        <v>98</v>
      </c>
      <c r="E4792" t="s">
        <v>37</v>
      </c>
      <c r="F4792" t="s">
        <v>71</v>
      </c>
      <c r="G4792">
        <v>6.4</v>
      </c>
      <c r="H4792" s="9">
        <v>-22.89</v>
      </c>
      <c r="I4792"/>
    </row>
    <row r="4793" spans="1:9" x14ac:dyDescent="0.3">
      <c r="A4793" t="s">
        <v>6</v>
      </c>
      <c r="B4793" t="s">
        <v>25</v>
      </c>
      <c r="C4793" t="s">
        <v>104</v>
      </c>
      <c r="D4793" s="9" t="s">
        <v>98</v>
      </c>
      <c r="E4793" t="s">
        <v>38</v>
      </c>
      <c r="F4793" t="s">
        <v>73</v>
      </c>
      <c r="G4793">
        <v>6.1</v>
      </c>
      <c r="H4793" s="9">
        <v>-12.86</v>
      </c>
      <c r="I4793"/>
    </row>
    <row r="4794" spans="1:9" x14ac:dyDescent="0.3">
      <c r="A4794" t="s">
        <v>6</v>
      </c>
      <c r="B4794" t="s">
        <v>25</v>
      </c>
      <c r="C4794" t="s">
        <v>105</v>
      </c>
      <c r="D4794" s="9" t="s">
        <v>98</v>
      </c>
      <c r="E4794" t="s">
        <v>39</v>
      </c>
      <c r="F4794" t="s">
        <v>75</v>
      </c>
      <c r="G4794">
        <v>7.2</v>
      </c>
      <c r="H4794" s="9">
        <v>-1.37</v>
      </c>
      <c r="I4794"/>
    </row>
    <row r="4795" spans="1:9" x14ac:dyDescent="0.3">
      <c r="A4795" t="s">
        <v>6</v>
      </c>
      <c r="B4795" t="s">
        <v>25</v>
      </c>
      <c r="C4795" t="s">
        <v>106</v>
      </c>
      <c r="D4795" s="9" t="s">
        <v>98</v>
      </c>
      <c r="E4795" t="s">
        <v>40</v>
      </c>
      <c r="F4795" t="s">
        <v>77</v>
      </c>
      <c r="G4795">
        <v>7.3</v>
      </c>
      <c r="H4795" s="9">
        <v>2.82</v>
      </c>
      <c r="I4795"/>
    </row>
    <row r="4796" spans="1:9" x14ac:dyDescent="0.3">
      <c r="A4796" t="s">
        <v>6</v>
      </c>
      <c r="B4796" t="s">
        <v>25</v>
      </c>
      <c r="C4796" t="s">
        <v>107</v>
      </c>
      <c r="D4796" s="9" t="s">
        <v>98</v>
      </c>
      <c r="E4796" t="s">
        <v>41</v>
      </c>
      <c r="F4796" t="s">
        <v>79</v>
      </c>
      <c r="G4796">
        <v>7.8</v>
      </c>
      <c r="H4796" s="9">
        <v>-1.27</v>
      </c>
      <c r="I4796"/>
    </row>
    <row r="4797" spans="1:9" x14ac:dyDescent="0.3">
      <c r="A4797" t="s">
        <v>6</v>
      </c>
      <c r="B4797" t="s">
        <v>25</v>
      </c>
      <c r="C4797" t="s">
        <v>108</v>
      </c>
      <c r="D4797" s="9" t="s">
        <v>98</v>
      </c>
      <c r="E4797" t="s">
        <v>42</v>
      </c>
      <c r="F4797" t="s">
        <v>81</v>
      </c>
      <c r="G4797">
        <v>8.6999999999999993</v>
      </c>
      <c r="H4797" s="9">
        <v>20.83</v>
      </c>
      <c r="I4797"/>
    </row>
    <row r="4798" spans="1:9" x14ac:dyDescent="0.3">
      <c r="A4798" t="s">
        <v>6</v>
      </c>
      <c r="B4798" t="s">
        <v>25</v>
      </c>
      <c r="C4798" t="s">
        <v>109</v>
      </c>
      <c r="D4798" s="9" t="s">
        <v>98</v>
      </c>
      <c r="E4798" t="s">
        <v>43</v>
      </c>
      <c r="F4798" t="s">
        <v>83</v>
      </c>
      <c r="G4798">
        <v>13.1</v>
      </c>
      <c r="H4798" s="9">
        <v>45.56</v>
      </c>
      <c r="I4798"/>
    </row>
    <row r="4799" spans="1:9" x14ac:dyDescent="0.3">
      <c r="A4799" t="s">
        <v>6</v>
      </c>
      <c r="B4799" t="s">
        <v>25</v>
      </c>
      <c r="C4799" t="s">
        <v>110</v>
      </c>
      <c r="D4799" s="9" t="s">
        <v>111</v>
      </c>
      <c r="E4799" t="s">
        <v>32</v>
      </c>
      <c r="F4799" t="s">
        <v>61</v>
      </c>
      <c r="G4799">
        <v>8.9</v>
      </c>
      <c r="H4799" s="9">
        <v>28.99</v>
      </c>
      <c r="I4799"/>
    </row>
    <row r="4800" spans="1:9" x14ac:dyDescent="0.3">
      <c r="A4800" t="s">
        <v>6</v>
      </c>
      <c r="B4800" t="s">
        <v>25</v>
      </c>
      <c r="C4800" t="s">
        <v>112</v>
      </c>
      <c r="D4800" s="9" t="s">
        <v>111</v>
      </c>
      <c r="E4800" t="s">
        <v>33</v>
      </c>
      <c r="F4800" t="s">
        <v>63</v>
      </c>
      <c r="G4800">
        <v>8.1999999999999993</v>
      </c>
      <c r="H4800" s="9">
        <v>26.15</v>
      </c>
      <c r="I4800"/>
    </row>
    <row r="4801" spans="1:9" x14ac:dyDescent="0.3">
      <c r="A4801" t="s">
        <v>6</v>
      </c>
      <c r="B4801" t="s">
        <v>25</v>
      </c>
      <c r="C4801" t="s">
        <v>113</v>
      </c>
      <c r="D4801" s="9" t="s">
        <v>111</v>
      </c>
      <c r="E4801" t="s">
        <v>34</v>
      </c>
      <c r="F4801" t="s">
        <v>65</v>
      </c>
      <c r="G4801">
        <v>9.1999999999999993</v>
      </c>
      <c r="H4801" s="9">
        <v>19.48</v>
      </c>
      <c r="I4801"/>
    </row>
    <row r="4802" spans="1:9" x14ac:dyDescent="0.3">
      <c r="A4802" t="s">
        <v>6</v>
      </c>
      <c r="B4802" t="s">
        <v>25</v>
      </c>
      <c r="C4802" t="s">
        <v>114</v>
      </c>
      <c r="D4802" s="9" t="s">
        <v>111</v>
      </c>
      <c r="E4802" t="s">
        <v>35</v>
      </c>
      <c r="F4802" t="s">
        <v>67</v>
      </c>
      <c r="G4802">
        <v>10.199999999999999</v>
      </c>
      <c r="H4802" s="9">
        <v>39.729999999999997</v>
      </c>
      <c r="I4802"/>
    </row>
    <row r="4803" spans="1:9" x14ac:dyDescent="0.3">
      <c r="A4803" t="s">
        <v>6</v>
      </c>
      <c r="B4803" t="s">
        <v>25</v>
      </c>
      <c r="C4803" t="s">
        <v>115</v>
      </c>
      <c r="D4803" s="9" t="s">
        <v>111</v>
      </c>
      <c r="E4803" t="s">
        <v>36</v>
      </c>
      <c r="F4803" t="s">
        <v>69</v>
      </c>
      <c r="G4803">
        <v>8.9</v>
      </c>
      <c r="H4803" s="9">
        <v>28.99</v>
      </c>
      <c r="I4803"/>
    </row>
    <row r="4804" spans="1:9" x14ac:dyDescent="0.3">
      <c r="A4804" t="s">
        <v>6</v>
      </c>
      <c r="B4804" t="s">
        <v>25</v>
      </c>
      <c r="C4804" t="s">
        <v>116</v>
      </c>
      <c r="D4804" s="9" t="s">
        <v>111</v>
      </c>
      <c r="E4804" t="s">
        <v>37</v>
      </c>
      <c r="F4804" t="s">
        <v>71</v>
      </c>
      <c r="G4804">
        <v>7.5</v>
      </c>
      <c r="H4804" s="9">
        <v>17.190000000000001</v>
      </c>
      <c r="I4804"/>
    </row>
    <row r="4805" spans="1:9" x14ac:dyDescent="0.3">
      <c r="A4805" t="s">
        <v>6</v>
      </c>
      <c r="B4805" t="s">
        <v>25</v>
      </c>
      <c r="C4805" t="s">
        <v>117</v>
      </c>
      <c r="D4805" s="9" t="s">
        <v>111</v>
      </c>
      <c r="E4805" t="s">
        <v>38</v>
      </c>
      <c r="F4805" t="s">
        <v>73</v>
      </c>
      <c r="G4805">
        <v>8.9</v>
      </c>
      <c r="H4805" s="9">
        <v>45.9</v>
      </c>
      <c r="I4805"/>
    </row>
    <row r="4806" spans="1:9" x14ac:dyDescent="0.3">
      <c r="A4806" t="s">
        <v>6</v>
      </c>
      <c r="B4806" t="s">
        <v>25</v>
      </c>
      <c r="C4806" t="s">
        <v>118</v>
      </c>
      <c r="D4806" s="9" t="s">
        <v>111</v>
      </c>
      <c r="E4806" t="s">
        <v>39</v>
      </c>
      <c r="F4806" t="s">
        <v>75</v>
      </c>
      <c r="G4806">
        <v>9.5</v>
      </c>
      <c r="H4806" s="9">
        <v>31.94</v>
      </c>
      <c r="I4806"/>
    </row>
    <row r="4807" spans="1:9" x14ac:dyDescent="0.3">
      <c r="A4807" t="s">
        <v>6</v>
      </c>
      <c r="B4807" t="s">
        <v>25</v>
      </c>
      <c r="C4807" t="s">
        <v>119</v>
      </c>
      <c r="D4807" s="9" t="s">
        <v>111</v>
      </c>
      <c r="E4807" t="s">
        <v>40</v>
      </c>
      <c r="F4807" t="s">
        <v>77</v>
      </c>
      <c r="G4807">
        <v>9.1999999999999993</v>
      </c>
      <c r="H4807" s="9">
        <v>26.03</v>
      </c>
      <c r="I4807"/>
    </row>
    <row r="4808" spans="1:9" x14ac:dyDescent="0.3">
      <c r="A4808" t="s">
        <v>6</v>
      </c>
      <c r="B4808" t="s">
        <v>25</v>
      </c>
      <c r="C4808" t="s">
        <v>120</v>
      </c>
      <c r="D4808" s="9" t="s">
        <v>111</v>
      </c>
      <c r="E4808" t="s">
        <v>41</v>
      </c>
      <c r="F4808" t="s">
        <v>79</v>
      </c>
      <c r="G4808">
        <v>9.3000000000000007</v>
      </c>
      <c r="H4808" s="9">
        <v>19.23</v>
      </c>
      <c r="I4808"/>
    </row>
    <row r="4809" spans="1:9" x14ac:dyDescent="0.3">
      <c r="A4809" t="s">
        <v>6</v>
      </c>
      <c r="B4809" t="s">
        <v>25</v>
      </c>
      <c r="C4809" t="s">
        <v>121</v>
      </c>
      <c r="D4809" s="9" t="s">
        <v>111</v>
      </c>
      <c r="E4809" t="s">
        <v>42</v>
      </c>
      <c r="F4809" t="s">
        <v>81</v>
      </c>
      <c r="G4809">
        <v>11.2</v>
      </c>
      <c r="H4809" s="9">
        <v>28.74</v>
      </c>
      <c r="I4809"/>
    </row>
    <row r="4810" spans="1:9" x14ac:dyDescent="0.3">
      <c r="A4810" t="s">
        <v>6</v>
      </c>
      <c r="B4810" t="s">
        <v>25</v>
      </c>
      <c r="C4810" t="s">
        <v>122</v>
      </c>
      <c r="D4810" s="9" t="s">
        <v>111</v>
      </c>
      <c r="E4810" t="s">
        <v>43</v>
      </c>
      <c r="F4810" t="s">
        <v>83</v>
      </c>
      <c r="G4810">
        <v>15.5</v>
      </c>
      <c r="H4810" s="9">
        <v>18.32</v>
      </c>
      <c r="I4810"/>
    </row>
    <row r="4811" spans="1:9" x14ac:dyDescent="0.3">
      <c r="A4811" t="s">
        <v>6</v>
      </c>
      <c r="B4811" t="s">
        <v>25</v>
      </c>
      <c r="C4811" t="s">
        <v>123</v>
      </c>
      <c r="D4811" s="9" t="s">
        <v>124</v>
      </c>
      <c r="E4811" t="s">
        <v>32</v>
      </c>
      <c r="F4811" t="s">
        <v>61</v>
      </c>
      <c r="G4811">
        <v>10.4</v>
      </c>
      <c r="H4811" s="9">
        <v>16.850000000000001</v>
      </c>
      <c r="I4811"/>
    </row>
    <row r="4812" spans="1:9" x14ac:dyDescent="0.3">
      <c r="A4812" t="s">
        <v>6</v>
      </c>
      <c r="B4812" t="s">
        <v>25</v>
      </c>
      <c r="C4812" t="s">
        <v>125</v>
      </c>
      <c r="D4812" s="9" t="s">
        <v>124</v>
      </c>
      <c r="E4812" t="s">
        <v>33</v>
      </c>
      <c r="F4812" t="s">
        <v>63</v>
      </c>
      <c r="G4812">
        <v>8.4</v>
      </c>
      <c r="H4812" s="9">
        <v>2.44</v>
      </c>
      <c r="I4812"/>
    </row>
    <row r="4813" spans="1:9" x14ac:dyDescent="0.3">
      <c r="A4813" t="s">
        <v>6</v>
      </c>
      <c r="B4813" t="s">
        <v>25</v>
      </c>
      <c r="C4813" t="s">
        <v>126</v>
      </c>
      <c r="D4813" s="9" t="s">
        <v>124</v>
      </c>
      <c r="E4813" t="s">
        <v>34</v>
      </c>
      <c r="F4813" t="s">
        <v>65</v>
      </c>
      <c r="G4813">
        <v>10.199999999999999</v>
      </c>
      <c r="H4813" s="9">
        <v>10.87</v>
      </c>
      <c r="I4813"/>
    </row>
    <row r="4814" spans="1:9" x14ac:dyDescent="0.3">
      <c r="A4814" t="s">
        <v>6</v>
      </c>
      <c r="B4814" t="s">
        <v>25</v>
      </c>
      <c r="C4814" t="s">
        <v>127</v>
      </c>
      <c r="D4814" s="9" t="s">
        <v>124</v>
      </c>
      <c r="E4814" t="s">
        <v>35</v>
      </c>
      <c r="F4814" t="s">
        <v>67</v>
      </c>
      <c r="G4814">
        <v>8.9</v>
      </c>
      <c r="H4814" s="9">
        <v>-12.75</v>
      </c>
      <c r="I4814"/>
    </row>
    <row r="4815" spans="1:9" x14ac:dyDescent="0.3">
      <c r="A4815" t="s">
        <v>6</v>
      </c>
      <c r="B4815" t="s">
        <v>25</v>
      </c>
      <c r="C4815" t="s">
        <v>128</v>
      </c>
      <c r="D4815" s="9" t="s">
        <v>124</v>
      </c>
      <c r="E4815" t="s">
        <v>36</v>
      </c>
      <c r="F4815" t="s">
        <v>69</v>
      </c>
      <c r="G4815">
        <v>10.8</v>
      </c>
      <c r="H4815" s="9">
        <v>21.35</v>
      </c>
      <c r="I4815"/>
    </row>
    <row r="4816" spans="1:9" x14ac:dyDescent="0.3">
      <c r="A4816" t="s">
        <v>6</v>
      </c>
      <c r="B4816" t="s">
        <v>25</v>
      </c>
      <c r="C4816" t="s">
        <v>129</v>
      </c>
      <c r="D4816" s="9" t="s">
        <v>124</v>
      </c>
      <c r="E4816" t="s">
        <v>37</v>
      </c>
      <c r="F4816" t="s">
        <v>71</v>
      </c>
      <c r="G4816">
        <v>10.6</v>
      </c>
      <c r="H4816" s="9">
        <v>41.33</v>
      </c>
      <c r="I4816"/>
    </row>
    <row r="4817" spans="1:9" x14ac:dyDescent="0.3">
      <c r="A4817" t="s">
        <v>6</v>
      </c>
      <c r="B4817" t="s">
        <v>25</v>
      </c>
      <c r="C4817" t="s">
        <v>130</v>
      </c>
      <c r="D4817" s="9" t="s">
        <v>124</v>
      </c>
      <c r="E4817" t="s">
        <v>38</v>
      </c>
      <c r="F4817" t="s">
        <v>73</v>
      </c>
      <c r="G4817">
        <v>10.8</v>
      </c>
      <c r="H4817" s="9">
        <v>21.35</v>
      </c>
      <c r="I4817"/>
    </row>
    <row r="4818" spans="1:9" x14ac:dyDescent="0.3">
      <c r="A4818" t="s">
        <v>6</v>
      </c>
      <c r="B4818" t="s">
        <v>25</v>
      </c>
      <c r="C4818" t="s">
        <v>131</v>
      </c>
      <c r="D4818" s="9" t="s">
        <v>124</v>
      </c>
      <c r="E4818" t="s">
        <v>39</v>
      </c>
      <c r="F4818" t="s">
        <v>75</v>
      </c>
      <c r="G4818">
        <v>11.1</v>
      </c>
      <c r="H4818" s="9">
        <v>16.84</v>
      </c>
      <c r="I4818"/>
    </row>
    <row r="4819" spans="1:9" x14ac:dyDescent="0.3">
      <c r="A4819" t="s">
        <v>6</v>
      </c>
      <c r="B4819" t="s">
        <v>25</v>
      </c>
      <c r="C4819" t="s">
        <v>132</v>
      </c>
      <c r="D4819" s="9" t="s">
        <v>124</v>
      </c>
      <c r="E4819" t="s">
        <v>40</v>
      </c>
      <c r="F4819" t="s">
        <v>77</v>
      </c>
      <c r="G4819">
        <v>9.6</v>
      </c>
      <c r="H4819" s="9">
        <v>4.3499999999999996</v>
      </c>
      <c r="I4819"/>
    </row>
    <row r="4820" spans="1:9" x14ac:dyDescent="0.3">
      <c r="A4820" t="s">
        <v>6</v>
      </c>
      <c r="B4820" t="s">
        <v>25</v>
      </c>
      <c r="C4820" t="s">
        <v>133</v>
      </c>
      <c r="D4820" s="9" t="s">
        <v>124</v>
      </c>
      <c r="E4820" t="s">
        <v>41</v>
      </c>
      <c r="F4820" t="s">
        <v>79</v>
      </c>
      <c r="G4820">
        <v>9.6</v>
      </c>
      <c r="H4820" s="9">
        <v>3.23</v>
      </c>
      <c r="I4820"/>
    </row>
    <row r="4821" spans="1:9" x14ac:dyDescent="0.3">
      <c r="A4821" t="s">
        <v>6</v>
      </c>
      <c r="B4821" t="s">
        <v>25</v>
      </c>
      <c r="C4821" t="s">
        <v>134</v>
      </c>
      <c r="D4821" s="9" t="s">
        <v>124</v>
      </c>
      <c r="E4821" t="s">
        <v>42</v>
      </c>
      <c r="F4821" t="s">
        <v>81</v>
      </c>
      <c r="G4821">
        <v>10.5</v>
      </c>
      <c r="H4821" s="9">
        <v>-6.25</v>
      </c>
      <c r="I4821"/>
    </row>
    <row r="4822" spans="1:9" x14ac:dyDescent="0.3">
      <c r="A4822" t="s">
        <v>6</v>
      </c>
      <c r="B4822" t="s">
        <v>25</v>
      </c>
      <c r="C4822" t="s">
        <v>135</v>
      </c>
      <c r="D4822" s="9" t="s">
        <v>124</v>
      </c>
      <c r="E4822" t="s">
        <v>43</v>
      </c>
      <c r="F4822" t="s">
        <v>83</v>
      </c>
      <c r="G4822">
        <v>14</v>
      </c>
      <c r="H4822" s="9">
        <v>-9.68</v>
      </c>
      <c r="I4822"/>
    </row>
    <row r="4823" spans="1:9" x14ac:dyDescent="0.3">
      <c r="A4823" t="s">
        <v>6</v>
      </c>
      <c r="B4823" t="s">
        <v>25</v>
      </c>
      <c r="C4823" t="s">
        <v>136</v>
      </c>
      <c r="D4823" s="9" t="s">
        <v>137</v>
      </c>
      <c r="E4823" t="s">
        <v>32</v>
      </c>
      <c r="F4823" t="s">
        <v>61</v>
      </c>
      <c r="G4823">
        <v>9.5</v>
      </c>
      <c r="H4823" s="9">
        <v>-8.65</v>
      </c>
      <c r="I4823"/>
    </row>
    <row r="4824" spans="1:9" x14ac:dyDescent="0.3">
      <c r="A4824" t="s">
        <v>6</v>
      </c>
      <c r="B4824" t="s">
        <v>25</v>
      </c>
      <c r="C4824" t="s">
        <v>138</v>
      </c>
      <c r="D4824" s="9" t="s">
        <v>137</v>
      </c>
      <c r="E4824" t="s">
        <v>33</v>
      </c>
      <c r="F4824" t="s">
        <v>63</v>
      </c>
      <c r="G4824">
        <v>8.9</v>
      </c>
      <c r="H4824" s="9">
        <v>5.95</v>
      </c>
      <c r="I4824"/>
    </row>
    <row r="4825" spans="1:9" x14ac:dyDescent="0.3">
      <c r="A4825" t="s">
        <v>6</v>
      </c>
      <c r="B4825" t="s">
        <v>25</v>
      </c>
      <c r="C4825" t="s">
        <v>139</v>
      </c>
      <c r="D4825" s="9" t="s">
        <v>137</v>
      </c>
      <c r="E4825" t="s">
        <v>34</v>
      </c>
      <c r="F4825" t="s">
        <v>65</v>
      </c>
      <c r="G4825">
        <v>9.1</v>
      </c>
      <c r="H4825" s="9">
        <v>-10.78</v>
      </c>
      <c r="I4825"/>
    </row>
    <row r="4826" spans="1:9" x14ac:dyDescent="0.3">
      <c r="A4826" t="s">
        <v>6</v>
      </c>
      <c r="B4826" t="s">
        <v>25</v>
      </c>
      <c r="C4826" t="s">
        <v>140</v>
      </c>
      <c r="D4826" s="9" t="s">
        <v>137</v>
      </c>
      <c r="E4826" t="s">
        <v>35</v>
      </c>
      <c r="F4826" t="s">
        <v>67</v>
      </c>
      <c r="G4826">
        <v>9.4</v>
      </c>
      <c r="H4826" s="9">
        <v>5.62</v>
      </c>
      <c r="I4826"/>
    </row>
    <row r="4827" spans="1:9" x14ac:dyDescent="0.3">
      <c r="A4827" t="s">
        <v>6</v>
      </c>
      <c r="B4827" t="s">
        <v>25</v>
      </c>
      <c r="C4827" t="s">
        <v>141</v>
      </c>
      <c r="D4827" s="9" t="s">
        <v>137</v>
      </c>
      <c r="E4827" t="s">
        <v>36</v>
      </c>
      <c r="F4827" t="s">
        <v>69</v>
      </c>
      <c r="G4827">
        <v>10.3</v>
      </c>
      <c r="H4827" s="9">
        <v>-4.63</v>
      </c>
      <c r="I4827"/>
    </row>
    <row r="4828" spans="1:9" x14ac:dyDescent="0.3">
      <c r="A4828" t="s">
        <v>6</v>
      </c>
      <c r="B4828" t="s">
        <v>25</v>
      </c>
      <c r="C4828" t="s">
        <v>142</v>
      </c>
      <c r="D4828" s="9" t="s">
        <v>137</v>
      </c>
      <c r="E4828" t="s">
        <v>37</v>
      </c>
      <c r="F4828" t="s">
        <v>71</v>
      </c>
      <c r="G4828">
        <v>8.6</v>
      </c>
      <c r="H4828" s="9">
        <v>-18.87</v>
      </c>
      <c r="I4828"/>
    </row>
    <row r="4829" spans="1:9" x14ac:dyDescent="0.3">
      <c r="A4829" t="s">
        <v>6</v>
      </c>
      <c r="B4829" t="s">
        <v>25</v>
      </c>
      <c r="C4829" t="s">
        <v>143</v>
      </c>
      <c r="D4829" s="9" t="s">
        <v>137</v>
      </c>
      <c r="E4829" t="s">
        <v>38</v>
      </c>
      <c r="F4829" t="s">
        <v>73</v>
      </c>
      <c r="G4829">
        <v>10.7</v>
      </c>
      <c r="H4829" s="9">
        <v>-0.93</v>
      </c>
      <c r="I4829"/>
    </row>
    <row r="4830" spans="1:9" x14ac:dyDescent="0.3">
      <c r="A4830" t="s">
        <v>6</v>
      </c>
      <c r="B4830" t="s">
        <v>25</v>
      </c>
      <c r="C4830" t="s">
        <v>144</v>
      </c>
      <c r="D4830" s="9" t="s">
        <v>137</v>
      </c>
      <c r="E4830" t="s">
        <v>39</v>
      </c>
      <c r="F4830" t="s">
        <v>75</v>
      </c>
      <c r="G4830">
        <v>11.3</v>
      </c>
      <c r="H4830" s="9">
        <v>1.8</v>
      </c>
      <c r="I4830"/>
    </row>
    <row r="4831" spans="1:9" x14ac:dyDescent="0.3">
      <c r="A4831" t="s">
        <v>6</v>
      </c>
      <c r="B4831" t="s">
        <v>25</v>
      </c>
      <c r="C4831" t="s">
        <v>145</v>
      </c>
      <c r="D4831" s="9" t="s">
        <v>137</v>
      </c>
      <c r="E4831" t="s">
        <v>40</v>
      </c>
      <c r="F4831" t="s">
        <v>77</v>
      </c>
      <c r="G4831">
        <v>10.1</v>
      </c>
      <c r="H4831" s="9">
        <v>5.21</v>
      </c>
      <c r="I4831"/>
    </row>
    <row r="4832" spans="1:9" x14ac:dyDescent="0.3">
      <c r="A4832" t="s">
        <v>6</v>
      </c>
      <c r="B4832" t="s">
        <v>25</v>
      </c>
      <c r="C4832" t="s">
        <v>146</v>
      </c>
      <c r="D4832" s="9" t="s">
        <v>137</v>
      </c>
      <c r="E4832" t="s">
        <v>41</v>
      </c>
      <c r="F4832" t="s">
        <v>79</v>
      </c>
      <c r="G4832">
        <v>11.1</v>
      </c>
      <c r="H4832" s="9">
        <v>15.63</v>
      </c>
      <c r="I4832"/>
    </row>
    <row r="4833" spans="1:9" x14ac:dyDescent="0.3">
      <c r="A4833" t="s">
        <v>6</v>
      </c>
      <c r="B4833" t="s">
        <v>25</v>
      </c>
      <c r="C4833" t="s">
        <v>147</v>
      </c>
      <c r="D4833" s="9" t="s">
        <v>137</v>
      </c>
      <c r="E4833" t="s">
        <v>42</v>
      </c>
      <c r="F4833" t="s">
        <v>81</v>
      </c>
      <c r="G4833">
        <v>12.5</v>
      </c>
      <c r="H4833" s="9">
        <v>19.05</v>
      </c>
      <c r="I4833"/>
    </row>
    <row r="4834" spans="1:9" x14ac:dyDescent="0.3">
      <c r="A4834" t="s">
        <v>6</v>
      </c>
      <c r="B4834" t="s">
        <v>25</v>
      </c>
      <c r="C4834" t="s">
        <v>148</v>
      </c>
      <c r="D4834" s="9" t="s">
        <v>137</v>
      </c>
      <c r="E4834" t="s">
        <v>43</v>
      </c>
      <c r="F4834" t="s">
        <v>83</v>
      </c>
      <c r="G4834">
        <v>17</v>
      </c>
      <c r="H4834" s="9">
        <v>21.43</v>
      </c>
      <c r="I4834"/>
    </row>
    <row r="4835" spans="1:9" x14ac:dyDescent="0.3">
      <c r="A4835" t="s">
        <v>6</v>
      </c>
      <c r="B4835" t="s">
        <v>25</v>
      </c>
      <c r="C4835" t="s">
        <v>149</v>
      </c>
      <c r="D4835" s="9" t="s">
        <v>150</v>
      </c>
      <c r="E4835" t="s">
        <v>32</v>
      </c>
      <c r="F4835" t="s">
        <v>61</v>
      </c>
      <c r="G4835">
        <v>11.1</v>
      </c>
      <c r="H4835" s="9">
        <v>16.84</v>
      </c>
      <c r="I4835"/>
    </row>
    <row r="4836" spans="1:9" x14ac:dyDescent="0.3">
      <c r="A4836" t="s">
        <v>6</v>
      </c>
      <c r="B4836" t="s">
        <v>25</v>
      </c>
      <c r="C4836" t="s">
        <v>151</v>
      </c>
      <c r="D4836" s="9" t="s">
        <v>150</v>
      </c>
      <c r="E4836" t="s">
        <v>33</v>
      </c>
      <c r="F4836" t="s">
        <v>63</v>
      </c>
      <c r="G4836">
        <v>9.1</v>
      </c>
      <c r="H4836" s="9">
        <v>2.25</v>
      </c>
      <c r="I4836"/>
    </row>
    <row r="4837" spans="1:9" x14ac:dyDescent="0.3">
      <c r="A4837" t="s">
        <v>6</v>
      </c>
      <c r="B4837" t="s">
        <v>25</v>
      </c>
      <c r="C4837" t="s">
        <v>152</v>
      </c>
      <c r="D4837" s="9" t="s">
        <v>150</v>
      </c>
      <c r="E4837" t="s">
        <v>34</v>
      </c>
      <c r="F4837" t="s">
        <v>65</v>
      </c>
      <c r="G4837">
        <v>9.1999999999999993</v>
      </c>
      <c r="H4837" s="9">
        <v>1.1000000000000001</v>
      </c>
      <c r="I4837"/>
    </row>
    <row r="4838" spans="1:9" x14ac:dyDescent="0.3">
      <c r="A4838" t="s">
        <v>6</v>
      </c>
      <c r="B4838" t="s">
        <v>25</v>
      </c>
      <c r="C4838" t="s">
        <v>153</v>
      </c>
      <c r="D4838" s="9" t="s">
        <v>150</v>
      </c>
      <c r="E4838" t="s">
        <v>35</v>
      </c>
      <c r="F4838" t="s">
        <v>67</v>
      </c>
      <c r="G4838">
        <v>8.8000000000000007</v>
      </c>
      <c r="H4838" s="9">
        <v>-6.38</v>
      </c>
      <c r="I4838"/>
    </row>
    <row r="4839" spans="1:9" x14ac:dyDescent="0.3">
      <c r="A4839" t="s">
        <v>6</v>
      </c>
      <c r="B4839" t="s">
        <v>25</v>
      </c>
      <c r="C4839" t="s">
        <v>154</v>
      </c>
      <c r="D4839" s="9" t="s">
        <v>150</v>
      </c>
      <c r="E4839" t="s">
        <v>36</v>
      </c>
      <c r="F4839" t="s">
        <v>69</v>
      </c>
      <c r="G4839">
        <v>10.1</v>
      </c>
      <c r="H4839" s="9">
        <v>-1.94</v>
      </c>
      <c r="I4839"/>
    </row>
    <row r="4840" spans="1:9" x14ac:dyDescent="0.3">
      <c r="A4840" t="s">
        <v>6</v>
      </c>
      <c r="B4840" t="s">
        <v>25</v>
      </c>
      <c r="C4840" t="s">
        <v>155</v>
      </c>
      <c r="D4840" s="9" t="s">
        <v>150</v>
      </c>
      <c r="E4840" t="s">
        <v>37</v>
      </c>
      <c r="F4840" t="s">
        <v>71</v>
      </c>
      <c r="G4840">
        <v>8.8000000000000007</v>
      </c>
      <c r="H4840" s="9">
        <v>2.33</v>
      </c>
      <c r="I4840"/>
    </row>
    <row r="4841" spans="1:9" x14ac:dyDescent="0.3">
      <c r="A4841" t="s">
        <v>6</v>
      </c>
      <c r="B4841" t="s">
        <v>24</v>
      </c>
      <c r="C4841" t="s">
        <v>59</v>
      </c>
      <c r="D4841" s="9" t="s">
        <v>60</v>
      </c>
      <c r="E4841" t="s">
        <v>32</v>
      </c>
      <c r="F4841" t="s">
        <v>61</v>
      </c>
      <c r="G4841">
        <v>25.8</v>
      </c>
      <c r="I4841"/>
    </row>
    <row r="4842" spans="1:9" x14ac:dyDescent="0.3">
      <c r="A4842" t="s">
        <v>6</v>
      </c>
      <c r="B4842" t="s">
        <v>24</v>
      </c>
      <c r="C4842" t="s">
        <v>62</v>
      </c>
      <c r="D4842" s="9" t="s">
        <v>60</v>
      </c>
      <c r="E4842" t="s">
        <v>33</v>
      </c>
      <c r="F4842" t="s">
        <v>63</v>
      </c>
      <c r="G4842">
        <v>18.100000000000001</v>
      </c>
      <c r="I4842"/>
    </row>
    <row r="4843" spans="1:9" x14ac:dyDescent="0.3">
      <c r="A4843" t="s">
        <v>6</v>
      </c>
      <c r="B4843" t="s">
        <v>24</v>
      </c>
      <c r="C4843" t="s">
        <v>64</v>
      </c>
      <c r="D4843" s="9" t="s">
        <v>60</v>
      </c>
      <c r="E4843" t="s">
        <v>34</v>
      </c>
      <c r="F4843" t="s">
        <v>65</v>
      </c>
      <c r="G4843">
        <v>20.3</v>
      </c>
      <c r="I4843"/>
    </row>
    <row r="4844" spans="1:9" x14ac:dyDescent="0.3">
      <c r="A4844" t="s">
        <v>6</v>
      </c>
      <c r="B4844" t="s">
        <v>24</v>
      </c>
      <c r="C4844" t="s">
        <v>66</v>
      </c>
      <c r="D4844" s="9" t="s">
        <v>60</v>
      </c>
      <c r="E4844" t="s">
        <v>35</v>
      </c>
      <c r="F4844" t="s">
        <v>67</v>
      </c>
      <c r="G4844">
        <v>21.6</v>
      </c>
      <c r="I4844"/>
    </row>
    <row r="4845" spans="1:9" x14ac:dyDescent="0.3">
      <c r="A4845" t="s">
        <v>6</v>
      </c>
      <c r="B4845" t="s">
        <v>24</v>
      </c>
      <c r="C4845" t="s">
        <v>68</v>
      </c>
      <c r="D4845" s="9" t="s">
        <v>60</v>
      </c>
      <c r="E4845" t="s">
        <v>36</v>
      </c>
      <c r="F4845" t="s">
        <v>69</v>
      </c>
      <c r="G4845">
        <v>19.100000000000001</v>
      </c>
      <c r="I4845"/>
    </row>
    <row r="4846" spans="1:9" x14ac:dyDescent="0.3">
      <c r="A4846" t="s">
        <v>6</v>
      </c>
      <c r="B4846" t="s">
        <v>24</v>
      </c>
      <c r="C4846" t="s">
        <v>70</v>
      </c>
      <c r="D4846" s="9" t="s">
        <v>60</v>
      </c>
      <c r="E4846" t="s">
        <v>37</v>
      </c>
      <c r="F4846" t="s">
        <v>71</v>
      </c>
      <c r="G4846">
        <v>22</v>
      </c>
      <c r="I4846"/>
    </row>
    <row r="4847" spans="1:9" x14ac:dyDescent="0.3">
      <c r="A4847" t="s">
        <v>6</v>
      </c>
      <c r="B4847" t="s">
        <v>24</v>
      </c>
      <c r="C4847" t="s">
        <v>72</v>
      </c>
      <c r="D4847" s="9" t="s">
        <v>60</v>
      </c>
      <c r="E4847" t="s">
        <v>38</v>
      </c>
      <c r="F4847" t="s">
        <v>73</v>
      </c>
      <c r="G4847">
        <v>23.3</v>
      </c>
      <c r="I4847"/>
    </row>
    <row r="4848" spans="1:9" x14ac:dyDescent="0.3">
      <c r="A4848" t="s">
        <v>6</v>
      </c>
      <c r="B4848" t="s">
        <v>24</v>
      </c>
      <c r="C4848" t="s">
        <v>74</v>
      </c>
      <c r="D4848" s="9" t="s">
        <v>60</v>
      </c>
      <c r="E4848" t="s">
        <v>39</v>
      </c>
      <c r="F4848" t="s">
        <v>75</v>
      </c>
      <c r="G4848">
        <v>22.3</v>
      </c>
      <c r="I4848"/>
    </row>
    <row r="4849" spans="1:9" x14ac:dyDescent="0.3">
      <c r="A4849" t="s">
        <v>6</v>
      </c>
      <c r="B4849" t="s">
        <v>24</v>
      </c>
      <c r="C4849" t="s">
        <v>76</v>
      </c>
      <c r="D4849" s="9" t="s">
        <v>60</v>
      </c>
      <c r="E4849" t="s">
        <v>40</v>
      </c>
      <c r="F4849" t="s">
        <v>77</v>
      </c>
      <c r="G4849">
        <v>23.8</v>
      </c>
      <c r="I4849"/>
    </row>
    <row r="4850" spans="1:9" x14ac:dyDescent="0.3">
      <c r="A4850" t="s">
        <v>6</v>
      </c>
      <c r="B4850" t="s">
        <v>24</v>
      </c>
      <c r="C4850" t="s">
        <v>78</v>
      </c>
      <c r="D4850" s="9" t="s">
        <v>60</v>
      </c>
      <c r="E4850" t="s">
        <v>41</v>
      </c>
      <c r="F4850" t="s">
        <v>79</v>
      </c>
      <c r="G4850">
        <v>25.2</v>
      </c>
      <c r="I4850"/>
    </row>
    <row r="4851" spans="1:9" x14ac:dyDescent="0.3">
      <c r="A4851" t="s">
        <v>6</v>
      </c>
      <c r="B4851" t="s">
        <v>24</v>
      </c>
      <c r="C4851" t="s">
        <v>80</v>
      </c>
      <c r="D4851" s="9" t="s">
        <v>60</v>
      </c>
      <c r="E4851" t="s">
        <v>42</v>
      </c>
      <c r="F4851" t="s">
        <v>81</v>
      </c>
      <c r="G4851">
        <v>30.2</v>
      </c>
      <c r="I4851"/>
    </row>
    <row r="4852" spans="1:9" x14ac:dyDescent="0.3">
      <c r="A4852" t="s">
        <v>6</v>
      </c>
      <c r="B4852" t="s">
        <v>24</v>
      </c>
      <c r="C4852" t="s">
        <v>82</v>
      </c>
      <c r="D4852" s="9" t="s">
        <v>60</v>
      </c>
      <c r="E4852" t="s">
        <v>43</v>
      </c>
      <c r="F4852" t="s">
        <v>83</v>
      </c>
      <c r="G4852">
        <v>48.9</v>
      </c>
      <c r="I4852"/>
    </row>
    <row r="4853" spans="1:9" x14ac:dyDescent="0.3">
      <c r="A4853" t="s">
        <v>6</v>
      </c>
      <c r="B4853" t="s">
        <v>24</v>
      </c>
      <c r="C4853" t="s">
        <v>84</v>
      </c>
      <c r="D4853" s="9" t="s">
        <v>85</v>
      </c>
      <c r="E4853" t="s">
        <v>32</v>
      </c>
      <c r="F4853" t="s">
        <v>61</v>
      </c>
      <c r="G4853">
        <v>25.3</v>
      </c>
      <c r="H4853" s="9">
        <v>-1.94</v>
      </c>
      <c r="I4853"/>
    </row>
    <row r="4854" spans="1:9" x14ac:dyDescent="0.3">
      <c r="A4854" t="s">
        <v>6</v>
      </c>
      <c r="B4854" t="s">
        <v>24</v>
      </c>
      <c r="C4854" t="s">
        <v>86</v>
      </c>
      <c r="D4854" s="9" t="s">
        <v>85</v>
      </c>
      <c r="E4854" t="s">
        <v>33</v>
      </c>
      <c r="F4854" t="s">
        <v>63</v>
      </c>
      <c r="G4854">
        <v>19.100000000000001</v>
      </c>
      <c r="H4854" s="9">
        <v>5.52</v>
      </c>
      <c r="I4854"/>
    </row>
    <row r="4855" spans="1:9" x14ac:dyDescent="0.3">
      <c r="A4855" t="s">
        <v>6</v>
      </c>
      <c r="B4855" t="s">
        <v>24</v>
      </c>
      <c r="C4855" t="s">
        <v>87</v>
      </c>
      <c r="D4855" s="9" t="s">
        <v>85</v>
      </c>
      <c r="E4855" t="s">
        <v>34</v>
      </c>
      <c r="F4855" t="s">
        <v>65</v>
      </c>
      <c r="G4855">
        <v>26.6</v>
      </c>
      <c r="H4855" s="9">
        <v>31.03</v>
      </c>
      <c r="I4855"/>
    </row>
    <row r="4856" spans="1:9" x14ac:dyDescent="0.3">
      <c r="A4856" t="s">
        <v>6</v>
      </c>
      <c r="B4856" t="s">
        <v>24</v>
      </c>
      <c r="C4856" t="s">
        <v>88</v>
      </c>
      <c r="D4856" s="9" t="s">
        <v>85</v>
      </c>
      <c r="E4856" t="s">
        <v>35</v>
      </c>
      <c r="F4856" t="s">
        <v>67</v>
      </c>
      <c r="G4856">
        <v>22.7</v>
      </c>
      <c r="H4856" s="9">
        <v>5.09</v>
      </c>
      <c r="I4856"/>
    </row>
    <row r="4857" spans="1:9" x14ac:dyDescent="0.3">
      <c r="A4857" t="s">
        <v>6</v>
      </c>
      <c r="B4857" t="s">
        <v>24</v>
      </c>
      <c r="C4857" t="s">
        <v>89</v>
      </c>
      <c r="D4857" s="9" t="s">
        <v>85</v>
      </c>
      <c r="E4857" t="s">
        <v>36</v>
      </c>
      <c r="F4857" t="s">
        <v>69</v>
      </c>
      <c r="G4857">
        <v>28.8</v>
      </c>
      <c r="H4857" s="9">
        <v>50.79</v>
      </c>
      <c r="I4857"/>
    </row>
    <row r="4858" spans="1:9" x14ac:dyDescent="0.3">
      <c r="A4858" t="s">
        <v>6</v>
      </c>
      <c r="B4858" t="s">
        <v>24</v>
      </c>
      <c r="C4858" t="s">
        <v>90</v>
      </c>
      <c r="D4858" s="9" t="s">
        <v>85</v>
      </c>
      <c r="E4858" t="s">
        <v>37</v>
      </c>
      <c r="F4858" t="s">
        <v>71</v>
      </c>
      <c r="G4858">
        <v>28.9</v>
      </c>
      <c r="H4858" s="9">
        <v>31.36</v>
      </c>
      <c r="I4858"/>
    </row>
    <row r="4859" spans="1:9" x14ac:dyDescent="0.3">
      <c r="A4859" t="s">
        <v>6</v>
      </c>
      <c r="B4859" t="s">
        <v>24</v>
      </c>
      <c r="C4859" t="s">
        <v>91</v>
      </c>
      <c r="D4859" s="9" t="s">
        <v>85</v>
      </c>
      <c r="E4859" t="s">
        <v>38</v>
      </c>
      <c r="F4859" t="s">
        <v>73</v>
      </c>
      <c r="G4859">
        <v>31.8</v>
      </c>
      <c r="H4859" s="9">
        <v>36.479999999999997</v>
      </c>
      <c r="I4859"/>
    </row>
    <row r="4860" spans="1:9" x14ac:dyDescent="0.3">
      <c r="A4860" t="s">
        <v>6</v>
      </c>
      <c r="B4860" t="s">
        <v>24</v>
      </c>
      <c r="C4860" t="s">
        <v>92</v>
      </c>
      <c r="D4860" s="9" t="s">
        <v>85</v>
      </c>
      <c r="E4860" t="s">
        <v>39</v>
      </c>
      <c r="F4860" t="s">
        <v>75</v>
      </c>
      <c r="G4860">
        <v>26.2</v>
      </c>
      <c r="H4860" s="9">
        <v>17.489999999999998</v>
      </c>
      <c r="I4860"/>
    </row>
    <row r="4861" spans="1:9" x14ac:dyDescent="0.3">
      <c r="A4861" t="s">
        <v>6</v>
      </c>
      <c r="B4861" t="s">
        <v>24</v>
      </c>
      <c r="C4861" t="s">
        <v>93</v>
      </c>
      <c r="D4861" s="9" t="s">
        <v>85</v>
      </c>
      <c r="E4861" t="s">
        <v>40</v>
      </c>
      <c r="F4861" t="s">
        <v>77</v>
      </c>
      <c r="G4861">
        <v>29.2</v>
      </c>
      <c r="H4861" s="9">
        <v>22.69</v>
      </c>
      <c r="I4861"/>
    </row>
    <row r="4862" spans="1:9" x14ac:dyDescent="0.3">
      <c r="A4862" t="s">
        <v>6</v>
      </c>
      <c r="B4862" t="s">
        <v>24</v>
      </c>
      <c r="C4862" t="s">
        <v>94</v>
      </c>
      <c r="D4862" s="9" t="s">
        <v>85</v>
      </c>
      <c r="E4862" t="s">
        <v>41</v>
      </c>
      <c r="F4862" t="s">
        <v>79</v>
      </c>
      <c r="G4862">
        <v>30.4</v>
      </c>
      <c r="H4862" s="9">
        <v>20.63</v>
      </c>
      <c r="I4862"/>
    </row>
    <row r="4863" spans="1:9" x14ac:dyDescent="0.3">
      <c r="A4863" t="s">
        <v>6</v>
      </c>
      <c r="B4863" t="s">
        <v>24</v>
      </c>
      <c r="C4863" t="s">
        <v>95</v>
      </c>
      <c r="D4863" s="9" t="s">
        <v>85</v>
      </c>
      <c r="E4863" t="s">
        <v>42</v>
      </c>
      <c r="F4863" t="s">
        <v>81</v>
      </c>
      <c r="G4863">
        <v>37.200000000000003</v>
      </c>
      <c r="H4863" s="9">
        <v>23.18</v>
      </c>
      <c r="I4863"/>
    </row>
    <row r="4864" spans="1:9" x14ac:dyDescent="0.3">
      <c r="A4864" t="s">
        <v>6</v>
      </c>
      <c r="B4864" t="s">
        <v>24</v>
      </c>
      <c r="C4864" t="s">
        <v>96</v>
      </c>
      <c r="D4864" s="9" t="s">
        <v>85</v>
      </c>
      <c r="E4864" t="s">
        <v>43</v>
      </c>
      <c r="F4864" t="s">
        <v>83</v>
      </c>
      <c r="G4864">
        <v>55</v>
      </c>
      <c r="H4864" s="9">
        <v>12.47</v>
      </c>
      <c r="I4864"/>
    </row>
    <row r="4865" spans="1:9" x14ac:dyDescent="0.3">
      <c r="A4865" t="s">
        <v>6</v>
      </c>
      <c r="B4865" t="s">
        <v>24</v>
      </c>
      <c r="C4865" t="s">
        <v>97</v>
      </c>
      <c r="D4865" s="9" t="s">
        <v>98</v>
      </c>
      <c r="E4865" t="s">
        <v>32</v>
      </c>
      <c r="F4865" t="s">
        <v>61</v>
      </c>
      <c r="G4865">
        <v>32.4</v>
      </c>
      <c r="H4865" s="9">
        <v>28.06</v>
      </c>
      <c r="I4865"/>
    </row>
    <row r="4866" spans="1:9" x14ac:dyDescent="0.3">
      <c r="A4866" t="s">
        <v>6</v>
      </c>
      <c r="B4866" t="s">
        <v>24</v>
      </c>
      <c r="C4866" t="s">
        <v>99</v>
      </c>
      <c r="D4866" s="9" t="s">
        <v>98</v>
      </c>
      <c r="E4866" t="s">
        <v>33</v>
      </c>
      <c r="F4866" t="s">
        <v>63</v>
      </c>
      <c r="G4866">
        <v>24.2</v>
      </c>
      <c r="H4866" s="9">
        <v>26.7</v>
      </c>
      <c r="I4866"/>
    </row>
    <row r="4867" spans="1:9" x14ac:dyDescent="0.3">
      <c r="A4867" t="s">
        <v>6</v>
      </c>
      <c r="B4867" t="s">
        <v>24</v>
      </c>
      <c r="C4867" t="s">
        <v>100</v>
      </c>
      <c r="D4867" s="9" t="s">
        <v>98</v>
      </c>
      <c r="E4867" t="s">
        <v>34</v>
      </c>
      <c r="F4867" t="s">
        <v>65</v>
      </c>
      <c r="G4867">
        <v>29.3</v>
      </c>
      <c r="H4867" s="9">
        <v>10.15</v>
      </c>
      <c r="I4867"/>
    </row>
    <row r="4868" spans="1:9" x14ac:dyDescent="0.3">
      <c r="A4868" t="s">
        <v>6</v>
      </c>
      <c r="B4868" t="s">
        <v>24</v>
      </c>
      <c r="C4868" t="s">
        <v>101</v>
      </c>
      <c r="D4868" s="9" t="s">
        <v>98</v>
      </c>
      <c r="E4868" t="s">
        <v>35</v>
      </c>
      <c r="F4868" t="s">
        <v>67</v>
      </c>
      <c r="G4868">
        <v>29</v>
      </c>
      <c r="H4868" s="9">
        <v>27.75</v>
      </c>
      <c r="I4868"/>
    </row>
    <row r="4869" spans="1:9" x14ac:dyDescent="0.3">
      <c r="A4869" t="s">
        <v>6</v>
      </c>
      <c r="B4869" t="s">
        <v>24</v>
      </c>
      <c r="C4869" t="s">
        <v>102</v>
      </c>
      <c r="D4869" s="9" t="s">
        <v>98</v>
      </c>
      <c r="E4869" t="s">
        <v>36</v>
      </c>
      <c r="F4869" t="s">
        <v>69</v>
      </c>
      <c r="G4869">
        <v>26.3</v>
      </c>
      <c r="H4869" s="9">
        <v>-8.68</v>
      </c>
      <c r="I4869"/>
    </row>
    <row r="4870" spans="1:9" x14ac:dyDescent="0.3">
      <c r="A4870" t="s">
        <v>6</v>
      </c>
      <c r="B4870" t="s">
        <v>24</v>
      </c>
      <c r="C4870" t="s">
        <v>103</v>
      </c>
      <c r="D4870" s="9" t="s">
        <v>98</v>
      </c>
      <c r="E4870" t="s">
        <v>37</v>
      </c>
      <c r="F4870" t="s">
        <v>71</v>
      </c>
      <c r="G4870">
        <v>31.3</v>
      </c>
      <c r="H4870" s="9">
        <v>8.3000000000000007</v>
      </c>
      <c r="I4870"/>
    </row>
    <row r="4871" spans="1:9" x14ac:dyDescent="0.3">
      <c r="A4871" t="s">
        <v>6</v>
      </c>
      <c r="B4871" t="s">
        <v>24</v>
      </c>
      <c r="C4871" t="s">
        <v>104</v>
      </c>
      <c r="D4871" s="9" t="s">
        <v>98</v>
      </c>
      <c r="E4871" t="s">
        <v>38</v>
      </c>
      <c r="F4871" t="s">
        <v>73</v>
      </c>
      <c r="G4871">
        <v>27.5</v>
      </c>
      <c r="H4871" s="9">
        <v>-13.52</v>
      </c>
      <c r="I4871"/>
    </row>
    <row r="4872" spans="1:9" x14ac:dyDescent="0.3">
      <c r="A4872" t="s">
        <v>6</v>
      </c>
      <c r="B4872" t="s">
        <v>24</v>
      </c>
      <c r="C4872" t="s">
        <v>105</v>
      </c>
      <c r="D4872" s="9" t="s">
        <v>98</v>
      </c>
      <c r="E4872" t="s">
        <v>39</v>
      </c>
      <c r="F4872" t="s">
        <v>75</v>
      </c>
      <c r="G4872">
        <v>31.6</v>
      </c>
      <c r="H4872" s="9">
        <v>20.61</v>
      </c>
      <c r="I4872"/>
    </row>
    <row r="4873" spans="1:9" x14ac:dyDescent="0.3">
      <c r="A4873" t="s">
        <v>6</v>
      </c>
      <c r="B4873" t="s">
        <v>24</v>
      </c>
      <c r="C4873" t="s">
        <v>106</v>
      </c>
      <c r="D4873" s="9" t="s">
        <v>98</v>
      </c>
      <c r="E4873" t="s">
        <v>40</v>
      </c>
      <c r="F4873" t="s">
        <v>77</v>
      </c>
      <c r="G4873">
        <v>35.4</v>
      </c>
      <c r="H4873" s="9">
        <v>21.23</v>
      </c>
      <c r="I4873"/>
    </row>
    <row r="4874" spans="1:9" x14ac:dyDescent="0.3">
      <c r="A4874" t="s">
        <v>6</v>
      </c>
      <c r="B4874" t="s">
        <v>24</v>
      </c>
      <c r="C4874" t="s">
        <v>107</v>
      </c>
      <c r="D4874" s="9" t="s">
        <v>98</v>
      </c>
      <c r="E4874" t="s">
        <v>41</v>
      </c>
      <c r="F4874" t="s">
        <v>79</v>
      </c>
      <c r="G4874">
        <v>39.700000000000003</v>
      </c>
      <c r="H4874" s="9">
        <v>30.59</v>
      </c>
      <c r="I4874"/>
    </row>
    <row r="4875" spans="1:9" x14ac:dyDescent="0.3">
      <c r="A4875" t="s">
        <v>6</v>
      </c>
      <c r="B4875" t="s">
        <v>24</v>
      </c>
      <c r="C4875" t="s">
        <v>108</v>
      </c>
      <c r="D4875" s="9" t="s">
        <v>98</v>
      </c>
      <c r="E4875" t="s">
        <v>42</v>
      </c>
      <c r="F4875" t="s">
        <v>81</v>
      </c>
      <c r="G4875">
        <v>44.2</v>
      </c>
      <c r="H4875" s="9">
        <v>18.82</v>
      </c>
      <c r="I4875"/>
    </row>
    <row r="4876" spans="1:9" x14ac:dyDescent="0.3">
      <c r="A4876" t="s">
        <v>6</v>
      </c>
      <c r="B4876" t="s">
        <v>24</v>
      </c>
      <c r="C4876" t="s">
        <v>109</v>
      </c>
      <c r="D4876" s="9" t="s">
        <v>98</v>
      </c>
      <c r="E4876" t="s">
        <v>43</v>
      </c>
      <c r="F4876" t="s">
        <v>83</v>
      </c>
      <c r="G4876">
        <v>63</v>
      </c>
      <c r="H4876" s="9">
        <v>14.55</v>
      </c>
      <c r="I4876"/>
    </row>
    <row r="4877" spans="1:9" x14ac:dyDescent="0.3">
      <c r="A4877" t="s">
        <v>6</v>
      </c>
      <c r="B4877" t="s">
        <v>24</v>
      </c>
      <c r="C4877" t="s">
        <v>110</v>
      </c>
      <c r="D4877" s="9" t="s">
        <v>111</v>
      </c>
      <c r="E4877" t="s">
        <v>32</v>
      </c>
      <c r="F4877" t="s">
        <v>61</v>
      </c>
      <c r="G4877">
        <v>43.3</v>
      </c>
      <c r="H4877" s="9">
        <v>33.64</v>
      </c>
      <c r="I4877"/>
    </row>
    <row r="4878" spans="1:9" x14ac:dyDescent="0.3">
      <c r="A4878" t="s">
        <v>6</v>
      </c>
      <c r="B4878" t="s">
        <v>24</v>
      </c>
      <c r="C4878" t="s">
        <v>112</v>
      </c>
      <c r="D4878" s="9" t="s">
        <v>111</v>
      </c>
      <c r="E4878" t="s">
        <v>33</v>
      </c>
      <c r="F4878" t="s">
        <v>63</v>
      </c>
      <c r="G4878">
        <v>34.5</v>
      </c>
      <c r="H4878" s="9">
        <v>42.56</v>
      </c>
      <c r="I4878"/>
    </row>
    <row r="4879" spans="1:9" x14ac:dyDescent="0.3">
      <c r="A4879" t="s">
        <v>6</v>
      </c>
      <c r="B4879" t="s">
        <v>24</v>
      </c>
      <c r="C4879" t="s">
        <v>113</v>
      </c>
      <c r="D4879" s="9" t="s">
        <v>111</v>
      </c>
      <c r="E4879" t="s">
        <v>34</v>
      </c>
      <c r="F4879" t="s">
        <v>65</v>
      </c>
      <c r="G4879">
        <v>39.6</v>
      </c>
      <c r="H4879" s="9">
        <v>35.15</v>
      </c>
      <c r="I4879"/>
    </row>
    <row r="4880" spans="1:9" x14ac:dyDescent="0.3">
      <c r="A4880" t="s">
        <v>6</v>
      </c>
      <c r="B4880" t="s">
        <v>24</v>
      </c>
      <c r="C4880" t="s">
        <v>114</v>
      </c>
      <c r="D4880" s="9" t="s">
        <v>111</v>
      </c>
      <c r="E4880" t="s">
        <v>35</v>
      </c>
      <c r="F4880" t="s">
        <v>67</v>
      </c>
      <c r="G4880">
        <v>40.9</v>
      </c>
      <c r="H4880" s="9">
        <v>41.03</v>
      </c>
      <c r="I4880"/>
    </row>
    <row r="4881" spans="1:9" x14ac:dyDescent="0.3">
      <c r="A4881" t="s">
        <v>6</v>
      </c>
      <c r="B4881" t="s">
        <v>24</v>
      </c>
      <c r="C4881" t="s">
        <v>115</v>
      </c>
      <c r="D4881" s="9" t="s">
        <v>111</v>
      </c>
      <c r="E4881" t="s">
        <v>36</v>
      </c>
      <c r="F4881" t="s">
        <v>69</v>
      </c>
      <c r="G4881">
        <v>33.799999999999997</v>
      </c>
      <c r="H4881" s="9">
        <v>28.52</v>
      </c>
      <c r="I4881"/>
    </row>
    <row r="4882" spans="1:9" x14ac:dyDescent="0.3">
      <c r="A4882" t="s">
        <v>6</v>
      </c>
      <c r="B4882" t="s">
        <v>24</v>
      </c>
      <c r="C4882" t="s">
        <v>116</v>
      </c>
      <c r="D4882" s="9" t="s">
        <v>111</v>
      </c>
      <c r="E4882" t="s">
        <v>37</v>
      </c>
      <c r="F4882" t="s">
        <v>71</v>
      </c>
      <c r="G4882">
        <v>37.700000000000003</v>
      </c>
      <c r="H4882" s="9">
        <v>20.45</v>
      </c>
      <c r="I4882"/>
    </row>
    <row r="4883" spans="1:9" x14ac:dyDescent="0.3">
      <c r="A4883" t="s">
        <v>6</v>
      </c>
      <c r="B4883" t="s">
        <v>24</v>
      </c>
      <c r="C4883" t="s">
        <v>117</v>
      </c>
      <c r="D4883" s="9" t="s">
        <v>111</v>
      </c>
      <c r="E4883" t="s">
        <v>38</v>
      </c>
      <c r="F4883" t="s">
        <v>73</v>
      </c>
      <c r="G4883">
        <v>41.6</v>
      </c>
      <c r="H4883" s="9">
        <v>51.27</v>
      </c>
      <c r="I4883"/>
    </row>
    <row r="4884" spans="1:9" x14ac:dyDescent="0.3">
      <c r="A4884" t="s">
        <v>6</v>
      </c>
      <c r="B4884" t="s">
        <v>24</v>
      </c>
      <c r="C4884" t="s">
        <v>118</v>
      </c>
      <c r="D4884" s="9" t="s">
        <v>111</v>
      </c>
      <c r="E4884" t="s">
        <v>39</v>
      </c>
      <c r="F4884" t="s">
        <v>75</v>
      </c>
      <c r="G4884">
        <v>39.700000000000003</v>
      </c>
      <c r="H4884" s="9">
        <v>25.63</v>
      </c>
      <c r="I4884"/>
    </row>
    <row r="4885" spans="1:9" x14ac:dyDescent="0.3">
      <c r="A4885" t="s">
        <v>6</v>
      </c>
      <c r="B4885" t="s">
        <v>24</v>
      </c>
      <c r="C4885" t="s">
        <v>119</v>
      </c>
      <c r="D4885" s="9" t="s">
        <v>111</v>
      </c>
      <c r="E4885" t="s">
        <v>40</v>
      </c>
      <c r="F4885" t="s">
        <v>77</v>
      </c>
      <c r="G4885">
        <v>40.9</v>
      </c>
      <c r="H4885" s="9">
        <v>15.54</v>
      </c>
      <c r="I4885"/>
    </row>
    <row r="4886" spans="1:9" x14ac:dyDescent="0.3">
      <c r="A4886" t="s">
        <v>6</v>
      </c>
      <c r="B4886" t="s">
        <v>24</v>
      </c>
      <c r="C4886" t="s">
        <v>120</v>
      </c>
      <c r="D4886" s="9" t="s">
        <v>111</v>
      </c>
      <c r="E4886" t="s">
        <v>41</v>
      </c>
      <c r="F4886" t="s">
        <v>79</v>
      </c>
      <c r="G4886">
        <v>44.1</v>
      </c>
      <c r="H4886" s="9">
        <v>11.08</v>
      </c>
      <c r="I4886"/>
    </row>
    <row r="4887" spans="1:9" x14ac:dyDescent="0.3">
      <c r="A4887" t="s">
        <v>6</v>
      </c>
      <c r="B4887" t="s">
        <v>24</v>
      </c>
      <c r="C4887" t="s">
        <v>121</v>
      </c>
      <c r="D4887" s="9" t="s">
        <v>111</v>
      </c>
      <c r="E4887" t="s">
        <v>42</v>
      </c>
      <c r="F4887" t="s">
        <v>81</v>
      </c>
      <c r="G4887">
        <v>52.9</v>
      </c>
      <c r="H4887" s="9">
        <v>19.68</v>
      </c>
      <c r="I4887"/>
    </row>
    <row r="4888" spans="1:9" x14ac:dyDescent="0.3">
      <c r="A4888" t="s">
        <v>6</v>
      </c>
      <c r="B4888" t="s">
        <v>24</v>
      </c>
      <c r="C4888" t="s">
        <v>122</v>
      </c>
      <c r="D4888" s="9" t="s">
        <v>111</v>
      </c>
      <c r="E4888" t="s">
        <v>43</v>
      </c>
      <c r="F4888" t="s">
        <v>83</v>
      </c>
      <c r="G4888">
        <v>74.400000000000006</v>
      </c>
      <c r="H4888" s="9">
        <v>18.100000000000001</v>
      </c>
      <c r="I4888"/>
    </row>
    <row r="4889" spans="1:9" x14ac:dyDescent="0.3">
      <c r="A4889" t="s">
        <v>6</v>
      </c>
      <c r="B4889" t="s">
        <v>24</v>
      </c>
      <c r="C4889" t="s">
        <v>123</v>
      </c>
      <c r="D4889" s="9" t="s">
        <v>124</v>
      </c>
      <c r="E4889" t="s">
        <v>32</v>
      </c>
      <c r="F4889" t="s">
        <v>61</v>
      </c>
      <c r="G4889">
        <v>47.3</v>
      </c>
      <c r="H4889" s="9">
        <v>9.24</v>
      </c>
      <c r="I4889"/>
    </row>
    <row r="4890" spans="1:9" x14ac:dyDescent="0.3">
      <c r="A4890" t="s">
        <v>6</v>
      </c>
      <c r="B4890" t="s">
        <v>24</v>
      </c>
      <c r="C4890" t="s">
        <v>125</v>
      </c>
      <c r="D4890" s="9" t="s">
        <v>124</v>
      </c>
      <c r="E4890" t="s">
        <v>33</v>
      </c>
      <c r="F4890" t="s">
        <v>63</v>
      </c>
      <c r="G4890">
        <v>36</v>
      </c>
      <c r="H4890" s="9">
        <v>4.3499999999999996</v>
      </c>
      <c r="I4890"/>
    </row>
    <row r="4891" spans="1:9" x14ac:dyDescent="0.3">
      <c r="A4891" t="s">
        <v>6</v>
      </c>
      <c r="B4891" t="s">
        <v>24</v>
      </c>
      <c r="C4891" t="s">
        <v>126</v>
      </c>
      <c r="D4891" s="9" t="s">
        <v>124</v>
      </c>
      <c r="E4891" t="s">
        <v>34</v>
      </c>
      <c r="F4891" t="s">
        <v>65</v>
      </c>
      <c r="G4891">
        <v>39.200000000000003</v>
      </c>
      <c r="H4891" s="9">
        <v>-1.01</v>
      </c>
      <c r="I4891"/>
    </row>
    <row r="4892" spans="1:9" x14ac:dyDescent="0.3">
      <c r="A4892" t="s">
        <v>6</v>
      </c>
      <c r="B4892" t="s">
        <v>24</v>
      </c>
      <c r="C4892" t="s">
        <v>127</v>
      </c>
      <c r="D4892" s="9" t="s">
        <v>124</v>
      </c>
      <c r="E4892" t="s">
        <v>35</v>
      </c>
      <c r="F4892" t="s">
        <v>67</v>
      </c>
      <c r="G4892">
        <v>36.799999999999997</v>
      </c>
      <c r="H4892" s="9">
        <v>-10.02</v>
      </c>
      <c r="I4892"/>
    </row>
    <row r="4893" spans="1:9" x14ac:dyDescent="0.3">
      <c r="A4893" t="s">
        <v>6</v>
      </c>
      <c r="B4893" t="s">
        <v>24</v>
      </c>
      <c r="C4893" t="s">
        <v>128</v>
      </c>
      <c r="D4893" s="9" t="s">
        <v>124</v>
      </c>
      <c r="E4893" t="s">
        <v>36</v>
      </c>
      <c r="F4893" t="s">
        <v>69</v>
      </c>
      <c r="G4893">
        <v>33</v>
      </c>
      <c r="H4893" s="9">
        <v>-2.37</v>
      </c>
      <c r="I4893"/>
    </row>
    <row r="4894" spans="1:9" x14ac:dyDescent="0.3">
      <c r="A4894" t="s">
        <v>6</v>
      </c>
      <c r="B4894" t="s">
        <v>24</v>
      </c>
      <c r="C4894" t="s">
        <v>129</v>
      </c>
      <c r="D4894" s="9" t="s">
        <v>124</v>
      </c>
      <c r="E4894" t="s">
        <v>37</v>
      </c>
      <c r="F4894" t="s">
        <v>71</v>
      </c>
      <c r="G4894">
        <v>33.5</v>
      </c>
      <c r="H4894" s="9">
        <v>-11.14</v>
      </c>
      <c r="I4894"/>
    </row>
    <row r="4895" spans="1:9" x14ac:dyDescent="0.3">
      <c r="A4895" t="s">
        <v>6</v>
      </c>
      <c r="B4895" t="s">
        <v>24</v>
      </c>
      <c r="C4895" t="s">
        <v>130</v>
      </c>
      <c r="D4895" s="9" t="s">
        <v>124</v>
      </c>
      <c r="E4895" t="s">
        <v>38</v>
      </c>
      <c r="F4895" t="s">
        <v>73</v>
      </c>
      <c r="G4895">
        <v>37.799999999999997</v>
      </c>
      <c r="H4895" s="9">
        <v>-9.1300000000000008</v>
      </c>
      <c r="I4895"/>
    </row>
    <row r="4896" spans="1:9" x14ac:dyDescent="0.3">
      <c r="A4896" t="s">
        <v>6</v>
      </c>
      <c r="B4896" t="s">
        <v>24</v>
      </c>
      <c r="C4896" t="s">
        <v>131</v>
      </c>
      <c r="D4896" s="9" t="s">
        <v>124</v>
      </c>
      <c r="E4896" t="s">
        <v>39</v>
      </c>
      <c r="F4896" t="s">
        <v>75</v>
      </c>
      <c r="G4896">
        <v>33.5</v>
      </c>
      <c r="H4896" s="9">
        <v>-15.62</v>
      </c>
      <c r="I4896"/>
    </row>
    <row r="4897" spans="1:9" x14ac:dyDescent="0.3">
      <c r="A4897" t="s">
        <v>6</v>
      </c>
      <c r="B4897" t="s">
        <v>24</v>
      </c>
      <c r="C4897" t="s">
        <v>132</v>
      </c>
      <c r="D4897" s="9" t="s">
        <v>124</v>
      </c>
      <c r="E4897" t="s">
        <v>40</v>
      </c>
      <c r="F4897" t="s">
        <v>77</v>
      </c>
      <c r="G4897">
        <v>37.700000000000003</v>
      </c>
      <c r="H4897" s="9">
        <v>-7.82</v>
      </c>
      <c r="I4897"/>
    </row>
    <row r="4898" spans="1:9" x14ac:dyDescent="0.3">
      <c r="A4898" t="s">
        <v>6</v>
      </c>
      <c r="B4898" t="s">
        <v>24</v>
      </c>
      <c r="C4898" t="s">
        <v>133</v>
      </c>
      <c r="D4898" s="9" t="s">
        <v>124</v>
      </c>
      <c r="E4898" t="s">
        <v>41</v>
      </c>
      <c r="F4898" t="s">
        <v>79</v>
      </c>
      <c r="G4898">
        <v>35.299999999999997</v>
      </c>
      <c r="H4898" s="9">
        <v>-19.95</v>
      </c>
      <c r="I4898"/>
    </row>
    <row r="4899" spans="1:9" x14ac:dyDescent="0.3">
      <c r="A4899" t="s">
        <v>6</v>
      </c>
      <c r="B4899" t="s">
        <v>24</v>
      </c>
      <c r="C4899" t="s">
        <v>134</v>
      </c>
      <c r="D4899" s="9" t="s">
        <v>124</v>
      </c>
      <c r="E4899" t="s">
        <v>42</v>
      </c>
      <c r="F4899" t="s">
        <v>81</v>
      </c>
      <c r="G4899">
        <v>45</v>
      </c>
      <c r="H4899" s="9">
        <v>-14.93</v>
      </c>
      <c r="I4899"/>
    </row>
    <row r="4900" spans="1:9" x14ac:dyDescent="0.3">
      <c r="A4900" t="s">
        <v>6</v>
      </c>
      <c r="B4900" t="s">
        <v>24</v>
      </c>
      <c r="C4900" t="s">
        <v>135</v>
      </c>
      <c r="D4900" s="9" t="s">
        <v>124</v>
      </c>
      <c r="E4900" t="s">
        <v>43</v>
      </c>
      <c r="F4900" t="s">
        <v>83</v>
      </c>
      <c r="G4900">
        <v>66.3</v>
      </c>
      <c r="H4900" s="9">
        <v>-10.89</v>
      </c>
      <c r="I4900"/>
    </row>
    <row r="4901" spans="1:9" x14ac:dyDescent="0.3">
      <c r="A4901" t="s">
        <v>6</v>
      </c>
      <c r="B4901" t="s">
        <v>24</v>
      </c>
      <c r="C4901" t="s">
        <v>136</v>
      </c>
      <c r="D4901" s="9" t="s">
        <v>137</v>
      </c>
      <c r="E4901" t="s">
        <v>32</v>
      </c>
      <c r="F4901" t="s">
        <v>61</v>
      </c>
      <c r="G4901">
        <v>42.3</v>
      </c>
      <c r="H4901" s="9">
        <v>-10.57</v>
      </c>
      <c r="I4901"/>
    </row>
    <row r="4902" spans="1:9" x14ac:dyDescent="0.3">
      <c r="A4902" t="s">
        <v>6</v>
      </c>
      <c r="B4902" t="s">
        <v>24</v>
      </c>
      <c r="C4902" t="s">
        <v>138</v>
      </c>
      <c r="D4902" s="9" t="s">
        <v>137</v>
      </c>
      <c r="E4902" t="s">
        <v>33</v>
      </c>
      <c r="F4902" t="s">
        <v>63</v>
      </c>
      <c r="G4902">
        <v>34.200000000000003</v>
      </c>
      <c r="H4902" s="9">
        <v>-5</v>
      </c>
      <c r="I4902"/>
    </row>
    <row r="4903" spans="1:9" x14ac:dyDescent="0.3">
      <c r="A4903" t="s">
        <v>6</v>
      </c>
      <c r="B4903" t="s">
        <v>24</v>
      </c>
      <c r="C4903" t="s">
        <v>139</v>
      </c>
      <c r="D4903" s="9" t="s">
        <v>137</v>
      </c>
      <c r="E4903" t="s">
        <v>34</v>
      </c>
      <c r="F4903" t="s">
        <v>65</v>
      </c>
      <c r="G4903">
        <v>36.200000000000003</v>
      </c>
      <c r="H4903" s="9">
        <v>-7.65</v>
      </c>
      <c r="I4903"/>
    </row>
    <row r="4904" spans="1:9" x14ac:dyDescent="0.3">
      <c r="A4904" t="s">
        <v>6</v>
      </c>
      <c r="B4904" t="s">
        <v>24</v>
      </c>
      <c r="C4904" t="s">
        <v>140</v>
      </c>
      <c r="D4904" s="9" t="s">
        <v>137</v>
      </c>
      <c r="E4904" t="s">
        <v>35</v>
      </c>
      <c r="F4904" t="s">
        <v>67</v>
      </c>
      <c r="G4904">
        <v>36</v>
      </c>
      <c r="H4904" s="9">
        <v>-2.17</v>
      </c>
      <c r="I4904"/>
    </row>
    <row r="4905" spans="1:9" x14ac:dyDescent="0.3">
      <c r="A4905" t="s">
        <v>6</v>
      </c>
      <c r="B4905" t="s">
        <v>24</v>
      </c>
      <c r="C4905" t="s">
        <v>141</v>
      </c>
      <c r="D4905" s="9" t="s">
        <v>137</v>
      </c>
      <c r="E4905" t="s">
        <v>36</v>
      </c>
      <c r="F4905" t="s">
        <v>69</v>
      </c>
      <c r="G4905">
        <v>34.299999999999997</v>
      </c>
      <c r="H4905" s="9">
        <v>3.94</v>
      </c>
      <c r="I4905"/>
    </row>
    <row r="4906" spans="1:9" x14ac:dyDescent="0.3">
      <c r="A4906" t="s">
        <v>6</v>
      </c>
      <c r="B4906" t="s">
        <v>24</v>
      </c>
      <c r="C4906" t="s">
        <v>142</v>
      </c>
      <c r="D4906" s="9" t="s">
        <v>137</v>
      </c>
      <c r="E4906" t="s">
        <v>37</v>
      </c>
      <c r="F4906" t="s">
        <v>71</v>
      </c>
      <c r="G4906">
        <v>37.299999999999997</v>
      </c>
      <c r="H4906" s="9">
        <v>11.34</v>
      </c>
      <c r="I4906"/>
    </row>
    <row r="4907" spans="1:9" x14ac:dyDescent="0.3">
      <c r="A4907" t="s">
        <v>6</v>
      </c>
      <c r="B4907" t="s">
        <v>24</v>
      </c>
      <c r="C4907" t="s">
        <v>143</v>
      </c>
      <c r="D4907" s="9" t="s">
        <v>137</v>
      </c>
      <c r="E4907" t="s">
        <v>38</v>
      </c>
      <c r="F4907" t="s">
        <v>73</v>
      </c>
      <c r="G4907">
        <v>37.200000000000003</v>
      </c>
      <c r="H4907" s="9">
        <v>-1.59</v>
      </c>
      <c r="I4907"/>
    </row>
    <row r="4908" spans="1:9" x14ac:dyDescent="0.3">
      <c r="A4908" t="s">
        <v>6</v>
      </c>
      <c r="B4908" t="s">
        <v>24</v>
      </c>
      <c r="C4908" t="s">
        <v>144</v>
      </c>
      <c r="D4908" s="9" t="s">
        <v>137</v>
      </c>
      <c r="E4908" t="s">
        <v>39</v>
      </c>
      <c r="F4908" t="s">
        <v>75</v>
      </c>
      <c r="G4908">
        <v>35.9</v>
      </c>
      <c r="H4908" s="9">
        <v>7.16</v>
      </c>
      <c r="I4908"/>
    </row>
    <row r="4909" spans="1:9" x14ac:dyDescent="0.3">
      <c r="A4909" t="s">
        <v>6</v>
      </c>
      <c r="B4909" t="s">
        <v>24</v>
      </c>
      <c r="C4909" t="s">
        <v>145</v>
      </c>
      <c r="D4909" s="9" t="s">
        <v>137</v>
      </c>
      <c r="E4909" t="s">
        <v>40</v>
      </c>
      <c r="F4909" t="s">
        <v>77</v>
      </c>
      <c r="G4909">
        <v>36.6</v>
      </c>
      <c r="H4909" s="9">
        <v>-2.92</v>
      </c>
      <c r="I4909"/>
    </row>
    <row r="4910" spans="1:9" x14ac:dyDescent="0.3">
      <c r="A4910" t="s">
        <v>6</v>
      </c>
      <c r="B4910" t="s">
        <v>24</v>
      </c>
      <c r="C4910" t="s">
        <v>146</v>
      </c>
      <c r="D4910" s="9" t="s">
        <v>137</v>
      </c>
      <c r="E4910" t="s">
        <v>41</v>
      </c>
      <c r="F4910" t="s">
        <v>79</v>
      </c>
      <c r="G4910">
        <v>39.4</v>
      </c>
      <c r="H4910" s="9">
        <v>11.61</v>
      </c>
      <c r="I4910"/>
    </row>
    <row r="4911" spans="1:9" x14ac:dyDescent="0.3">
      <c r="A4911" t="s">
        <v>6</v>
      </c>
      <c r="B4911" t="s">
        <v>24</v>
      </c>
      <c r="C4911" t="s">
        <v>147</v>
      </c>
      <c r="D4911" s="9" t="s">
        <v>137</v>
      </c>
      <c r="E4911" t="s">
        <v>42</v>
      </c>
      <c r="F4911" t="s">
        <v>81</v>
      </c>
      <c r="G4911">
        <v>49.5</v>
      </c>
      <c r="H4911" s="9">
        <v>10</v>
      </c>
      <c r="I4911"/>
    </row>
    <row r="4912" spans="1:9" x14ac:dyDescent="0.3">
      <c r="A4912" t="s">
        <v>6</v>
      </c>
      <c r="B4912" t="s">
        <v>24</v>
      </c>
      <c r="C4912" t="s">
        <v>148</v>
      </c>
      <c r="D4912" s="9" t="s">
        <v>137</v>
      </c>
      <c r="E4912" t="s">
        <v>43</v>
      </c>
      <c r="F4912" t="s">
        <v>83</v>
      </c>
      <c r="G4912">
        <v>73.599999999999994</v>
      </c>
      <c r="H4912" s="9">
        <v>11.01</v>
      </c>
      <c r="I4912"/>
    </row>
    <row r="4913" spans="1:9" x14ac:dyDescent="0.3">
      <c r="A4913" t="s">
        <v>6</v>
      </c>
      <c r="B4913" t="s">
        <v>24</v>
      </c>
      <c r="C4913" t="s">
        <v>149</v>
      </c>
      <c r="D4913" s="9" t="s">
        <v>150</v>
      </c>
      <c r="E4913" t="s">
        <v>32</v>
      </c>
      <c r="F4913" t="s">
        <v>61</v>
      </c>
      <c r="G4913">
        <v>50.5</v>
      </c>
      <c r="H4913" s="9">
        <v>19.39</v>
      </c>
      <c r="I4913"/>
    </row>
    <row r="4914" spans="1:9" x14ac:dyDescent="0.3">
      <c r="A4914" t="s">
        <v>6</v>
      </c>
      <c r="B4914" t="s">
        <v>24</v>
      </c>
      <c r="C4914" t="s">
        <v>151</v>
      </c>
      <c r="D4914" s="9" t="s">
        <v>150</v>
      </c>
      <c r="E4914" t="s">
        <v>33</v>
      </c>
      <c r="F4914" t="s">
        <v>63</v>
      </c>
      <c r="G4914">
        <v>34.200000000000003</v>
      </c>
      <c r="H4914" s="9">
        <v>0</v>
      </c>
      <c r="I4914"/>
    </row>
    <row r="4915" spans="1:9" x14ac:dyDescent="0.3">
      <c r="A4915" t="s">
        <v>6</v>
      </c>
      <c r="B4915" t="s">
        <v>24</v>
      </c>
      <c r="C4915" t="s">
        <v>152</v>
      </c>
      <c r="D4915" s="9" t="s">
        <v>150</v>
      </c>
      <c r="E4915" t="s">
        <v>34</v>
      </c>
      <c r="F4915" t="s">
        <v>65</v>
      </c>
      <c r="G4915">
        <v>38.4</v>
      </c>
      <c r="H4915" s="9">
        <v>6.08</v>
      </c>
      <c r="I4915"/>
    </row>
    <row r="4916" spans="1:9" x14ac:dyDescent="0.3">
      <c r="A4916" t="s">
        <v>6</v>
      </c>
      <c r="B4916" t="s">
        <v>24</v>
      </c>
      <c r="C4916" t="s">
        <v>153</v>
      </c>
      <c r="D4916" s="9" t="s">
        <v>150</v>
      </c>
      <c r="E4916" t="s">
        <v>35</v>
      </c>
      <c r="F4916" t="s">
        <v>67</v>
      </c>
      <c r="G4916">
        <v>42</v>
      </c>
      <c r="H4916" s="9">
        <v>16.670000000000002</v>
      </c>
      <c r="I4916"/>
    </row>
    <row r="4917" spans="1:9" x14ac:dyDescent="0.3">
      <c r="A4917" t="s">
        <v>6</v>
      </c>
      <c r="B4917" t="s">
        <v>24</v>
      </c>
      <c r="C4917" t="s">
        <v>154</v>
      </c>
      <c r="D4917" s="9" t="s">
        <v>150</v>
      </c>
      <c r="E4917" t="s">
        <v>36</v>
      </c>
      <c r="F4917" t="s">
        <v>69</v>
      </c>
      <c r="G4917">
        <v>37.1</v>
      </c>
      <c r="H4917" s="9">
        <v>8.16</v>
      </c>
      <c r="I4917"/>
    </row>
    <row r="4918" spans="1:9" x14ac:dyDescent="0.3">
      <c r="A4918" t="s">
        <v>6</v>
      </c>
      <c r="B4918" t="s">
        <v>24</v>
      </c>
      <c r="C4918" t="s">
        <v>155</v>
      </c>
      <c r="D4918" s="9" t="s">
        <v>150</v>
      </c>
      <c r="E4918" t="s">
        <v>37</v>
      </c>
      <c r="F4918" t="s">
        <v>71</v>
      </c>
      <c r="G4918">
        <v>43</v>
      </c>
      <c r="H4918" s="9">
        <v>15.28</v>
      </c>
      <c r="I4918"/>
    </row>
    <row r="4919" spans="1:9" x14ac:dyDescent="0.3">
      <c r="A4919" t="s">
        <v>6</v>
      </c>
      <c r="B4919" t="s">
        <v>14</v>
      </c>
      <c r="C4919" t="s">
        <v>59</v>
      </c>
      <c r="D4919" s="9" t="s">
        <v>60</v>
      </c>
      <c r="E4919" t="s">
        <v>32</v>
      </c>
      <c r="F4919" t="s">
        <v>61</v>
      </c>
      <c r="G4919">
        <v>114.3</v>
      </c>
      <c r="I4919"/>
    </row>
    <row r="4920" spans="1:9" x14ac:dyDescent="0.3">
      <c r="A4920" t="s">
        <v>6</v>
      </c>
      <c r="B4920" t="s">
        <v>14</v>
      </c>
      <c r="C4920" t="s">
        <v>62</v>
      </c>
      <c r="D4920" s="9" t="s">
        <v>60</v>
      </c>
      <c r="E4920" t="s">
        <v>33</v>
      </c>
      <c r="F4920" t="s">
        <v>63</v>
      </c>
      <c r="G4920">
        <v>106.9</v>
      </c>
      <c r="I4920"/>
    </row>
    <row r="4921" spans="1:9" x14ac:dyDescent="0.3">
      <c r="A4921" t="s">
        <v>6</v>
      </c>
      <c r="B4921" t="s">
        <v>14</v>
      </c>
      <c r="C4921" t="s">
        <v>64</v>
      </c>
      <c r="D4921" s="9" t="s">
        <v>60</v>
      </c>
      <c r="E4921" t="s">
        <v>34</v>
      </c>
      <c r="F4921" t="s">
        <v>65</v>
      </c>
      <c r="G4921">
        <v>111.8</v>
      </c>
      <c r="I4921"/>
    </row>
    <row r="4922" spans="1:9" x14ac:dyDescent="0.3">
      <c r="A4922" t="s">
        <v>6</v>
      </c>
      <c r="B4922" t="s">
        <v>14</v>
      </c>
      <c r="C4922" t="s">
        <v>66</v>
      </c>
      <c r="D4922" s="9" t="s">
        <v>60</v>
      </c>
      <c r="E4922" t="s">
        <v>35</v>
      </c>
      <c r="F4922" t="s">
        <v>67</v>
      </c>
      <c r="G4922">
        <v>110.4</v>
      </c>
      <c r="I4922"/>
    </row>
    <row r="4923" spans="1:9" x14ac:dyDescent="0.3">
      <c r="A4923" t="s">
        <v>6</v>
      </c>
      <c r="B4923" t="s">
        <v>14</v>
      </c>
      <c r="C4923" t="s">
        <v>68</v>
      </c>
      <c r="D4923" s="9" t="s">
        <v>60</v>
      </c>
      <c r="E4923" t="s">
        <v>36</v>
      </c>
      <c r="F4923" t="s">
        <v>69</v>
      </c>
      <c r="G4923">
        <v>124.2</v>
      </c>
      <c r="I4923"/>
    </row>
    <row r="4924" spans="1:9" x14ac:dyDescent="0.3">
      <c r="A4924" t="s">
        <v>6</v>
      </c>
      <c r="B4924" t="s">
        <v>14</v>
      </c>
      <c r="C4924" t="s">
        <v>70</v>
      </c>
      <c r="D4924" s="9" t="s">
        <v>60</v>
      </c>
      <c r="E4924" t="s">
        <v>37</v>
      </c>
      <c r="F4924" t="s">
        <v>71</v>
      </c>
      <c r="G4924">
        <v>114.1</v>
      </c>
      <c r="I4924"/>
    </row>
    <row r="4925" spans="1:9" x14ac:dyDescent="0.3">
      <c r="A4925" t="s">
        <v>6</v>
      </c>
      <c r="B4925" t="s">
        <v>14</v>
      </c>
      <c r="C4925" t="s">
        <v>72</v>
      </c>
      <c r="D4925" s="9" t="s">
        <v>60</v>
      </c>
      <c r="E4925" t="s">
        <v>38</v>
      </c>
      <c r="F4925" t="s">
        <v>73</v>
      </c>
      <c r="G4925">
        <v>124</v>
      </c>
      <c r="I4925"/>
    </row>
    <row r="4926" spans="1:9" x14ac:dyDescent="0.3">
      <c r="A4926" t="s">
        <v>6</v>
      </c>
      <c r="B4926" t="s">
        <v>14</v>
      </c>
      <c r="C4926" t="s">
        <v>74</v>
      </c>
      <c r="D4926" s="9" t="s">
        <v>60</v>
      </c>
      <c r="E4926" t="s">
        <v>39</v>
      </c>
      <c r="F4926" t="s">
        <v>75</v>
      </c>
      <c r="G4926">
        <v>127.4</v>
      </c>
      <c r="I4926"/>
    </row>
    <row r="4927" spans="1:9" x14ac:dyDescent="0.3">
      <c r="A4927" t="s">
        <v>6</v>
      </c>
      <c r="B4927" t="s">
        <v>14</v>
      </c>
      <c r="C4927" t="s">
        <v>76</v>
      </c>
      <c r="D4927" s="9" t="s">
        <v>60</v>
      </c>
      <c r="E4927" t="s">
        <v>40</v>
      </c>
      <c r="F4927" t="s">
        <v>77</v>
      </c>
      <c r="G4927">
        <v>119.6</v>
      </c>
      <c r="I4927"/>
    </row>
    <row r="4928" spans="1:9" x14ac:dyDescent="0.3">
      <c r="A4928" t="s">
        <v>6</v>
      </c>
      <c r="B4928" t="s">
        <v>14</v>
      </c>
      <c r="C4928" t="s">
        <v>78</v>
      </c>
      <c r="D4928" s="9" t="s">
        <v>60</v>
      </c>
      <c r="E4928" t="s">
        <v>41</v>
      </c>
      <c r="F4928" t="s">
        <v>79</v>
      </c>
      <c r="G4928">
        <v>124.1</v>
      </c>
      <c r="I4928"/>
    </row>
    <row r="4929" spans="1:9" x14ac:dyDescent="0.3">
      <c r="A4929" t="s">
        <v>6</v>
      </c>
      <c r="B4929" t="s">
        <v>14</v>
      </c>
      <c r="C4929" t="s">
        <v>80</v>
      </c>
      <c r="D4929" s="9" t="s">
        <v>60</v>
      </c>
      <c r="E4929" t="s">
        <v>42</v>
      </c>
      <c r="F4929" t="s">
        <v>81</v>
      </c>
      <c r="G4929">
        <v>136.6</v>
      </c>
      <c r="I4929"/>
    </row>
    <row r="4930" spans="1:9" x14ac:dyDescent="0.3">
      <c r="A4930" t="s">
        <v>6</v>
      </c>
      <c r="B4930" t="s">
        <v>14</v>
      </c>
      <c r="C4930" t="s">
        <v>82</v>
      </c>
      <c r="D4930" s="9" t="s">
        <v>60</v>
      </c>
      <c r="E4930" t="s">
        <v>43</v>
      </c>
      <c r="F4930" t="s">
        <v>83</v>
      </c>
      <c r="G4930">
        <v>146.6</v>
      </c>
      <c r="I4930"/>
    </row>
    <row r="4931" spans="1:9" x14ac:dyDescent="0.3">
      <c r="A4931" t="s">
        <v>6</v>
      </c>
      <c r="B4931" t="s">
        <v>14</v>
      </c>
      <c r="C4931" t="s">
        <v>84</v>
      </c>
      <c r="D4931" s="9" t="s">
        <v>85</v>
      </c>
      <c r="E4931" t="s">
        <v>32</v>
      </c>
      <c r="F4931" t="s">
        <v>61</v>
      </c>
      <c r="G4931">
        <v>118.4</v>
      </c>
      <c r="H4931" s="9">
        <v>3.59</v>
      </c>
      <c r="I4931"/>
    </row>
    <row r="4932" spans="1:9" x14ac:dyDescent="0.3">
      <c r="A4932" t="s">
        <v>6</v>
      </c>
      <c r="B4932" t="s">
        <v>14</v>
      </c>
      <c r="C4932" t="s">
        <v>86</v>
      </c>
      <c r="D4932" s="9" t="s">
        <v>85</v>
      </c>
      <c r="E4932" t="s">
        <v>33</v>
      </c>
      <c r="F4932" t="s">
        <v>63</v>
      </c>
      <c r="G4932">
        <v>116.2</v>
      </c>
      <c r="H4932" s="9">
        <v>8.6999999999999993</v>
      </c>
      <c r="I4932"/>
    </row>
    <row r="4933" spans="1:9" x14ac:dyDescent="0.3">
      <c r="A4933" t="s">
        <v>6</v>
      </c>
      <c r="B4933" t="s">
        <v>14</v>
      </c>
      <c r="C4933" t="s">
        <v>87</v>
      </c>
      <c r="D4933" s="9" t="s">
        <v>85</v>
      </c>
      <c r="E4933" t="s">
        <v>34</v>
      </c>
      <c r="F4933" t="s">
        <v>65</v>
      </c>
      <c r="G4933">
        <v>136.19999999999999</v>
      </c>
      <c r="H4933" s="9">
        <v>21.82</v>
      </c>
      <c r="I4933"/>
    </row>
    <row r="4934" spans="1:9" x14ac:dyDescent="0.3">
      <c r="A4934" t="s">
        <v>6</v>
      </c>
      <c r="B4934" t="s">
        <v>14</v>
      </c>
      <c r="C4934" t="s">
        <v>88</v>
      </c>
      <c r="D4934" s="9" t="s">
        <v>85</v>
      </c>
      <c r="E4934" t="s">
        <v>35</v>
      </c>
      <c r="F4934" t="s">
        <v>67</v>
      </c>
      <c r="G4934">
        <v>135.69999999999999</v>
      </c>
      <c r="H4934" s="9">
        <v>22.92</v>
      </c>
      <c r="I4934"/>
    </row>
    <row r="4935" spans="1:9" x14ac:dyDescent="0.3">
      <c r="A4935" t="s">
        <v>6</v>
      </c>
      <c r="B4935" t="s">
        <v>14</v>
      </c>
      <c r="C4935" t="s">
        <v>89</v>
      </c>
      <c r="D4935" s="9" t="s">
        <v>85</v>
      </c>
      <c r="E4935" t="s">
        <v>36</v>
      </c>
      <c r="F4935" t="s">
        <v>69</v>
      </c>
      <c r="G4935">
        <v>151.69999999999999</v>
      </c>
      <c r="H4935" s="9">
        <v>22.14</v>
      </c>
      <c r="I4935"/>
    </row>
    <row r="4936" spans="1:9" x14ac:dyDescent="0.3">
      <c r="A4936" t="s">
        <v>6</v>
      </c>
      <c r="B4936" t="s">
        <v>14</v>
      </c>
      <c r="C4936" t="s">
        <v>90</v>
      </c>
      <c r="D4936" s="9" t="s">
        <v>85</v>
      </c>
      <c r="E4936" t="s">
        <v>37</v>
      </c>
      <c r="F4936" t="s">
        <v>71</v>
      </c>
      <c r="G4936">
        <v>143.19999999999999</v>
      </c>
      <c r="H4936" s="9">
        <v>25.5</v>
      </c>
      <c r="I4936"/>
    </row>
    <row r="4937" spans="1:9" x14ac:dyDescent="0.3">
      <c r="A4937" t="s">
        <v>6</v>
      </c>
      <c r="B4937" t="s">
        <v>14</v>
      </c>
      <c r="C4937" t="s">
        <v>91</v>
      </c>
      <c r="D4937" s="9" t="s">
        <v>85</v>
      </c>
      <c r="E4937" t="s">
        <v>38</v>
      </c>
      <c r="F4937" t="s">
        <v>73</v>
      </c>
      <c r="G4937">
        <v>148.30000000000001</v>
      </c>
      <c r="H4937" s="9">
        <v>19.600000000000001</v>
      </c>
      <c r="I4937"/>
    </row>
    <row r="4938" spans="1:9" x14ac:dyDescent="0.3">
      <c r="A4938" t="s">
        <v>6</v>
      </c>
      <c r="B4938" t="s">
        <v>14</v>
      </c>
      <c r="C4938" t="s">
        <v>92</v>
      </c>
      <c r="D4938" s="9" t="s">
        <v>85</v>
      </c>
      <c r="E4938" t="s">
        <v>39</v>
      </c>
      <c r="F4938" t="s">
        <v>75</v>
      </c>
      <c r="G4938">
        <v>146.1</v>
      </c>
      <c r="H4938" s="9">
        <v>14.68</v>
      </c>
      <c r="I4938"/>
    </row>
    <row r="4939" spans="1:9" x14ac:dyDescent="0.3">
      <c r="A4939" t="s">
        <v>6</v>
      </c>
      <c r="B4939" t="s">
        <v>14</v>
      </c>
      <c r="C4939" t="s">
        <v>93</v>
      </c>
      <c r="D4939" s="9" t="s">
        <v>85</v>
      </c>
      <c r="E4939" t="s">
        <v>40</v>
      </c>
      <c r="F4939" t="s">
        <v>77</v>
      </c>
      <c r="G4939">
        <v>134</v>
      </c>
      <c r="H4939" s="9">
        <v>12.04</v>
      </c>
      <c r="I4939"/>
    </row>
    <row r="4940" spans="1:9" x14ac:dyDescent="0.3">
      <c r="A4940" t="s">
        <v>6</v>
      </c>
      <c r="B4940" t="s">
        <v>14</v>
      </c>
      <c r="C4940" t="s">
        <v>94</v>
      </c>
      <c r="D4940" s="9" t="s">
        <v>85</v>
      </c>
      <c r="E4940" t="s">
        <v>41</v>
      </c>
      <c r="F4940" t="s">
        <v>79</v>
      </c>
      <c r="G4940">
        <v>141.69999999999999</v>
      </c>
      <c r="H4940" s="9">
        <v>14.18</v>
      </c>
      <c r="I4940"/>
    </row>
    <row r="4941" spans="1:9" x14ac:dyDescent="0.3">
      <c r="A4941" t="s">
        <v>6</v>
      </c>
      <c r="B4941" t="s">
        <v>14</v>
      </c>
      <c r="C4941" t="s">
        <v>95</v>
      </c>
      <c r="D4941" s="9" t="s">
        <v>85</v>
      </c>
      <c r="E4941" t="s">
        <v>42</v>
      </c>
      <c r="F4941" t="s">
        <v>81</v>
      </c>
      <c r="G4941">
        <v>158.69999999999999</v>
      </c>
      <c r="H4941" s="9">
        <v>16.18</v>
      </c>
      <c r="I4941"/>
    </row>
    <row r="4942" spans="1:9" x14ac:dyDescent="0.3">
      <c r="A4942" t="s">
        <v>6</v>
      </c>
      <c r="B4942" t="s">
        <v>14</v>
      </c>
      <c r="C4942" t="s">
        <v>96</v>
      </c>
      <c r="D4942" s="9" t="s">
        <v>85</v>
      </c>
      <c r="E4942" t="s">
        <v>43</v>
      </c>
      <c r="F4942" t="s">
        <v>83</v>
      </c>
      <c r="G4942">
        <v>182.9</v>
      </c>
      <c r="H4942" s="9">
        <v>24.76</v>
      </c>
      <c r="I4942"/>
    </row>
    <row r="4943" spans="1:9" x14ac:dyDescent="0.3">
      <c r="A4943" t="s">
        <v>6</v>
      </c>
      <c r="B4943" t="s">
        <v>14</v>
      </c>
      <c r="C4943" t="s">
        <v>97</v>
      </c>
      <c r="D4943" s="9" t="s">
        <v>98</v>
      </c>
      <c r="E4943" t="s">
        <v>32</v>
      </c>
      <c r="F4943" t="s">
        <v>61</v>
      </c>
      <c r="G4943">
        <v>136.6</v>
      </c>
      <c r="H4943" s="9">
        <v>15.37</v>
      </c>
      <c r="I4943"/>
    </row>
    <row r="4944" spans="1:9" x14ac:dyDescent="0.3">
      <c r="A4944" t="s">
        <v>6</v>
      </c>
      <c r="B4944" t="s">
        <v>14</v>
      </c>
      <c r="C4944" t="s">
        <v>99</v>
      </c>
      <c r="D4944" s="9" t="s">
        <v>98</v>
      </c>
      <c r="E4944" t="s">
        <v>33</v>
      </c>
      <c r="F4944" t="s">
        <v>63</v>
      </c>
      <c r="G4944">
        <v>130.4</v>
      </c>
      <c r="H4944" s="9">
        <v>12.22</v>
      </c>
      <c r="I4944"/>
    </row>
    <row r="4945" spans="1:9" x14ac:dyDescent="0.3">
      <c r="A4945" t="s">
        <v>6</v>
      </c>
      <c r="B4945" t="s">
        <v>14</v>
      </c>
      <c r="C4945" t="s">
        <v>100</v>
      </c>
      <c r="D4945" s="9" t="s">
        <v>98</v>
      </c>
      <c r="E4945" t="s">
        <v>34</v>
      </c>
      <c r="F4945" t="s">
        <v>65</v>
      </c>
      <c r="G4945">
        <v>139.5</v>
      </c>
      <c r="H4945" s="9">
        <v>2.42</v>
      </c>
      <c r="I4945"/>
    </row>
    <row r="4946" spans="1:9" x14ac:dyDescent="0.3">
      <c r="A4946" t="s">
        <v>6</v>
      </c>
      <c r="B4946" t="s">
        <v>14</v>
      </c>
      <c r="C4946" t="s">
        <v>101</v>
      </c>
      <c r="D4946" s="9" t="s">
        <v>98</v>
      </c>
      <c r="E4946" t="s">
        <v>35</v>
      </c>
      <c r="F4946" t="s">
        <v>67</v>
      </c>
      <c r="G4946">
        <v>127</v>
      </c>
      <c r="H4946" s="9">
        <v>-6.41</v>
      </c>
      <c r="I4946"/>
    </row>
    <row r="4947" spans="1:9" x14ac:dyDescent="0.3">
      <c r="A4947" t="s">
        <v>6</v>
      </c>
      <c r="B4947" t="s">
        <v>14</v>
      </c>
      <c r="C4947" t="s">
        <v>102</v>
      </c>
      <c r="D4947" s="9" t="s">
        <v>98</v>
      </c>
      <c r="E4947" t="s">
        <v>36</v>
      </c>
      <c r="F4947" t="s">
        <v>69</v>
      </c>
      <c r="G4947">
        <v>132.69999999999999</v>
      </c>
      <c r="H4947" s="9">
        <v>-12.52</v>
      </c>
      <c r="I4947"/>
    </row>
    <row r="4948" spans="1:9" x14ac:dyDescent="0.3">
      <c r="A4948" t="s">
        <v>6</v>
      </c>
      <c r="B4948" t="s">
        <v>14</v>
      </c>
      <c r="C4948" t="s">
        <v>103</v>
      </c>
      <c r="D4948" s="9" t="s">
        <v>98</v>
      </c>
      <c r="E4948" t="s">
        <v>37</v>
      </c>
      <c r="F4948" t="s">
        <v>71</v>
      </c>
      <c r="G4948">
        <v>135</v>
      </c>
      <c r="H4948" s="9">
        <v>-5.73</v>
      </c>
      <c r="I4948"/>
    </row>
    <row r="4949" spans="1:9" x14ac:dyDescent="0.3">
      <c r="A4949" t="s">
        <v>6</v>
      </c>
      <c r="B4949" t="s">
        <v>14</v>
      </c>
      <c r="C4949" t="s">
        <v>104</v>
      </c>
      <c r="D4949" s="9" t="s">
        <v>98</v>
      </c>
      <c r="E4949" t="s">
        <v>38</v>
      </c>
      <c r="F4949" t="s">
        <v>73</v>
      </c>
      <c r="G4949">
        <v>141</v>
      </c>
      <c r="H4949" s="9">
        <v>-4.92</v>
      </c>
      <c r="I4949"/>
    </row>
    <row r="4950" spans="1:9" x14ac:dyDescent="0.3">
      <c r="A4950" t="s">
        <v>6</v>
      </c>
      <c r="B4950" t="s">
        <v>14</v>
      </c>
      <c r="C4950" t="s">
        <v>105</v>
      </c>
      <c r="D4950" s="9" t="s">
        <v>98</v>
      </c>
      <c r="E4950" t="s">
        <v>39</v>
      </c>
      <c r="F4950" t="s">
        <v>75</v>
      </c>
      <c r="G4950">
        <v>150.9</v>
      </c>
      <c r="H4950" s="9">
        <v>3.29</v>
      </c>
      <c r="I4950"/>
    </row>
    <row r="4951" spans="1:9" x14ac:dyDescent="0.3">
      <c r="A4951" t="s">
        <v>6</v>
      </c>
      <c r="B4951" t="s">
        <v>14</v>
      </c>
      <c r="C4951" t="s">
        <v>106</v>
      </c>
      <c r="D4951" s="9" t="s">
        <v>98</v>
      </c>
      <c r="E4951" t="s">
        <v>40</v>
      </c>
      <c r="F4951" t="s">
        <v>77</v>
      </c>
      <c r="G4951">
        <v>143.4</v>
      </c>
      <c r="H4951" s="9">
        <v>7.01</v>
      </c>
      <c r="I4951"/>
    </row>
    <row r="4952" spans="1:9" x14ac:dyDescent="0.3">
      <c r="A4952" t="s">
        <v>6</v>
      </c>
      <c r="B4952" t="s">
        <v>14</v>
      </c>
      <c r="C4952" t="s">
        <v>107</v>
      </c>
      <c r="D4952" s="9" t="s">
        <v>98</v>
      </c>
      <c r="E4952" t="s">
        <v>41</v>
      </c>
      <c r="F4952" t="s">
        <v>79</v>
      </c>
      <c r="G4952">
        <v>149.69999999999999</v>
      </c>
      <c r="H4952" s="9">
        <v>5.65</v>
      </c>
      <c r="I4952"/>
    </row>
    <row r="4953" spans="1:9" x14ac:dyDescent="0.3">
      <c r="A4953" t="s">
        <v>6</v>
      </c>
      <c r="B4953" t="s">
        <v>14</v>
      </c>
      <c r="C4953" t="s">
        <v>108</v>
      </c>
      <c r="D4953" s="9" t="s">
        <v>98</v>
      </c>
      <c r="E4953" t="s">
        <v>42</v>
      </c>
      <c r="F4953" t="s">
        <v>81</v>
      </c>
      <c r="G4953">
        <v>174.2</v>
      </c>
      <c r="H4953" s="9">
        <v>9.77</v>
      </c>
      <c r="I4953"/>
    </row>
    <row r="4954" spans="1:9" x14ac:dyDescent="0.3">
      <c r="A4954" t="s">
        <v>6</v>
      </c>
      <c r="B4954" t="s">
        <v>14</v>
      </c>
      <c r="C4954" t="s">
        <v>109</v>
      </c>
      <c r="D4954" s="9" t="s">
        <v>98</v>
      </c>
      <c r="E4954" t="s">
        <v>43</v>
      </c>
      <c r="F4954" t="s">
        <v>83</v>
      </c>
      <c r="G4954">
        <v>182.4</v>
      </c>
      <c r="H4954" s="9">
        <v>-0.27</v>
      </c>
      <c r="I4954"/>
    </row>
    <row r="4955" spans="1:9" x14ac:dyDescent="0.3">
      <c r="A4955" t="s">
        <v>6</v>
      </c>
      <c r="B4955" t="s">
        <v>14</v>
      </c>
      <c r="C4955" t="s">
        <v>110</v>
      </c>
      <c r="D4955" s="9" t="s">
        <v>111</v>
      </c>
      <c r="E4955" t="s">
        <v>32</v>
      </c>
      <c r="F4955" t="s">
        <v>61</v>
      </c>
      <c r="G4955">
        <v>145.19999999999999</v>
      </c>
      <c r="H4955" s="9">
        <v>6.3</v>
      </c>
      <c r="I4955"/>
    </row>
    <row r="4956" spans="1:9" x14ac:dyDescent="0.3">
      <c r="A4956" t="s">
        <v>6</v>
      </c>
      <c r="B4956" t="s">
        <v>14</v>
      </c>
      <c r="C4956" t="s">
        <v>112</v>
      </c>
      <c r="D4956" s="9" t="s">
        <v>111</v>
      </c>
      <c r="E4956" t="s">
        <v>33</v>
      </c>
      <c r="F4956" t="s">
        <v>63</v>
      </c>
      <c r="G4956">
        <v>134.9</v>
      </c>
      <c r="H4956" s="9">
        <v>3.45</v>
      </c>
      <c r="I4956"/>
    </row>
    <row r="4957" spans="1:9" x14ac:dyDescent="0.3">
      <c r="A4957" t="s">
        <v>6</v>
      </c>
      <c r="B4957" t="s">
        <v>14</v>
      </c>
      <c r="C4957" t="s">
        <v>113</v>
      </c>
      <c r="D4957" s="9" t="s">
        <v>111</v>
      </c>
      <c r="E4957" t="s">
        <v>34</v>
      </c>
      <c r="F4957" t="s">
        <v>65</v>
      </c>
      <c r="G4957">
        <v>144.1</v>
      </c>
      <c r="H4957" s="9">
        <v>3.3</v>
      </c>
      <c r="I4957"/>
    </row>
    <row r="4958" spans="1:9" x14ac:dyDescent="0.3">
      <c r="A4958" t="s">
        <v>6</v>
      </c>
      <c r="B4958" t="s">
        <v>14</v>
      </c>
      <c r="C4958" t="s">
        <v>114</v>
      </c>
      <c r="D4958" s="9" t="s">
        <v>111</v>
      </c>
      <c r="E4958" t="s">
        <v>35</v>
      </c>
      <c r="F4958" t="s">
        <v>67</v>
      </c>
      <c r="G4958">
        <v>135.6</v>
      </c>
      <c r="H4958" s="9">
        <v>6.77</v>
      </c>
      <c r="I4958"/>
    </row>
    <row r="4959" spans="1:9" x14ac:dyDescent="0.3">
      <c r="A4959" t="s">
        <v>6</v>
      </c>
      <c r="B4959" t="s">
        <v>14</v>
      </c>
      <c r="C4959" t="s">
        <v>115</v>
      </c>
      <c r="D4959" s="9" t="s">
        <v>111</v>
      </c>
      <c r="E4959" t="s">
        <v>36</v>
      </c>
      <c r="F4959" t="s">
        <v>69</v>
      </c>
      <c r="G4959">
        <v>142</v>
      </c>
      <c r="H4959" s="9">
        <v>7.01</v>
      </c>
      <c r="I4959"/>
    </row>
    <row r="4960" spans="1:9" x14ac:dyDescent="0.3">
      <c r="A4960" t="s">
        <v>6</v>
      </c>
      <c r="B4960" t="s">
        <v>14</v>
      </c>
      <c r="C4960" t="s">
        <v>116</v>
      </c>
      <c r="D4960" s="9" t="s">
        <v>111</v>
      </c>
      <c r="E4960" t="s">
        <v>37</v>
      </c>
      <c r="F4960" t="s">
        <v>71</v>
      </c>
      <c r="G4960">
        <v>138.9</v>
      </c>
      <c r="H4960" s="9">
        <v>2.89</v>
      </c>
      <c r="I4960"/>
    </row>
    <row r="4961" spans="1:9" x14ac:dyDescent="0.3">
      <c r="A4961" t="s">
        <v>6</v>
      </c>
      <c r="B4961" t="s">
        <v>14</v>
      </c>
      <c r="C4961" t="s">
        <v>117</v>
      </c>
      <c r="D4961" s="9" t="s">
        <v>111</v>
      </c>
      <c r="E4961" t="s">
        <v>38</v>
      </c>
      <c r="F4961" t="s">
        <v>73</v>
      </c>
      <c r="G4961">
        <v>148.5</v>
      </c>
      <c r="H4961" s="9">
        <v>5.32</v>
      </c>
      <c r="I4961"/>
    </row>
    <row r="4962" spans="1:9" x14ac:dyDescent="0.3">
      <c r="A4962" t="s">
        <v>6</v>
      </c>
      <c r="B4962" t="s">
        <v>14</v>
      </c>
      <c r="C4962" t="s">
        <v>118</v>
      </c>
      <c r="D4962" s="9" t="s">
        <v>111</v>
      </c>
      <c r="E4962" t="s">
        <v>39</v>
      </c>
      <c r="F4962" t="s">
        <v>75</v>
      </c>
      <c r="G4962">
        <v>151.6</v>
      </c>
      <c r="H4962" s="9">
        <v>0.46</v>
      </c>
      <c r="I4962"/>
    </row>
    <row r="4963" spans="1:9" x14ac:dyDescent="0.3">
      <c r="A4963" t="s">
        <v>6</v>
      </c>
      <c r="B4963" t="s">
        <v>14</v>
      </c>
      <c r="C4963" t="s">
        <v>119</v>
      </c>
      <c r="D4963" s="9" t="s">
        <v>111</v>
      </c>
      <c r="E4963" t="s">
        <v>40</v>
      </c>
      <c r="F4963" t="s">
        <v>77</v>
      </c>
      <c r="G4963">
        <v>149.4</v>
      </c>
      <c r="H4963" s="9">
        <v>4.18</v>
      </c>
      <c r="I4963"/>
    </row>
    <row r="4964" spans="1:9" x14ac:dyDescent="0.3">
      <c r="A4964" t="s">
        <v>6</v>
      </c>
      <c r="B4964" t="s">
        <v>14</v>
      </c>
      <c r="C4964" t="s">
        <v>120</v>
      </c>
      <c r="D4964" s="9" t="s">
        <v>111</v>
      </c>
      <c r="E4964" t="s">
        <v>41</v>
      </c>
      <c r="F4964" t="s">
        <v>79</v>
      </c>
      <c r="G4964">
        <v>163.30000000000001</v>
      </c>
      <c r="H4964" s="9">
        <v>9.08</v>
      </c>
      <c r="I4964"/>
    </row>
    <row r="4965" spans="1:9" x14ac:dyDescent="0.3">
      <c r="A4965" t="s">
        <v>6</v>
      </c>
      <c r="B4965" t="s">
        <v>14</v>
      </c>
      <c r="C4965" t="s">
        <v>121</v>
      </c>
      <c r="D4965" s="9" t="s">
        <v>111</v>
      </c>
      <c r="E4965" t="s">
        <v>42</v>
      </c>
      <c r="F4965" t="s">
        <v>81</v>
      </c>
      <c r="G4965">
        <v>183.9</v>
      </c>
      <c r="H4965" s="9">
        <v>5.57</v>
      </c>
      <c r="I4965"/>
    </row>
    <row r="4966" spans="1:9" x14ac:dyDescent="0.3">
      <c r="A4966" t="s">
        <v>6</v>
      </c>
      <c r="B4966" t="s">
        <v>14</v>
      </c>
      <c r="C4966" t="s">
        <v>122</v>
      </c>
      <c r="D4966" s="9" t="s">
        <v>111</v>
      </c>
      <c r="E4966" t="s">
        <v>43</v>
      </c>
      <c r="F4966" t="s">
        <v>83</v>
      </c>
      <c r="G4966">
        <v>189.6</v>
      </c>
      <c r="H4966" s="9">
        <v>3.95</v>
      </c>
      <c r="I4966"/>
    </row>
    <row r="4967" spans="1:9" x14ac:dyDescent="0.3">
      <c r="A4967" t="s">
        <v>6</v>
      </c>
      <c r="B4967" t="s">
        <v>14</v>
      </c>
      <c r="C4967" t="s">
        <v>123</v>
      </c>
      <c r="D4967" s="9" t="s">
        <v>124</v>
      </c>
      <c r="E4967" t="s">
        <v>32</v>
      </c>
      <c r="F4967" t="s">
        <v>61</v>
      </c>
      <c r="G4967">
        <v>150.69999999999999</v>
      </c>
      <c r="H4967" s="9">
        <v>3.79</v>
      </c>
      <c r="I4967"/>
    </row>
    <row r="4968" spans="1:9" x14ac:dyDescent="0.3">
      <c r="A4968" t="s">
        <v>6</v>
      </c>
      <c r="B4968" t="s">
        <v>14</v>
      </c>
      <c r="C4968" t="s">
        <v>125</v>
      </c>
      <c r="D4968" s="9" t="s">
        <v>124</v>
      </c>
      <c r="E4968" t="s">
        <v>33</v>
      </c>
      <c r="F4968" t="s">
        <v>63</v>
      </c>
      <c r="G4968">
        <v>141.69999999999999</v>
      </c>
      <c r="H4968" s="9">
        <v>5.04</v>
      </c>
      <c r="I4968"/>
    </row>
    <row r="4969" spans="1:9" x14ac:dyDescent="0.3">
      <c r="A4969" t="s">
        <v>6</v>
      </c>
      <c r="B4969" t="s">
        <v>14</v>
      </c>
      <c r="C4969" t="s">
        <v>126</v>
      </c>
      <c r="D4969" s="9" t="s">
        <v>124</v>
      </c>
      <c r="E4969" t="s">
        <v>34</v>
      </c>
      <c r="F4969" t="s">
        <v>65</v>
      </c>
      <c r="G4969">
        <v>155.9</v>
      </c>
      <c r="H4969" s="9">
        <v>8.19</v>
      </c>
      <c r="I4969"/>
    </row>
    <row r="4970" spans="1:9" x14ac:dyDescent="0.3">
      <c r="A4970" t="s">
        <v>6</v>
      </c>
      <c r="B4970" t="s">
        <v>14</v>
      </c>
      <c r="C4970" t="s">
        <v>127</v>
      </c>
      <c r="D4970" s="9" t="s">
        <v>124</v>
      </c>
      <c r="E4970" t="s">
        <v>35</v>
      </c>
      <c r="F4970" t="s">
        <v>67</v>
      </c>
      <c r="G4970">
        <v>140.80000000000001</v>
      </c>
      <c r="H4970" s="9">
        <v>3.83</v>
      </c>
      <c r="I4970"/>
    </row>
    <row r="4971" spans="1:9" x14ac:dyDescent="0.3">
      <c r="A4971" t="s">
        <v>6</v>
      </c>
      <c r="B4971" t="s">
        <v>14</v>
      </c>
      <c r="C4971" t="s">
        <v>128</v>
      </c>
      <c r="D4971" s="9" t="s">
        <v>124</v>
      </c>
      <c r="E4971" t="s">
        <v>36</v>
      </c>
      <c r="F4971" t="s">
        <v>69</v>
      </c>
      <c r="G4971">
        <v>156.5</v>
      </c>
      <c r="H4971" s="9">
        <v>10.210000000000001</v>
      </c>
      <c r="I4971"/>
    </row>
    <row r="4972" spans="1:9" x14ac:dyDescent="0.3">
      <c r="A4972" t="s">
        <v>6</v>
      </c>
      <c r="B4972" t="s">
        <v>14</v>
      </c>
      <c r="C4972" t="s">
        <v>129</v>
      </c>
      <c r="D4972" s="9" t="s">
        <v>124</v>
      </c>
      <c r="E4972" t="s">
        <v>37</v>
      </c>
      <c r="F4972" t="s">
        <v>71</v>
      </c>
      <c r="G4972">
        <v>154.4</v>
      </c>
      <c r="H4972" s="9">
        <v>11.16</v>
      </c>
      <c r="I4972"/>
    </row>
    <row r="4973" spans="1:9" x14ac:dyDescent="0.3">
      <c r="A4973" t="s">
        <v>6</v>
      </c>
      <c r="B4973" t="s">
        <v>14</v>
      </c>
      <c r="C4973" t="s">
        <v>130</v>
      </c>
      <c r="D4973" s="9" t="s">
        <v>124</v>
      </c>
      <c r="E4973" t="s">
        <v>38</v>
      </c>
      <c r="F4973" t="s">
        <v>73</v>
      </c>
      <c r="G4973">
        <v>153.9</v>
      </c>
      <c r="H4973" s="9">
        <v>3.64</v>
      </c>
      <c r="I4973"/>
    </row>
    <row r="4974" spans="1:9" x14ac:dyDescent="0.3">
      <c r="A4974" t="s">
        <v>6</v>
      </c>
      <c r="B4974" t="s">
        <v>14</v>
      </c>
      <c r="C4974" t="s">
        <v>131</v>
      </c>
      <c r="D4974" s="9" t="s">
        <v>124</v>
      </c>
      <c r="E4974" t="s">
        <v>39</v>
      </c>
      <c r="F4974" t="s">
        <v>75</v>
      </c>
      <c r="G4974">
        <v>158</v>
      </c>
      <c r="H4974" s="9">
        <v>4.22</v>
      </c>
      <c r="I4974"/>
    </row>
    <row r="4975" spans="1:9" x14ac:dyDescent="0.3">
      <c r="A4975" t="s">
        <v>6</v>
      </c>
      <c r="B4975" t="s">
        <v>14</v>
      </c>
      <c r="C4975" t="s">
        <v>132</v>
      </c>
      <c r="D4975" s="9" t="s">
        <v>124</v>
      </c>
      <c r="E4975" t="s">
        <v>40</v>
      </c>
      <c r="F4975" t="s">
        <v>77</v>
      </c>
      <c r="G4975">
        <v>149.30000000000001</v>
      </c>
      <c r="H4975" s="9">
        <v>-7.0000000000000007E-2</v>
      </c>
      <c r="I4975"/>
    </row>
    <row r="4976" spans="1:9" x14ac:dyDescent="0.3">
      <c r="A4976" t="s">
        <v>6</v>
      </c>
      <c r="B4976" t="s">
        <v>14</v>
      </c>
      <c r="C4976" t="s">
        <v>133</v>
      </c>
      <c r="D4976" s="9" t="s">
        <v>124</v>
      </c>
      <c r="E4976" t="s">
        <v>41</v>
      </c>
      <c r="F4976" t="s">
        <v>79</v>
      </c>
      <c r="G4976">
        <v>160</v>
      </c>
      <c r="H4976" s="9">
        <v>-2.02</v>
      </c>
      <c r="I4976"/>
    </row>
    <row r="4977" spans="1:9" x14ac:dyDescent="0.3">
      <c r="A4977" t="s">
        <v>6</v>
      </c>
      <c r="B4977" t="s">
        <v>14</v>
      </c>
      <c r="C4977" t="s">
        <v>134</v>
      </c>
      <c r="D4977" s="9" t="s">
        <v>124</v>
      </c>
      <c r="E4977" t="s">
        <v>42</v>
      </c>
      <c r="F4977" t="s">
        <v>81</v>
      </c>
      <c r="G4977">
        <v>190.9</v>
      </c>
      <c r="H4977" s="9">
        <v>3.81</v>
      </c>
      <c r="I4977"/>
    </row>
    <row r="4978" spans="1:9" x14ac:dyDescent="0.3">
      <c r="A4978" t="s">
        <v>6</v>
      </c>
      <c r="B4978" t="s">
        <v>14</v>
      </c>
      <c r="C4978" t="s">
        <v>135</v>
      </c>
      <c r="D4978" s="9" t="s">
        <v>124</v>
      </c>
      <c r="E4978" t="s">
        <v>43</v>
      </c>
      <c r="F4978" t="s">
        <v>83</v>
      </c>
      <c r="G4978">
        <v>199.9</v>
      </c>
      <c r="H4978" s="9">
        <v>5.43</v>
      </c>
      <c r="I4978"/>
    </row>
    <row r="4979" spans="1:9" x14ac:dyDescent="0.3">
      <c r="A4979" t="s">
        <v>6</v>
      </c>
      <c r="B4979" t="s">
        <v>14</v>
      </c>
      <c r="C4979" t="s">
        <v>136</v>
      </c>
      <c r="D4979" s="9" t="s">
        <v>137</v>
      </c>
      <c r="E4979" t="s">
        <v>32</v>
      </c>
      <c r="F4979" t="s">
        <v>61</v>
      </c>
      <c r="G4979">
        <v>155.30000000000001</v>
      </c>
      <c r="H4979" s="9">
        <v>3.05</v>
      </c>
      <c r="I4979"/>
    </row>
    <row r="4980" spans="1:9" x14ac:dyDescent="0.3">
      <c r="A4980" t="s">
        <v>6</v>
      </c>
      <c r="B4980" t="s">
        <v>14</v>
      </c>
      <c r="C4980" t="s">
        <v>138</v>
      </c>
      <c r="D4980" s="9" t="s">
        <v>137</v>
      </c>
      <c r="E4980" t="s">
        <v>33</v>
      </c>
      <c r="F4980" t="s">
        <v>63</v>
      </c>
      <c r="G4980">
        <v>154.69999999999999</v>
      </c>
      <c r="H4980" s="9">
        <v>9.17</v>
      </c>
      <c r="I4980"/>
    </row>
    <row r="4981" spans="1:9" x14ac:dyDescent="0.3">
      <c r="A4981" t="s">
        <v>6</v>
      </c>
      <c r="B4981" t="s">
        <v>14</v>
      </c>
      <c r="C4981" t="s">
        <v>139</v>
      </c>
      <c r="D4981" s="9" t="s">
        <v>137</v>
      </c>
      <c r="E4981" t="s">
        <v>34</v>
      </c>
      <c r="F4981" t="s">
        <v>65</v>
      </c>
      <c r="G4981">
        <v>152.5</v>
      </c>
      <c r="H4981" s="9">
        <v>-2.1800000000000002</v>
      </c>
      <c r="I4981"/>
    </row>
    <row r="4982" spans="1:9" x14ac:dyDescent="0.3">
      <c r="A4982" t="s">
        <v>6</v>
      </c>
      <c r="B4982" t="s">
        <v>14</v>
      </c>
      <c r="C4982" t="s">
        <v>140</v>
      </c>
      <c r="D4982" s="9" t="s">
        <v>137</v>
      </c>
      <c r="E4982" t="s">
        <v>35</v>
      </c>
      <c r="F4982" t="s">
        <v>67</v>
      </c>
      <c r="G4982">
        <v>151.69999999999999</v>
      </c>
      <c r="H4982" s="9">
        <v>7.74</v>
      </c>
      <c r="I4982"/>
    </row>
    <row r="4983" spans="1:9" x14ac:dyDescent="0.3">
      <c r="A4983" t="s">
        <v>6</v>
      </c>
      <c r="B4983" t="s">
        <v>14</v>
      </c>
      <c r="C4983" t="s">
        <v>141</v>
      </c>
      <c r="D4983" s="9" t="s">
        <v>137</v>
      </c>
      <c r="E4983" t="s">
        <v>36</v>
      </c>
      <c r="F4983" t="s">
        <v>69</v>
      </c>
      <c r="G4983">
        <v>164.8</v>
      </c>
      <c r="H4983" s="9">
        <v>5.3</v>
      </c>
      <c r="I4983"/>
    </row>
    <row r="4984" spans="1:9" x14ac:dyDescent="0.3">
      <c r="A4984" t="s">
        <v>6</v>
      </c>
      <c r="B4984" t="s">
        <v>14</v>
      </c>
      <c r="C4984" t="s">
        <v>142</v>
      </c>
      <c r="D4984" s="9" t="s">
        <v>137</v>
      </c>
      <c r="E4984" t="s">
        <v>37</v>
      </c>
      <c r="F4984" t="s">
        <v>71</v>
      </c>
      <c r="G4984">
        <v>162.4</v>
      </c>
      <c r="H4984" s="9">
        <v>5.18</v>
      </c>
      <c r="I4984"/>
    </row>
    <row r="4985" spans="1:9" x14ac:dyDescent="0.3">
      <c r="A4985" t="s">
        <v>6</v>
      </c>
      <c r="B4985" t="s">
        <v>14</v>
      </c>
      <c r="C4985" t="s">
        <v>143</v>
      </c>
      <c r="D4985" s="9" t="s">
        <v>137</v>
      </c>
      <c r="E4985" t="s">
        <v>38</v>
      </c>
      <c r="F4985" t="s">
        <v>73</v>
      </c>
      <c r="G4985">
        <v>162.80000000000001</v>
      </c>
      <c r="H4985" s="9">
        <v>5.78</v>
      </c>
      <c r="I4985"/>
    </row>
    <row r="4986" spans="1:9" x14ac:dyDescent="0.3">
      <c r="A4986" t="s">
        <v>6</v>
      </c>
      <c r="B4986" t="s">
        <v>14</v>
      </c>
      <c r="C4986" t="s">
        <v>144</v>
      </c>
      <c r="D4986" s="9" t="s">
        <v>137</v>
      </c>
      <c r="E4986" t="s">
        <v>39</v>
      </c>
      <c r="F4986" t="s">
        <v>75</v>
      </c>
      <c r="G4986">
        <v>164.4</v>
      </c>
      <c r="H4986" s="9">
        <v>4.05</v>
      </c>
      <c r="I4986"/>
    </row>
    <row r="4987" spans="1:9" x14ac:dyDescent="0.3">
      <c r="A4987" t="s">
        <v>6</v>
      </c>
      <c r="B4987" t="s">
        <v>14</v>
      </c>
      <c r="C4987" t="s">
        <v>145</v>
      </c>
      <c r="D4987" s="9" t="s">
        <v>137</v>
      </c>
      <c r="E4987" t="s">
        <v>40</v>
      </c>
      <c r="F4987" t="s">
        <v>77</v>
      </c>
      <c r="G4987">
        <v>158.19999999999999</v>
      </c>
      <c r="H4987" s="9">
        <v>5.96</v>
      </c>
      <c r="I4987"/>
    </row>
    <row r="4988" spans="1:9" x14ac:dyDescent="0.3">
      <c r="A4988" t="s">
        <v>6</v>
      </c>
      <c r="B4988" t="s">
        <v>14</v>
      </c>
      <c r="C4988" t="s">
        <v>146</v>
      </c>
      <c r="D4988" s="9" t="s">
        <v>137</v>
      </c>
      <c r="E4988" t="s">
        <v>41</v>
      </c>
      <c r="F4988" t="s">
        <v>79</v>
      </c>
      <c r="G4988">
        <v>177.2</v>
      </c>
      <c r="H4988" s="9">
        <v>10.75</v>
      </c>
      <c r="I4988"/>
    </row>
    <row r="4989" spans="1:9" x14ac:dyDescent="0.3">
      <c r="A4989" t="s">
        <v>6</v>
      </c>
      <c r="B4989" t="s">
        <v>14</v>
      </c>
      <c r="C4989" t="s">
        <v>147</v>
      </c>
      <c r="D4989" s="9" t="s">
        <v>137</v>
      </c>
      <c r="E4989" t="s">
        <v>42</v>
      </c>
      <c r="F4989" t="s">
        <v>81</v>
      </c>
      <c r="G4989">
        <v>202</v>
      </c>
      <c r="H4989" s="9">
        <v>5.81</v>
      </c>
      <c r="I4989"/>
    </row>
    <row r="4990" spans="1:9" x14ac:dyDescent="0.3">
      <c r="A4990" t="s">
        <v>6</v>
      </c>
      <c r="B4990" t="s">
        <v>14</v>
      </c>
      <c r="C4990" t="s">
        <v>148</v>
      </c>
      <c r="D4990" s="9" t="s">
        <v>137</v>
      </c>
      <c r="E4990" t="s">
        <v>43</v>
      </c>
      <c r="F4990" t="s">
        <v>83</v>
      </c>
      <c r="G4990">
        <v>208.6</v>
      </c>
      <c r="H4990" s="9">
        <v>4.3499999999999996</v>
      </c>
      <c r="I4990"/>
    </row>
    <row r="4991" spans="1:9" x14ac:dyDescent="0.3">
      <c r="A4991" t="s">
        <v>6</v>
      </c>
      <c r="B4991" t="s">
        <v>14</v>
      </c>
      <c r="C4991" t="s">
        <v>149</v>
      </c>
      <c r="D4991" s="9" t="s">
        <v>150</v>
      </c>
      <c r="E4991" t="s">
        <v>32</v>
      </c>
      <c r="F4991" t="s">
        <v>61</v>
      </c>
      <c r="G4991">
        <v>169.7</v>
      </c>
      <c r="H4991" s="9">
        <v>9.27</v>
      </c>
      <c r="I4991"/>
    </row>
    <row r="4992" spans="1:9" x14ac:dyDescent="0.3">
      <c r="A4992" t="s">
        <v>6</v>
      </c>
      <c r="B4992" t="s">
        <v>14</v>
      </c>
      <c r="C4992" t="s">
        <v>151</v>
      </c>
      <c r="D4992" s="9" t="s">
        <v>150</v>
      </c>
      <c r="E4992" t="s">
        <v>33</v>
      </c>
      <c r="F4992" t="s">
        <v>63</v>
      </c>
      <c r="G4992">
        <v>149.4</v>
      </c>
      <c r="H4992" s="9">
        <v>-3.43</v>
      </c>
      <c r="I4992"/>
    </row>
    <row r="4993" spans="1:9" x14ac:dyDescent="0.3">
      <c r="A4993" t="s">
        <v>6</v>
      </c>
      <c r="B4993" t="s">
        <v>14</v>
      </c>
      <c r="C4993" t="s">
        <v>152</v>
      </c>
      <c r="D4993" s="9" t="s">
        <v>150</v>
      </c>
      <c r="E4993" t="s">
        <v>34</v>
      </c>
      <c r="F4993" t="s">
        <v>65</v>
      </c>
      <c r="G4993">
        <v>166.8</v>
      </c>
      <c r="H4993" s="9">
        <v>9.3800000000000008</v>
      </c>
      <c r="I4993"/>
    </row>
    <row r="4994" spans="1:9" x14ac:dyDescent="0.3">
      <c r="A4994" t="s">
        <v>6</v>
      </c>
      <c r="B4994" t="s">
        <v>14</v>
      </c>
      <c r="C4994" t="s">
        <v>153</v>
      </c>
      <c r="D4994" s="9" t="s">
        <v>150</v>
      </c>
      <c r="E4994" t="s">
        <v>35</v>
      </c>
      <c r="F4994" t="s">
        <v>67</v>
      </c>
      <c r="G4994">
        <v>161.80000000000001</v>
      </c>
      <c r="H4994" s="9">
        <v>6.66</v>
      </c>
      <c r="I4994"/>
    </row>
    <row r="4995" spans="1:9" x14ac:dyDescent="0.3">
      <c r="A4995" t="s">
        <v>6</v>
      </c>
      <c r="B4995" t="s">
        <v>14</v>
      </c>
      <c r="C4995" t="s">
        <v>154</v>
      </c>
      <c r="D4995" s="9" t="s">
        <v>150</v>
      </c>
      <c r="E4995" t="s">
        <v>36</v>
      </c>
      <c r="F4995" t="s">
        <v>69</v>
      </c>
      <c r="G4995">
        <v>172.2</v>
      </c>
      <c r="H4995" s="9">
        <v>4.49</v>
      </c>
      <c r="I4995"/>
    </row>
    <row r="4996" spans="1:9" x14ac:dyDescent="0.3">
      <c r="A4996" t="s">
        <v>6</v>
      </c>
      <c r="B4996" t="s">
        <v>14</v>
      </c>
      <c r="C4996" t="s">
        <v>155</v>
      </c>
      <c r="D4996" s="9" t="s">
        <v>150</v>
      </c>
      <c r="E4996" t="s">
        <v>37</v>
      </c>
      <c r="F4996" t="s">
        <v>71</v>
      </c>
      <c r="G4996">
        <v>163.9</v>
      </c>
      <c r="H4996" s="9">
        <v>0.92</v>
      </c>
      <c r="I4996"/>
    </row>
    <row r="4997" spans="1:9" x14ac:dyDescent="0.3">
      <c r="A4997" t="s">
        <v>6</v>
      </c>
      <c r="B4997" t="s">
        <v>23</v>
      </c>
      <c r="C4997" t="s">
        <v>136</v>
      </c>
      <c r="D4997" s="9" t="s">
        <v>137</v>
      </c>
      <c r="E4997" t="s">
        <v>32</v>
      </c>
      <c r="F4997" t="s">
        <v>61</v>
      </c>
      <c r="G4997">
        <v>51.8</v>
      </c>
      <c r="I4997"/>
    </row>
    <row r="4998" spans="1:9" x14ac:dyDescent="0.3">
      <c r="A4998" t="s">
        <v>6</v>
      </c>
      <c r="B4998" t="s">
        <v>23</v>
      </c>
      <c r="C4998" t="s">
        <v>138</v>
      </c>
      <c r="D4998" s="9" t="s">
        <v>137</v>
      </c>
      <c r="E4998" t="s">
        <v>33</v>
      </c>
      <c r="F4998" t="s">
        <v>63</v>
      </c>
      <c r="G4998">
        <v>52.3</v>
      </c>
      <c r="I4998"/>
    </row>
    <row r="4999" spans="1:9" x14ac:dyDescent="0.3">
      <c r="A4999" t="s">
        <v>6</v>
      </c>
      <c r="B4999" t="s">
        <v>23</v>
      </c>
      <c r="C4999" t="s">
        <v>139</v>
      </c>
      <c r="D4999" s="9" t="s">
        <v>137</v>
      </c>
      <c r="E4999" t="s">
        <v>34</v>
      </c>
      <c r="F4999" t="s">
        <v>65</v>
      </c>
      <c r="G4999">
        <v>61.1</v>
      </c>
      <c r="I4999"/>
    </row>
    <row r="5000" spans="1:9" x14ac:dyDescent="0.3">
      <c r="A5000" t="s">
        <v>6</v>
      </c>
      <c r="B5000" t="s">
        <v>23</v>
      </c>
      <c r="C5000" t="s">
        <v>140</v>
      </c>
      <c r="D5000" s="9" t="s">
        <v>137</v>
      </c>
      <c r="E5000" t="s">
        <v>35</v>
      </c>
      <c r="F5000" t="s">
        <v>67</v>
      </c>
      <c r="G5000">
        <v>55.6</v>
      </c>
      <c r="I5000"/>
    </row>
    <row r="5001" spans="1:9" x14ac:dyDescent="0.3">
      <c r="A5001" t="s">
        <v>6</v>
      </c>
      <c r="B5001" t="s">
        <v>23</v>
      </c>
      <c r="C5001" t="s">
        <v>141</v>
      </c>
      <c r="D5001" s="9" t="s">
        <v>137</v>
      </c>
      <c r="E5001" t="s">
        <v>36</v>
      </c>
      <c r="F5001" t="s">
        <v>69</v>
      </c>
      <c r="G5001">
        <v>59.3</v>
      </c>
      <c r="I5001"/>
    </row>
    <row r="5002" spans="1:9" x14ac:dyDescent="0.3">
      <c r="A5002" t="s">
        <v>6</v>
      </c>
      <c r="B5002" t="s">
        <v>23</v>
      </c>
      <c r="C5002" t="s">
        <v>142</v>
      </c>
      <c r="D5002" s="9" t="s">
        <v>137</v>
      </c>
      <c r="E5002" t="s">
        <v>37</v>
      </c>
      <c r="F5002" t="s">
        <v>71</v>
      </c>
      <c r="G5002">
        <v>53.1</v>
      </c>
      <c r="I5002"/>
    </row>
    <row r="5003" spans="1:9" x14ac:dyDescent="0.3">
      <c r="A5003" t="s">
        <v>6</v>
      </c>
      <c r="B5003" t="s">
        <v>17</v>
      </c>
      <c r="C5003" t="s">
        <v>59</v>
      </c>
      <c r="D5003" s="9" t="s">
        <v>60</v>
      </c>
      <c r="E5003" t="s">
        <v>32</v>
      </c>
      <c r="F5003" t="s">
        <v>61</v>
      </c>
      <c r="G5003">
        <v>111.6</v>
      </c>
      <c r="I5003"/>
    </row>
    <row r="5004" spans="1:9" x14ac:dyDescent="0.3">
      <c r="A5004" t="s">
        <v>6</v>
      </c>
      <c r="B5004" t="s">
        <v>17</v>
      </c>
      <c r="C5004" t="s">
        <v>62</v>
      </c>
      <c r="D5004" s="9" t="s">
        <v>60</v>
      </c>
      <c r="E5004" t="s">
        <v>33</v>
      </c>
      <c r="F5004" t="s">
        <v>63</v>
      </c>
      <c r="G5004">
        <v>111.1</v>
      </c>
      <c r="I5004"/>
    </row>
    <row r="5005" spans="1:9" x14ac:dyDescent="0.3">
      <c r="A5005" t="s">
        <v>6</v>
      </c>
      <c r="B5005" t="s">
        <v>17</v>
      </c>
      <c r="C5005" t="s">
        <v>64</v>
      </c>
      <c r="D5005" s="9" t="s">
        <v>60</v>
      </c>
      <c r="E5005" t="s">
        <v>34</v>
      </c>
      <c r="F5005" t="s">
        <v>65</v>
      </c>
      <c r="G5005">
        <v>126.1</v>
      </c>
      <c r="I5005"/>
    </row>
    <row r="5006" spans="1:9" x14ac:dyDescent="0.3">
      <c r="A5006" t="s">
        <v>6</v>
      </c>
      <c r="B5006" t="s">
        <v>17</v>
      </c>
      <c r="C5006" t="s">
        <v>66</v>
      </c>
      <c r="D5006" s="9" t="s">
        <v>60</v>
      </c>
      <c r="E5006" t="s">
        <v>35</v>
      </c>
      <c r="F5006" t="s">
        <v>67</v>
      </c>
      <c r="G5006">
        <v>128</v>
      </c>
      <c r="I5006"/>
    </row>
    <row r="5007" spans="1:9" x14ac:dyDescent="0.3">
      <c r="A5007" t="s">
        <v>6</v>
      </c>
      <c r="B5007" t="s">
        <v>17</v>
      </c>
      <c r="C5007" t="s">
        <v>68</v>
      </c>
      <c r="D5007" s="9" t="s">
        <v>60</v>
      </c>
      <c r="E5007" t="s">
        <v>36</v>
      </c>
      <c r="F5007" t="s">
        <v>69</v>
      </c>
      <c r="G5007">
        <v>137.9</v>
      </c>
      <c r="I5007"/>
    </row>
    <row r="5008" spans="1:9" x14ac:dyDescent="0.3">
      <c r="A5008" t="s">
        <v>6</v>
      </c>
      <c r="B5008" t="s">
        <v>17</v>
      </c>
      <c r="C5008" t="s">
        <v>70</v>
      </c>
      <c r="D5008" s="9" t="s">
        <v>60</v>
      </c>
      <c r="E5008" t="s">
        <v>37</v>
      </c>
      <c r="F5008" t="s">
        <v>71</v>
      </c>
      <c r="G5008">
        <v>125</v>
      </c>
      <c r="I5008"/>
    </row>
    <row r="5009" spans="1:9" x14ac:dyDescent="0.3">
      <c r="A5009" t="s">
        <v>6</v>
      </c>
      <c r="B5009" t="s">
        <v>17</v>
      </c>
      <c r="C5009" t="s">
        <v>72</v>
      </c>
      <c r="D5009" s="9" t="s">
        <v>60</v>
      </c>
      <c r="E5009" t="s">
        <v>38</v>
      </c>
      <c r="F5009" t="s">
        <v>73</v>
      </c>
      <c r="G5009">
        <v>124.7</v>
      </c>
      <c r="I5009"/>
    </row>
    <row r="5010" spans="1:9" x14ac:dyDescent="0.3">
      <c r="A5010" t="s">
        <v>6</v>
      </c>
      <c r="B5010" t="s">
        <v>17</v>
      </c>
      <c r="C5010" t="s">
        <v>74</v>
      </c>
      <c r="D5010" s="9" t="s">
        <v>60</v>
      </c>
      <c r="E5010" t="s">
        <v>39</v>
      </c>
      <c r="F5010" t="s">
        <v>75</v>
      </c>
      <c r="G5010">
        <v>132.80000000000001</v>
      </c>
      <c r="I5010"/>
    </row>
    <row r="5011" spans="1:9" x14ac:dyDescent="0.3">
      <c r="A5011" t="s">
        <v>6</v>
      </c>
      <c r="B5011" t="s">
        <v>17</v>
      </c>
      <c r="C5011" t="s">
        <v>76</v>
      </c>
      <c r="D5011" s="9" t="s">
        <v>60</v>
      </c>
      <c r="E5011" t="s">
        <v>40</v>
      </c>
      <c r="F5011" t="s">
        <v>77</v>
      </c>
      <c r="G5011">
        <v>127.8</v>
      </c>
      <c r="I5011"/>
    </row>
    <row r="5012" spans="1:9" x14ac:dyDescent="0.3">
      <c r="A5012" t="s">
        <v>6</v>
      </c>
      <c r="B5012" t="s">
        <v>17</v>
      </c>
      <c r="C5012" t="s">
        <v>78</v>
      </c>
      <c r="D5012" s="9" t="s">
        <v>60</v>
      </c>
      <c r="E5012" t="s">
        <v>41</v>
      </c>
      <c r="F5012" t="s">
        <v>79</v>
      </c>
      <c r="G5012">
        <v>133.30000000000001</v>
      </c>
      <c r="I5012"/>
    </row>
    <row r="5013" spans="1:9" x14ac:dyDescent="0.3">
      <c r="A5013" t="s">
        <v>6</v>
      </c>
      <c r="B5013" t="s">
        <v>17</v>
      </c>
      <c r="C5013" t="s">
        <v>80</v>
      </c>
      <c r="D5013" s="9" t="s">
        <v>60</v>
      </c>
      <c r="E5013" t="s">
        <v>42</v>
      </c>
      <c r="F5013" t="s">
        <v>81</v>
      </c>
      <c r="G5013">
        <v>130</v>
      </c>
      <c r="I5013"/>
    </row>
    <row r="5014" spans="1:9" x14ac:dyDescent="0.3">
      <c r="A5014" t="s">
        <v>6</v>
      </c>
      <c r="B5014" t="s">
        <v>17</v>
      </c>
      <c r="C5014" t="s">
        <v>82</v>
      </c>
      <c r="D5014" s="9" t="s">
        <v>60</v>
      </c>
      <c r="E5014" t="s">
        <v>43</v>
      </c>
      <c r="F5014" t="s">
        <v>83</v>
      </c>
      <c r="G5014">
        <v>149.6</v>
      </c>
      <c r="I5014"/>
    </row>
    <row r="5015" spans="1:9" x14ac:dyDescent="0.3">
      <c r="A5015" t="s">
        <v>6</v>
      </c>
      <c r="B5015" t="s">
        <v>17</v>
      </c>
      <c r="C5015" t="s">
        <v>84</v>
      </c>
      <c r="D5015" s="9" t="s">
        <v>85</v>
      </c>
      <c r="E5015" t="s">
        <v>32</v>
      </c>
      <c r="F5015" t="s">
        <v>61</v>
      </c>
      <c r="G5015">
        <v>114.3</v>
      </c>
      <c r="H5015" s="9">
        <v>2.42</v>
      </c>
      <c r="I5015"/>
    </row>
    <row r="5016" spans="1:9" x14ac:dyDescent="0.3">
      <c r="A5016" t="s">
        <v>6</v>
      </c>
      <c r="B5016" t="s">
        <v>17</v>
      </c>
      <c r="C5016" t="s">
        <v>86</v>
      </c>
      <c r="D5016" s="9" t="s">
        <v>85</v>
      </c>
      <c r="E5016" t="s">
        <v>33</v>
      </c>
      <c r="F5016" t="s">
        <v>63</v>
      </c>
      <c r="G5016">
        <v>114.6</v>
      </c>
      <c r="H5016" s="9">
        <v>3.15</v>
      </c>
      <c r="I5016"/>
    </row>
    <row r="5017" spans="1:9" x14ac:dyDescent="0.3">
      <c r="A5017" t="s">
        <v>6</v>
      </c>
      <c r="B5017" t="s">
        <v>17</v>
      </c>
      <c r="C5017" t="s">
        <v>87</v>
      </c>
      <c r="D5017" s="9" t="s">
        <v>85</v>
      </c>
      <c r="E5017" t="s">
        <v>34</v>
      </c>
      <c r="F5017" t="s">
        <v>65</v>
      </c>
      <c r="G5017">
        <v>142.30000000000001</v>
      </c>
      <c r="H5017" s="9">
        <v>12.85</v>
      </c>
      <c r="I5017"/>
    </row>
    <row r="5018" spans="1:9" x14ac:dyDescent="0.3">
      <c r="A5018" t="s">
        <v>6</v>
      </c>
      <c r="B5018" t="s">
        <v>17</v>
      </c>
      <c r="C5018" t="s">
        <v>88</v>
      </c>
      <c r="D5018" s="9" t="s">
        <v>85</v>
      </c>
      <c r="E5018" t="s">
        <v>35</v>
      </c>
      <c r="F5018" t="s">
        <v>67</v>
      </c>
      <c r="G5018">
        <v>101.6</v>
      </c>
      <c r="H5018" s="9">
        <v>-20.63</v>
      </c>
      <c r="I5018"/>
    </row>
    <row r="5019" spans="1:9" x14ac:dyDescent="0.3">
      <c r="A5019" t="s">
        <v>6</v>
      </c>
      <c r="B5019" t="s">
        <v>17</v>
      </c>
      <c r="C5019" t="s">
        <v>89</v>
      </c>
      <c r="D5019" s="9" t="s">
        <v>85</v>
      </c>
      <c r="E5019" t="s">
        <v>36</v>
      </c>
      <c r="F5019" t="s">
        <v>69</v>
      </c>
      <c r="G5019">
        <v>122.1</v>
      </c>
      <c r="H5019" s="9">
        <v>-11.46</v>
      </c>
      <c r="I5019"/>
    </row>
    <row r="5020" spans="1:9" x14ac:dyDescent="0.3">
      <c r="A5020" t="s">
        <v>6</v>
      </c>
      <c r="B5020" t="s">
        <v>17</v>
      </c>
      <c r="C5020" t="s">
        <v>90</v>
      </c>
      <c r="D5020" s="9" t="s">
        <v>85</v>
      </c>
      <c r="E5020" t="s">
        <v>37</v>
      </c>
      <c r="F5020" t="s">
        <v>71</v>
      </c>
      <c r="G5020">
        <v>114.7</v>
      </c>
      <c r="H5020" s="9">
        <v>-8.24</v>
      </c>
      <c r="I5020"/>
    </row>
    <row r="5021" spans="1:9" x14ac:dyDescent="0.3">
      <c r="A5021" t="s">
        <v>6</v>
      </c>
      <c r="B5021" t="s">
        <v>17</v>
      </c>
      <c r="C5021" t="s">
        <v>91</v>
      </c>
      <c r="D5021" s="9" t="s">
        <v>85</v>
      </c>
      <c r="E5021" t="s">
        <v>38</v>
      </c>
      <c r="F5021" t="s">
        <v>73</v>
      </c>
      <c r="G5021">
        <v>120</v>
      </c>
      <c r="H5021" s="9">
        <v>-3.77</v>
      </c>
      <c r="I5021"/>
    </row>
    <row r="5022" spans="1:9" x14ac:dyDescent="0.3">
      <c r="A5022" t="s">
        <v>6</v>
      </c>
      <c r="B5022" t="s">
        <v>17</v>
      </c>
      <c r="C5022" t="s">
        <v>92</v>
      </c>
      <c r="D5022" s="9" t="s">
        <v>85</v>
      </c>
      <c r="E5022" t="s">
        <v>39</v>
      </c>
      <c r="F5022" t="s">
        <v>75</v>
      </c>
      <c r="G5022">
        <v>119.1</v>
      </c>
      <c r="H5022" s="9">
        <v>-10.32</v>
      </c>
      <c r="I5022"/>
    </row>
    <row r="5023" spans="1:9" x14ac:dyDescent="0.3">
      <c r="A5023" t="s">
        <v>6</v>
      </c>
      <c r="B5023" t="s">
        <v>17</v>
      </c>
      <c r="C5023" t="s">
        <v>93</v>
      </c>
      <c r="D5023" s="9" t="s">
        <v>85</v>
      </c>
      <c r="E5023" t="s">
        <v>40</v>
      </c>
      <c r="F5023" t="s">
        <v>77</v>
      </c>
      <c r="G5023">
        <v>115.5</v>
      </c>
      <c r="H5023" s="9">
        <v>-9.6199999999999992</v>
      </c>
      <c r="I5023"/>
    </row>
    <row r="5024" spans="1:9" x14ac:dyDescent="0.3">
      <c r="A5024" t="s">
        <v>6</v>
      </c>
      <c r="B5024" t="s">
        <v>17</v>
      </c>
      <c r="C5024" t="s">
        <v>94</v>
      </c>
      <c r="D5024" s="9" t="s">
        <v>85</v>
      </c>
      <c r="E5024" t="s">
        <v>41</v>
      </c>
      <c r="F5024" t="s">
        <v>79</v>
      </c>
      <c r="G5024">
        <v>124.3</v>
      </c>
      <c r="H5024" s="9">
        <v>-6.75</v>
      </c>
      <c r="I5024"/>
    </row>
    <row r="5025" spans="1:9" x14ac:dyDescent="0.3">
      <c r="A5025" t="s">
        <v>6</v>
      </c>
      <c r="B5025" t="s">
        <v>17</v>
      </c>
      <c r="C5025" t="s">
        <v>95</v>
      </c>
      <c r="D5025" s="9" t="s">
        <v>85</v>
      </c>
      <c r="E5025" t="s">
        <v>42</v>
      </c>
      <c r="F5025" t="s">
        <v>81</v>
      </c>
      <c r="G5025">
        <v>124</v>
      </c>
      <c r="H5025" s="9">
        <v>-4.62</v>
      </c>
      <c r="I5025"/>
    </row>
    <row r="5026" spans="1:9" x14ac:dyDescent="0.3">
      <c r="A5026" t="s">
        <v>6</v>
      </c>
      <c r="B5026" t="s">
        <v>17</v>
      </c>
      <c r="C5026" t="s">
        <v>96</v>
      </c>
      <c r="D5026" s="9" t="s">
        <v>85</v>
      </c>
      <c r="E5026" t="s">
        <v>43</v>
      </c>
      <c r="F5026" t="s">
        <v>83</v>
      </c>
      <c r="G5026">
        <v>146.30000000000001</v>
      </c>
      <c r="H5026" s="9">
        <v>-2.21</v>
      </c>
      <c r="I5026"/>
    </row>
    <row r="5027" spans="1:9" x14ac:dyDescent="0.3">
      <c r="A5027" t="s">
        <v>6</v>
      </c>
      <c r="B5027" t="s">
        <v>17</v>
      </c>
      <c r="C5027" t="s">
        <v>97</v>
      </c>
      <c r="D5027" s="9" t="s">
        <v>98</v>
      </c>
      <c r="E5027" t="s">
        <v>32</v>
      </c>
      <c r="F5027" t="s">
        <v>61</v>
      </c>
      <c r="G5027">
        <v>105.4</v>
      </c>
      <c r="H5027" s="9">
        <v>-7.79</v>
      </c>
      <c r="I5027"/>
    </row>
    <row r="5028" spans="1:9" x14ac:dyDescent="0.3">
      <c r="A5028" t="s">
        <v>6</v>
      </c>
      <c r="B5028" t="s">
        <v>17</v>
      </c>
      <c r="C5028" t="s">
        <v>99</v>
      </c>
      <c r="D5028" s="9" t="s">
        <v>98</v>
      </c>
      <c r="E5028" t="s">
        <v>33</v>
      </c>
      <c r="F5028" t="s">
        <v>63</v>
      </c>
      <c r="G5028">
        <v>103.4</v>
      </c>
      <c r="H5028" s="9">
        <v>-9.77</v>
      </c>
      <c r="I5028"/>
    </row>
    <row r="5029" spans="1:9" x14ac:dyDescent="0.3">
      <c r="A5029" t="s">
        <v>6</v>
      </c>
      <c r="B5029" t="s">
        <v>17</v>
      </c>
      <c r="C5029" t="s">
        <v>100</v>
      </c>
      <c r="D5029" s="9" t="s">
        <v>98</v>
      </c>
      <c r="E5029" t="s">
        <v>34</v>
      </c>
      <c r="F5029" t="s">
        <v>65</v>
      </c>
      <c r="G5029">
        <v>116.1</v>
      </c>
      <c r="H5029" s="9">
        <v>-18.41</v>
      </c>
      <c r="I5029"/>
    </row>
    <row r="5030" spans="1:9" x14ac:dyDescent="0.3">
      <c r="A5030" t="s">
        <v>6</v>
      </c>
      <c r="B5030" t="s">
        <v>17</v>
      </c>
      <c r="C5030" t="s">
        <v>101</v>
      </c>
      <c r="D5030" s="9" t="s">
        <v>98</v>
      </c>
      <c r="E5030" t="s">
        <v>35</v>
      </c>
      <c r="F5030" t="s">
        <v>67</v>
      </c>
      <c r="G5030">
        <v>108.6</v>
      </c>
      <c r="H5030" s="9">
        <v>6.89</v>
      </c>
      <c r="I5030"/>
    </row>
    <row r="5031" spans="1:9" x14ac:dyDescent="0.3">
      <c r="A5031" t="s">
        <v>6</v>
      </c>
      <c r="B5031" t="s">
        <v>17</v>
      </c>
      <c r="C5031" t="s">
        <v>102</v>
      </c>
      <c r="D5031" s="9" t="s">
        <v>98</v>
      </c>
      <c r="E5031" t="s">
        <v>36</v>
      </c>
      <c r="F5031" t="s">
        <v>69</v>
      </c>
      <c r="G5031">
        <v>116.6</v>
      </c>
      <c r="H5031" s="9">
        <v>-4.5</v>
      </c>
      <c r="I5031"/>
    </row>
    <row r="5032" spans="1:9" x14ac:dyDescent="0.3">
      <c r="A5032" t="s">
        <v>6</v>
      </c>
      <c r="B5032" t="s">
        <v>17</v>
      </c>
      <c r="C5032" t="s">
        <v>103</v>
      </c>
      <c r="D5032" s="9" t="s">
        <v>98</v>
      </c>
      <c r="E5032" t="s">
        <v>37</v>
      </c>
      <c r="F5032" t="s">
        <v>71</v>
      </c>
      <c r="G5032">
        <v>108.3</v>
      </c>
      <c r="H5032" s="9">
        <v>-5.58</v>
      </c>
      <c r="I5032"/>
    </row>
    <row r="5033" spans="1:9" x14ac:dyDescent="0.3">
      <c r="A5033" t="s">
        <v>6</v>
      </c>
      <c r="B5033" t="s">
        <v>17</v>
      </c>
      <c r="C5033" t="s">
        <v>104</v>
      </c>
      <c r="D5033" s="9" t="s">
        <v>98</v>
      </c>
      <c r="E5033" t="s">
        <v>38</v>
      </c>
      <c r="F5033" t="s">
        <v>73</v>
      </c>
      <c r="G5033">
        <v>109.7</v>
      </c>
      <c r="H5033" s="9">
        <v>-8.58</v>
      </c>
      <c r="I5033"/>
    </row>
    <row r="5034" spans="1:9" x14ac:dyDescent="0.3">
      <c r="A5034" t="s">
        <v>6</v>
      </c>
      <c r="B5034" t="s">
        <v>17</v>
      </c>
      <c r="C5034" t="s">
        <v>105</v>
      </c>
      <c r="D5034" s="9" t="s">
        <v>98</v>
      </c>
      <c r="E5034" t="s">
        <v>39</v>
      </c>
      <c r="F5034" t="s">
        <v>75</v>
      </c>
      <c r="G5034">
        <v>117.8</v>
      </c>
      <c r="H5034" s="9">
        <v>-1.0900000000000001</v>
      </c>
      <c r="I5034"/>
    </row>
    <row r="5035" spans="1:9" x14ac:dyDescent="0.3">
      <c r="A5035" t="s">
        <v>6</v>
      </c>
      <c r="B5035" t="s">
        <v>17</v>
      </c>
      <c r="C5035" t="s">
        <v>106</v>
      </c>
      <c r="D5035" s="9" t="s">
        <v>98</v>
      </c>
      <c r="E5035" t="s">
        <v>40</v>
      </c>
      <c r="F5035" t="s">
        <v>77</v>
      </c>
      <c r="G5035">
        <v>117.4</v>
      </c>
      <c r="H5035" s="9">
        <v>1.65</v>
      </c>
      <c r="I5035"/>
    </row>
    <row r="5036" spans="1:9" x14ac:dyDescent="0.3">
      <c r="A5036" t="s">
        <v>6</v>
      </c>
      <c r="B5036" t="s">
        <v>17</v>
      </c>
      <c r="C5036" t="s">
        <v>107</v>
      </c>
      <c r="D5036" s="9" t="s">
        <v>98</v>
      </c>
      <c r="E5036" t="s">
        <v>41</v>
      </c>
      <c r="F5036" t="s">
        <v>79</v>
      </c>
      <c r="G5036">
        <v>122.9</v>
      </c>
      <c r="H5036" s="9">
        <v>-1.1299999999999999</v>
      </c>
      <c r="I5036"/>
    </row>
    <row r="5037" spans="1:9" x14ac:dyDescent="0.3">
      <c r="A5037" t="s">
        <v>6</v>
      </c>
      <c r="B5037" t="s">
        <v>17</v>
      </c>
      <c r="C5037" t="s">
        <v>108</v>
      </c>
      <c r="D5037" s="9" t="s">
        <v>98</v>
      </c>
      <c r="E5037" t="s">
        <v>42</v>
      </c>
      <c r="F5037" t="s">
        <v>81</v>
      </c>
      <c r="G5037">
        <v>132</v>
      </c>
      <c r="H5037" s="9">
        <v>6.45</v>
      </c>
      <c r="I5037"/>
    </row>
    <row r="5038" spans="1:9" x14ac:dyDescent="0.3">
      <c r="A5038" t="s">
        <v>6</v>
      </c>
      <c r="B5038" t="s">
        <v>17</v>
      </c>
      <c r="C5038" t="s">
        <v>109</v>
      </c>
      <c r="D5038" s="9" t="s">
        <v>98</v>
      </c>
      <c r="E5038" t="s">
        <v>43</v>
      </c>
      <c r="F5038" t="s">
        <v>83</v>
      </c>
      <c r="G5038">
        <v>147.80000000000001</v>
      </c>
      <c r="H5038" s="9">
        <v>1.03</v>
      </c>
      <c r="I5038"/>
    </row>
    <row r="5039" spans="1:9" x14ac:dyDescent="0.3">
      <c r="A5039" t="s">
        <v>6</v>
      </c>
      <c r="B5039" t="s">
        <v>17</v>
      </c>
      <c r="C5039" t="s">
        <v>110</v>
      </c>
      <c r="D5039" s="9" t="s">
        <v>111</v>
      </c>
      <c r="E5039" t="s">
        <v>32</v>
      </c>
      <c r="F5039" t="s">
        <v>61</v>
      </c>
      <c r="G5039">
        <v>121.3</v>
      </c>
      <c r="H5039" s="9">
        <v>15.09</v>
      </c>
      <c r="I5039"/>
    </row>
    <row r="5040" spans="1:9" x14ac:dyDescent="0.3">
      <c r="A5040" t="s">
        <v>6</v>
      </c>
      <c r="B5040" t="s">
        <v>17</v>
      </c>
      <c r="C5040" t="s">
        <v>112</v>
      </c>
      <c r="D5040" s="9" t="s">
        <v>111</v>
      </c>
      <c r="E5040" t="s">
        <v>33</v>
      </c>
      <c r="F5040" t="s">
        <v>63</v>
      </c>
      <c r="G5040">
        <v>120.6</v>
      </c>
      <c r="H5040" s="9">
        <v>16.63</v>
      </c>
      <c r="I5040"/>
    </row>
    <row r="5041" spans="1:9" x14ac:dyDescent="0.3">
      <c r="A5041" t="s">
        <v>6</v>
      </c>
      <c r="B5041" t="s">
        <v>17</v>
      </c>
      <c r="C5041" t="s">
        <v>113</v>
      </c>
      <c r="D5041" s="9" t="s">
        <v>111</v>
      </c>
      <c r="E5041" t="s">
        <v>34</v>
      </c>
      <c r="F5041" t="s">
        <v>65</v>
      </c>
      <c r="G5041">
        <v>138.5</v>
      </c>
      <c r="H5041" s="9">
        <v>19.29</v>
      </c>
      <c r="I5041"/>
    </row>
    <row r="5042" spans="1:9" x14ac:dyDescent="0.3">
      <c r="A5042" t="s">
        <v>6</v>
      </c>
      <c r="B5042" t="s">
        <v>17</v>
      </c>
      <c r="C5042" t="s">
        <v>114</v>
      </c>
      <c r="D5042" s="9" t="s">
        <v>111</v>
      </c>
      <c r="E5042" t="s">
        <v>35</v>
      </c>
      <c r="F5042" t="s">
        <v>67</v>
      </c>
      <c r="G5042">
        <v>129.69999999999999</v>
      </c>
      <c r="H5042" s="9">
        <v>19.43</v>
      </c>
      <c r="I5042"/>
    </row>
    <row r="5043" spans="1:9" x14ac:dyDescent="0.3">
      <c r="A5043" t="s">
        <v>6</v>
      </c>
      <c r="B5043" t="s">
        <v>17</v>
      </c>
      <c r="C5043" t="s">
        <v>115</v>
      </c>
      <c r="D5043" s="9" t="s">
        <v>111</v>
      </c>
      <c r="E5043" t="s">
        <v>36</v>
      </c>
      <c r="F5043" t="s">
        <v>69</v>
      </c>
      <c r="G5043">
        <v>144.5</v>
      </c>
      <c r="H5043" s="9">
        <v>23.93</v>
      </c>
      <c r="I5043"/>
    </row>
    <row r="5044" spans="1:9" x14ac:dyDescent="0.3">
      <c r="A5044" t="s">
        <v>6</v>
      </c>
      <c r="B5044" t="s">
        <v>17</v>
      </c>
      <c r="C5044" t="s">
        <v>116</v>
      </c>
      <c r="D5044" s="9" t="s">
        <v>111</v>
      </c>
      <c r="E5044" t="s">
        <v>37</v>
      </c>
      <c r="F5044" t="s">
        <v>71</v>
      </c>
      <c r="G5044">
        <v>138.80000000000001</v>
      </c>
      <c r="H5044" s="9">
        <v>28.16</v>
      </c>
      <c r="I5044"/>
    </row>
    <row r="5045" spans="1:9" x14ac:dyDescent="0.3">
      <c r="A5045" t="s">
        <v>6</v>
      </c>
      <c r="B5045" t="s">
        <v>17</v>
      </c>
      <c r="C5045" t="s">
        <v>117</v>
      </c>
      <c r="D5045" s="9" t="s">
        <v>111</v>
      </c>
      <c r="E5045" t="s">
        <v>38</v>
      </c>
      <c r="F5045" t="s">
        <v>73</v>
      </c>
      <c r="G5045">
        <v>138.6</v>
      </c>
      <c r="H5045" s="9">
        <v>26.34</v>
      </c>
      <c r="I5045"/>
    </row>
    <row r="5046" spans="1:9" x14ac:dyDescent="0.3">
      <c r="A5046" t="s">
        <v>6</v>
      </c>
      <c r="B5046" t="s">
        <v>17</v>
      </c>
      <c r="C5046" t="s">
        <v>118</v>
      </c>
      <c r="D5046" s="9" t="s">
        <v>111</v>
      </c>
      <c r="E5046" t="s">
        <v>39</v>
      </c>
      <c r="F5046" t="s">
        <v>75</v>
      </c>
      <c r="G5046">
        <v>135.6</v>
      </c>
      <c r="H5046" s="9">
        <v>15.11</v>
      </c>
      <c r="I5046"/>
    </row>
    <row r="5047" spans="1:9" x14ac:dyDescent="0.3">
      <c r="A5047" t="s">
        <v>6</v>
      </c>
      <c r="B5047" t="s">
        <v>17</v>
      </c>
      <c r="C5047" t="s">
        <v>119</v>
      </c>
      <c r="D5047" s="9" t="s">
        <v>111</v>
      </c>
      <c r="E5047" t="s">
        <v>40</v>
      </c>
      <c r="F5047" t="s">
        <v>77</v>
      </c>
      <c r="G5047">
        <v>136.6</v>
      </c>
      <c r="H5047" s="9">
        <v>16.350000000000001</v>
      </c>
      <c r="I5047"/>
    </row>
    <row r="5048" spans="1:9" x14ac:dyDescent="0.3">
      <c r="A5048" t="s">
        <v>6</v>
      </c>
      <c r="B5048" t="s">
        <v>17</v>
      </c>
      <c r="C5048" t="s">
        <v>120</v>
      </c>
      <c r="D5048" s="9" t="s">
        <v>111</v>
      </c>
      <c r="E5048" t="s">
        <v>41</v>
      </c>
      <c r="F5048" t="s">
        <v>79</v>
      </c>
      <c r="G5048">
        <v>135</v>
      </c>
      <c r="H5048" s="9">
        <v>9.85</v>
      </c>
      <c r="I5048"/>
    </row>
    <row r="5049" spans="1:9" x14ac:dyDescent="0.3">
      <c r="A5049" t="s">
        <v>6</v>
      </c>
      <c r="B5049" t="s">
        <v>17</v>
      </c>
      <c r="C5049" t="s">
        <v>121</v>
      </c>
      <c r="D5049" s="9" t="s">
        <v>111</v>
      </c>
      <c r="E5049" t="s">
        <v>42</v>
      </c>
      <c r="F5049" t="s">
        <v>81</v>
      </c>
      <c r="G5049">
        <v>144.6</v>
      </c>
      <c r="H5049" s="9">
        <v>9.5500000000000007</v>
      </c>
      <c r="I5049"/>
    </row>
    <row r="5050" spans="1:9" x14ac:dyDescent="0.3">
      <c r="A5050" t="s">
        <v>6</v>
      </c>
      <c r="B5050" t="s">
        <v>17</v>
      </c>
      <c r="C5050" t="s">
        <v>122</v>
      </c>
      <c r="D5050" s="9" t="s">
        <v>111</v>
      </c>
      <c r="E5050" t="s">
        <v>43</v>
      </c>
      <c r="F5050" t="s">
        <v>83</v>
      </c>
      <c r="G5050">
        <v>182.1</v>
      </c>
      <c r="H5050" s="9">
        <v>23.21</v>
      </c>
      <c r="I5050"/>
    </row>
    <row r="5051" spans="1:9" x14ac:dyDescent="0.3">
      <c r="A5051" t="s">
        <v>6</v>
      </c>
      <c r="B5051" t="s">
        <v>17</v>
      </c>
      <c r="C5051" t="s">
        <v>123</v>
      </c>
      <c r="D5051" s="9" t="s">
        <v>124</v>
      </c>
      <c r="E5051" t="s">
        <v>32</v>
      </c>
      <c r="F5051" t="s">
        <v>61</v>
      </c>
      <c r="G5051">
        <v>133.5</v>
      </c>
      <c r="H5051" s="9">
        <v>10.06</v>
      </c>
      <c r="I5051"/>
    </row>
    <row r="5052" spans="1:9" x14ac:dyDescent="0.3">
      <c r="A5052" t="s">
        <v>6</v>
      </c>
      <c r="B5052" t="s">
        <v>17</v>
      </c>
      <c r="C5052" t="s">
        <v>125</v>
      </c>
      <c r="D5052" s="9" t="s">
        <v>124</v>
      </c>
      <c r="E5052" t="s">
        <v>33</v>
      </c>
      <c r="F5052" t="s">
        <v>63</v>
      </c>
      <c r="G5052">
        <v>131.1</v>
      </c>
      <c r="H5052" s="9">
        <v>8.7100000000000009</v>
      </c>
      <c r="I5052"/>
    </row>
    <row r="5053" spans="1:9" x14ac:dyDescent="0.3">
      <c r="A5053" t="s">
        <v>6</v>
      </c>
      <c r="B5053" t="s">
        <v>17</v>
      </c>
      <c r="C5053" t="s">
        <v>126</v>
      </c>
      <c r="D5053" s="9" t="s">
        <v>124</v>
      </c>
      <c r="E5053" t="s">
        <v>34</v>
      </c>
      <c r="F5053" t="s">
        <v>65</v>
      </c>
      <c r="G5053">
        <v>151</v>
      </c>
      <c r="H5053" s="9">
        <v>9.0299999999999994</v>
      </c>
      <c r="I5053"/>
    </row>
    <row r="5054" spans="1:9" x14ac:dyDescent="0.3">
      <c r="A5054" t="s">
        <v>6</v>
      </c>
      <c r="B5054" t="s">
        <v>17</v>
      </c>
      <c r="C5054" t="s">
        <v>127</v>
      </c>
      <c r="D5054" s="9" t="s">
        <v>124</v>
      </c>
      <c r="E5054" t="s">
        <v>35</v>
      </c>
      <c r="F5054" t="s">
        <v>67</v>
      </c>
      <c r="G5054">
        <v>143.4</v>
      </c>
      <c r="H5054" s="9">
        <v>10.56</v>
      </c>
      <c r="I5054"/>
    </row>
    <row r="5055" spans="1:9" x14ac:dyDescent="0.3">
      <c r="A5055" t="s">
        <v>6</v>
      </c>
      <c r="B5055" t="s">
        <v>17</v>
      </c>
      <c r="C5055" t="s">
        <v>128</v>
      </c>
      <c r="D5055" s="9" t="s">
        <v>124</v>
      </c>
      <c r="E5055" t="s">
        <v>36</v>
      </c>
      <c r="F5055" t="s">
        <v>69</v>
      </c>
      <c r="G5055">
        <v>168.3</v>
      </c>
      <c r="H5055" s="9">
        <v>16.47</v>
      </c>
      <c r="I5055"/>
    </row>
    <row r="5056" spans="1:9" x14ac:dyDescent="0.3">
      <c r="A5056" t="s">
        <v>6</v>
      </c>
      <c r="B5056" t="s">
        <v>17</v>
      </c>
      <c r="C5056" t="s">
        <v>129</v>
      </c>
      <c r="D5056" s="9" t="s">
        <v>124</v>
      </c>
      <c r="E5056" t="s">
        <v>37</v>
      </c>
      <c r="F5056" t="s">
        <v>71</v>
      </c>
      <c r="G5056">
        <v>150.1</v>
      </c>
      <c r="H5056" s="9">
        <v>8.14</v>
      </c>
      <c r="I5056"/>
    </row>
    <row r="5057" spans="1:9" x14ac:dyDescent="0.3">
      <c r="A5057" t="s">
        <v>6</v>
      </c>
      <c r="B5057" t="s">
        <v>17</v>
      </c>
      <c r="C5057" t="s">
        <v>130</v>
      </c>
      <c r="D5057" s="9" t="s">
        <v>124</v>
      </c>
      <c r="E5057" t="s">
        <v>38</v>
      </c>
      <c r="F5057" t="s">
        <v>73</v>
      </c>
      <c r="G5057">
        <v>151.30000000000001</v>
      </c>
      <c r="H5057" s="9">
        <v>9.16</v>
      </c>
      <c r="I5057"/>
    </row>
    <row r="5058" spans="1:9" x14ac:dyDescent="0.3">
      <c r="A5058" t="s">
        <v>6</v>
      </c>
      <c r="B5058" t="s">
        <v>17</v>
      </c>
      <c r="C5058" t="s">
        <v>131</v>
      </c>
      <c r="D5058" s="9" t="s">
        <v>124</v>
      </c>
      <c r="E5058" t="s">
        <v>39</v>
      </c>
      <c r="F5058" t="s">
        <v>75</v>
      </c>
      <c r="G5058">
        <v>157.9</v>
      </c>
      <c r="H5058" s="9">
        <v>16.45</v>
      </c>
      <c r="I5058"/>
    </row>
    <row r="5059" spans="1:9" x14ac:dyDescent="0.3">
      <c r="A5059" t="s">
        <v>6</v>
      </c>
      <c r="B5059" t="s">
        <v>17</v>
      </c>
      <c r="C5059" t="s">
        <v>132</v>
      </c>
      <c r="D5059" s="9" t="s">
        <v>124</v>
      </c>
      <c r="E5059" t="s">
        <v>40</v>
      </c>
      <c r="F5059" t="s">
        <v>77</v>
      </c>
      <c r="G5059">
        <v>156.4</v>
      </c>
      <c r="H5059" s="9">
        <v>14.49</v>
      </c>
      <c r="I5059"/>
    </row>
    <row r="5060" spans="1:9" x14ac:dyDescent="0.3">
      <c r="A5060" t="s">
        <v>6</v>
      </c>
      <c r="B5060" t="s">
        <v>17</v>
      </c>
      <c r="C5060" t="s">
        <v>133</v>
      </c>
      <c r="D5060" s="9" t="s">
        <v>124</v>
      </c>
      <c r="E5060" t="s">
        <v>41</v>
      </c>
      <c r="F5060" t="s">
        <v>79</v>
      </c>
      <c r="G5060">
        <v>164.1</v>
      </c>
      <c r="H5060" s="9">
        <v>21.56</v>
      </c>
      <c r="I5060"/>
    </row>
    <row r="5061" spans="1:9" x14ac:dyDescent="0.3">
      <c r="A5061" t="s">
        <v>6</v>
      </c>
      <c r="B5061" t="s">
        <v>17</v>
      </c>
      <c r="C5061" t="s">
        <v>134</v>
      </c>
      <c r="D5061" s="9" t="s">
        <v>124</v>
      </c>
      <c r="E5061" t="s">
        <v>42</v>
      </c>
      <c r="F5061" t="s">
        <v>81</v>
      </c>
      <c r="G5061">
        <v>174.3</v>
      </c>
      <c r="H5061" s="9">
        <v>20.54</v>
      </c>
      <c r="I5061"/>
    </row>
    <row r="5062" spans="1:9" x14ac:dyDescent="0.3">
      <c r="A5062" t="s">
        <v>6</v>
      </c>
      <c r="B5062" t="s">
        <v>17</v>
      </c>
      <c r="C5062" t="s">
        <v>135</v>
      </c>
      <c r="D5062" s="9" t="s">
        <v>124</v>
      </c>
      <c r="E5062" t="s">
        <v>43</v>
      </c>
      <c r="F5062" t="s">
        <v>83</v>
      </c>
      <c r="G5062">
        <v>204.4</v>
      </c>
      <c r="H5062" s="9">
        <v>12.25</v>
      </c>
      <c r="I5062"/>
    </row>
    <row r="5063" spans="1:9" x14ac:dyDescent="0.3">
      <c r="A5063" t="s">
        <v>6</v>
      </c>
      <c r="B5063" t="s">
        <v>17</v>
      </c>
      <c r="C5063" t="s">
        <v>136</v>
      </c>
      <c r="D5063" s="9" t="s">
        <v>137</v>
      </c>
      <c r="E5063" t="s">
        <v>32</v>
      </c>
      <c r="F5063" t="s">
        <v>61</v>
      </c>
      <c r="G5063">
        <v>160.30000000000001</v>
      </c>
      <c r="H5063" s="9">
        <v>20.07</v>
      </c>
      <c r="I5063"/>
    </row>
    <row r="5064" spans="1:9" x14ac:dyDescent="0.3">
      <c r="A5064" t="s">
        <v>6</v>
      </c>
      <c r="B5064" t="s">
        <v>17</v>
      </c>
      <c r="C5064" t="s">
        <v>138</v>
      </c>
      <c r="D5064" s="9" t="s">
        <v>137</v>
      </c>
      <c r="E5064" t="s">
        <v>33</v>
      </c>
      <c r="F5064" t="s">
        <v>63</v>
      </c>
      <c r="G5064">
        <v>151.6</v>
      </c>
      <c r="H5064" s="9">
        <v>15.64</v>
      </c>
      <c r="I5064"/>
    </row>
    <row r="5065" spans="1:9" x14ac:dyDescent="0.3">
      <c r="A5065" t="s">
        <v>6</v>
      </c>
      <c r="B5065" t="s">
        <v>17</v>
      </c>
      <c r="C5065" t="s">
        <v>139</v>
      </c>
      <c r="D5065" s="9" t="s">
        <v>137</v>
      </c>
      <c r="E5065" t="s">
        <v>34</v>
      </c>
      <c r="F5065" t="s">
        <v>65</v>
      </c>
      <c r="G5065">
        <v>156.69999999999999</v>
      </c>
      <c r="H5065" s="9">
        <v>3.77</v>
      </c>
      <c r="I5065"/>
    </row>
    <row r="5066" spans="1:9" x14ac:dyDescent="0.3">
      <c r="A5066" t="s">
        <v>6</v>
      </c>
      <c r="B5066" t="s">
        <v>17</v>
      </c>
      <c r="C5066" t="s">
        <v>140</v>
      </c>
      <c r="D5066" s="9" t="s">
        <v>137</v>
      </c>
      <c r="E5066" t="s">
        <v>35</v>
      </c>
      <c r="F5066" t="s">
        <v>67</v>
      </c>
      <c r="G5066">
        <v>150.6</v>
      </c>
      <c r="H5066" s="9">
        <v>5.0199999999999996</v>
      </c>
      <c r="I5066"/>
    </row>
    <row r="5067" spans="1:9" x14ac:dyDescent="0.3">
      <c r="A5067" t="s">
        <v>6</v>
      </c>
      <c r="B5067" t="s">
        <v>17</v>
      </c>
      <c r="C5067" t="s">
        <v>141</v>
      </c>
      <c r="D5067" s="9" t="s">
        <v>137</v>
      </c>
      <c r="E5067" t="s">
        <v>36</v>
      </c>
      <c r="F5067" t="s">
        <v>69</v>
      </c>
      <c r="G5067">
        <v>170.3</v>
      </c>
      <c r="H5067" s="9">
        <v>1.19</v>
      </c>
      <c r="I5067"/>
    </row>
    <row r="5068" spans="1:9" x14ac:dyDescent="0.3">
      <c r="A5068" t="s">
        <v>6</v>
      </c>
      <c r="B5068" t="s">
        <v>17</v>
      </c>
      <c r="C5068" t="s">
        <v>142</v>
      </c>
      <c r="D5068" s="9" t="s">
        <v>137</v>
      </c>
      <c r="E5068" t="s">
        <v>37</v>
      </c>
      <c r="F5068" t="s">
        <v>71</v>
      </c>
      <c r="G5068">
        <v>155.1</v>
      </c>
      <c r="H5068" s="9">
        <v>3.33</v>
      </c>
      <c r="I5068"/>
    </row>
    <row r="5069" spans="1:9" x14ac:dyDescent="0.3">
      <c r="A5069" t="s">
        <v>6</v>
      </c>
      <c r="B5069" t="s">
        <v>17</v>
      </c>
      <c r="C5069" t="s">
        <v>143</v>
      </c>
      <c r="D5069" s="9" t="s">
        <v>137</v>
      </c>
      <c r="E5069" t="s">
        <v>38</v>
      </c>
      <c r="F5069" t="s">
        <v>73</v>
      </c>
      <c r="G5069">
        <v>164.5</v>
      </c>
      <c r="H5069" s="9">
        <v>8.7200000000000006</v>
      </c>
      <c r="I5069"/>
    </row>
    <row r="5070" spans="1:9" x14ac:dyDescent="0.3">
      <c r="A5070" t="s">
        <v>6</v>
      </c>
      <c r="B5070" t="s">
        <v>17</v>
      </c>
      <c r="C5070" t="s">
        <v>144</v>
      </c>
      <c r="D5070" s="9" t="s">
        <v>137</v>
      </c>
      <c r="E5070" t="s">
        <v>39</v>
      </c>
      <c r="F5070" t="s">
        <v>75</v>
      </c>
      <c r="G5070">
        <v>168.1</v>
      </c>
      <c r="H5070" s="9">
        <v>6.46</v>
      </c>
      <c r="I5070"/>
    </row>
    <row r="5071" spans="1:9" x14ac:dyDescent="0.3">
      <c r="A5071" t="s">
        <v>6</v>
      </c>
      <c r="B5071" t="s">
        <v>17</v>
      </c>
      <c r="C5071" t="s">
        <v>145</v>
      </c>
      <c r="D5071" s="9" t="s">
        <v>137</v>
      </c>
      <c r="E5071" t="s">
        <v>40</v>
      </c>
      <c r="F5071" t="s">
        <v>77</v>
      </c>
      <c r="G5071">
        <v>163.6</v>
      </c>
      <c r="H5071" s="9">
        <v>4.5999999999999996</v>
      </c>
      <c r="I5071"/>
    </row>
    <row r="5072" spans="1:9" x14ac:dyDescent="0.3">
      <c r="A5072" t="s">
        <v>6</v>
      </c>
      <c r="B5072" t="s">
        <v>17</v>
      </c>
      <c r="C5072" t="s">
        <v>146</v>
      </c>
      <c r="D5072" s="9" t="s">
        <v>137</v>
      </c>
      <c r="E5072" t="s">
        <v>41</v>
      </c>
      <c r="F5072" t="s">
        <v>79</v>
      </c>
      <c r="G5072">
        <v>173.6</v>
      </c>
      <c r="H5072" s="9">
        <v>5.79</v>
      </c>
      <c r="I5072"/>
    </row>
    <row r="5073" spans="1:9" x14ac:dyDescent="0.3">
      <c r="A5073" t="s">
        <v>6</v>
      </c>
      <c r="B5073" t="s">
        <v>17</v>
      </c>
      <c r="C5073" t="s">
        <v>147</v>
      </c>
      <c r="D5073" s="9" t="s">
        <v>137</v>
      </c>
      <c r="E5073" t="s">
        <v>42</v>
      </c>
      <c r="F5073" t="s">
        <v>81</v>
      </c>
      <c r="G5073">
        <v>175.9</v>
      </c>
      <c r="H5073" s="9">
        <v>0.92</v>
      </c>
      <c r="I5073"/>
    </row>
    <row r="5074" spans="1:9" x14ac:dyDescent="0.3">
      <c r="A5074" t="s">
        <v>6</v>
      </c>
      <c r="B5074" t="s">
        <v>17</v>
      </c>
      <c r="C5074" t="s">
        <v>148</v>
      </c>
      <c r="D5074" s="9" t="s">
        <v>137</v>
      </c>
      <c r="E5074" t="s">
        <v>43</v>
      </c>
      <c r="F5074" t="s">
        <v>83</v>
      </c>
      <c r="G5074">
        <v>200.6</v>
      </c>
      <c r="H5074" s="9">
        <v>-1.86</v>
      </c>
      <c r="I5074"/>
    </row>
    <row r="5075" spans="1:9" x14ac:dyDescent="0.3">
      <c r="A5075" t="s">
        <v>6</v>
      </c>
      <c r="B5075" t="s">
        <v>17</v>
      </c>
      <c r="C5075" t="s">
        <v>149</v>
      </c>
      <c r="D5075" s="9" t="s">
        <v>150</v>
      </c>
      <c r="E5075" t="s">
        <v>32</v>
      </c>
      <c r="F5075" t="s">
        <v>61</v>
      </c>
      <c r="G5075">
        <v>162.9</v>
      </c>
      <c r="H5075" s="9">
        <v>1.62</v>
      </c>
      <c r="I5075"/>
    </row>
    <row r="5076" spans="1:9" x14ac:dyDescent="0.3">
      <c r="A5076" t="s">
        <v>6</v>
      </c>
      <c r="B5076" t="s">
        <v>17</v>
      </c>
      <c r="C5076" t="s">
        <v>151</v>
      </c>
      <c r="D5076" s="9" t="s">
        <v>150</v>
      </c>
      <c r="E5076" t="s">
        <v>33</v>
      </c>
      <c r="F5076" t="s">
        <v>63</v>
      </c>
      <c r="G5076">
        <v>152.9</v>
      </c>
      <c r="H5076" s="9">
        <v>0.86</v>
      </c>
      <c r="I5076"/>
    </row>
    <row r="5077" spans="1:9" x14ac:dyDescent="0.3">
      <c r="A5077" t="s">
        <v>6</v>
      </c>
      <c r="B5077" t="s">
        <v>17</v>
      </c>
      <c r="C5077" t="s">
        <v>152</v>
      </c>
      <c r="D5077" s="9" t="s">
        <v>150</v>
      </c>
      <c r="E5077" t="s">
        <v>34</v>
      </c>
      <c r="F5077" t="s">
        <v>65</v>
      </c>
      <c r="G5077">
        <v>165.3</v>
      </c>
      <c r="H5077" s="9">
        <v>5.49</v>
      </c>
      <c r="I5077"/>
    </row>
    <row r="5078" spans="1:9" x14ac:dyDescent="0.3">
      <c r="A5078" t="s">
        <v>6</v>
      </c>
      <c r="B5078" t="s">
        <v>17</v>
      </c>
      <c r="C5078" t="s">
        <v>153</v>
      </c>
      <c r="D5078" s="9" t="s">
        <v>150</v>
      </c>
      <c r="E5078" t="s">
        <v>35</v>
      </c>
      <c r="F5078" t="s">
        <v>67</v>
      </c>
      <c r="G5078">
        <v>163.1</v>
      </c>
      <c r="H5078" s="9">
        <v>8.3000000000000007</v>
      </c>
      <c r="I5078"/>
    </row>
    <row r="5079" spans="1:9" x14ac:dyDescent="0.3">
      <c r="A5079" t="s">
        <v>6</v>
      </c>
      <c r="B5079" t="s">
        <v>17</v>
      </c>
      <c r="C5079" t="s">
        <v>154</v>
      </c>
      <c r="D5079" s="9" t="s">
        <v>150</v>
      </c>
      <c r="E5079" t="s">
        <v>36</v>
      </c>
      <c r="F5079" t="s">
        <v>69</v>
      </c>
      <c r="G5079">
        <v>184.7</v>
      </c>
      <c r="H5079" s="9">
        <v>8.4600000000000009</v>
      </c>
      <c r="I5079"/>
    </row>
    <row r="5080" spans="1:9" x14ac:dyDescent="0.3">
      <c r="A5080" t="s">
        <v>6</v>
      </c>
      <c r="B5080" t="s">
        <v>17</v>
      </c>
      <c r="C5080" t="s">
        <v>155</v>
      </c>
      <c r="D5080" s="9" t="s">
        <v>150</v>
      </c>
      <c r="E5080" t="s">
        <v>37</v>
      </c>
      <c r="F5080" t="s">
        <v>71</v>
      </c>
      <c r="G5080">
        <v>170.7</v>
      </c>
      <c r="H5080" s="9">
        <v>10.06</v>
      </c>
      <c r="I5080"/>
    </row>
    <row r="5081" spans="1:9" x14ac:dyDescent="0.3">
      <c r="A5081" t="s">
        <v>6</v>
      </c>
      <c r="B5081" t="s">
        <v>11</v>
      </c>
      <c r="C5081" t="s">
        <v>59</v>
      </c>
      <c r="D5081" s="9" t="s">
        <v>60</v>
      </c>
      <c r="E5081" t="s">
        <v>32</v>
      </c>
      <c r="F5081" t="s">
        <v>61</v>
      </c>
      <c r="G5081">
        <v>711</v>
      </c>
      <c r="I5081"/>
    </row>
    <row r="5082" spans="1:9" x14ac:dyDescent="0.3">
      <c r="A5082" t="s">
        <v>6</v>
      </c>
      <c r="B5082" t="s">
        <v>11</v>
      </c>
      <c r="C5082" t="s">
        <v>62</v>
      </c>
      <c r="D5082" s="9" t="s">
        <v>60</v>
      </c>
      <c r="E5082" t="s">
        <v>33</v>
      </c>
      <c r="F5082" t="s">
        <v>63</v>
      </c>
      <c r="G5082">
        <v>641.79999999999995</v>
      </c>
      <c r="I5082"/>
    </row>
    <row r="5083" spans="1:9" x14ac:dyDescent="0.3">
      <c r="A5083" t="s">
        <v>6</v>
      </c>
      <c r="B5083" t="s">
        <v>11</v>
      </c>
      <c r="C5083" t="s">
        <v>64</v>
      </c>
      <c r="D5083" s="9" t="s">
        <v>60</v>
      </c>
      <c r="E5083" t="s">
        <v>34</v>
      </c>
      <c r="F5083" t="s">
        <v>65</v>
      </c>
      <c r="G5083">
        <v>711.7</v>
      </c>
      <c r="I5083"/>
    </row>
    <row r="5084" spans="1:9" x14ac:dyDescent="0.3">
      <c r="A5084" t="s">
        <v>6</v>
      </c>
      <c r="B5084" t="s">
        <v>11</v>
      </c>
      <c r="C5084" t="s">
        <v>66</v>
      </c>
      <c r="D5084" s="9" t="s">
        <v>60</v>
      </c>
      <c r="E5084" t="s">
        <v>35</v>
      </c>
      <c r="F5084" t="s">
        <v>67</v>
      </c>
      <c r="G5084">
        <v>683.3</v>
      </c>
      <c r="I5084"/>
    </row>
    <row r="5085" spans="1:9" x14ac:dyDescent="0.3">
      <c r="A5085" t="s">
        <v>6</v>
      </c>
      <c r="B5085" t="s">
        <v>11</v>
      </c>
      <c r="C5085" t="s">
        <v>68</v>
      </c>
      <c r="D5085" s="9" t="s">
        <v>60</v>
      </c>
      <c r="E5085" t="s">
        <v>36</v>
      </c>
      <c r="F5085" t="s">
        <v>69</v>
      </c>
      <c r="G5085">
        <v>682</v>
      </c>
      <c r="I5085"/>
    </row>
    <row r="5086" spans="1:9" x14ac:dyDescent="0.3">
      <c r="A5086" t="s">
        <v>6</v>
      </c>
      <c r="B5086" t="s">
        <v>11</v>
      </c>
      <c r="C5086" t="s">
        <v>70</v>
      </c>
      <c r="D5086" s="9" t="s">
        <v>60</v>
      </c>
      <c r="E5086" t="s">
        <v>37</v>
      </c>
      <c r="F5086" t="s">
        <v>71</v>
      </c>
      <c r="G5086">
        <v>653.1</v>
      </c>
      <c r="I5086"/>
    </row>
    <row r="5087" spans="1:9" x14ac:dyDescent="0.3">
      <c r="A5087" t="s">
        <v>6</v>
      </c>
      <c r="B5087" t="s">
        <v>11</v>
      </c>
      <c r="C5087" t="s">
        <v>72</v>
      </c>
      <c r="D5087" s="9" t="s">
        <v>60</v>
      </c>
      <c r="E5087" t="s">
        <v>38</v>
      </c>
      <c r="F5087" t="s">
        <v>73</v>
      </c>
      <c r="G5087">
        <v>669.5</v>
      </c>
      <c r="I5087"/>
    </row>
    <row r="5088" spans="1:9" x14ac:dyDescent="0.3">
      <c r="A5088" t="s">
        <v>6</v>
      </c>
      <c r="B5088" t="s">
        <v>11</v>
      </c>
      <c r="C5088" t="s">
        <v>74</v>
      </c>
      <c r="D5088" s="9" t="s">
        <v>60</v>
      </c>
      <c r="E5088" t="s">
        <v>39</v>
      </c>
      <c r="F5088" t="s">
        <v>75</v>
      </c>
      <c r="G5088">
        <v>694.3</v>
      </c>
      <c r="I5088"/>
    </row>
    <row r="5089" spans="1:9" x14ac:dyDescent="0.3">
      <c r="A5089" t="s">
        <v>6</v>
      </c>
      <c r="B5089" t="s">
        <v>11</v>
      </c>
      <c r="C5089" t="s">
        <v>76</v>
      </c>
      <c r="D5089" s="9" t="s">
        <v>60</v>
      </c>
      <c r="E5089" t="s">
        <v>40</v>
      </c>
      <c r="F5089" t="s">
        <v>77</v>
      </c>
      <c r="G5089">
        <v>676.2</v>
      </c>
      <c r="I5089"/>
    </row>
    <row r="5090" spans="1:9" x14ac:dyDescent="0.3">
      <c r="A5090" t="s">
        <v>6</v>
      </c>
      <c r="B5090" t="s">
        <v>11</v>
      </c>
      <c r="C5090" t="s">
        <v>78</v>
      </c>
      <c r="D5090" s="9" t="s">
        <v>60</v>
      </c>
      <c r="E5090" t="s">
        <v>41</v>
      </c>
      <c r="F5090" t="s">
        <v>79</v>
      </c>
      <c r="G5090">
        <v>707.5</v>
      </c>
      <c r="I5090"/>
    </row>
    <row r="5091" spans="1:9" x14ac:dyDescent="0.3">
      <c r="A5091" t="s">
        <v>6</v>
      </c>
      <c r="B5091" t="s">
        <v>11</v>
      </c>
      <c r="C5091" t="s">
        <v>80</v>
      </c>
      <c r="D5091" s="9" t="s">
        <v>60</v>
      </c>
      <c r="E5091" t="s">
        <v>42</v>
      </c>
      <c r="F5091" t="s">
        <v>81</v>
      </c>
      <c r="G5091">
        <v>710.9</v>
      </c>
      <c r="I5091"/>
    </row>
    <row r="5092" spans="1:9" x14ac:dyDescent="0.3">
      <c r="A5092" t="s">
        <v>6</v>
      </c>
      <c r="B5092" t="s">
        <v>11</v>
      </c>
      <c r="C5092" t="s">
        <v>82</v>
      </c>
      <c r="D5092" s="9" t="s">
        <v>60</v>
      </c>
      <c r="E5092" t="s">
        <v>43</v>
      </c>
      <c r="F5092" t="s">
        <v>83</v>
      </c>
      <c r="G5092">
        <v>788.7</v>
      </c>
      <c r="I5092"/>
    </row>
    <row r="5093" spans="1:9" x14ac:dyDescent="0.3">
      <c r="A5093" t="s">
        <v>6</v>
      </c>
      <c r="B5093" t="s">
        <v>11</v>
      </c>
      <c r="C5093" t="s">
        <v>84</v>
      </c>
      <c r="D5093" s="9" t="s">
        <v>85</v>
      </c>
      <c r="E5093" t="s">
        <v>32</v>
      </c>
      <c r="F5093" t="s">
        <v>61</v>
      </c>
      <c r="G5093">
        <v>711.6</v>
      </c>
      <c r="H5093" s="9">
        <v>0.08</v>
      </c>
      <c r="I5093"/>
    </row>
    <row r="5094" spans="1:9" x14ac:dyDescent="0.3">
      <c r="A5094" t="s">
        <v>6</v>
      </c>
      <c r="B5094" t="s">
        <v>11</v>
      </c>
      <c r="C5094" t="s">
        <v>86</v>
      </c>
      <c r="D5094" s="9" t="s">
        <v>85</v>
      </c>
      <c r="E5094" t="s">
        <v>33</v>
      </c>
      <c r="F5094" t="s">
        <v>63</v>
      </c>
      <c r="G5094">
        <v>675.9</v>
      </c>
      <c r="H5094" s="9">
        <v>5.31</v>
      </c>
      <c r="I5094"/>
    </row>
    <row r="5095" spans="1:9" x14ac:dyDescent="0.3">
      <c r="A5095" t="s">
        <v>6</v>
      </c>
      <c r="B5095" t="s">
        <v>11</v>
      </c>
      <c r="C5095" t="s">
        <v>87</v>
      </c>
      <c r="D5095" s="9" t="s">
        <v>85</v>
      </c>
      <c r="E5095" t="s">
        <v>34</v>
      </c>
      <c r="F5095" t="s">
        <v>65</v>
      </c>
      <c r="G5095">
        <v>862.7</v>
      </c>
      <c r="H5095" s="9">
        <v>21.22</v>
      </c>
      <c r="I5095"/>
    </row>
    <row r="5096" spans="1:9" x14ac:dyDescent="0.3">
      <c r="A5096" t="s">
        <v>6</v>
      </c>
      <c r="B5096" t="s">
        <v>11</v>
      </c>
      <c r="C5096" t="s">
        <v>88</v>
      </c>
      <c r="D5096" s="9" t="s">
        <v>85</v>
      </c>
      <c r="E5096" t="s">
        <v>35</v>
      </c>
      <c r="F5096" t="s">
        <v>67</v>
      </c>
      <c r="G5096">
        <v>702.2</v>
      </c>
      <c r="H5096" s="9">
        <v>2.77</v>
      </c>
      <c r="I5096"/>
    </row>
    <row r="5097" spans="1:9" x14ac:dyDescent="0.3">
      <c r="A5097" t="s">
        <v>6</v>
      </c>
      <c r="B5097" t="s">
        <v>11</v>
      </c>
      <c r="C5097" t="s">
        <v>89</v>
      </c>
      <c r="D5097" s="9" t="s">
        <v>85</v>
      </c>
      <c r="E5097" t="s">
        <v>36</v>
      </c>
      <c r="F5097" t="s">
        <v>69</v>
      </c>
      <c r="G5097">
        <v>742.6</v>
      </c>
      <c r="H5097" s="9">
        <v>8.89</v>
      </c>
      <c r="I5097"/>
    </row>
    <row r="5098" spans="1:9" x14ac:dyDescent="0.3">
      <c r="A5098" t="s">
        <v>6</v>
      </c>
      <c r="B5098" t="s">
        <v>11</v>
      </c>
      <c r="C5098" t="s">
        <v>90</v>
      </c>
      <c r="D5098" s="9" t="s">
        <v>85</v>
      </c>
      <c r="E5098" t="s">
        <v>37</v>
      </c>
      <c r="F5098" t="s">
        <v>71</v>
      </c>
      <c r="G5098">
        <v>712.1</v>
      </c>
      <c r="H5098" s="9">
        <v>9.0299999999999994</v>
      </c>
      <c r="I5098"/>
    </row>
    <row r="5099" spans="1:9" x14ac:dyDescent="0.3">
      <c r="A5099" t="s">
        <v>6</v>
      </c>
      <c r="B5099" t="s">
        <v>11</v>
      </c>
      <c r="C5099" t="s">
        <v>91</v>
      </c>
      <c r="D5099" s="9" t="s">
        <v>85</v>
      </c>
      <c r="E5099" t="s">
        <v>38</v>
      </c>
      <c r="F5099" t="s">
        <v>73</v>
      </c>
      <c r="G5099">
        <v>752.5</v>
      </c>
      <c r="H5099" s="9">
        <v>12.4</v>
      </c>
      <c r="I5099"/>
    </row>
    <row r="5100" spans="1:9" x14ac:dyDescent="0.3">
      <c r="A5100" t="s">
        <v>6</v>
      </c>
      <c r="B5100" t="s">
        <v>11</v>
      </c>
      <c r="C5100" t="s">
        <v>92</v>
      </c>
      <c r="D5100" s="9" t="s">
        <v>85</v>
      </c>
      <c r="E5100" t="s">
        <v>39</v>
      </c>
      <c r="F5100" t="s">
        <v>75</v>
      </c>
      <c r="G5100">
        <v>755.5</v>
      </c>
      <c r="H5100" s="9">
        <v>8.81</v>
      </c>
      <c r="I5100"/>
    </row>
    <row r="5101" spans="1:9" x14ac:dyDescent="0.3">
      <c r="A5101" t="s">
        <v>6</v>
      </c>
      <c r="B5101" t="s">
        <v>11</v>
      </c>
      <c r="C5101" t="s">
        <v>93</v>
      </c>
      <c r="D5101" s="9" t="s">
        <v>85</v>
      </c>
      <c r="E5101" t="s">
        <v>40</v>
      </c>
      <c r="F5101" t="s">
        <v>77</v>
      </c>
      <c r="G5101">
        <v>727.5</v>
      </c>
      <c r="H5101" s="9">
        <v>7.59</v>
      </c>
      <c r="I5101"/>
    </row>
    <row r="5102" spans="1:9" x14ac:dyDescent="0.3">
      <c r="A5102" t="s">
        <v>6</v>
      </c>
      <c r="B5102" t="s">
        <v>11</v>
      </c>
      <c r="C5102" t="s">
        <v>94</v>
      </c>
      <c r="D5102" s="9" t="s">
        <v>85</v>
      </c>
      <c r="E5102" t="s">
        <v>41</v>
      </c>
      <c r="F5102" t="s">
        <v>79</v>
      </c>
      <c r="G5102">
        <v>764.6</v>
      </c>
      <c r="H5102" s="9">
        <v>8.07</v>
      </c>
      <c r="I5102"/>
    </row>
    <row r="5103" spans="1:9" x14ac:dyDescent="0.3">
      <c r="A5103" t="s">
        <v>6</v>
      </c>
      <c r="B5103" t="s">
        <v>11</v>
      </c>
      <c r="C5103" t="s">
        <v>95</v>
      </c>
      <c r="D5103" s="9" t="s">
        <v>85</v>
      </c>
      <c r="E5103" t="s">
        <v>42</v>
      </c>
      <c r="F5103" t="s">
        <v>81</v>
      </c>
      <c r="G5103">
        <v>786.9</v>
      </c>
      <c r="H5103" s="9">
        <v>10.69</v>
      </c>
      <c r="I5103"/>
    </row>
    <row r="5104" spans="1:9" x14ac:dyDescent="0.3">
      <c r="A5104" t="s">
        <v>6</v>
      </c>
      <c r="B5104" t="s">
        <v>11</v>
      </c>
      <c r="C5104" t="s">
        <v>96</v>
      </c>
      <c r="D5104" s="9" t="s">
        <v>85</v>
      </c>
      <c r="E5104" t="s">
        <v>43</v>
      </c>
      <c r="F5104" t="s">
        <v>83</v>
      </c>
      <c r="G5104">
        <v>835.8</v>
      </c>
      <c r="H5104" s="9">
        <v>5.97</v>
      </c>
      <c r="I5104"/>
    </row>
    <row r="5105" spans="1:9" x14ac:dyDescent="0.3">
      <c r="A5105" t="s">
        <v>6</v>
      </c>
      <c r="B5105" t="s">
        <v>11</v>
      </c>
      <c r="C5105" t="s">
        <v>97</v>
      </c>
      <c r="D5105" s="9" t="s">
        <v>98</v>
      </c>
      <c r="E5105" t="s">
        <v>32</v>
      </c>
      <c r="F5105" t="s">
        <v>61</v>
      </c>
      <c r="G5105">
        <v>751.2</v>
      </c>
      <c r="H5105" s="9">
        <v>5.56</v>
      </c>
      <c r="I5105"/>
    </row>
    <row r="5106" spans="1:9" x14ac:dyDescent="0.3">
      <c r="A5106" t="s">
        <v>6</v>
      </c>
      <c r="B5106" t="s">
        <v>11</v>
      </c>
      <c r="C5106" t="s">
        <v>99</v>
      </c>
      <c r="D5106" s="9" t="s">
        <v>98</v>
      </c>
      <c r="E5106" t="s">
        <v>33</v>
      </c>
      <c r="F5106" t="s">
        <v>63</v>
      </c>
      <c r="G5106">
        <v>669.7</v>
      </c>
      <c r="H5106" s="9">
        <v>-0.92</v>
      </c>
      <c r="I5106"/>
    </row>
    <row r="5107" spans="1:9" x14ac:dyDescent="0.3">
      <c r="A5107" t="s">
        <v>6</v>
      </c>
      <c r="B5107" t="s">
        <v>11</v>
      </c>
      <c r="C5107" t="s">
        <v>100</v>
      </c>
      <c r="D5107" s="9" t="s">
        <v>98</v>
      </c>
      <c r="E5107" t="s">
        <v>34</v>
      </c>
      <c r="F5107" t="s">
        <v>65</v>
      </c>
      <c r="G5107">
        <v>750.8</v>
      </c>
      <c r="H5107" s="9">
        <v>-12.97</v>
      </c>
      <c r="I5107"/>
    </row>
    <row r="5108" spans="1:9" x14ac:dyDescent="0.3">
      <c r="A5108" t="s">
        <v>6</v>
      </c>
      <c r="B5108" t="s">
        <v>11</v>
      </c>
      <c r="C5108" t="s">
        <v>101</v>
      </c>
      <c r="D5108" s="9" t="s">
        <v>98</v>
      </c>
      <c r="E5108" t="s">
        <v>35</v>
      </c>
      <c r="F5108" t="s">
        <v>67</v>
      </c>
      <c r="G5108">
        <v>705</v>
      </c>
      <c r="H5108" s="9">
        <v>0.4</v>
      </c>
      <c r="I5108"/>
    </row>
    <row r="5109" spans="1:9" x14ac:dyDescent="0.3">
      <c r="A5109" t="s">
        <v>6</v>
      </c>
      <c r="B5109" t="s">
        <v>11</v>
      </c>
      <c r="C5109" t="s">
        <v>102</v>
      </c>
      <c r="D5109" s="9" t="s">
        <v>98</v>
      </c>
      <c r="E5109" t="s">
        <v>36</v>
      </c>
      <c r="F5109" t="s">
        <v>69</v>
      </c>
      <c r="G5109">
        <v>728.8</v>
      </c>
      <c r="H5109" s="9">
        <v>-1.86</v>
      </c>
      <c r="I5109"/>
    </row>
    <row r="5110" spans="1:9" x14ac:dyDescent="0.3">
      <c r="A5110" t="s">
        <v>6</v>
      </c>
      <c r="B5110" t="s">
        <v>11</v>
      </c>
      <c r="C5110" t="s">
        <v>103</v>
      </c>
      <c r="D5110" s="9" t="s">
        <v>98</v>
      </c>
      <c r="E5110" t="s">
        <v>37</v>
      </c>
      <c r="F5110" t="s">
        <v>71</v>
      </c>
      <c r="G5110">
        <v>704.7</v>
      </c>
      <c r="H5110" s="9">
        <v>-1.04</v>
      </c>
      <c r="I5110"/>
    </row>
    <row r="5111" spans="1:9" x14ac:dyDescent="0.3">
      <c r="A5111" t="s">
        <v>6</v>
      </c>
      <c r="B5111" t="s">
        <v>11</v>
      </c>
      <c r="C5111" t="s">
        <v>104</v>
      </c>
      <c r="D5111" s="9" t="s">
        <v>98</v>
      </c>
      <c r="E5111" t="s">
        <v>38</v>
      </c>
      <c r="F5111" t="s">
        <v>73</v>
      </c>
      <c r="G5111">
        <v>745.2</v>
      </c>
      <c r="H5111" s="9">
        <v>-0.97</v>
      </c>
      <c r="I5111"/>
    </row>
    <row r="5112" spans="1:9" x14ac:dyDescent="0.3">
      <c r="A5112" t="s">
        <v>6</v>
      </c>
      <c r="B5112" t="s">
        <v>11</v>
      </c>
      <c r="C5112" t="s">
        <v>105</v>
      </c>
      <c r="D5112" s="9" t="s">
        <v>98</v>
      </c>
      <c r="E5112" t="s">
        <v>39</v>
      </c>
      <c r="F5112" t="s">
        <v>75</v>
      </c>
      <c r="G5112">
        <v>733.1</v>
      </c>
      <c r="H5112" s="9">
        <v>-2.96</v>
      </c>
      <c r="I5112"/>
    </row>
    <row r="5113" spans="1:9" x14ac:dyDescent="0.3">
      <c r="A5113" t="s">
        <v>6</v>
      </c>
      <c r="B5113" t="s">
        <v>11</v>
      </c>
      <c r="C5113" t="s">
        <v>106</v>
      </c>
      <c r="D5113" s="9" t="s">
        <v>98</v>
      </c>
      <c r="E5113" t="s">
        <v>40</v>
      </c>
      <c r="F5113" t="s">
        <v>77</v>
      </c>
      <c r="G5113">
        <v>726.5</v>
      </c>
      <c r="H5113" s="9">
        <v>-0.14000000000000001</v>
      </c>
      <c r="I5113"/>
    </row>
    <row r="5114" spans="1:9" x14ac:dyDescent="0.3">
      <c r="A5114" t="s">
        <v>6</v>
      </c>
      <c r="B5114" t="s">
        <v>11</v>
      </c>
      <c r="C5114" t="s">
        <v>107</v>
      </c>
      <c r="D5114" s="9" t="s">
        <v>98</v>
      </c>
      <c r="E5114" t="s">
        <v>41</v>
      </c>
      <c r="F5114" t="s">
        <v>79</v>
      </c>
      <c r="G5114">
        <v>762.1</v>
      </c>
      <c r="H5114" s="9">
        <v>-0.33</v>
      </c>
      <c r="I5114"/>
    </row>
    <row r="5115" spans="1:9" x14ac:dyDescent="0.3">
      <c r="A5115" t="s">
        <v>6</v>
      </c>
      <c r="B5115" t="s">
        <v>11</v>
      </c>
      <c r="C5115" t="s">
        <v>108</v>
      </c>
      <c r="D5115" s="9" t="s">
        <v>98</v>
      </c>
      <c r="E5115" t="s">
        <v>42</v>
      </c>
      <c r="F5115" t="s">
        <v>81</v>
      </c>
      <c r="G5115">
        <v>751.9</v>
      </c>
      <c r="H5115" s="9">
        <v>-4.45</v>
      </c>
      <c r="I5115"/>
    </row>
    <row r="5116" spans="1:9" x14ac:dyDescent="0.3">
      <c r="A5116" t="s">
        <v>6</v>
      </c>
      <c r="B5116" t="s">
        <v>11</v>
      </c>
      <c r="C5116" t="s">
        <v>109</v>
      </c>
      <c r="D5116" s="9" t="s">
        <v>98</v>
      </c>
      <c r="E5116" t="s">
        <v>43</v>
      </c>
      <c r="F5116" t="s">
        <v>83</v>
      </c>
      <c r="G5116">
        <v>870.7</v>
      </c>
      <c r="H5116" s="9">
        <v>4.18</v>
      </c>
      <c r="I5116"/>
    </row>
    <row r="5117" spans="1:9" x14ac:dyDescent="0.3">
      <c r="A5117" t="s">
        <v>6</v>
      </c>
      <c r="B5117" t="s">
        <v>11</v>
      </c>
      <c r="C5117" t="s">
        <v>110</v>
      </c>
      <c r="D5117" s="9" t="s">
        <v>111</v>
      </c>
      <c r="E5117" t="s">
        <v>32</v>
      </c>
      <c r="F5117" t="s">
        <v>61</v>
      </c>
      <c r="G5117">
        <v>806.5</v>
      </c>
      <c r="H5117" s="9">
        <v>7.36</v>
      </c>
      <c r="I5117"/>
    </row>
    <row r="5118" spans="1:9" x14ac:dyDescent="0.3">
      <c r="A5118" t="s">
        <v>6</v>
      </c>
      <c r="B5118" t="s">
        <v>11</v>
      </c>
      <c r="C5118" t="s">
        <v>112</v>
      </c>
      <c r="D5118" s="9" t="s">
        <v>111</v>
      </c>
      <c r="E5118" t="s">
        <v>33</v>
      </c>
      <c r="F5118" t="s">
        <v>63</v>
      </c>
      <c r="G5118">
        <v>717.8</v>
      </c>
      <c r="H5118" s="9">
        <v>7.18</v>
      </c>
      <c r="I5118"/>
    </row>
    <row r="5119" spans="1:9" x14ac:dyDescent="0.3">
      <c r="A5119" t="s">
        <v>6</v>
      </c>
      <c r="B5119" t="s">
        <v>11</v>
      </c>
      <c r="C5119" t="s">
        <v>113</v>
      </c>
      <c r="D5119" s="9" t="s">
        <v>111</v>
      </c>
      <c r="E5119" t="s">
        <v>34</v>
      </c>
      <c r="F5119" t="s">
        <v>65</v>
      </c>
      <c r="G5119">
        <v>794</v>
      </c>
      <c r="H5119" s="9">
        <v>5.75</v>
      </c>
      <c r="I5119"/>
    </row>
    <row r="5120" spans="1:9" x14ac:dyDescent="0.3">
      <c r="A5120" t="s">
        <v>6</v>
      </c>
      <c r="B5120" t="s">
        <v>11</v>
      </c>
      <c r="C5120" t="s">
        <v>114</v>
      </c>
      <c r="D5120" s="9" t="s">
        <v>111</v>
      </c>
      <c r="E5120" t="s">
        <v>35</v>
      </c>
      <c r="F5120" t="s">
        <v>67</v>
      </c>
      <c r="G5120">
        <v>790.6</v>
      </c>
      <c r="H5120" s="9">
        <v>12.14</v>
      </c>
      <c r="I5120"/>
    </row>
    <row r="5121" spans="1:9" x14ac:dyDescent="0.3">
      <c r="A5121" t="s">
        <v>6</v>
      </c>
      <c r="B5121" t="s">
        <v>11</v>
      </c>
      <c r="C5121" t="s">
        <v>115</v>
      </c>
      <c r="D5121" s="9" t="s">
        <v>111</v>
      </c>
      <c r="E5121" t="s">
        <v>36</v>
      </c>
      <c r="F5121" t="s">
        <v>69</v>
      </c>
      <c r="G5121">
        <v>787.2</v>
      </c>
      <c r="H5121" s="9">
        <v>8.01</v>
      </c>
      <c r="I5121"/>
    </row>
    <row r="5122" spans="1:9" x14ac:dyDescent="0.3">
      <c r="A5122" t="s">
        <v>6</v>
      </c>
      <c r="B5122" t="s">
        <v>11</v>
      </c>
      <c r="C5122" t="s">
        <v>116</v>
      </c>
      <c r="D5122" s="9" t="s">
        <v>111</v>
      </c>
      <c r="E5122" t="s">
        <v>37</v>
      </c>
      <c r="F5122" t="s">
        <v>71</v>
      </c>
      <c r="G5122">
        <v>761.5</v>
      </c>
      <c r="H5122" s="9">
        <v>8.06</v>
      </c>
      <c r="I5122"/>
    </row>
    <row r="5123" spans="1:9" x14ac:dyDescent="0.3">
      <c r="A5123" t="s">
        <v>6</v>
      </c>
      <c r="B5123" t="s">
        <v>11</v>
      </c>
      <c r="C5123" t="s">
        <v>117</v>
      </c>
      <c r="D5123" s="9" t="s">
        <v>111</v>
      </c>
      <c r="E5123" t="s">
        <v>38</v>
      </c>
      <c r="F5123" t="s">
        <v>73</v>
      </c>
      <c r="G5123">
        <v>802.8</v>
      </c>
      <c r="H5123" s="9">
        <v>7.73</v>
      </c>
      <c r="I5123"/>
    </row>
    <row r="5124" spans="1:9" x14ac:dyDescent="0.3">
      <c r="A5124" t="s">
        <v>6</v>
      </c>
      <c r="B5124" t="s">
        <v>11</v>
      </c>
      <c r="C5124" t="s">
        <v>118</v>
      </c>
      <c r="D5124" s="9" t="s">
        <v>111</v>
      </c>
      <c r="E5124" t="s">
        <v>39</v>
      </c>
      <c r="F5124" t="s">
        <v>75</v>
      </c>
      <c r="G5124">
        <v>818</v>
      </c>
      <c r="H5124" s="9">
        <v>11.58</v>
      </c>
      <c r="I5124"/>
    </row>
    <row r="5125" spans="1:9" x14ac:dyDescent="0.3">
      <c r="A5125" t="s">
        <v>6</v>
      </c>
      <c r="B5125" t="s">
        <v>11</v>
      </c>
      <c r="C5125" t="s">
        <v>119</v>
      </c>
      <c r="D5125" s="9" t="s">
        <v>111</v>
      </c>
      <c r="E5125" t="s">
        <v>40</v>
      </c>
      <c r="F5125" t="s">
        <v>77</v>
      </c>
      <c r="G5125">
        <v>816.5</v>
      </c>
      <c r="H5125" s="9">
        <v>12.39</v>
      </c>
      <c r="I5125"/>
    </row>
    <row r="5126" spans="1:9" x14ac:dyDescent="0.3">
      <c r="A5126" t="s">
        <v>6</v>
      </c>
      <c r="B5126" t="s">
        <v>11</v>
      </c>
      <c r="C5126" t="s">
        <v>120</v>
      </c>
      <c r="D5126" s="9" t="s">
        <v>111</v>
      </c>
      <c r="E5126" t="s">
        <v>41</v>
      </c>
      <c r="F5126" t="s">
        <v>79</v>
      </c>
      <c r="G5126">
        <v>840</v>
      </c>
      <c r="H5126" s="9">
        <v>10.220000000000001</v>
      </c>
      <c r="I5126"/>
    </row>
    <row r="5127" spans="1:9" x14ac:dyDescent="0.3">
      <c r="A5127" t="s">
        <v>6</v>
      </c>
      <c r="B5127" t="s">
        <v>11</v>
      </c>
      <c r="C5127" t="s">
        <v>121</v>
      </c>
      <c r="D5127" s="9" t="s">
        <v>111</v>
      </c>
      <c r="E5127" t="s">
        <v>42</v>
      </c>
      <c r="F5127" t="s">
        <v>81</v>
      </c>
      <c r="G5127">
        <v>838</v>
      </c>
      <c r="H5127" s="9">
        <v>11.45</v>
      </c>
      <c r="I5127"/>
    </row>
    <row r="5128" spans="1:9" x14ac:dyDescent="0.3">
      <c r="A5128" t="s">
        <v>6</v>
      </c>
      <c r="B5128" t="s">
        <v>11</v>
      </c>
      <c r="C5128" t="s">
        <v>122</v>
      </c>
      <c r="D5128" s="9" t="s">
        <v>111</v>
      </c>
      <c r="E5128" t="s">
        <v>43</v>
      </c>
      <c r="F5128" t="s">
        <v>83</v>
      </c>
      <c r="G5128">
        <v>966.7</v>
      </c>
      <c r="H5128" s="9">
        <v>11.03</v>
      </c>
      <c r="I5128"/>
    </row>
    <row r="5129" spans="1:9" x14ac:dyDescent="0.3">
      <c r="A5129" t="s">
        <v>6</v>
      </c>
      <c r="B5129" t="s">
        <v>11</v>
      </c>
      <c r="C5129" t="s">
        <v>123</v>
      </c>
      <c r="D5129" s="9" t="s">
        <v>124</v>
      </c>
      <c r="E5129" t="s">
        <v>32</v>
      </c>
      <c r="F5129" t="s">
        <v>61</v>
      </c>
      <c r="G5129">
        <v>852.5</v>
      </c>
      <c r="H5129" s="9">
        <v>5.7</v>
      </c>
      <c r="I5129"/>
    </row>
    <row r="5130" spans="1:9" x14ac:dyDescent="0.3">
      <c r="A5130" t="s">
        <v>6</v>
      </c>
      <c r="B5130" t="s">
        <v>11</v>
      </c>
      <c r="C5130" t="s">
        <v>125</v>
      </c>
      <c r="D5130" s="9" t="s">
        <v>124</v>
      </c>
      <c r="E5130" t="s">
        <v>33</v>
      </c>
      <c r="F5130" t="s">
        <v>63</v>
      </c>
      <c r="G5130">
        <v>788.6</v>
      </c>
      <c r="H5130" s="9">
        <v>9.86</v>
      </c>
      <c r="I5130"/>
    </row>
    <row r="5131" spans="1:9" x14ac:dyDescent="0.3">
      <c r="A5131" t="s">
        <v>6</v>
      </c>
      <c r="B5131" t="s">
        <v>11</v>
      </c>
      <c r="C5131" t="s">
        <v>126</v>
      </c>
      <c r="D5131" s="9" t="s">
        <v>124</v>
      </c>
      <c r="E5131" t="s">
        <v>34</v>
      </c>
      <c r="F5131" t="s">
        <v>65</v>
      </c>
      <c r="G5131">
        <v>862.4</v>
      </c>
      <c r="H5131" s="9">
        <v>8.61</v>
      </c>
      <c r="I5131"/>
    </row>
    <row r="5132" spans="1:9" x14ac:dyDescent="0.3">
      <c r="A5132" t="s">
        <v>6</v>
      </c>
      <c r="B5132" t="s">
        <v>11</v>
      </c>
      <c r="C5132" t="s">
        <v>127</v>
      </c>
      <c r="D5132" s="9" t="s">
        <v>124</v>
      </c>
      <c r="E5132" t="s">
        <v>35</v>
      </c>
      <c r="F5132" t="s">
        <v>67</v>
      </c>
      <c r="G5132">
        <v>837.7</v>
      </c>
      <c r="H5132" s="9">
        <v>5.96</v>
      </c>
      <c r="I5132"/>
    </row>
    <row r="5133" spans="1:9" x14ac:dyDescent="0.3">
      <c r="A5133" t="s">
        <v>6</v>
      </c>
      <c r="B5133" t="s">
        <v>11</v>
      </c>
      <c r="C5133" t="s">
        <v>128</v>
      </c>
      <c r="D5133" s="9" t="s">
        <v>124</v>
      </c>
      <c r="E5133" t="s">
        <v>36</v>
      </c>
      <c r="F5133" t="s">
        <v>69</v>
      </c>
      <c r="G5133">
        <v>834.4</v>
      </c>
      <c r="H5133" s="9">
        <v>6</v>
      </c>
      <c r="I5133"/>
    </row>
    <row r="5134" spans="1:9" x14ac:dyDescent="0.3">
      <c r="A5134" t="s">
        <v>6</v>
      </c>
      <c r="B5134" t="s">
        <v>11</v>
      </c>
      <c r="C5134" t="s">
        <v>129</v>
      </c>
      <c r="D5134" s="9" t="s">
        <v>124</v>
      </c>
      <c r="E5134" t="s">
        <v>37</v>
      </c>
      <c r="F5134" t="s">
        <v>71</v>
      </c>
      <c r="G5134">
        <v>807.6</v>
      </c>
      <c r="H5134" s="9">
        <v>6.05</v>
      </c>
      <c r="I5134"/>
    </row>
    <row r="5135" spans="1:9" x14ac:dyDescent="0.3">
      <c r="A5135" t="s">
        <v>6</v>
      </c>
      <c r="B5135" t="s">
        <v>11</v>
      </c>
      <c r="C5135" t="s">
        <v>130</v>
      </c>
      <c r="D5135" s="9" t="s">
        <v>124</v>
      </c>
      <c r="E5135" t="s">
        <v>38</v>
      </c>
      <c r="F5135" t="s">
        <v>73</v>
      </c>
      <c r="G5135">
        <v>831.4</v>
      </c>
      <c r="H5135" s="9">
        <v>3.56</v>
      </c>
      <c r="I5135"/>
    </row>
    <row r="5136" spans="1:9" x14ac:dyDescent="0.3">
      <c r="A5136" t="s">
        <v>6</v>
      </c>
      <c r="B5136" t="s">
        <v>11</v>
      </c>
      <c r="C5136" t="s">
        <v>131</v>
      </c>
      <c r="D5136" s="9" t="s">
        <v>124</v>
      </c>
      <c r="E5136" t="s">
        <v>39</v>
      </c>
      <c r="F5136" t="s">
        <v>75</v>
      </c>
      <c r="G5136">
        <v>838.7</v>
      </c>
      <c r="H5136" s="9">
        <v>2.5299999999999998</v>
      </c>
      <c r="I5136"/>
    </row>
    <row r="5137" spans="1:9" x14ac:dyDescent="0.3">
      <c r="A5137" t="s">
        <v>6</v>
      </c>
      <c r="B5137" t="s">
        <v>11</v>
      </c>
      <c r="C5137" t="s">
        <v>132</v>
      </c>
      <c r="D5137" s="9" t="s">
        <v>124</v>
      </c>
      <c r="E5137" t="s">
        <v>40</v>
      </c>
      <c r="F5137" t="s">
        <v>77</v>
      </c>
      <c r="G5137">
        <v>842.6</v>
      </c>
      <c r="H5137" s="9">
        <v>3.2</v>
      </c>
      <c r="I5137"/>
    </row>
    <row r="5138" spans="1:9" x14ac:dyDescent="0.3">
      <c r="A5138" t="s">
        <v>6</v>
      </c>
      <c r="B5138" t="s">
        <v>11</v>
      </c>
      <c r="C5138" t="s">
        <v>133</v>
      </c>
      <c r="D5138" s="9" t="s">
        <v>124</v>
      </c>
      <c r="E5138" t="s">
        <v>41</v>
      </c>
      <c r="F5138" t="s">
        <v>79</v>
      </c>
      <c r="G5138">
        <v>859.2</v>
      </c>
      <c r="H5138" s="9">
        <v>2.29</v>
      </c>
      <c r="I5138"/>
    </row>
    <row r="5139" spans="1:9" x14ac:dyDescent="0.3">
      <c r="A5139" t="s">
        <v>6</v>
      </c>
      <c r="B5139" t="s">
        <v>11</v>
      </c>
      <c r="C5139" t="s">
        <v>134</v>
      </c>
      <c r="D5139" s="9" t="s">
        <v>124</v>
      </c>
      <c r="E5139" t="s">
        <v>42</v>
      </c>
      <c r="F5139" t="s">
        <v>81</v>
      </c>
      <c r="G5139">
        <v>864.1</v>
      </c>
      <c r="H5139" s="9">
        <v>3.11</v>
      </c>
      <c r="I5139"/>
    </row>
    <row r="5140" spans="1:9" x14ac:dyDescent="0.3">
      <c r="A5140" t="s">
        <v>6</v>
      </c>
      <c r="B5140" t="s">
        <v>11</v>
      </c>
      <c r="C5140" t="s">
        <v>135</v>
      </c>
      <c r="D5140" s="9" t="s">
        <v>124</v>
      </c>
      <c r="E5140" t="s">
        <v>43</v>
      </c>
      <c r="F5140" t="s">
        <v>83</v>
      </c>
      <c r="G5140">
        <v>954.8</v>
      </c>
      <c r="H5140" s="9">
        <v>-1.23</v>
      </c>
      <c r="I5140"/>
    </row>
    <row r="5141" spans="1:9" x14ac:dyDescent="0.3">
      <c r="A5141" t="s">
        <v>6</v>
      </c>
      <c r="B5141" t="s">
        <v>11</v>
      </c>
      <c r="C5141" t="s">
        <v>136</v>
      </c>
      <c r="D5141" s="9" t="s">
        <v>137</v>
      </c>
      <c r="E5141" t="s">
        <v>32</v>
      </c>
      <c r="F5141" t="s">
        <v>61</v>
      </c>
      <c r="G5141">
        <v>865</v>
      </c>
      <c r="H5141" s="9">
        <v>1.47</v>
      </c>
      <c r="I5141"/>
    </row>
    <row r="5142" spans="1:9" x14ac:dyDescent="0.3">
      <c r="A5142" t="s">
        <v>6</v>
      </c>
      <c r="B5142" t="s">
        <v>11</v>
      </c>
      <c r="C5142" t="s">
        <v>138</v>
      </c>
      <c r="D5142" s="9" t="s">
        <v>137</v>
      </c>
      <c r="E5142" t="s">
        <v>33</v>
      </c>
      <c r="F5142" t="s">
        <v>63</v>
      </c>
      <c r="G5142">
        <v>822.2</v>
      </c>
      <c r="H5142" s="9">
        <v>4.26</v>
      </c>
      <c r="I5142"/>
    </row>
    <row r="5143" spans="1:9" x14ac:dyDescent="0.3">
      <c r="A5143" t="s">
        <v>6</v>
      </c>
      <c r="B5143" t="s">
        <v>11</v>
      </c>
      <c r="C5143" t="s">
        <v>139</v>
      </c>
      <c r="D5143" s="9" t="s">
        <v>137</v>
      </c>
      <c r="E5143" t="s">
        <v>34</v>
      </c>
      <c r="F5143" t="s">
        <v>65</v>
      </c>
      <c r="G5143">
        <v>902</v>
      </c>
      <c r="H5143" s="9">
        <v>4.59</v>
      </c>
      <c r="I5143"/>
    </row>
    <row r="5144" spans="1:9" x14ac:dyDescent="0.3">
      <c r="A5144" t="s">
        <v>6</v>
      </c>
      <c r="B5144" t="s">
        <v>11</v>
      </c>
      <c r="C5144" t="s">
        <v>140</v>
      </c>
      <c r="D5144" s="9" t="s">
        <v>137</v>
      </c>
      <c r="E5144" t="s">
        <v>35</v>
      </c>
      <c r="F5144" t="s">
        <v>67</v>
      </c>
      <c r="G5144">
        <v>827</v>
      </c>
      <c r="H5144" s="9">
        <v>-1.28</v>
      </c>
      <c r="I5144"/>
    </row>
    <row r="5145" spans="1:9" x14ac:dyDescent="0.3">
      <c r="A5145" t="s">
        <v>6</v>
      </c>
      <c r="B5145" t="s">
        <v>11</v>
      </c>
      <c r="C5145" t="s">
        <v>141</v>
      </c>
      <c r="D5145" s="9" t="s">
        <v>137</v>
      </c>
      <c r="E5145" t="s">
        <v>36</v>
      </c>
      <c r="F5145" t="s">
        <v>69</v>
      </c>
      <c r="G5145">
        <v>859.1</v>
      </c>
      <c r="H5145" s="9">
        <v>2.96</v>
      </c>
      <c r="I5145"/>
    </row>
    <row r="5146" spans="1:9" x14ac:dyDescent="0.3">
      <c r="A5146" t="s">
        <v>6</v>
      </c>
      <c r="B5146" t="s">
        <v>11</v>
      </c>
      <c r="C5146" t="s">
        <v>142</v>
      </c>
      <c r="D5146" s="9" t="s">
        <v>137</v>
      </c>
      <c r="E5146" t="s">
        <v>37</v>
      </c>
      <c r="F5146" t="s">
        <v>71</v>
      </c>
      <c r="G5146">
        <v>819.5</v>
      </c>
      <c r="H5146" s="9">
        <v>1.47</v>
      </c>
      <c r="I5146"/>
    </row>
    <row r="5147" spans="1:9" x14ac:dyDescent="0.3">
      <c r="A5147" t="s">
        <v>6</v>
      </c>
      <c r="B5147" t="s">
        <v>11</v>
      </c>
      <c r="C5147" t="s">
        <v>143</v>
      </c>
      <c r="D5147" s="9" t="s">
        <v>137</v>
      </c>
      <c r="E5147" t="s">
        <v>38</v>
      </c>
      <c r="F5147" t="s">
        <v>73</v>
      </c>
      <c r="G5147">
        <v>841.1</v>
      </c>
      <c r="H5147" s="9">
        <v>1.17</v>
      </c>
      <c r="I5147"/>
    </row>
    <row r="5148" spans="1:9" x14ac:dyDescent="0.3">
      <c r="A5148" t="s">
        <v>6</v>
      </c>
      <c r="B5148" t="s">
        <v>11</v>
      </c>
      <c r="C5148" t="s">
        <v>144</v>
      </c>
      <c r="D5148" s="9" t="s">
        <v>137</v>
      </c>
      <c r="E5148" t="s">
        <v>39</v>
      </c>
      <c r="F5148" t="s">
        <v>75</v>
      </c>
      <c r="G5148">
        <v>868.1</v>
      </c>
      <c r="H5148" s="9">
        <v>3.51</v>
      </c>
      <c r="I5148"/>
    </row>
    <row r="5149" spans="1:9" x14ac:dyDescent="0.3">
      <c r="A5149" t="s">
        <v>6</v>
      </c>
      <c r="B5149" t="s">
        <v>11</v>
      </c>
      <c r="C5149" t="s">
        <v>145</v>
      </c>
      <c r="D5149" s="9" t="s">
        <v>137</v>
      </c>
      <c r="E5149" t="s">
        <v>40</v>
      </c>
      <c r="F5149" t="s">
        <v>77</v>
      </c>
      <c r="G5149">
        <v>840.4</v>
      </c>
      <c r="H5149" s="9">
        <v>-0.26</v>
      </c>
      <c r="I5149"/>
    </row>
    <row r="5150" spans="1:9" x14ac:dyDescent="0.3">
      <c r="A5150" t="s">
        <v>6</v>
      </c>
      <c r="B5150" t="s">
        <v>11</v>
      </c>
      <c r="C5150" t="s">
        <v>146</v>
      </c>
      <c r="D5150" s="9" t="s">
        <v>137</v>
      </c>
      <c r="E5150" t="s">
        <v>41</v>
      </c>
      <c r="F5150" t="s">
        <v>79</v>
      </c>
      <c r="G5150">
        <v>884.5</v>
      </c>
      <c r="H5150" s="9">
        <v>2.94</v>
      </c>
      <c r="I5150"/>
    </row>
    <row r="5151" spans="1:9" x14ac:dyDescent="0.3">
      <c r="A5151" t="s">
        <v>6</v>
      </c>
      <c r="B5151" t="s">
        <v>11</v>
      </c>
      <c r="C5151" t="s">
        <v>147</v>
      </c>
      <c r="D5151" s="9" t="s">
        <v>137</v>
      </c>
      <c r="E5151" t="s">
        <v>42</v>
      </c>
      <c r="F5151" t="s">
        <v>81</v>
      </c>
      <c r="G5151">
        <v>890.8</v>
      </c>
      <c r="H5151" s="9">
        <v>3.09</v>
      </c>
      <c r="I5151"/>
    </row>
    <row r="5152" spans="1:9" x14ac:dyDescent="0.3">
      <c r="A5152" t="s">
        <v>6</v>
      </c>
      <c r="B5152" t="s">
        <v>11</v>
      </c>
      <c r="C5152" t="s">
        <v>148</v>
      </c>
      <c r="D5152" s="9" t="s">
        <v>137</v>
      </c>
      <c r="E5152" t="s">
        <v>43</v>
      </c>
      <c r="F5152" t="s">
        <v>83</v>
      </c>
      <c r="G5152">
        <v>976.7</v>
      </c>
      <c r="H5152" s="9">
        <v>2.29</v>
      </c>
      <c r="I5152"/>
    </row>
    <row r="5153" spans="1:9" x14ac:dyDescent="0.3">
      <c r="A5153" t="s">
        <v>6</v>
      </c>
      <c r="B5153" t="s">
        <v>11</v>
      </c>
      <c r="C5153" t="s">
        <v>149</v>
      </c>
      <c r="D5153" s="9" t="s">
        <v>150</v>
      </c>
      <c r="E5153" t="s">
        <v>32</v>
      </c>
      <c r="F5153" t="s">
        <v>61</v>
      </c>
      <c r="G5153">
        <v>895.3</v>
      </c>
      <c r="H5153" s="9">
        <v>3.5</v>
      </c>
      <c r="I5153"/>
    </row>
    <row r="5154" spans="1:9" x14ac:dyDescent="0.3">
      <c r="A5154" t="s">
        <v>6</v>
      </c>
      <c r="B5154" t="s">
        <v>11</v>
      </c>
      <c r="C5154" t="s">
        <v>151</v>
      </c>
      <c r="D5154" s="9" t="s">
        <v>150</v>
      </c>
      <c r="E5154" t="s">
        <v>33</v>
      </c>
      <c r="F5154" t="s">
        <v>63</v>
      </c>
      <c r="G5154">
        <v>823.8</v>
      </c>
      <c r="H5154" s="9">
        <v>0.19</v>
      </c>
      <c r="I5154"/>
    </row>
    <row r="5155" spans="1:9" x14ac:dyDescent="0.3">
      <c r="A5155" t="s">
        <v>6</v>
      </c>
      <c r="B5155" t="s">
        <v>11</v>
      </c>
      <c r="C5155" t="s">
        <v>152</v>
      </c>
      <c r="D5155" s="9" t="s">
        <v>150</v>
      </c>
      <c r="E5155" t="s">
        <v>34</v>
      </c>
      <c r="F5155" t="s">
        <v>65</v>
      </c>
      <c r="G5155">
        <v>907.8</v>
      </c>
      <c r="H5155" s="9">
        <v>0.64</v>
      </c>
      <c r="I5155"/>
    </row>
    <row r="5156" spans="1:9" x14ac:dyDescent="0.3">
      <c r="A5156" t="s">
        <v>6</v>
      </c>
      <c r="B5156" t="s">
        <v>11</v>
      </c>
      <c r="C5156" t="s">
        <v>153</v>
      </c>
      <c r="D5156" s="9" t="s">
        <v>150</v>
      </c>
      <c r="E5156" t="s">
        <v>35</v>
      </c>
      <c r="F5156" t="s">
        <v>67</v>
      </c>
      <c r="G5156">
        <v>878.6</v>
      </c>
      <c r="H5156" s="9">
        <v>6.24</v>
      </c>
      <c r="I5156"/>
    </row>
    <row r="5157" spans="1:9" x14ac:dyDescent="0.3">
      <c r="A5157" t="s">
        <v>6</v>
      </c>
      <c r="B5157" t="s">
        <v>11</v>
      </c>
      <c r="C5157" t="s">
        <v>154</v>
      </c>
      <c r="D5157" s="9" t="s">
        <v>150</v>
      </c>
      <c r="E5157" t="s">
        <v>36</v>
      </c>
      <c r="F5157" t="s">
        <v>69</v>
      </c>
      <c r="G5157">
        <v>885.4</v>
      </c>
      <c r="H5157" s="9">
        <v>3.06</v>
      </c>
      <c r="I5157"/>
    </row>
    <row r="5158" spans="1:9" x14ac:dyDescent="0.3">
      <c r="A5158" t="s">
        <v>6</v>
      </c>
      <c r="B5158" t="s">
        <v>11</v>
      </c>
      <c r="C5158" t="s">
        <v>155</v>
      </c>
      <c r="D5158" s="9" t="s">
        <v>150</v>
      </c>
      <c r="E5158" t="s">
        <v>37</v>
      </c>
      <c r="F5158" t="s">
        <v>71</v>
      </c>
      <c r="G5158">
        <v>837.8</v>
      </c>
      <c r="H5158" s="9">
        <v>2.23</v>
      </c>
      <c r="I5158"/>
    </row>
    <row r="5159" spans="1:9" x14ac:dyDescent="0.3">
      <c r="A5159" t="s">
        <v>6</v>
      </c>
      <c r="B5159" t="s">
        <v>18</v>
      </c>
      <c r="C5159" t="s">
        <v>59</v>
      </c>
      <c r="D5159" s="9" t="s">
        <v>60</v>
      </c>
      <c r="E5159" t="s">
        <v>32</v>
      </c>
      <c r="F5159" t="s">
        <v>61</v>
      </c>
      <c r="G5159">
        <v>91.5</v>
      </c>
      <c r="I5159"/>
    </row>
    <row r="5160" spans="1:9" x14ac:dyDescent="0.3">
      <c r="A5160" t="s">
        <v>6</v>
      </c>
      <c r="B5160" t="s">
        <v>18</v>
      </c>
      <c r="C5160" t="s">
        <v>62</v>
      </c>
      <c r="D5160" s="9" t="s">
        <v>60</v>
      </c>
      <c r="E5160" t="s">
        <v>33</v>
      </c>
      <c r="F5160" t="s">
        <v>63</v>
      </c>
      <c r="G5160">
        <v>83.7</v>
      </c>
      <c r="I5160"/>
    </row>
    <row r="5161" spans="1:9" x14ac:dyDescent="0.3">
      <c r="A5161" t="s">
        <v>6</v>
      </c>
      <c r="B5161" t="s">
        <v>18</v>
      </c>
      <c r="C5161" t="s">
        <v>64</v>
      </c>
      <c r="D5161" s="9" t="s">
        <v>60</v>
      </c>
      <c r="E5161" t="s">
        <v>34</v>
      </c>
      <c r="F5161" t="s">
        <v>65</v>
      </c>
      <c r="G5161">
        <v>94.7</v>
      </c>
      <c r="I5161"/>
    </row>
    <row r="5162" spans="1:9" x14ac:dyDescent="0.3">
      <c r="A5162" t="s">
        <v>6</v>
      </c>
      <c r="B5162" t="s">
        <v>18</v>
      </c>
      <c r="C5162" t="s">
        <v>66</v>
      </c>
      <c r="D5162" s="9" t="s">
        <v>60</v>
      </c>
      <c r="E5162" t="s">
        <v>35</v>
      </c>
      <c r="F5162" t="s">
        <v>67</v>
      </c>
      <c r="G5162">
        <v>90.3</v>
      </c>
      <c r="I5162"/>
    </row>
    <row r="5163" spans="1:9" x14ac:dyDescent="0.3">
      <c r="A5163" t="s">
        <v>6</v>
      </c>
      <c r="B5163" t="s">
        <v>18</v>
      </c>
      <c r="C5163" t="s">
        <v>68</v>
      </c>
      <c r="D5163" s="9" t="s">
        <v>60</v>
      </c>
      <c r="E5163" t="s">
        <v>36</v>
      </c>
      <c r="F5163" t="s">
        <v>69</v>
      </c>
      <c r="G5163">
        <v>91.2</v>
      </c>
      <c r="I5163"/>
    </row>
    <row r="5164" spans="1:9" x14ac:dyDescent="0.3">
      <c r="A5164" t="s">
        <v>6</v>
      </c>
      <c r="B5164" t="s">
        <v>18</v>
      </c>
      <c r="C5164" t="s">
        <v>70</v>
      </c>
      <c r="D5164" s="9" t="s">
        <v>60</v>
      </c>
      <c r="E5164" t="s">
        <v>37</v>
      </c>
      <c r="F5164" t="s">
        <v>71</v>
      </c>
      <c r="G5164">
        <v>91.1</v>
      </c>
      <c r="I5164"/>
    </row>
    <row r="5165" spans="1:9" x14ac:dyDescent="0.3">
      <c r="A5165" t="s">
        <v>6</v>
      </c>
      <c r="B5165" t="s">
        <v>18</v>
      </c>
      <c r="C5165" t="s">
        <v>72</v>
      </c>
      <c r="D5165" s="9" t="s">
        <v>60</v>
      </c>
      <c r="E5165" t="s">
        <v>38</v>
      </c>
      <c r="F5165" t="s">
        <v>73</v>
      </c>
      <c r="G5165">
        <v>93.4</v>
      </c>
      <c r="I5165"/>
    </row>
    <row r="5166" spans="1:9" x14ac:dyDescent="0.3">
      <c r="A5166" t="s">
        <v>6</v>
      </c>
      <c r="B5166" t="s">
        <v>18</v>
      </c>
      <c r="C5166" t="s">
        <v>74</v>
      </c>
      <c r="D5166" s="9" t="s">
        <v>60</v>
      </c>
      <c r="E5166" t="s">
        <v>39</v>
      </c>
      <c r="F5166" t="s">
        <v>75</v>
      </c>
      <c r="G5166">
        <v>93.9</v>
      </c>
      <c r="I5166"/>
    </row>
    <row r="5167" spans="1:9" x14ac:dyDescent="0.3">
      <c r="A5167" t="s">
        <v>6</v>
      </c>
      <c r="B5167" t="s">
        <v>18</v>
      </c>
      <c r="C5167" t="s">
        <v>76</v>
      </c>
      <c r="D5167" s="9" t="s">
        <v>60</v>
      </c>
      <c r="E5167" t="s">
        <v>40</v>
      </c>
      <c r="F5167" t="s">
        <v>77</v>
      </c>
      <c r="G5167">
        <v>94.1</v>
      </c>
      <c r="I5167"/>
    </row>
    <row r="5168" spans="1:9" x14ac:dyDescent="0.3">
      <c r="A5168" t="s">
        <v>6</v>
      </c>
      <c r="B5168" t="s">
        <v>18</v>
      </c>
      <c r="C5168" t="s">
        <v>78</v>
      </c>
      <c r="D5168" s="9" t="s">
        <v>60</v>
      </c>
      <c r="E5168" t="s">
        <v>41</v>
      </c>
      <c r="F5168" t="s">
        <v>79</v>
      </c>
      <c r="G5168">
        <v>100.8</v>
      </c>
      <c r="I5168"/>
    </row>
    <row r="5169" spans="1:9" x14ac:dyDescent="0.3">
      <c r="A5169" t="s">
        <v>6</v>
      </c>
      <c r="B5169" t="s">
        <v>18</v>
      </c>
      <c r="C5169" t="s">
        <v>80</v>
      </c>
      <c r="D5169" s="9" t="s">
        <v>60</v>
      </c>
      <c r="E5169" t="s">
        <v>42</v>
      </c>
      <c r="F5169" t="s">
        <v>81</v>
      </c>
      <c r="G5169">
        <v>102.1</v>
      </c>
      <c r="I5169"/>
    </row>
    <row r="5170" spans="1:9" x14ac:dyDescent="0.3">
      <c r="A5170" t="s">
        <v>6</v>
      </c>
      <c r="B5170" t="s">
        <v>18</v>
      </c>
      <c r="C5170" t="s">
        <v>82</v>
      </c>
      <c r="D5170" s="9" t="s">
        <v>60</v>
      </c>
      <c r="E5170" t="s">
        <v>43</v>
      </c>
      <c r="F5170" t="s">
        <v>83</v>
      </c>
      <c r="G5170">
        <v>108</v>
      </c>
      <c r="I5170"/>
    </row>
    <row r="5171" spans="1:9" x14ac:dyDescent="0.3">
      <c r="A5171" t="s">
        <v>6</v>
      </c>
      <c r="B5171" t="s">
        <v>18</v>
      </c>
      <c r="C5171" t="s">
        <v>84</v>
      </c>
      <c r="D5171" s="9" t="s">
        <v>85</v>
      </c>
      <c r="E5171" t="s">
        <v>32</v>
      </c>
      <c r="F5171" t="s">
        <v>61</v>
      </c>
      <c r="G5171">
        <v>97.9</v>
      </c>
      <c r="H5171" s="9">
        <v>6.99</v>
      </c>
      <c r="I5171"/>
    </row>
    <row r="5172" spans="1:9" x14ac:dyDescent="0.3">
      <c r="A5172" t="s">
        <v>6</v>
      </c>
      <c r="B5172" t="s">
        <v>18</v>
      </c>
      <c r="C5172" t="s">
        <v>86</v>
      </c>
      <c r="D5172" s="9" t="s">
        <v>85</v>
      </c>
      <c r="E5172" t="s">
        <v>33</v>
      </c>
      <c r="F5172" t="s">
        <v>63</v>
      </c>
      <c r="G5172">
        <v>92.9</v>
      </c>
      <c r="H5172" s="9">
        <v>10.99</v>
      </c>
      <c r="I5172"/>
    </row>
    <row r="5173" spans="1:9" x14ac:dyDescent="0.3">
      <c r="A5173" t="s">
        <v>6</v>
      </c>
      <c r="B5173" t="s">
        <v>18</v>
      </c>
      <c r="C5173" t="s">
        <v>87</v>
      </c>
      <c r="D5173" s="9" t="s">
        <v>85</v>
      </c>
      <c r="E5173" t="s">
        <v>34</v>
      </c>
      <c r="F5173" t="s">
        <v>65</v>
      </c>
      <c r="G5173">
        <v>88.5</v>
      </c>
      <c r="H5173" s="9">
        <v>-6.55</v>
      </c>
      <c r="I5173"/>
    </row>
    <row r="5174" spans="1:9" x14ac:dyDescent="0.3">
      <c r="A5174" t="s">
        <v>6</v>
      </c>
      <c r="B5174" t="s">
        <v>18</v>
      </c>
      <c r="C5174" t="s">
        <v>88</v>
      </c>
      <c r="D5174" s="9" t="s">
        <v>85</v>
      </c>
      <c r="E5174" t="s">
        <v>35</v>
      </c>
      <c r="F5174" t="s">
        <v>67</v>
      </c>
      <c r="G5174">
        <v>78.599999999999994</v>
      </c>
      <c r="H5174" s="9">
        <v>-12.96</v>
      </c>
      <c r="I5174"/>
    </row>
    <row r="5175" spans="1:9" x14ac:dyDescent="0.3">
      <c r="A5175" t="s">
        <v>6</v>
      </c>
      <c r="B5175" t="s">
        <v>18</v>
      </c>
      <c r="C5175" t="s">
        <v>89</v>
      </c>
      <c r="D5175" s="9" t="s">
        <v>85</v>
      </c>
      <c r="E5175" t="s">
        <v>36</v>
      </c>
      <c r="F5175" t="s">
        <v>69</v>
      </c>
      <c r="G5175">
        <v>92.3</v>
      </c>
      <c r="H5175" s="9">
        <v>1.21</v>
      </c>
      <c r="I5175"/>
    </row>
    <row r="5176" spans="1:9" x14ac:dyDescent="0.3">
      <c r="A5176" t="s">
        <v>6</v>
      </c>
      <c r="B5176" t="s">
        <v>18</v>
      </c>
      <c r="C5176" t="s">
        <v>90</v>
      </c>
      <c r="D5176" s="9" t="s">
        <v>85</v>
      </c>
      <c r="E5176" t="s">
        <v>37</v>
      </c>
      <c r="F5176" t="s">
        <v>71</v>
      </c>
      <c r="G5176">
        <v>94.3</v>
      </c>
      <c r="H5176" s="9">
        <v>3.51</v>
      </c>
      <c r="I5176"/>
    </row>
    <row r="5177" spans="1:9" x14ac:dyDescent="0.3">
      <c r="A5177" t="s">
        <v>6</v>
      </c>
      <c r="B5177" t="s">
        <v>18</v>
      </c>
      <c r="C5177" t="s">
        <v>91</v>
      </c>
      <c r="D5177" s="9" t="s">
        <v>85</v>
      </c>
      <c r="E5177" t="s">
        <v>38</v>
      </c>
      <c r="F5177" t="s">
        <v>73</v>
      </c>
      <c r="G5177">
        <v>110</v>
      </c>
      <c r="H5177" s="9">
        <v>17.77</v>
      </c>
      <c r="I5177"/>
    </row>
    <row r="5178" spans="1:9" x14ac:dyDescent="0.3">
      <c r="A5178" t="s">
        <v>6</v>
      </c>
      <c r="B5178" t="s">
        <v>18</v>
      </c>
      <c r="C5178" t="s">
        <v>92</v>
      </c>
      <c r="D5178" s="9" t="s">
        <v>85</v>
      </c>
      <c r="E5178" t="s">
        <v>39</v>
      </c>
      <c r="F5178" t="s">
        <v>75</v>
      </c>
      <c r="G5178">
        <v>106.8</v>
      </c>
      <c r="H5178" s="9">
        <v>13.74</v>
      </c>
      <c r="I5178"/>
    </row>
    <row r="5179" spans="1:9" x14ac:dyDescent="0.3">
      <c r="A5179" t="s">
        <v>6</v>
      </c>
      <c r="B5179" t="s">
        <v>18</v>
      </c>
      <c r="C5179" t="s">
        <v>93</v>
      </c>
      <c r="D5179" s="9" t="s">
        <v>85</v>
      </c>
      <c r="E5179" t="s">
        <v>40</v>
      </c>
      <c r="F5179" t="s">
        <v>77</v>
      </c>
      <c r="G5179">
        <v>107.2</v>
      </c>
      <c r="H5179" s="9">
        <v>13.92</v>
      </c>
      <c r="I5179"/>
    </row>
    <row r="5180" spans="1:9" x14ac:dyDescent="0.3">
      <c r="A5180" t="s">
        <v>6</v>
      </c>
      <c r="B5180" t="s">
        <v>18</v>
      </c>
      <c r="C5180" t="s">
        <v>94</v>
      </c>
      <c r="D5180" s="9" t="s">
        <v>85</v>
      </c>
      <c r="E5180" t="s">
        <v>41</v>
      </c>
      <c r="F5180" t="s">
        <v>79</v>
      </c>
      <c r="G5180">
        <v>112.8</v>
      </c>
      <c r="H5180" s="9">
        <v>11.9</v>
      </c>
      <c r="I5180"/>
    </row>
    <row r="5181" spans="1:9" x14ac:dyDescent="0.3">
      <c r="A5181" t="s">
        <v>6</v>
      </c>
      <c r="B5181" t="s">
        <v>18</v>
      </c>
      <c r="C5181" t="s">
        <v>95</v>
      </c>
      <c r="D5181" s="9" t="s">
        <v>85</v>
      </c>
      <c r="E5181" t="s">
        <v>42</v>
      </c>
      <c r="F5181" t="s">
        <v>81</v>
      </c>
      <c r="G5181">
        <v>96.7</v>
      </c>
      <c r="H5181" s="9">
        <v>-5.29</v>
      </c>
      <c r="I5181"/>
    </row>
    <row r="5182" spans="1:9" x14ac:dyDescent="0.3">
      <c r="A5182" t="s">
        <v>6</v>
      </c>
      <c r="B5182" t="s">
        <v>18</v>
      </c>
      <c r="C5182" t="s">
        <v>96</v>
      </c>
      <c r="D5182" s="9" t="s">
        <v>85</v>
      </c>
      <c r="E5182" t="s">
        <v>43</v>
      </c>
      <c r="F5182" t="s">
        <v>83</v>
      </c>
      <c r="G5182">
        <v>115.7</v>
      </c>
      <c r="H5182" s="9">
        <v>7.13</v>
      </c>
      <c r="I5182"/>
    </row>
    <row r="5183" spans="1:9" x14ac:dyDescent="0.3">
      <c r="A5183" t="s">
        <v>6</v>
      </c>
      <c r="B5183" t="s">
        <v>18</v>
      </c>
      <c r="C5183" t="s">
        <v>97</v>
      </c>
      <c r="D5183" s="9" t="s">
        <v>98</v>
      </c>
      <c r="E5183" t="s">
        <v>32</v>
      </c>
      <c r="F5183" t="s">
        <v>61</v>
      </c>
      <c r="G5183">
        <v>110.2</v>
      </c>
      <c r="H5183" s="9">
        <v>12.56</v>
      </c>
      <c r="I5183"/>
    </row>
    <row r="5184" spans="1:9" x14ac:dyDescent="0.3">
      <c r="A5184" t="s">
        <v>6</v>
      </c>
      <c r="B5184" t="s">
        <v>18</v>
      </c>
      <c r="C5184" t="s">
        <v>99</v>
      </c>
      <c r="D5184" s="9" t="s">
        <v>98</v>
      </c>
      <c r="E5184" t="s">
        <v>33</v>
      </c>
      <c r="F5184" t="s">
        <v>63</v>
      </c>
      <c r="G5184">
        <v>100.5</v>
      </c>
      <c r="H5184" s="9">
        <v>8.18</v>
      </c>
      <c r="I5184"/>
    </row>
    <row r="5185" spans="1:9" x14ac:dyDescent="0.3">
      <c r="A5185" t="s">
        <v>6</v>
      </c>
      <c r="B5185" t="s">
        <v>18</v>
      </c>
      <c r="C5185" t="s">
        <v>100</v>
      </c>
      <c r="D5185" s="9" t="s">
        <v>98</v>
      </c>
      <c r="E5185" t="s">
        <v>34</v>
      </c>
      <c r="F5185" t="s">
        <v>65</v>
      </c>
      <c r="G5185">
        <v>112.6</v>
      </c>
      <c r="H5185" s="9">
        <v>27.23</v>
      </c>
      <c r="I5185"/>
    </row>
    <row r="5186" spans="1:9" x14ac:dyDescent="0.3">
      <c r="A5186" t="s">
        <v>6</v>
      </c>
      <c r="B5186" t="s">
        <v>18</v>
      </c>
      <c r="C5186" t="s">
        <v>101</v>
      </c>
      <c r="D5186" s="9" t="s">
        <v>98</v>
      </c>
      <c r="E5186" t="s">
        <v>35</v>
      </c>
      <c r="F5186" t="s">
        <v>67</v>
      </c>
      <c r="G5186">
        <v>112.7</v>
      </c>
      <c r="H5186" s="9">
        <v>43.38</v>
      </c>
      <c r="I5186"/>
    </row>
    <row r="5187" spans="1:9" x14ac:dyDescent="0.3">
      <c r="A5187" t="s">
        <v>6</v>
      </c>
      <c r="B5187" t="s">
        <v>18</v>
      </c>
      <c r="C5187" t="s">
        <v>102</v>
      </c>
      <c r="D5187" s="9" t="s">
        <v>98</v>
      </c>
      <c r="E5187" t="s">
        <v>36</v>
      </c>
      <c r="F5187" t="s">
        <v>69</v>
      </c>
      <c r="G5187">
        <v>112.2</v>
      </c>
      <c r="H5187" s="9">
        <v>21.56</v>
      </c>
      <c r="I5187"/>
    </row>
    <row r="5188" spans="1:9" x14ac:dyDescent="0.3">
      <c r="A5188" t="s">
        <v>6</v>
      </c>
      <c r="B5188" t="s">
        <v>18</v>
      </c>
      <c r="C5188" t="s">
        <v>103</v>
      </c>
      <c r="D5188" s="9" t="s">
        <v>98</v>
      </c>
      <c r="E5188" t="s">
        <v>37</v>
      </c>
      <c r="F5188" t="s">
        <v>71</v>
      </c>
      <c r="G5188">
        <v>112.8</v>
      </c>
      <c r="H5188" s="9">
        <v>19.62</v>
      </c>
      <c r="I5188"/>
    </row>
    <row r="5189" spans="1:9" x14ac:dyDescent="0.3">
      <c r="A5189" t="s">
        <v>6</v>
      </c>
      <c r="B5189" t="s">
        <v>18</v>
      </c>
      <c r="C5189" t="s">
        <v>104</v>
      </c>
      <c r="D5189" s="9" t="s">
        <v>98</v>
      </c>
      <c r="E5189" t="s">
        <v>38</v>
      </c>
      <c r="F5189" t="s">
        <v>73</v>
      </c>
      <c r="G5189">
        <v>109.2</v>
      </c>
      <c r="H5189" s="9">
        <v>-0.73</v>
      </c>
      <c r="I5189"/>
    </row>
    <row r="5190" spans="1:9" x14ac:dyDescent="0.3">
      <c r="A5190" t="s">
        <v>6</v>
      </c>
      <c r="B5190" t="s">
        <v>18</v>
      </c>
      <c r="C5190" t="s">
        <v>105</v>
      </c>
      <c r="D5190" s="9" t="s">
        <v>98</v>
      </c>
      <c r="E5190" t="s">
        <v>39</v>
      </c>
      <c r="F5190" t="s">
        <v>75</v>
      </c>
      <c r="G5190">
        <v>116.6</v>
      </c>
      <c r="H5190" s="9">
        <v>9.18</v>
      </c>
      <c r="I5190"/>
    </row>
    <row r="5191" spans="1:9" x14ac:dyDescent="0.3">
      <c r="A5191" t="s">
        <v>6</v>
      </c>
      <c r="B5191" t="s">
        <v>18</v>
      </c>
      <c r="C5191" t="s">
        <v>106</v>
      </c>
      <c r="D5191" s="9" t="s">
        <v>98</v>
      </c>
      <c r="E5191" t="s">
        <v>40</v>
      </c>
      <c r="F5191" t="s">
        <v>77</v>
      </c>
      <c r="G5191">
        <v>116.6</v>
      </c>
      <c r="H5191" s="9">
        <v>8.77</v>
      </c>
      <c r="I5191"/>
    </row>
    <row r="5192" spans="1:9" x14ac:dyDescent="0.3">
      <c r="A5192" t="s">
        <v>6</v>
      </c>
      <c r="B5192" t="s">
        <v>18</v>
      </c>
      <c r="C5192" t="s">
        <v>107</v>
      </c>
      <c r="D5192" s="9" t="s">
        <v>98</v>
      </c>
      <c r="E5192" t="s">
        <v>41</v>
      </c>
      <c r="F5192" t="s">
        <v>79</v>
      </c>
      <c r="G5192">
        <v>120.3</v>
      </c>
      <c r="H5192" s="9">
        <v>6.65</v>
      </c>
      <c r="I5192"/>
    </row>
    <row r="5193" spans="1:9" x14ac:dyDescent="0.3">
      <c r="A5193" t="s">
        <v>6</v>
      </c>
      <c r="B5193" t="s">
        <v>18</v>
      </c>
      <c r="C5193" t="s">
        <v>108</v>
      </c>
      <c r="D5193" s="9" t="s">
        <v>98</v>
      </c>
      <c r="E5193" t="s">
        <v>42</v>
      </c>
      <c r="F5193" t="s">
        <v>81</v>
      </c>
      <c r="G5193">
        <v>113.5</v>
      </c>
      <c r="H5193" s="9">
        <v>17.37</v>
      </c>
      <c r="I5193"/>
    </row>
    <row r="5194" spans="1:9" x14ac:dyDescent="0.3">
      <c r="A5194" t="s">
        <v>6</v>
      </c>
      <c r="B5194" t="s">
        <v>18</v>
      </c>
      <c r="C5194" t="s">
        <v>109</v>
      </c>
      <c r="D5194" s="9" t="s">
        <v>98</v>
      </c>
      <c r="E5194" t="s">
        <v>43</v>
      </c>
      <c r="F5194" t="s">
        <v>83</v>
      </c>
      <c r="G5194">
        <v>119.8</v>
      </c>
      <c r="H5194" s="9">
        <v>3.54</v>
      </c>
      <c r="I5194"/>
    </row>
    <row r="5195" spans="1:9" x14ac:dyDescent="0.3">
      <c r="A5195" t="s">
        <v>6</v>
      </c>
      <c r="B5195" t="s">
        <v>18</v>
      </c>
      <c r="C5195" t="s">
        <v>110</v>
      </c>
      <c r="D5195" s="9" t="s">
        <v>111</v>
      </c>
      <c r="E5195" t="s">
        <v>32</v>
      </c>
      <c r="F5195" t="s">
        <v>61</v>
      </c>
      <c r="G5195">
        <v>106.6</v>
      </c>
      <c r="H5195" s="9">
        <v>-3.27</v>
      </c>
      <c r="I5195"/>
    </row>
    <row r="5196" spans="1:9" x14ac:dyDescent="0.3">
      <c r="A5196" t="s">
        <v>6</v>
      </c>
      <c r="B5196" t="s">
        <v>18</v>
      </c>
      <c r="C5196" t="s">
        <v>112</v>
      </c>
      <c r="D5196" s="9" t="s">
        <v>111</v>
      </c>
      <c r="E5196" t="s">
        <v>33</v>
      </c>
      <c r="F5196" t="s">
        <v>63</v>
      </c>
      <c r="G5196">
        <v>94.4</v>
      </c>
      <c r="H5196" s="9">
        <v>-6.07</v>
      </c>
      <c r="I5196"/>
    </row>
    <row r="5197" spans="1:9" x14ac:dyDescent="0.3">
      <c r="A5197" t="s">
        <v>6</v>
      </c>
      <c r="B5197" t="s">
        <v>18</v>
      </c>
      <c r="C5197" t="s">
        <v>113</v>
      </c>
      <c r="D5197" s="9" t="s">
        <v>111</v>
      </c>
      <c r="E5197" t="s">
        <v>34</v>
      </c>
      <c r="F5197" t="s">
        <v>65</v>
      </c>
      <c r="G5197">
        <v>110.8</v>
      </c>
      <c r="H5197" s="9">
        <v>-1.6</v>
      </c>
      <c r="I5197"/>
    </row>
    <row r="5198" spans="1:9" x14ac:dyDescent="0.3">
      <c r="A5198" t="s">
        <v>6</v>
      </c>
      <c r="B5198" t="s">
        <v>18</v>
      </c>
      <c r="C5198" t="s">
        <v>114</v>
      </c>
      <c r="D5198" s="9" t="s">
        <v>111</v>
      </c>
      <c r="E5198" t="s">
        <v>35</v>
      </c>
      <c r="F5198" t="s">
        <v>67</v>
      </c>
      <c r="G5198">
        <v>111.2</v>
      </c>
      <c r="H5198" s="9">
        <v>-1.33</v>
      </c>
      <c r="I5198"/>
    </row>
    <row r="5199" spans="1:9" x14ac:dyDescent="0.3">
      <c r="A5199" t="s">
        <v>6</v>
      </c>
      <c r="B5199" t="s">
        <v>18</v>
      </c>
      <c r="C5199" t="s">
        <v>115</v>
      </c>
      <c r="D5199" s="9" t="s">
        <v>111</v>
      </c>
      <c r="E5199" t="s">
        <v>36</v>
      </c>
      <c r="F5199" t="s">
        <v>69</v>
      </c>
      <c r="G5199">
        <v>113.8</v>
      </c>
      <c r="H5199" s="9">
        <v>1.43</v>
      </c>
      <c r="I5199"/>
    </row>
    <row r="5200" spans="1:9" x14ac:dyDescent="0.3">
      <c r="A5200" t="s">
        <v>6</v>
      </c>
      <c r="B5200" t="s">
        <v>18</v>
      </c>
      <c r="C5200" t="s">
        <v>116</v>
      </c>
      <c r="D5200" s="9" t="s">
        <v>111</v>
      </c>
      <c r="E5200" t="s">
        <v>37</v>
      </c>
      <c r="F5200" t="s">
        <v>71</v>
      </c>
      <c r="G5200">
        <v>114.6</v>
      </c>
      <c r="H5200" s="9">
        <v>1.6</v>
      </c>
      <c r="I5200"/>
    </row>
    <row r="5201" spans="1:9" x14ac:dyDescent="0.3">
      <c r="A5201" t="s">
        <v>6</v>
      </c>
      <c r="B5201" t="s">
        <v>18</v>
      </c>
      <c r="C5201" t="s">
        <v>117</v>
      </c>
      <c r="D5201" s="9" t="s">
        <v>111</v>
      </c>
      <c r="E5201" t="s">
        <v>38</v>
      </c>
      <c r="F5201" t="s">
        <v>73</v>
      </c>
      <c r="G5201">
        <v>126.3</v>
      </c>
      <c r="H5201" s="9">
        <v>15.66</v>
      </c>
      <c r="I5201"/>
    </row>
    <row r="5202" spans="1:9" x14ac:dyDescent="0.3">
      <c r="A5202" t="s">
        <v>6</v>
      </c>
      <c r="B5202" t="s">
        <v>18</v>
      </c>
      <c r="C5202" t="s">
        <v>118</v>
      </c>
      <c r="D5202" s="9" t="s">
        <v>111</v>
      </c>
      <c r="E5202" t="s">
        <v>39</v>
      </c>
      <c r="F5202" t="s">
        <v>75</v>
      </c>
      <c r="G5202">
        <v>125.1</v>
      </c>
      <c r="H5202" s="9">
        <v>7.29</v>
      </c>
      <c r="I5202"/>
    </row>
    <row r="5203" spans="1:9" x14ac:dyDescent="0.3">
      <c r="A5203" t="s">
        <v>6</v>
      </c>
      <c r="B5203" t="s">
        <v>18</v>
      </c>
      <c r="C5203" t="s">
        <v>119</v>
      </c>
      <c r="D5203" s="9" t="s">
        <v>111</v>
      </c>
      <c r="E5203" t="s">
        <v>40</v>
      </c>
      <c r="F5203" t="s">
        <v>77</v>
      </c>
      <c r="G5203">
        <v>124.5</v>
      </c>
      <c r="H5203" s="9">
        <v>6.78</v>
      </c>
      <c r="I5203"/>
    </row>
    <row r="5204" spans="1:9" x14ac:dyDescent="0.3">
      <c r="A5204" t="s">
        <v>6</v>
      </c>
      <c r="B5204" t="s">
        <v>18</v>
      </c>
      <c r="C5204" t="s">
        <v>120</v>
      </c>
      <c r="D5204" s="9" t="s">
        <v>111</v>
      </c>
      <c r="E5204" t="s">
        <v>41</v>
      </c>
      <c r="F5204" t="s">
        <v>79</v>
      </c>
      <c r="G5204">
        <v>123.3</v>
      </c>
      <c r="H5204" s="9">
        <v>2.4900000000000002</v>
      </c>
      <c r="I5204"/>
    </row>
    <row r="5205" spans="1:9" x14ac:dyDescent="0.3">
      <c r="A5205" t="s">
        <v>6</v>
      </c>
      <c r="B5205" t="s">
        <v>18</v>
      </c>
      <c r="C5205" t="s">
        <v>121</v>
      </c>
      <c r="D5205" s="9" t="s">
        <v>111</v>
      </c>
      <c r="E5205" t="s">
        <v>42</v>
      </c>
      <c r="F5205" t="s">
        <v>81</v>
      </c>
      <c r="G5205">
        <v>123.6</v>
      </c>
      <c r="H5205" s="9">
        <v>8.9</v>
      </c>
      <c r="I5205"/>
    </row>
    <row r="5206" spans="1:9" x14ac:dyDescent="0.3">
      <c r="A5206" t="s">
        <v>6</v>
      </c>
      <c r="B5206" t="s">
        <v>18</v>
      </c>
      <c r="C5206" t="s">
        <v>122</v>
      </c>
      <c r="D5206" s="9" t="s">
        <v>111</v>
      </c>
      <c r="E5206" t="s">
        <v>43</v>
      </c>
      <c r="F5206" t="s">
        <v>83</v>
      </c>
      <c r="G5206">
        <v>133.6</v>
      </c>
      <c r="H5206" s="9">
        <v>11.52</v>
      </c>
      <c r="I5206"/>
    </row>
    <row r="5207" spans="1:9" x14ac:dyDescent="0.3">
      <c r="A5207" t="s">
        <v>6</v>
      </c>
      <c r="B5207" t="s">
        <v>18</v>
      </c>
      <c r="C5207" t="s">
        <v>123</v>
      </c>
      <c r="D5207" s="9" t="s">
        <v>124</v>
      </c>
      <c r="E5207" t="s">
        <v>32</v>
      </c>
      <c r="F5207" t="s">
        <v>61</v>
      </c>
      <c r="G5207">
        <v>118.8</v>
      </c>
      <c r="H5207" s="9">
        <v>11.44</v>
      </c>
      <c r="I5207"/>
    </row>
    <row r="5208" spans="1:9" x14ac:dyDescent="0.3">
      <c r="A5208" t="s">
        <v>6</v>
      </c>
      <c r="B5208" t="s">
        <v>18</v>
      </c>
      <c r="C5208" t="s">
        <v>125</v>
      </c>
      <c r="D5208" s="9" t="s">
        <v>124</v>
      </c>
      <c r="E5208" t="s">
        <v>33</v>
      </c>
      <c r="F5208" t="s">
        <v>63</v>
      </c>
      <c r="G5208">
        <v>106.9</v>
      </c>
      <c r="H5208" s="9">
        <v>13.24</v>
      </c>
      <c r="I5208"/>
    </row>
    <row r="5209" spans="1:9" x14ac:dyDescent="0.3">
      <c r="A5209" t="s">
        <v>6</v>
      </c>
      <c r="B5209" t="s">
        <v>18</v>
      </c>
      <c r="C5209" t="s">
        <v>126</v>
      </c>
      <c r="D5209" s="9" t="s">
        <v>124</v>
      </c>
      <c r="E5209" t="s">
        <v>34</v>
      </c>
      <c r="F5209" t="s">
        <v>65</v>
      </c>
      <c r="G5209">
        <v>123.1</v>
      </c>
      <c r="H5209" s="9">
        <v>11.1</v>
      </c>
      <c r="I5209"/>
    </row>
    <row r="5210" spans="1:9" x14ac:dyDescent="0.3">
      <c r="A5210" t="s">
        <v>6</v>
      </c>
      <c r="B5210" t="s">
        <v>18</v>
      </c>
      <c r="C5210" t="s">
        <v>127</v>
      </c>
      <c r="D5210" s="9" t="s">
        <v>124</v>
      </c>
      <c r="E5210" t="s">
        <v>35</v>
      </c>
      <c r="F5210" t="s">
        <v>67</v>
      </c>
      <c r="G5210">
        <v>122.6</v>
      </c>
      <c r="H5210" s="9">
        <v>10.25</v>
      </c>
      <c r="I5210"/>
    </row>
    <row r="5211" spans="1:9" x14ac:dyDescent="0.3">
      <c r="A5211" t="s">
        <v>6</v>
      </c>
      <c r="B5211" t="s">
        <v>18</v>
      </c>
      <c r="C5211" t="s">
        <v>128</v>
      </c>
      <c r="D5211" s="9" t="s">
        <v>124</v>
      </c>
      <c r="E5211" t="s">
        <v>36</v>
      </c>
      <c r="F5211" t="s">
        <v>69</v>
      </c>
      <c r="G5211">
        <v>124</v>
      </c>
      <c r="H5211" s="9">
        <v>8.9600000000000009</v>
      </c>
      <c r="I5211"/>
    </row>
    <row r="5212" spans="1:9" x14ac:dyDescent="0.3">
      <c r="A5212" t="s">
        <v>6</v>
      </c>
      <c r="B5212" t="s">
        <v>18</v>
      </c>
      <c r="C5212" t="s">
        <v>129</v>
      </c>
      <c r="D5212" s="9" t="s">
        <v>124</v>
      </c>
      <c r="E5212" t="s">
        <v>37</v>
      </c>
      <c r="F5212" t="s">
        <v>71</v>
      </c>
      <c r="G5212">
        <v>122.5</v>
      </c>
      <c r="H5212" s="9">
        <v>6.89</v>
      </c>
      <c r="I5212"/>
    </row>
    <row r="5213" spans="1:9" x14ac:dyDescent="0.3">
      <c r="A5213" t="s">
        <v>6</v>
      </c>
      <c r="B5213" t="s">
        <v>18</v>
      </c>
      <c r="C5213" t="s">
        <v>130</v>
      </c>
      <c r="D5213" s="9" t="s">
        <v>124</v>
      </c>
      <c r="E5213" t="s">
        <v>38</v>
      </c>
      <c r="F5213" t="s">
        <v>73</v>
      </c>
      <c r="G5213">
        <v>131.69999999999999</v>
      </c>
      <c r="H5213" s="9">
        <v>4.28</v>
      </c>
      <c r="I5213"/>
    </row>
    <row r="5214" spans="1:9" x14ac:dyDescent="0.3">
      <c r="A5214" t="s">
        <v>6</v>
      </c>
      <c r="B5214" t="s">
        <v>18</v>
      </c>
      <c r="C5214" t="s">
        <v>131</v>
      </c>
      <c r="D5214" s="9" t="s">
        <v>124</v>
      </c>
      <c r="E5214" t="s">
        <v>39</v>
      </c>
      <c r="F5214" t="s">
        <v>75</v>
      </c>
      <c r="G5214">
        <v>131.19999999999999</v>
      </c>
      <c r="H5214" s="9">
        <v>4.88</v>
      </c>
      <c r="I5214"/>
    </row>
    <row r="5215" spans="1:9" x14ac:dyDescent="0.3">
      <c r="A5215" t="s">
        <v>6</v>
      </c>
      <c r="B5215" t="s">
        <v>18</v>
      </c>
      <c r="C5215" t="s">
        <v>132</v>
      </c>
      <c r="D5215" s="9" t="s">
        <v>124</v>
      </c>
      <c r="E5215" t="s">
        <v>40</v>
      </c>
      <c r="F5215" t="s">
        <v>77</v>
      </c>
      <c r="G5215">
        <v>129.80000000000001</v>
      </c>
      <c r="H5215" s="9">
        <v>4.26</v>
      </c>
      <c r="I5215"/>
    </row>
    <row r="5216" spans="1:9" x14ac:dyDescent="0.3">
      <c r="A5216" t="s">
        <v>6</v>
      </c>
      <c r="B5216" t="s">
        <v>18</v>
      </c>
      <c r="C5216" t="s">
        <v>133</v>
      </c>
      <c r="D5216" s="9" t="s">
        <v>124</v>
      </c>
      <c r="E5216" t="s">
        <v>41</v>
      </c>
      <c r="F5216" t="s">
        <v>79</v>
      </c>
      <c r="G5216">
        <v>134.80000000000001</v>
      </c>
      <c r="H5216" s="9">
        <v>9.33</v>
      </c>
      <c r="I5216"/>
    </row>
    <row r="5217" spans="1:9" x14ac:dyDescent="0.3">
      <c r="A5217" t="s">
        <v>6</v>
      </c>
      <c r="B5217" t="s">
        <v>18</v>
      </c>
      <c r="C5217" t="s">
        <v>134</v>
      </c>
      <c r="D5217" s="9" t="s">
        <v>124</v>
      </c>
      <c r="E5217" t="s">
        <v>42</v>
      </c>
      <c r="F5217" t="s">
        <v>81</v>
      </c>
      <c r="G5217">
        <v>128.80000000000001</v>
      </c>
      <c r="H5217" s="9">
        <v>4.21</v>
      </c>
      <c r="I5217"/>
    </row>
    <row r="5218" spans="1:9" x14ac:dyDescent="0.3">
      <c r="A5218" t="s">
        <v>6</v>
      </c>
      <c r="B5218" t="s">
        <v>18</v>
      </c>
      <c r="C5218" t="s">
        <v>135</v>
      </c>
      <c r="D5218" s="9" t="s">
        <v>124</v>
      </c>
      <c r="E5218" t="s">
        <v>43</v>
      </c>
      <c r="F5218" t="s">
        <v>83</v>
      </c>
      <c r="G5218">
        <v>136.5</v>
      </c>
      <c r="H5218" s="9">
        <v>2.17</v>
      </c>
      <c r="I5218"/>
    </row>
    <row r="5219" spans="1:9" x14ac:dyDescent="0.3">
      <c r="A5219" t="s">
        <v>6</v>
      </c>
      <c r="B5219" t="s">
        <v>18</v>
      </c>
      <c r="C5219" t="s">
        <v>136</v>
      </c>
      <c r="D5219" s="9" t="s">
        <v>137</v>
      </c>
      <c r="E5219" t="s">
        <v>32</v>
      </c>
      <c r="F5219" t="s">
        <v>61</v>
      </c>
      <c r="G5219">
        <v>126.2</v>
      </c>
      <c r="H5219" s="9">
        <v>6.23</v>
      </c>
      <c r="I5219"/>
    </row>
    <row r="5220" spans="1:9" x14ac:dyDescent="0.3">
      <c r="A5220" t="s">
        <v>6</v>
      </c>
      <c r="B5220" t="s">
        <v>18</v>
      </c>
      <c r="C5220" t="s">
        <v>138</v>
      </c>
      <c r="D5220" s="9" t="s">
        <v>137</v>
      </c>
      <c r="E5220" t="s">
        <v>33</v>
      </c>
      <c r="F5220" t="s">
        <v>63</v>
      </c>
      <c r="G5220">
        <v>120.2</v>
      </c>
      <c r="H5220" s="9">
        <v>12.44</v>
      </c>
      <c r="I5220"/>
    </row>
    <row r="5221" spans="1:9" x14ac:dyDescent="0.3">
      <c r="A5221" t="s">
        <v>6</v>
      </c>
      <c r="B5221" t="s">
        <v>18</v>
      </c>
      <c r="C5221" t="s">
        <v>139</v>
      </c>
      <c r="D5221" s="9" t="s">
        <v>137</v>
      </c>
      <c r="E5221" t="s">
        <v>34</v>
      </c>
      <c r="F5221" t="s">
        <v>65</v>
      </c>
      <c r="G5221">
        <v>126.9</v>
      </c>
      <c r="H5221" s="9">
        <v>3.09</v>
      </c>
      <c r="I5221"/>
    </row>
    <row r="5222" spans="1:9" x14ac:dyDescent="0.3">
      <c r="A5222" t="s">
        <v>6</v>
      </c>
      <c r="B5222" t="s">
        <v>18</v>
      </c>
      <c r="C5222" t="s">
        <v>140</v>
      </c>
      <c r="D5222" s="9" t="s">
        <v>137</v>
      </c>
      <c r="E5222" t="s">
        <v>35</v>
      </c>
      <c r="F5222" t="s">
        <v>67</v>
      </c>
      <c r="G5222">
        <v>129.6</v>
      </c>
      <c r="H5222" s="9">
        <v>5.71</v>
      </c>
      <c r="I5222"/>
    </row>
    <row r="5223" spans="1:9" x14ac:dyDescent="0.3">
      <c r="A5223" t="s">
        <v>6</v>
      </c>
      <c r="B5223" t="s">
        <v>18</v>
      </c>
      <c r="C5223" t="s">
        <v>141</v>
      </c>
      <c r="D5223" s="9" t="s">
        <v>137</v>
      </c>
      <c r="E5223" t="s">
        <v>36</v>
      </c>
      <c r="F5223" t="s">
        <v>69</v>
      </c>
      <c r="G5223">
        <v>128.4</v>
      </c>
      <c r="H5223" s="9">
        <v>3.55</v>
      </c>
      <c r="I5223"/>
    </row>
    <row r="5224" spans="1:9" x14ac:dyDescent="0.3">
      <c r="A5224" t="s">
        <v>6</v>
      </c>
      <c r="B5224" t="s">
        <v>18</v>
      </c>
      <c r="C5224" t="s">
        <v>142</v>
      </c>
      <c r="D5224" s="9" t="s">
        <v>137</v>
      </c>
      <c r="E5224" t="s">
        <v>37</v>
      </c>
      <c r="F5224" t="s">
        <v>71</v>
      </c>
      <c r="G5224">
        <v>124.7</v>
      </c>
      <c r="H5224" s="9">
        <v>1.8</v>
      </c>
      <c r="I5224"/>
    </row>
    <row r="5225" spans="1:9" x14ac:dyDescent="0.3">
      <c r="A5225" t="s">
        <v>6</v>
      </c>
      <c r="B5225" t="s">
        <v>18</v>
      </c>
      <c r="C5225" t="s">
        <v>143</v>
      </c>
      <c r="D5225" s="9" t="s">
        <v>137</v>
      </c>
      <c r="E5225" t="s">
        <v>38</v>
      </c>
      <c r="F5225" t="s">
        <v>73</v>
      </c>
      <c r="G5225">
        <v>134.5</v>
      </c>
      <c r="H5225" s="9">
        <v>2.13</v>
      </c>
      <c r="I5225"/>
    </row>
    <row r="5226" spans="1:9" x14ac:dyDescent="0.3">
      <c r="A5226" t="s">
        <v>6</v>
      </c>
      <c r="B5226" t="s">
        <v>18</v>
      </c>
      <c r="C5226" t="s">
        <v>144</v>
      </c>
      <c r="D5226" s="9" t="s">
        <v>137</v>
      </c>
      <c r="E5226" t="s">
        <v>39</v>
      </c>
      <c r="F5226" t="s">
        <v>75</v>
      </c>
      <c r="G5226">
        <v>133.19999999999999</v>
      </c>
      <c r="H5226" s="9">
        <v>1.52</v>
      </c>
      <c r="I5226"/>
    </row>
    <row r="5227" spans="1:9" x14ac:dyDescent="0.3">
      <c r="A5227" t="s">
        <v>6</v>
      </c>
      <c r="B5227" t="s">
        <v>18</v>
      </c>
      <c r="C5227" t="s">
        <v>145</v>
      </c>
      <c r="D5227" s="9" t="s">
        <v>137</v>
      </c>
      <c r="E5227" t="s">
        <v>40</v>
      </c>
      <c r="F5227" t="s">
        <v>77</v>
      </c>
      <c r="G5227">
        <v>128.1</v>
      </c>
      <c r="H5227" s="9">
        <v>-1.31</v>
      </c>
      <c r="I5227"/>
    </row>
    <row r="5228" spans="1:9" x14ac:dyDescent="0.3">
      <c r="A5228" t="s">
        <v>6</v>
      </c>
      <c r="B5228" t="s">
        <v>18</v>
      </c>
      <c r="C5228" t="s">
        <v>146</v>
      </c>
      <c r="D5228" s="9" t="s">
        <v>137</v>
      </c>
      <c r="E5228" t="s">
        <v>41</v>
      </c>
      <c r="F5228" t="s">
        <v>79</v>
      </c>
      <c r="G5228">
        <v>131.80000000000001</v>
      </c>
      <c r="H5228" s="9">
        <v>-2.23</v>
      </c>
      <c r="I5228"/>
    </row>
    <row r="5229" spans="1:9" x14ac:dyDescent="0.3">
      <c r="A5229" t="s">
        <v>6</v>
      </c>
      <c r="B5229" t="s">
        <v>18</v>
      </c>
      <c r="C5229" t="s">
        <v>147</v>
      </c>
      <c r="D5229" s="9" t="s">
        <v>137</v>
      </c>
      <c r="E5229" t="s">
        <v>42</v>
      </c>
      <c r="F5229" t="s">
        <v>81</v>
      </c>
      <c r="G5229">
        <v>131.30000000000001</v>
      </c>
      <c r="H5229" s="9">
        <v>1.94</v>
      </c>
      <c r="I5229"/>
    </row>
    <row r="5230" spans="1:9" x14ac:dyDescent="0.3">
      <c r="A5230" t="s">
        <v>6</v>
      </c>
      <c r="B5230" t="s">
        <v>18</v>
      </c>
      <c r="C5230" t="s">
        <v>148</v>
      </c>
      <c r="D5230" s="9" t="s">
        <v>137</v>
      </c>
      <c r="E5230" t="s">
        <v>43</v>
      </c>
      <c r="F5230" t="s">
        <v>83</v>
      </c>
      <c r="G5230">
        <v>134.80000000000001</v>
      </c>
      <c r="H5230" s="9">
        <v>-1.25</v>
      </c>
      <c r="I5230"/>
    </row>
    <row r="5231" spans="1:9" x14ac:dyDescent="0.3">
      <c r="A5231" t="s">
        <v>6</v>
      </c>
      <c r="B5231" t="s">
        <v>18</v>
      </c>
      <c r="C5231" t="s">
        <v>149</v>
      </c>
      <c r="D5231" s="9" t="s">
        <v>150</v>
      </c>
      <c r="E5231" t="s">
        <v>32</v>
      </c>
      <c r="F5231" t="s">
        <v>61</v>
      </c>
      <c r="G5231">
        <v>121.9</v>
      </c>
      <c r="H5231" s="9">
        <v>-3.41</v>
      </c>
      <c r="I5231"/>
    </row>
    <row r="5232" spans="1:9" x14ac:dyDescent="0.3">
      <c r="A5232" t="s">
        <v>6</v>
      </c>
      <c r="B5232" t="s">
        <v>18</v>
      </c>
      <c r="C5232" t="s">
        <v>151</v>
      </c>
      <c r="D5232" s="9" t="s">
        <v>150</v>
      </c>
      <c r="E5232" t="s">
        <v>33</v>
      </c>
      <c r="F5232" t="s">
        <v>63</v>
      </c>
      <c r="G5232">
        <v>114.9</v>
      </c>
      <c r="H5232" s="9">
        <v>-4.41</v>
      </c>
      <c r="I5232"/>
    </row>
    <row r="5233" spans="1:9" x14ac:dyDescent="0.3">
      <c r="A5233" t="s">
        <v>6</v>
      </c>
      <c r="B5233" t="s">
        <v>18</v>
      </c>
      <c r="C5233" t="s">
        <v>152</v>
      </c>
      <c r="D5233" s="9" t="s">
        <v>150</v>
      </c>
      <c r="E5233" t="s">
        <v>34</v>
      </c>
      <c r="F5233" t="s">
        <v>65</v>
      </c>
      <c r="G5233">
        <v>124.7</v>
      </c>
      <c r="H5233" s="9">
        <v>-1.73</v>
      </c>
      <c r="I5233"/>
    </row>
    <row r="5234" spans="1:9" x14ac:dyDescent="0.3">
      <c r="A5234" t="s">
        <v>6</v>
      </c>
      <c r="B5234" t="s">
        <v>18</v>
      </c>
      <c r="C5234" t="s">
        <v>153</v>
      </c>
      <c r="D5234" s="9" t="s">
        <v>150</v>
      </c>
      <c r="E5234" t="s">
        <v>35</v>
      </c>
      <c r="F5234" t="s">
        <v>67</v>
      </c>
      <c r="G5234">
        <v>126.1</v>
      </c>
      <c r="H5234" s="9">
        <v>-2.7</v>
      </c>
      <c r="I5234"/>
    </row>
    <row r="5235" spans="1:9" x14ac:dyDescent="0.3">
      <c r="A5235" t="s">
        <v>6</v>
      </c>
      <c r="B5235" t="s">
        <v>18</v>
      </c>
      <c r="C5235" t="s">
        <v>154</v>
      </c>
      <c r="D5235" s="9" t="s">
        <v>150</v>
      </c>
      <c r="E5235" t="s">
        <v>36</v>
      </c>
      <c r="F5235" t="s">
        <v>69</v>
      </c>
      <c r="G5235">
        <v>128.6</v>
      </c>
      <c r="H5235" s="9">
        <v>0.16</v>
      </c>
      <c r="I5235"/>
    </row>
    <row r="5236" spans="1:9" x14ac:dyDescent="0.3">
      <c r="A5236" t="s">
        <v>6</v>
      </c>
      <c r="B5236" t="s">
        <v>18</v>
      </c>
      <c r="C5236" t="s">
        <v>155</v>
      </c>
      <c r="D5236" s="9" t="s">
        <v>150</v>
      </c>
      <c r="E5236" t="s">
        <v>37</v>
      </c>
      <c r="F5236" t="s">
        <v>71</v>
      </c>
      <c r="G5236">
        <v>122.4</v>
      </c>
      <c r="H5236" s="9">
        <v>-1.84</v>
      </c>
      <c r="I5236"/>
    </row>
    <row r="5237" spans="1:9" x14ac:dyDescent="0.3">
      <c r="A5237" t="s">
        <v>7</v>
      </c>
      <c r="B5237" t="s">
        <v>12</v>
      </c>
      <c r="C5237" t="s">
        <v>59</v>
      </c>
      <c r="D5237" s="9" t="s">
        <v>60</v>
      </c>
      <c r="E5237" t="s">
        <v>32</v>
      </c>
      <c r="F5237" t="s">
        <v>61</v>
      </c>
      <c r="G5237">
        <v>32.1</v>
      </c>
      <c r="I5237"/>
    </row>
    <row r="5238" spans="1:9" x14ac:dyDescent="0.3">
      <c r="A5238" t="s">
        <v>7</v>
      </c>
      <c r="B5238" t="s">
        <v>12</v>
      </c>
      <c r="C5238" t="s">
        <v>62</v>
      </c>
      <c r="D5238" s="9" t="s">
        <v>60</v>
      </c>
      <c r="E5238" t="s">
        <v>33</v>
      </c>
      <c r="F5238" t="s">
        <v>63</v>
      </c>
      <c r="G5238">
        <v>27.1</v>
      </c>
      <c r="I5238"/>
    </row>
    <row r="5239" spans="1:9" x14ac:dyDescent="0.3">
      <c r="A5239" t="s">
        <v>7</v>
      </c>
      <c r="B5239" t="s">
        <v>12</v>
      </c>
      <c r="C5239" t="s">
        <v>64</v>
      </c>
      <c r="D5239" s="9" t="s">
        <v>60</v>
      </c>
      <c r="E5239" t="s">
        <v>34</v>
      </c>
      <c r="F5239" t="s">
        <v>65</v>
      </c>
      <c r="G5239">
        <v>31.8</v>
      </c>
      <c r="I5239"/>
    </row>
    <row r="5240" spans="1:9" x14ac:dyDescent="0.3">
      <c r="A5240" t="s">
        <v>7</v>
      </c>
      <c r="B5240" t="s">
        <v>12</v>
      </c>
      <c r="C5240" t="s">
        <v>66</v>
      </c>
      <c r="D5240" s="9" t="s">
        <v>60</v>
      </c>
      <c r="E5240" t="s">
        <v>35</v>
      </c>
      <c r="F5240" t="s">
        <v>67</v>
      </c>
      <c r="G5240">
        <v>32.200000000000003</v>
      </c>
      <c r="I5240"/>
    </row>
    <row r="5241" spans="1:9" x14ac:dyDescent="0.3">
      <c r="A5241" t="s">
        <v>7</v>
      </c>
      <c r="B5241" t="s">
        <v>12</v>
      </c>
      <c r="C5241" t="s">
        <v>68</v>
      </c>
      <c r="D5241" s="9" t="s">
        <v>60</v>
      </c>
      <c r="E5241" t="s">
        <v>36</v>
      </c>
      <c r="F5241" t="s">
        <v>69</v>
      </c>
      <c r="G5241">
        <v>30.4</v>
      </c>
      <c r="I5241"/>
    </row>
    <row r="5242" spans="1:9" x14ac:dyDescent="0.3">
      <c r="A5242" t="s">
        <v>7</v>
      </c>
      <c r="B5242" t="s">
        <v>12</v>
      </c>
      <c r="C5242" t="s">
        <v>70</v>
      </c>
      <c r="D5242" s="9" t="s">
        <v>60</v>
      </c>
      <c r="E5242" t="s">
        <v>37</v>
      </c>
      <c r="F5242" t="s">
        <v>71</v>
      </c>
      <c r="G5242">
        <v>29.6</v>
      </c>
      <c r="I5242"/>
    </row>
    <row r="5243" spans="1:9" x14ac:dyDescent="0.3">
      <c r="A5243" t="s">
        <v>7</v>
      </c>
      <c r="B5243" t="s">
        <v>12</v>
      </c>
      <c r="C5243" t="s">
        <v>72</v>
      </c>
      <c r="D5243" s="9" t="s">
        <v>60</v>
      </c>
      <c r="E5243" t="s">
        <v>38</v>
      </c>
      <c r="F5243" t="s">
        <v>73</v>
      </c>
      <c r="G5243">
        <v>26.7</v>
      </c>
      <c r="I5243"/>
    </row>
    <row r="5244" spans="1:9" x14ac:dyDescent="0.3">
      <c r="A5244" t="s">
        <v>7</v>
      </c>
      <c r="B5244" t="s">
        <v>12</v>
      </c>
      <c r="C5244" t="s">
        <v>74</v>
      </c>
      <c r="D5244" s="9" t="s">
        <v>60</v>
      </c>
      <c r="E5244" t="s">
        <v>39</v>
      </c>
      <c r="F5244" t="s">
        <v>75</v>
      </c>
      <c r="G5244">
        <v>27.7</v>
      </c>
      <c r="I5244"/>
    </row>
    <row r="5245" spans="1:9" x14ac:dyDescent="0.3">
      <c r="A5245" t="s">
        <v>7</v>
      </c>
      <c r="B5245" t="s">
        <v>12</v>
      </c>
      <c r="C5245" t="s">
        <v>76</v>
      </c>
      <c r="D5245" s="9" t="s">
        <v>60</v>
      </c>
      <c r="E5245" t="s">
        <v>40</v>
      </c>
      <c r="F5245" t="s">
        <v>77</v>
      </c>
      <c r="G5245">
        <v>30.5</v>
      </c>
      <c r="I5245"/>
    </row>
    <row r="5246" spans="1:9" x14ac:dyDescent="0.3">
      <c r="A5246" t="s">
        <v>7</v>
      </c>
      <c r="B5246" t="s">
        <v>12</v>
      </c>
      <c r="C5246" t="s">
        <v>78</v>
      </c>
      <c r="D5246" s="9" t="s">
        <v>60</v>
      </c>
      <c r="E5246" t="s">
        <v>41</v>
      </c>
      <c r="F5246" t="s">
        <v>79</v>
      </c>
      <c r="G5246">
        <v>31.7</v>
      </c>
      <c r="I5246"/>
    </row>
    <row r="5247" spans="1:9" x14ac:dyDescent="0.3">
      <c r="A5247" t="s">
        <v>7</v>
      </c>
      <c r="B5247" t="s">
        <v>12</v>
      </c>
      <c r="C5247" t="s">
        <v>80</v>
      </c>
      <c r="D5247" s="9" t="s">
        <v>60</v>
      </c>
      <c r="E5247" t="s">
        <v>42</v>
      </c>
      <c r="F5247" t="s">
        <v>81</v>
      </c>
      <c r="G5247">
        <v>32.6</v>
      </c>
      <c r="I5247"/>
    </row>
    <row r="5248" spans="1:9" x14ac:dyDescent="0.3">
      <c r="A5248" t="s">
        <v>7</v>
      </c>
      <c r="B5248" t="s">
        <v>12</v>
      </c>
      <c r="C5248" t="s">
        <v>82</v>
      </c>
      <c r="D5248" s="9" t="s">
        <v>60</v>
      </c>
      <c r="E5248" t="s">
        <v>43</v>
      </c>
      <c r="F5248" t="s">
        <v>83</v>
      </c>
      <c r="G5248">
        <v>38.200000000000003</v>
      </c>
      <c r="I5248"/>
    </row>
    <row r="5249" spans="1:9" x14ac:dyDescent="0.3">
      <c r="A5249" t="s">
        <v>7</v>
      </c>
      <c r="B5249" t="s">
        <v>12</v>
      </c>
      <c r="C5249" t="s">
        <v>84</v>
      </c>
      <c r="D5249" s="9" t="s">
        <v>85</v>
      </c>
      <c r="E5249" t="s">
        <v>32</v>
      </c>
      <c r="F5249" t="s">
        <v>61</v>
      </c>
      <c r="G5249">
        <v>35.799999999999997</v>
      </c>
      <c r="H5249" s="9">
        <v>11.53</v>
      </c>
      <c r="I5249"/>
    </row>
    <row r="5250" spans="1:9" x14ac:dyDescent="0.3">
      <c r="A5250" t="s">
        <v>7</v>
      </c>
      <c r="B5250" t="s">
        <v>12</v>
      </c>
      <c r="C5250" t="s">
        <v>86</v>
      </c>
      <c r="D5250" s="9" t="s">
        <v>85</v>
      </c>
      <c r="E5250" t="s">
        <v>33</v>
      </c>
      <c r="F5250" t="s">
        <v>63</v>
      </c>
      <c r="G5250">
        <v>32.799999999999997</v>
      </c>
      <c r="H5250" s="9">
        <v>21.03</v>
      </c>
      <c r="I5250"/>
    </row>
    <row r="5251" spans="1:9" x14ac:dyDescent="0.3">
      <c r="A5251" t="s">
        <v>7</v>
      </c>
      <c r="B5251" t="s">
        <v>12</v>
      </c>
      <c r="C5251" t="s">
        <v>87</v>
      </c>
      <c r="D5251" s="9" t="s">
        <v>85</v>
      </c>
      <c r="E5251" t="s">
        <v>34</v>
      </c>
      <c r="F5251" t="s">
        <v>65</v>
      </c>
      <c r="G5251">
        <v>18.600000000000001</v>
      </c>
      <c r="H5251" s="9">
        <v>-41.51</v>
      </c>
      <c r="I5251"/>
    </row>
    <row r="5252" spans="1:9" x14ac:dyDescent="0.3">
      <c r="A5252" t="s">
        <v>7</v>
      </c>
      <c r="B5252" t="s">
        <v>12</v>
      </c>
      <c r="C5252" t="s">
        <v>88</v>
      </c>
      <c r="D5252" s="9" t="s">
        <v>85</v>
      </c>
      <c r="E5252" t="s">
        <v>35</v>
      </c>
      <c r="F5252" t="s">
        <v>67</v>
      </c>
      <c r="G5252">
        <v>4.5999999999999996</v>
      </c>
      <c r="H5252" s="9">
        <v>-85.71</v>
      </c>
      <c r="I5252"/>
    </row>
    <row r="5253" spans="1:9" x14ac:dyDescent="0.3">
      <c r="A5253" t="s">
        <v>7</v>
      </c>
      <c r="B5253" t="s">
        <v>12</v>
      </c>
      <c r="C5253" t="s">
        <v>89</v>
      </c>
      <c r="D5253" s="9" t="s">
        <v>85</v>
      </c>
      <c r="E5253" t="s">
        <v>36</v>
      </c>
      <c r="F5253" t="s">
        <v>69</v>
      </c>
      <c r="G5253">
        <v>7.1</v>
      </c>
      <c r="H5253" s="9">
        <v>-76.64</v>
      </c>
      <c r="I5253"/>
    </row>
    <row r="5254" spans="1:9" x14ac:dyDescent="0.3">
      <c r="A5254" t="s">
        <v>7</v>
      </c>
      <c r="B5254" t="s">
        <v>12</v>
      </c>
      <c r="C5254" t="s">
        <v>90</v>
      </c>
      <c r="D5254" s="9" t="s">
        <v>85</v>
      </c>
      <c r="E5254" t="s">
        <v>37</v>
      </c>
      <c r="F5254" t="s">
        <v>71</v>
      </c>
      <c r="G5254">
        <v>20.7</v>
      </c>
      <c r="H5254" s="9">
        <v>-30.07</v>
      </c>
      <c r="I5254"/>
    </row>
    <row r="5255" spans="1:9" x14ac:dyDescent="0.3">
      <c r="A5255" t="s">
        <v>7</v>
      </c>
      <c r="B5255" t="s">
        <v>12</v>
      </c>
      <c r="C5255" t="s">
        <v>91</v>
      </c>
      <c r="D5255" s="9" t="s">
        <v>85</v>
      </c>
      <c r="E5255" t="s">
        <v>38</v>
      </c>
      <c r="F5255" t="s">
        <v>73</v>
      </c>
      <c r="G5255">
        <v>28.6</v>
      </c>
      <c r="H5255" s="9">
        <v>7.12</v>
      </c>
      <c r="I5255"/>
    </row>
    <row r="5256" spans="1:9" x14ac:dyDescent="0.3">
      <c r="A5256" t="s">
        <v>7</v>
      </c>
      <c r="B5256" t="s">
        <v>12</v>
      </c>
      <c r="C5256" t="s">
        <v>92</v>
      </c>
      <c r="D5256" s="9" t="s">
        <v>85</v>
      </c>
      <c r="E5256" t="s">
        <v>39</v>
      </c>
      <c r="F5256" t="s">
        <v>75</v>
      </c>
      <c r="G5256">
        <v>27.8</v>
      </c>
      <c r="H5256" s="9">
        <v>0.36</v>
      </c>
      <c r="I5256"/>
    </row>
    <row r="5257" spans="1:9" x14ac:dyDescent="0.3">
      <c r="A5257" t="s">
        <v>7</v>
      </c>
      <c r="B5257" t="s">
        <v>12</v>
      </c>
      <c r="C5257" t="s">
        <v>93</v>
      </c>
      <c r="D5257" s="9" t="s">
        <v>85</v>
      </c>
      <c r="E5257" t="s">
        <v>40</v>
      </c>
      <c r="F5257" t="s">
        <v>77</v>
      </c>
      <c r="G5257">
        <v>28.4</v>
      </c>
      <c r="H5257" s="9">
        <v>-6.89</v>
      </c>
      <c r="I5257"/>
    </row>
    <row r="5258" spans="1:9" x14ac:dyDescent="0.3">
      <c r="A5258" t="s">
        <v>7</v>
      </c>
      <c r="B5258" t="s">
        <v>12</v>
      </c>
      <c r="C5258" t="s">
        <v>94</v>
      </c>
      <c r="D5258" s="9" t="s">
        <v>85</v>
      </c>
      <c r="E5258" t="s">
        <v>41</v>
      </c>
      <c r="F5258" t="s">
        <v>79</v>
      </c>
      <c r="G5258">
        <v>28.9</v>
      </c>
      <c r="H5258" s="9">
        <v>-8.83</v>
      </c>
      <c r="I5258"/>
    </row>
    <row r="5259" spans="1:9" x14ac:dyDescent="0.3">
      <c r="A5259" t="s">
        <v>7</v>
      </c>
      <c r="B5259" t="s">
        <v>12</v>
      </c>
      <c r="C5259" t="s">
        <v>95</v>
      </c>
      <c r="D5259" s="9" t="s">
        <v>85</v>
      </c>
      <c r="E5259" t="s">
        <v>42</v>
      </c>
      <c r="F5259" t="s">
        <v>81</v>
      </c>
      <c r="G5259">
        <v>32.200000000000003</v>
      </c>
      <c r="H5259" s="9">
        <v>-1.23</v>
      </c>
      <c r="I5259"/>
    </row>
    <row r="5260" spans="1:9" x14ac:dyDescent="0.3">
      <c r="A5260" t="s">
        <v>7</v>
      </c>
      <c r="B5260" t="s">
        <v>12</v>
      </c>
      <c r="C5260" t="s">
        <v>96</v>
      </c>
      <c r="D5260" s="9" t="s">
        <v>85</v>
      </c>
      <c r="E5260" t="s">
        <v>43</v>
      </c>
      <c r="F5260" t="s">
        <v>83</v>
      </c>
      <c r="G5260">
        <v>32.5</v>
      </c>
      <c r="H5260" s="9">
        <v>-14.92</v>
      </c>
      <c r="I5260"/>
    </row>
    <row r="5261" spans="1:9" x14ac:dyDescent="0.3">
      <c r="A5261" t="s">
        <v>7</v>
      </c>
      <c r="B5261" t="s">
        <v>12</v>
      </c>
      <c r="C5261" t="s">
        <v>97</v>
      </c>
      <c r="D5261" s="9" t="s">
        <v>98</v>
      </c>
      <c r="E5261" t="s">
        <v>32</v>
      </c>
      <c r="F5261" t="s">
        <v>61</v>
      </c>
      <c r="G5261">
        <v>34.200000000000003</v>
      </c>
      <c r="H5261" s="9">
        <v>-4.47</v>
      </c>
      <c r="I5261"/>
    </row>
    <row r="5262" spans="1:9" x14ac:dyDescent="0.3">
      <c r="A5262" t="s">
        <v>7</v>
      </c>
      <c r="B5262" t="s">
        <v>12</v>
      </c>
      <c r="C5262" t="s">
        <v>99</v>
      </c>
      <c r="D5262" s="9" t="s">
        <v>98</v>
      </c>
      <c r="E5262" t="s">
        <v>33</v>
      </c>
      <c r="F5262" t="s">
        <v>63</v>
      </c>
      <c r="G5262">
        <v>32.6</v>
      </c>
      <c r="H5262" s="9">
        <v>-0.61</v>
      </c>
      <c r="I5262"/>
    </row>
    <row r="5263" spans="1:9" x14ac:dyDescent="0.3">
      <c r="A5263" t="s">
        <v>7</v>
      </c>
      <c r="B5263" t="s">
        <v>12</v>
      </c>
      <c r="C5263" t="s">
        <v>100</v>
      </c>
      <c r="D5263" s="9" t="s">
        <v>98</v>
      </c>
      <c r="E5263" t="s">
        <v>34</v>
      </c>
      <c r="F5263" t="s">
        <v>65</v>
      </c>
      <c r="G5263">
        <v>36.4</v>
      </c>
      <c r="H5263" s="9">
        <v>95.7</v>
      </c>
      <c r="I5263"/>
    </row>
    <row r="5264" spans="1:9" x14ac:dyDescent="0.3">
      <c r="A5264" t="s">
        <v>7</v>
      </c>
      <c r="B5264" t="s">
        <v>12</v>
      </c>
      <c r="C5264" t="s">
        <v>101</v>
      </c>
      <c r="D5264" s="9" t="s">
        <v>98</v>
      </c>
      <c r="E5264" t="s">
        <v>35</v>
      </c>
      <c r="F5264" t="s">
        <v>67</v>
      </c>
      <c r="G5264">
        <v>34</v>
      </c>
      <c r="H5264" s="9">
        <v>639.13</v>
      </c>
      <c r="I5264"/>
    </row>
    <row r="5265" spans="1:9" x14ac:dyDescent="0.3">
      <c r="A5265" t="s">
        <v>7</v>
      </c>
      <c r="B5265" t="s">
        <v>12</v>
      </c>
      <c r="C5265" t="s">
        <v>102</v>
      </c>
      <c r="D5265" s="9" t="s">
        <v>98</v>
      </c>
      <c r="E5265" t="s">
        <v>36</v>
      </c>
      <c r="F5265" t="s">
        <v>69</v>
      </c>
      <c r="G5265">
        <v>35</v>
      </c>
      <c r="H5265" s="9">
        <v>392.96</v>
      </c>
      <c r="I5265"/>
    </row>
    <row r="5266" spans="1:9" x14ac:dyDescent="0.3">
      <c r="A5266" t="s">
        <v>7</v>
      </c>
      <c r="B5266" t="s">
        <v>12</v>
      </c>
      <c r="C5266" t="s">
        <v>103</v>
      </c>
      <c r="D5266" s="9" t="s">
        <v>98</v>
      </c>
      <c r="E5266" t="s">
        <v>37</v>
      </c>
      <c r="F5266" t="s">
        <v>71</v>
      </c>
      <c r="G5266">
        <v>32.6</v>
      </c>
      <c r="H5266" s="9">
        <v>57.49</v>
      </c>
      <c r="I5266"/>
    </row>
    <row r="5267" spans="1:9" x14ac:dyDescent="0.3">
      <c r="A5267" t="s">
        <v>7</v>
      </c>
      <c r="B5267" t="s">
        <v>12</v>
      </c>
      <c r="C5267" t="s">
        <v>104</v>
      </c>
      <c r="D5267" s="9" t="s">
        <v>98</v>
      </c>
      <c r="E5267" t="s">
        <v>38</v>
      </c>
      <c r="F5267" t="s">
        <v>73</v>
      </c>
      <c r="G5267">
        <v>33.299999999999997</v>
      </c>
      <c r="H5267" s="9">
        <v>16.43</v>
      </c>
      <c r="I5267"/>
    </row>
    <row r="5268" spans="1:9" x14ac:dyDescent="0.3">
      <c r="A5268" t="s">
        <v>7</v>
      </c>
      <c r="B5268" t="s">
        <v>12</v>
      </c>
      <c r="C5268" t="s">
        <v>105</v>
      </c>
      <c r="D5268" s="9" t="s">
        <v>98</v>
      </c>
      <c r="E5268" t="s">
        <v>39</v>
      </c>
      <c r="F5268" t="s">
        <v>75</v>
      </c>
      <c r="G5268">
        <v>37.299999999999997</v>
      </c>
      <c r="H5268" s="9">
        <v>34.17</v>
      </c>
      <c r="I5268"/>
    </row>
    <row r="5269" spans="1:9" x14ac:dyDescent="0.3">
      <c r="A5269" t="s">
        <v>7</v>
      </c>
      <c r="B5269" t="s">
        <v>12</v>
      </c>
      <c r="C5269" t="s">
        <v>106</v>
      </c>
      <c r="D5269" s="9" t="s">
        <v>98</v>
      </c>
      <c r="E5269" t="s">
        <v>40</v>
      </c>
      <c r="F5269" t="s">
        <v>77</v>
      </c>
      <c r="G5269">
        <v>40.4</v>
      </c>
      <c r="H5269" s="9">
        <v>42.25</v>
      </c>
      <c r="I5269"/>
    </row>
    <row r="5270" spans="1:9" x14ac:dyDescent="0.3">
      <c r="A5270" t="s">
        <v>7</v>
      </c>
      <c r="B5270" t="s">
        <v>12</v>
      </c>
      <c r="C5270" t="s">
        <v>107</v>
      </c>
      <c r="D5270" s="9" t="s">
        <v>98</v>
      </c>
      <c r="E5270" t="s">
        <v>41</v>
      </c>
      <c r="F5270" t="s">
        <v>79</v>
      </c>
      <c r="G5270">
        <v>43.9</v>
      </c>
      <c r="H5270" s="9">
        <v>51.9</v>
      </c>
      <c r="I5270"/>
    </row>
    <row r="5271" spans="1:9" x14ac:dyDescent="0.3">
      <c r="A5271" t="s">
        <v>7</v>
      </c>
      <c r="B5271" t="s">
        <v>12</v>
      </c>
      <c r="C5271" t="s">
        <v>108</v>
      </c>
      <c r="D5271" s="9" t="s">
        <v>98</v>
      </c>
      <c r="E5271" t="s">
        <v>42</v>
      </c>
      <c r="F5271" t="s">
        <v>81</v>
      </c>
      <c r="G5271">
        <v>44.9</v>
      </c>
      <c r="H5271" s="9">
        <v>39.44</v>
      </c>
      <c r="I5271"/>
    </row>
    <row r="5272" spans="1:9" x14ac:dyDescent="0.3">
      <c r="A5272" t="s">
        <v>7</v>
      </c>
      <c r="B5272" t="s">
        <v>12</v>
      </c>
      <c r="C5272" t="s">
        <v>109</v>
      </c>
      <c r="D5272" s="9" t="s">
        <v>98</v>
      </c>
      <c r="E5272" t="s">
        <v>43</v>
      </c>
      <c r="F5272" t="s">
        <v>83</v>
      </c>
      <c r="G5272">
        <v>48</v>
      </c>
      <c r="H5272" s="9">
        <v>47.69</v>
      </c>
      <c r="I5272"/>
    </row>
    <row r="5273" spans="1:9" x14ac:dyDescent="0.3">
      <c r="A5273" t="s">
        <v>7</v>
      </c>
      <c r="B5273" t="s">
        <v>12</v>
      </c>
      <c r="C5273" t="s">
        <v>110</v>
      </c>
      <c r="D5273" s="9" t="s">
        <v>111</v>
      </c>
      <c r="E5273" t="s">
        <v>32</v>
      </c>
      <c r="F5273" t="s">
        <v>61</v>
      </c>
      <c r="G5273">
        <v>46.6</v>
      </c>
      <c r="H5273" s="9">
        <v>36.26</v>
      </c>
      <c r="I5273"/>
    </row>
    <row r="5274" spans="1:9" x14ac:dyDescent="0.3">
      <c r="A5274" t="s">
        <v>7</v>
      </c>
      <c r="B5274" t="s">
        <v>12</v>
      </c>
      <c r="C5274" t="s">
        <v>112</v>
      </c>
      <c r="D5274" s="9" t="s">
        <v>111</v>
      </c>
      <c r="E5274" t="s">
        <v>33</v>
      </c>
      <c r="F5274" t="s">
        <v>63</v>
      </c>
      <c r="G5274">
        <v>46.7</v>
      </c>
      <c r="H5274" s="9">
        <v>43.25</v>
      </c>
      <c r="I5274"/>
    </row>
    <row r="5275" spans="1:9" x14ac:dyDescent="0.3">
      <c r="A5275" t="s">
        <v>7</v>
      </c>
      <c r="B5275" t="s">
        <v>12</v>
      </c>
      <c r="C5275" t="s">
        <v>113</v>
      </c>
      <c r="D5275" s="9" t="s">
        <v>111</v>
      </c>
      <c r="E5275" t="s">
        <v>34</v>
      </c>
      <c r="F5275" t="s">
        <v>65</v>
      </c>
      <c r="G5275">
        <v>51.6</v>
      </c>
      <c r="H5275" s="9">
        <v>41.76</v>
      </c>
      <c r="I5275"/>
    </row>
    <row r="5276" spans="1:9" x14ac:dyDescent="0.3">
      <c r="A5276" t="s">
        <v>7</v>
      </c>
      <c r="B5276" t="s">
        <v>12</v>
      </c>
      <c r="C5276" t="s">
        <v>114</v>
      </c>
      <c r="D5276" s="9" t="s">
        <v>111</v>
      </c>
      <c r="E5276" t="s">
        <v>35</v>
      </c>
      <c r="F5276" t="s">
        <v>67</v>
      </c>
      <c r="G5276">
        <v>46.1</v>
      </c>
      <c r="H5276" s="9">
        <v>35.590000000000003</v>
      </c>
      <c r="I5276"/>
    </row>
    <row r="5277" spans="1:9" x14ac:dyDescent="0.3">
      <c r="A5277" t="s">
        <v>7</v>
      </c>
      <c r="B5277" t="s">
        <v>12</v>
      </c>
      <c r="C5277" t="s">
        <v>115</v>
      </c>
      <c r="D5277" s="9" t="s">
        <v>111</v>
      </c>
      <c r="E5277" t="s">
        <v>36</v>
      </c>
      <c r="F5277" t="s">
        <v>69</v>
      </c>
      <c r="G5277">
        <v>49.5</v>
      </c>
      <c r="H5277" s="9">
        <v>41.43</v>
      </c>
      <c r="I5277"/>
    </row>
    <row r="5278" spans="1:9" x14ac:dyDescent="0.3">
      <c r="A5278" t="s">
        <v>7</v>
      </c>
      <c r="B5278" t="s">
        <v>12</v>
      </c>
      <c r="C5278" t="s">
        <v>116</v>
      </c>
      <c r="D5278" s="9" t="s">
        <v>111</v>
      </c>
      <c r="E5278" t="s">
        <v>37</v>
      </c>
      <c r="F5278" t="s">
        <v>71</v>
      </c>
      <c r="G5278">
        <v>49.6</v>
      </c>
      <c r="H5278" s="9">
        <v>52.15</v>
      </c>
      <c r="I5278"/>
    </row>
    <row r="5279" spans="1:9" x14ac:dyDescent="0.3">
      <c r="A5279" t="s">
        <v>7</v>
      </c>
      <c r="B5279" t="s">
        <v>12</v>
      </c>
      <c r="C5279" t="s">
        <v>117</v>
      </c>
      <c r="D5279" s="9" t="s">
        <v>111</v>
      </c>
      <c r="E5279" t="s">
        <v>38</v>
      </c>
      <c r="F5279" t="s">
        <v>73</v>
      </c>
      <c r="G5279">
        <v>53.8</v>
      </c>
      <c r="H5279" s="9">
        <v>61.56</v>
      </c>
      <c r="I5279"/>
    </row>
    <row r="5280" spans="1:9" x14ac:dyDescent="0.3">
      <c r="A5280" t="s">
        <v>7</v>
      </c>
      <c r="B5280" t="s">
        <v>12</v>
      </c>
      <c r="C5280" t="s">
        <v>118</v>
      </c>
      <c r="D5280" s="9" t="s">
        <v>111</v>
      </c>
      <c r="E5280" t="s">
        <v>39</v>
      </c>
      <c r="F5280" t="s">
        <v>75</v>
      </c>
      <c r="G5280">
        <v>54.4</v>
      </c>
      <c r="H5280" s="9">
        <v>45.84</v>
      </c>
      <c r="I5280"/>
    </row>
    <row r="5281" spans="1:9" x14ac:dyDescent="0.3">
      <c r="A5281" t="s">
        <v>7</v>
      </c>
      <c r="B5281" t="s">
        <v>12</v>
      </c>
      <c r="C5281" t="s">
        <v>119</v>
      </c>
      <c r="D5281" s="9" t="s">
        <v>111</v>
      </c>
      <c r="E5281" t="s">
        <v>40</v>
      </c>
      <c r="F5281" t="s">
        <v>77</v>
      </c>
      <c r="G5281">
        <v>51.4</v>
      </c>
      <c r="H5281" s="9">
        <v>27.23</v>
      </c>
      <c r="I5281"/>
    </row>
    <row r="5282" spans="1:9" x14ac:dyDescent="0.3">
      <c r="A5282" t="s">
        <v>7</v>
      </c>
      <c r="B5282" t="s">
        <v>12</v>
      </c>
      <c r="C5282" t="s">
        <v>120</v>
      </c>
      <c r="D5282" s="9" t="s">
        <v>111</v>
      </c>
      <c r="E5282" t="s">
        <v>41</v>
      </c>
      <c r="F5282" t="s">
        <v>79</v>
      </c>
      <c r="G5282">
        <v>54.2</v>
      </c>
      <c r="H5282" s="9">
        <v>23.46</v>
      </c>
      <c r="I5282"/>
    </row>
    <row r="5283" spans="1:9" x14ac:dyDescent="0.3">
      <c r="A5283" t="s">
        <v>7</v>
      </c>
      <c r="B5283" t="s">
        <v>12</v>
      </c>
      <c r="C5283" t="s">
        <v>121</v>
      </c>
      <c r="D5283" s="9" t="s">
        <v>111</v>
      </c>
      <c r="E5283" t="s">
        <v>42</v>
      </c>
      <c r="F5283" t="s">
        <v>81</v>
      </c>
      <c r="G5283">
        <v>54.2</v>
      </c>
      <c r="H5283" s="9">
        <v>20.71</v>
      </c>
      <c r="I5283"/>
    </row>
    <row r="5284" spans="1:9" x14ac:dyDescent="0.3">
      <c r="A5284" t="s">
        <v>7</v>
      </c>
      <c r="B5284" t="s">
        <v>12</v>
      </c>
      <c r="C5284" t="s">
        <v>122</v>
      </c>
      <c r="D5284" s="9" t="s">
        <v>111</v>
      </c>
      <c r="E5284" t="s">
        <v>43</v>
      </c>
      <c r="F5284" t="s">
        <v>83</v>
      </c>
      <c r="G5284">
        <v>57.5</v>
      </c>
      <c r="H5284" s="9">
        <v>19.79</v>
      </c>
      <c r="I5284"/>
    </row>
    <row r="5285" spans="1:9" x14ac:dyDescent="0.3">
      <c r="A5285" t="s">
        <v>7</v>
      </c>
      <c r="B5285" t="s">
        <v>12</v>
      </c>
      <c r="C5285" t="s">
        <v>123</v>
      </c>
      <c r="D5285" s="9" t="s">
        <v>124</v>
      </c>
      <c r="E5285" t="s">
        <v>32</v>
      </c>
      <c r="F5285" t="s">
        <v>61</v>
      </c>
      <c r="G5285">
        <v>57.9</v>
      </c>
      <c r="H5285" s="9">
        <v>24.25</v>
      </c>
      <c r="I5285"/>
    </row>
    <row r="5286" spans="1:9" x14ac:dyDescent="0.3">
      <c r="A5286" t="s">
        <v>7</v>
      </c>
      <c r="B5286" t="s">
        <v>12</v>
      </c>
      <c r="C5286" t="s">
        <v>125</v>
      </c>
      <c r="D5286" s="9" t="s">
        <v>124</v>
      </c>
      <c r="E5286" t="s">
        <v>33</v>
      </c>
      <c r="F5286" t="s">
        <v>63</v>
      </c>
      <c r="G5286">
        <v>52.7</v>
      </c>
      <c r="H5286" s="9">
        <v>12.85</v>
      </c>
      <c r="I5286"/>
    </row>
    <row r="5287" spans="1:9" x14ac:dyDescent="0.3">
      <c r="A5287" t="s">
        <v>7</v>
      </c>
      <c r="B5287" t="s">
        <v>12</v>
      </c>
      <c r="C5287" t="s">
        <v>126</v>
      </c>
      <c r="D5287" s="9" t="s">
        <v>124</v>
      </c>
      <c r="E5287" t="s">
        <v>34</v>
      </c>
      <c r="F5287" t="s">
        <v>65</v>
      </c>
      <c r="G5287">
        <v>54.4</v>
      </c>
      <c r="H5287" s="9">
        <v>5.43</v>
      </c>
      <c r="I5287"/>
    </row>
    <row r="5288" spans="1:9" x14ac:dyDescent="0.3">
      <c r="A5288" t="s">
        <v>7</v>
      </c>
      <c r="B5288" t="s">
        <v>12</v>
      </c>
      <c r="C5288" t="s">
        <v>127</v>
      </c>
      <c r="D5288" s="9" t="s">
        <v>124</v>
      </c>
      <c r="E5288" t="s">
        <v>35</v>
      </c>
      <c r="F5288" t="s">
        <v>67</v>
      </c>
      <c r="G5288">
        <v>50.7</v>
      </c>
      <c r="H5288" s="9">
        <v>9.98</v>
      </c>
      <c r="I5288"/>
    </row>
    <row r="5289" spans="1:9" x14ac:dyDescent="0.3">
      <c r="A5289" t="s">
        <v>7</v>
      </c>
      <c r="B5289" t="s">
        <v>12</v>
      </c>
      <c r="C5289" t="s">
        <v>128</v>
      </c>
      <c r="D5289" s="9" t="s">
        <v>124</v>
      </c>
      <c r="E5289" t="s">
        <v>36</v>
      </c>
      <c r="F5289" t="s">
        <v>69</v>
      </c>
      <c r="G5289">
        <v>52.1</v>
      </c>
      <c r="H5289" s="9">
        <v>5.25</v>
      </c>
      <c r="I5289"/>
    </row>
    <row r="5290" spans="1:9" x14ac:dyDescent="0.3">
      <c r="A5290" t="s">
        <v>7</v>
      </c>
      <c r="B5290" t="s">
        <v>12</v>
      </c>
      <c r="C5290" t="s">
        <v>129</v>
      </c>
      <c r="D5290" s="9" t="s">
        <v>124</v>
      </c>
      <c r="E5290" t="s">
        <v>37</v>
      </c>
      <c r="F5290" t="s">
        <v>71</v>
      </c>
      <c r="G5290">
        <v>55.2</v>
      </c>
      <c r="H5290" s="9">
        <v>11.29</v>
      </c>
      <c r="I5290"/>
    </row>
    <row r="5291" spans="1:9" x14ac:dyDescent="0.3">
      <c r="A5291" t="s">
        <v>7</v>
      </c>
      <c r="B5291" t="s">
        <v>12</v>
      </c>
      <c r="C5291" t="s">
        <v>130</v>
      </c>
      <c r="D5291" s="9" t="s">
        <v>124</v>
      </c>
      <c r="E5291" t="s">
        <v>38</v>
      </c>
      <c r="F5291" t="s">
        <v>73</v>
      </c>
      <c r="G5291">
        <v>50.2</v>
      </c>
      <c r="H5291" s="9">
        <v>-6.69</v>
      </c>
      <c r="I5291"/>
    </row>
    <row r="5292" spans="1:9" x14ac:dyDescent="0.3">
      <c r="A5292" t="s">
        <v>7</v>
      </c>
      <c r="B5292" t="s">
        <v>12</v>
      </c>
      <c r="C5292" t="s">
        <v>131</v>
      </c>
      <c r="D5292" s="9" t="s">
        <v>124</v>
      </c>
      <c r="E5292" t="s">
        <v>39</v>
      </c>
      <c r="F5292" t="s">
        <v>75</v>
      </c>
      <c r="G5292">
        <v>48.7</v>
      </c>
      <c r="H5292" s="9">
        <v>-10.48</v>
      </c>
      <c r="I5292"/>
    </row>
    <row r="5293" spans="1:9" x14ac:dyDescent="0.3">
      <c r="A5293" t="s">
        <v>7</v>
      </c>
      <c r="B5293" t="s">
        <v>12</v>
      </c>
      <c r="C5293" t="s">
        <v>132</v>
      </c>
      <c r="D5293" s="9" t="s">
        <v>124</v>
      </c>
      <c r="E5293" t="s">
        <v>40</v>
      </c>
      <c r="F5293" t="s">
        <v>77</v>
      </c>
      <c r="G5293">
        <v>54.2</v>
      </c>
      <c r="H5293" s="9">
        <v>5.45</v>
      </c>
      <c r="I5293"/>
    </row>
    <row r="5294" spans="1:9" x14ac:dyDescent="0.3">
      <c r="A5294" t="s">
        <v>7</v>
      </c>
      <c r="B5294" t="s">
        <v>12</v>
      </c>
      <c r="C5294" t="s">
        <v>133</v>
      </c>
      <c r="D5294" s="9" t="s">
        <v>124</v>
      </c>
      <c r="E5294" t="s">
        <v>41</v>
      </c>
      <c r="F5294" t="s">
        <v>79</v>
      </c>
      <c r="G5294">
        <v>56.3</v>
      </c>
      <c r="H5294" s="9">
        <v>3.87</v>
      </c>
      <c r="I5294"/>
    </row>
    <row r="5295" spans="1:9" x14ac:dyDescent="0.3">
      <c r="A5295" t="s">
        <v>7</v>
      </c>
      <c r="B5295" t="s">
        <v>12</v>
      </c>
      <c r="C5295" t="s">
        <v>134</v>
      </c>
      <c r="D5295" s="9" t="s">
        <v>124</v>
      </c>
      <c r="E5295" t="s">
        <v>42</v>
      </c>
      <c r="F5295" t="s">
        <v>81</v>
      </c>
      <c r="G5295">
        <v>57.4</v>
      </c>
      <c r="H5295" s="9">
        <v>5.9</v>
      </c>
      <c r="I5295"/>
    </row>
    <row r="5296" spans="1:9" x14ac:dyDescent="0.3">
      <c r="A5296" t="s">
        <v>7</v>
      </c>
      <c r="B5296" t="s">
        <v>12</v>
      </c>
      <c r="C5296" t="s">
        <v>135</v>
      </c>
      <c r="D5296" s="9" t="s">
        <v>124</v>
      </c>
      <c r="E5296" t="s">
        <v>43</v>
      </c>
      <c r="F5296" t="s">
        <v>83</v>
      </c>
      <c r="G5296">
        <v>66.3</v>
      </c>
      <c r="H5296" s="9">
        <v>15.3</v>
      </c>
      <c r="I5296"/>
    </row>
    <row r="5297" spans="1:9" x14ac:dyDescent="0.3">
      <c r="A5297" t="s">
        <v>7</v>
      </c>
      <c r="B5297" t="s">
        <v>12</v>
      </c>
      <c r="C5297" t="s">
        <v>136</v>
      </c>
      <c r="D5297" s="9" t="s">
        <v>137</v>
      </c>
      <c r="E5297" t="s">
        <v>32</v>
      </c>
      <c r="F5297" t="s">
        <v>61</v>
      </c>
      <c r="G5297">
        <v>57.6</v>
      </c>
      <c r="H5297" s="9">
        <v>-0.52</v>
      </c>
      <c r="I5297"/>
    </row>
    <row r="5298" spans="1:9" x14ac:dyDescent="0.3">
      <c r="A5298" t="s">
        <v>7</v>
      </c>
      <c r="B5298" t="s">
        <v>12</v>
      </c>
      <c r="C5298" t="s">
        <v>138</v>
      </c>
      <c r="D5298" s="9" t="s">
        <v>137</v>
      </c>
      <c r="E5298" t="s">
        <v>33</v>
      </c>
      <c r="F5298" t="s">
        <v>63</v>
      </c>
      <c r="G5298">
        <v>53.4</v>
      </c>
      <c r="H5298" s="9">
        <v>1.33</v>
      </c>
      <c r="I5298"/>
    </row>
    <row r="5299" spans="1:9" x14ac:dyDescent="0.3">
      <c r="A5299" t="s">
        <v>7</v>
      </c>
      <c r="B5299" t="s">
        <v>12</v>
      </c>
      <c r="C5299" t="s">
        <v>139</v>
      </c>
      <c r="D5299" s="9" t="s">
        <v>137</v>
      </c>
      <c r="E5299" t="s">
        <v>34</v>
      </c>
      <c r="F5299" t="s">
        <v>65</v>
      </c>
      <c r="G5299">
        <v>53.1</v>
      </c>
      <c r="H5299" s="9">
        <v>-2.39</v>
      </c>
      <c r="I5299"/>
    </row>
    <row r="5300" spans="1:9" x14ac:dyDescent="0.3">
      <c r="A5300" t="s">
        <v>7</v>
      </c>
      <c r="B5300" t="s">
        <v>12</v>
      </c>
      <c r="C5300" t="s">
        <v>140</v>
      </c>
      <c r="D5300" s="9" t="s">
        <v>137</v>
      </c>
      <c r="E5300" t="s">
        <v>35</v>
      </c>
      <c r="F5300" t="s">
        <v>67</v>
      </c>
      <c r="G5300">
        <v>51.5</v>
      </c>
      <c r="H5300" s="9">
        <v>1.58</v>
      </c>
      <c r="I5300"/>
    </row>
    <row r="5301" spans="1:9" x14ac:dyDescent="0.3">
      <c r="A5301" t="s">
        <v>7</v>
      </c>
      <c r="B5301" t="s">
        <v>12</v>
      </c>
      <c r="C5301" t="s">
        <v>141</v>
      </c>
      <c r="D5301" s="9" t="s">
        <v>137</v>
      </c>
      <c r="E5301" t="s">
        <v>36</v>
      </c>
      <c r="F5301" t="s">
        <v>69</v>
      </c>
      <c r="G5301">
        <v>51.8</v>
      </c>
      <c r="H5301" s="9">
        <v>-0.57999999999999996</v>
      </c>
      <c r="I5301"/>
    </row>
    <row r="5302" spans="1:9" x14ac:dyDescent="0.3">
      <c r="A5302" t="s">
        <v>7</v>
      </c>
      <c r="B5302" t="s">
        <v>12</v>
      </c>
      <c r="C5302" t="s">
        <v>142</v>
      </c>
      <c r="D5302" s="9" t="s">
        <v>137</v>
      </c>
      <c r="E5302" t="s">
        <v>37</v>
      </c>
      <c r="F5302" t="s">
        <v>71</v>
      </c>
      <c r="G5302">
        <v>48.8</v>
      </c>
      <c r="H5302" s="9">
        <v>-11.59</v>
      </c>
      <c r="I5302"/>
    </row>
    <row r="5303" spans="1:9" x14ac:dyDescent="0.3">
      <c r="A5303" t="s">
        <v>7</v>
      </c>
      <c r="B5303" t="s">
        <v>12</v>
      </c>
      <c r="C5303" t="s">
        <v>143</v>
      </c>
      <c r="D5303" s="9" t="s">
        <v>137</v>
      </c>
      <c r="E5303" t="s">
        <v>38</v>
      </c>
      <c r="F5303" t="s">
        <v>73</v>
      </c>
      <c r="G5303">
        <v>46.3</v>
      </c>
      <c r="H5303" s="9">
        <v>-7.77</v>
      </c>
      <c r="I5303"/>
    </row>
    <row r="5304" spans="1:9" x14ac:dyDescent="0.3">
      <c r="A5304" t="s">
        <v>7</v>
      </c>
      <c r="B5304" t="s">
        <v>12</v>
      </c>
      <c r="C5304" t="s">
        <v>144</v>
      </c>
      <c r="D5304" s="9" t="s">
        <v>137</v>
      </c>
      <c r="E5304" t="s">
        <v>39</v>
      </c>
      <c r="F5304" t="s">
        <v>75</v>
      </c>
      <c r="G5304">
        <v>46.1</v>
      </c>
      <c r="H5304" s="9">
        <v>-5.34</v>
      </c>
      <c r="I5304"/>
    </row>
    <row r="5305" spans="1:9" x14ac:dyDescent="0.3">
      <c r="A5305" t="s">
        <v>7</v>
      </c>
      <c r="B5305" t="s">
        <v>12</v>
      </c>
      <c r="C5305" t="s">
        <v>145</v>
      </c>
      <c r="D5305" s="9" t="s">
        <v>137</v>
      </c>
      <c r="E5305" t="s">
        <v>40</v>
      </c>
      <c r="F5305" t="s">
        <v>77</v>
      </c>
      <c r="G5305">
        <v>46.3</v>
      </c>
      <c r="H5305" s="9">
        <v>-14.58</v>
      </c>
      <c r="I5305"/>
    </row>
    <row r="5306" spans="1:9" x14ac:dyDescent="0.3">
      <c r="A5306" t="s">
        <v>7</v>
      </c>
      <c r="B5306" t="s">
        <v>12</v>
      </c>
      <c r="C5306" t="s">
        <v>146</v>
      </c>
      <c r="D5306" s="9" t="s">
        <v>137</v>
      </c>
      <c r="E5306" t="s">
        <v>41</v>
      </c>
      <c r="F5306" t="s">
        <v>79</v>
      </c>
      <c r="G5306">
        <v>43.9</v>
      </c>
      <c r="H5306" s="9">
        <v>-22.02</v>
      </c>
      <c r="I5306"/>
    </row>
    <row r="5307" spans="1:9" x14ac:dyDescent="0.3">
      <c r="A5307" t="s">
        <v>7</v>
      </c>
      <c r="B5307" t="s">
        <v>12</v>
      </c>
      <c r="C5307" t="s">
        <v>147</v>
      </c>
      <c r="D5307" s="9" t="s">
        <v>137</v>
      </c>
      <c r="E5307" t="s">
        <v>42</v>
      </c>
      <c r="F5307" t="s">
        <v>81</v>
      </c>
      <c r="G5307">
        <v>50</v>
      </c>
      <c r="H5307" s="9">
        <v>-12.89</v>
      </c>
      <c r="I5307"/>
    </row>
    <row r="5308" spans="1:9" x14ac:dyDescent="0.3">
      <c r="A5308" t="s">
        <v>7</v>
      </c>
      <c r="B5308" t="s">
        <v>12</v>
      </c>
      <c r="C5308" t="s">
        <v>148</v>
      </c>
      <c r="D5308" s="9" t="s">
        <v>137</v>
      </c>
      <c r="E5308" t="s">
        <v>43</v>
      </c>
      <c r="F5308" t="s">
        <v>83</v>
      </c>
      <c r="G5308">
        <v>55.1</v>
      </c>
      <c r="H5308" s="9">
        <v>-16.89</v>
      </c>
      <c r="I5308"/>
    </row>
    <row r="5309" spans="1:9" x14ac:dyDescent="0.3">
      <c r="A5309" t="s">
        <v>7</v>
      </c>
      <c r="B5309" t="s">
        <v>12</v>
      </c>
      <c r="C5309" t="s">
        <v>149</v>
      </c>
      <c r="D5309" s="9" t="s">
        <v>150</v>
      </c>
      <c r="E5309" t="s">
        <v>32</v>
      </c>
      <c r="F5309" t="s">
        <v>61</v>
      </c>
      <c r="G5309">
        <v>49</v>
      </c>
      <c r="H5309" s="9">
        <v>-14.93</v>
      </c>
      <c r="I5309"/>
    </row>
    <row r="5310" spans="1:9" x14ac:dyDescent="0.3">
      <c r="A5310" t="s">
        <v>7</v>
      </c>
      <c r="B5310" t="s">
        <v>12</v>
      </c>
      <c r="C5310" t="s">
        <v>151</v>
      </c>
      <c r="D5310" s="9" t="s">
        <v>150</v>
      </c>
      <c r="E5310" t="s">
        <v>33</v>
      </c>
      <c r="F5310" t="s">
        <v>63</v>
      </c>
      <c r="G5310">
        <v>46.3</v>
      </c>
      <c r="H5310" s="9">
        <v>-13.3</v>
      </c>
      <c r="I5310"/>
    </row>
    <row r="5311" spans="1:9" x14ac:dyDescent="0.3">
      <c r="A5311" t="s">
        <v>7</v>
      </c>
      <c r="B5311" t="s">
        <v>12</v>
      </c>
      <c r="C5311" t="s">
        <v>152</v>
      </c>
      <c r="D5311" s="9" t="s">
        <v>150</v>
      </c>
      <c r="E5311" t="s">
        <v>34</v>
      </c>
      <c r="F5311" t="s">
        <v>65</v>
      </c>
      <c r="G5311">
        <v>46.8</v>
      </c>
      <c r="H5311" s="9">
        <v>-11.86</v>
      </c>
      <c r="I5311"/>
    </row>
    <row r="5312" spans="1:9" x14ac:dyDescent="0.3">
      <c r="A5312" t="s">
        <v>7</v>
      </c>
      <c r="B5312" t="s">
        <v>12</v>
      </c>
      <c r="C5312" t="s">
        <v>153</v>
      </c>
      <c r="D5312" s="9" t="s">
        <v>150</v>
      </c>
      <c r="E5312" t="s">
        <v>35</v>
      </c>
      <c r="F5312" t="s">
        <v>67</v>
      </c>
      <c r="G5312">
        <v>45.6</v>
      </c>
      <c r="H5312" s="9">
        <v>-11.46</v>
      </c>
      <c r="I5312"/>
    </row>
    <row r="5313" spans="1:9" x14ac:dyDescent="0.3">
      <c r="A5313" t="s">
        <v>7</v>
      </c>
      <c r="B5313" t="s">
        <v>12</v>
      </c>
      <c r="C5313" t="s">
        <v>154</v>
      </c>
      <c r="D5313" s="9" t="s">
        <v>150</v>
      </c>
      <c r="E5313" t="s">
        <v>36</v>
      </c>
      <c r="F5313" t="s">
        <v>69</v>
      </c>
      <c r="G5313">
        <v>42.2</v>
      </c>
      <c r="H5313" s="9">
        <v>-18.53</v>
      </c>
      <c r="I5313"/>
    </row>
    <row r="5314" spans="1:9" x14ac:dyDescent="0.3">
      <c r="A5314" t="s">
        <v>7</v>
      </c>
      <c r="B5314" t="s">
        <v>12</v>
      </c>
      <c r="C5314" t="s">
        <v>155</v>
      </c>
      <c r="D5314" s="9" t="s">
        <v>150</v>
      </c>
      <c r="E5314" t="s">
        <v>37</v>
      </c>
      <c r="F5314" t="s">
        <v>71</v>
      </c>
      <c r="G5314">
        <v>44.4</v>
      </c>
      <c r="H5314" s="9">
        <v>-9.02</v>
      </c>
      <c r="I5314"/>
    </row>
    <row r="5315" spans="1:9" x14ac:dyDescent="0.3">
      <c r="A5315" t="s">
        <v>7</v>
      </c>
      <c r="B5315" t="s">
        <v>19</v>
      </c>
      <c r="C5315" t="s">
        <v>59</v>
      </c>
      <c r="D5315" s="9" t="s">
        <v>60</v>
      </c>
      <c r="E5315" t="s">
        <v>32</v>
      </c>
      <c r="F5315" t="s">
        <v>61</v>
      </c>
      <c r="G5315">
        <v>20.7</v>
      </c>
      <c r="I5315"/>
    </row>
    <row r="5316" spans="1:9" x14ac:dyDescent="0.3">
      <c r="A5316" t="s">
        <v>7</v>
      </c>
      <c r="B5316" t="s">
        <v>19</v>
      </c>
      <c r="C5316" t="s">
        <v>62</v>
      </c>
      <c r="D5316" s="9" t="s">
        <v>60</v>
      </c>
      <c r="E5316" t="s">
        <v>33</v>
      </c>
      <c r="F5316" t="s">
        <v>63</v>
      </c>
      <c r="G5316">
        <v>17</v>
      </c>
      <c r="I5316"/>
    </row>
    <row r="5317" spans="1:9" x14ac:dyDescent="0.3">
      <c r="A5317" t="s">
        <v>7</v>
      </c>
      <c r="B5317" t="s">
        <v>19</v>
      </c>
      <c r="C5317" t="s">
        <v>64</v>
      </c>
      <c r="D5317" s="9" t="s">
        <v>60</v>
      </c>
      <c r="E5317" t="s">
        <v>34</v>
      </c>
      <c r="F5317" t="s">
        <v>65</v>
      </c>
      <c r="G5317">
        <v>20.100000000000001</v>
      </c>
      <c r="I5317"/>
    </row>
    <row r="5318" spans="1:9" x14ac:dyDescent="0.3">
      <c r="A5318" t="s">
        <v>7</v>
      </c>
      <c r="B5318" t="s">
        <v>19</v>
      </c>
      <c r="C5318" t="s">
        <v>66</v>
      </c>
      <c r="D5318" s="9" t="s">
        <v>60</v>
      </c>
      <c r="E5318" t="s">
        <v>35</v>
      </c>
      <c r="F5318" t="s">
        <v>67</v>
      </c>
      <c r="G5318">
        <v>19.7</v>
      </c>
      <c r="I5318"/>
    </row>
    <row r="5319" spans="1:9" x14ac:dyDescent="0.3">
      <c r="A5319" t="s">
        <v>7</v>
      </c>
      <c r="B5319" t="s">
        <v>19</v>
      </c>
      <c r="C5319" t="s">
        <v>68</v>
      </c>
      <c r="D5319" s="9" t="s">
        <v>60</v>
      </c>
      <c r="E5319" t="s">
        <v>36</v>
      </c>
      <c r="F5319" t="s">
        <v>69</v>
      </c>
      <c r="G5319">
        <v>20</v>
      </c>
      <c r="I5319"/>
    </row>
    <row r="5320" spans="1:9" x14ac:dyDescent="0.3">
      <c r="A5320" t="s">
        <v>7</v>
      </c>
      <c r="B5320" t="s">
        <v>19</v>
      </c>
      <c r="C5320" t="s">
        <v>70</v>
      </c>
      <c r="D5320" s="9" t="s">
        <v>60</v>
      </c>
      <c r="E5320" t="s">
        <v>37</v>
      </c>
      <c r="F5320" t="s">
        <v>71</v>
      </c>
      <c r="G5320">
        <v>18.8</v>
      </c>
      <c r="I5320"/>
    </row>
    <row r="5321" spans="1:9" x14ac:dyDescent="0.3">
      <c r="A5321" t="s">
        <v>7</v>
      </c>
      <c r="B5321" t="s">
        <v>19</v>
      </c>
      <c r="C5321" t="s">
        <v>72</v>
      </c>
      <c r="D5321" s="9" t="s">
        <v>60</v>
      </c>
      <c r="E5321" t="s">
        <v>38</v>
      </c>
      <c r="F5321" t="s">
        <v>73</v>
      </c>
      <c r="G5321">
        <v>19.5</v>
      </c>
      <c r="I5321"/>
    </row>
    <row r="5322" spans="1:9" x14ac:dyDescent="0.3">
      <c r="A5322" t="s">
        <v>7</v>
      </c>
      <c r="B5322" t="s">
        <v>19</v>
      </c>
      <c r="C5322" t="s">
        <v>74</v>
      </c>
      <c r="D5322" s="9" t="s">
        <v>60</v>
      </c>
      <c r="E5322" t="s">
        <v>39</v>
      </c>
      <c r="F5322" t="s">
        <v>75</v>
      </c>
      <c r="G5322">
        <v>18.5</v>
      </c>
      <c r="I5322"/>
    </row>
    <row r="5323" spans="1:9" x14ac:dyDescent="0.3">
      <c r="A5323" t="s">
        <v>7</v>
      </c>
      <c r="B5323" t="s">
        <v>19</v>
      </c>
      <c r="C5323" t="s">
        <v>76</v>
      </c>
      <c r="D5323" s="9" t="s">
        <v>60</v>
      </c>
      <c r="E5323" t="s">
        <v>40</v>
      </c>
      <c r="F5323" t="s">
        <v>77</v>
      </c>
      <c r="G5323">
        <v>17.3</v>
      </c>
      <c r="I5323"/>
    </row>
    <row r="5324" spans="1:9" x14ac:dyDescent="0.3">
      <c r="A5324" t="s">
        <v>7</v>
      </c>
      <c r="B5324" t="s">
        <v>19</v>
      </c>
      <c r="C5324" t="s">
        <v>78</v>
      </c>
      <c r="D5324" s="9" t="s">
        <v>60</v>
      </c>
      <c r="E5324" t="s">
        <v>41</v>
      </c>
      <c r="F5324" t="s">
        <v>79</v>
      </c>
      <c r="G5324">
        <v>19.399999999999999</v>
      </c>
      <c r="I5324"/>
    </row>
    <row r="5325" spans="1:9" x14ac:dyDescent="0.3">
      <c r="A5325" t="s">
        <v>7</v>
      </c>
      <c r="B5325" t="s">
        <v>19</v>
      </c>
      <c r="C5325" t="s">
        <v>80</v>
      </c>
      <c r="D5325" s="9" t="s">
        <v>60</v>
      </c>
      <c r="E5325" t="s">
        <v>42</v>
      </c>
      <c r="F5325" t="s">
        <v>81</v>
      </c>
      <c r="G5325">
        <v>21.2</v>
      </c>
      <c r="I5325"/>
    </row>
    <row r="5326" spans="1:9" x14ac:dyDescent="0.3">
      <c r="A5326" t="s">
        <v>7</v>
      </c>
      <c r="B5326" t="s">
        <v>19</v>
      </c>
      <c r="C5326" t="s">
        <v>82</v>
      </c>
      <c r="D5326" s="9" t="s">
        <v>60</v>
      </c>
      <c r="E5326" t="s">
        <v>43</v>
      </c>
      <c r="F5326" t="s">
        <v>83</v>
      </c>
      <c r="G5326">
        <v>33.4</v>
      </c>
      <c r="I5326"/>
    </row>
    <row r="5327" spans="1:9" x14ac:dyDescent="0.3">
      <c r="A5327" t="s">
        <v>7</v>
      </c>
      <c r="B5327" t="s">
        <v>19</v>
      </c>
      <c r="C5327" t="s">
        <v>84</v>
      </c>
      <c r="D5327" s="9" t="s">
        <v>85</v>
      </c>
      <c r="E5327" t="s">
        <v>32</v>
      </c>
      <c r="F5327" t="s">
        <v>61</v>
      </c>
      <c r="G5327">
        <v>21.3</v>
      </c>
      <c r="H5327" s="9">
        <v>2.9</v>
      </c>
      <c r="I5327"/>
    </row>
    <row r="5328" spans="1:9" x14ac:dyDescent="0.3">
      <c r="A5328" t="s">
        <v>7</v>
      </c>
      <c r="B5328" t="s">
        <v>19</v>
      </c>
      <c r="C5328" t="s">
        <v>86</v>
      </c>
      <c r="D5328" s="9" t="s">
        <v>85</v>
      </c>
      <c r="E5328" t="s">
        <v>33</v>
      </c>
      <c r="F5328" t="s">
        <v>63</v>
      </c>
      <c r="G5328">
        <v>17.7</v>
      </c>
      <c r="H5328" s="9">
        <v>4.12</v>
      </c>
      <c r="I5328"/>
    </row>
    <row r="5329" spans="1:9" x14ac:dyDescent="0.3">
      <c r="A5329" t="s">
        <v>7</v>
      </c>
      <c r="B5329" t="s">
        <v>19</v>
      </c>
      <c r="C5329" t="s">
        <v>87</v>
      </c>
      <c r="D5329" s="9" t="s">
        <v>85</v>
      </c>
      <c r="E5329" t="s">
        <v>34</v>
      </c>
      <c r="F5329" t="s">
        <v>65</v>
      </c>
      <c r="G5329">
        <v>15.6</v>
      </c>
      <c r="H5329" s="9">
        <v>-22.39</v>
      </c>
      <c r="I5329"/>
    </row>
    <row r="5330" spans="1:9" x14ac:dyDescent="0.3">
      <c r="A5330" t="s">
        <v>7</v>
      </c>
      <c r="B5330" t="s">
        <v>19</v>
      </c>
      <c r="C5330" t="s">
        <v>88</v>
      </c>
      <c r="D5330" s="9" t="s">
        <v>85</v>
      </c>
      <c r="E5330" t="s">
        <v>35</v>
      </c>
      <c r="F5330" t="s">
        <v>67</v>
      </c>
      <c r="G5330">
        <v>4.5</v>
      </c>
      <c r="H5330" s="9">
        <v>-77.16</v>
      </c>
      <c r="I5330"/>
    </row>
    <row r="5331" spans="1:9" x14ac:dyDescent="0.3">
      <c r="A5331" t="s">
        <v>7</v>
      </c>
      <c r="B5331" t="s">
        <v>19</v>
      </c>
      <c r="C5331" t="s">
        <v>89</v>
      </c>
      <c r="D5331" s="9" t="s">
        <v>85</v>
      </c>
      <c r="E5331" t="s">
        <v>36</v>
      </c>
      <c r="F5331" t="s">
        <v>69</v>
      </c>
      <c r="G5331">
        <v>13.3</v>
      </c>
      <c r="H5331" s="9">
        <v>-33.5</v>
      </c>
      <c r="I5331"/>
    </row>
    <row r="5332" spans="1:9" x14ac:dyDescent="0.3">
      <c r="A5332" t="s">
        <v>7</v>
      </c>
      <c r="B5332" t="s">
        <v>19</v>
      </c>
      <c r="C5332" t="s">
        <v>90</v>
      </c>
      <c r="D5332" s="9" t="s">
        <v>85</v>
      </c>
      <c r="E5332" t="s">
        <v>37</v>
      </c>
      <c r="F5332" t="s">
        <v>71</v>
      </c>
      <c r="G5332">
        <v>21.9</v>
      </c>
      <c r="H5332" s="9">
        <v>16.489999999999998</v>
      </c>
      <c r="I5332"/>
    </row>
    <row r="5333" spans="1:9" x14ac:dyDescent="0.3">
      <c r="A5333" t="s">
        <v>7</v>
      </c>
      <c r="B5333" t="s">
        <v>19</v>
      </c>
      <c r="C5333" t="s">
        <v>91</v>
      </c>
      <c r="D5333" s="9" t="s">
        <v>85</v>
      </c>
      <c r="E5333" t="s">
        <v>38</v>
      </c>
      <c r="F5333" t="s">
        <v>73</v>
      </c>
      <c r="G5333">
        <v>22.6</v>
      </c>
      <c r="H5333" s="9">
        <v>15.9</v>
      </c>
      <c r="I5333"/>
    </row>
    <row r="5334" spans="1:9" x14ac:dyDescent="0.3">
      <c r="A5334" t="s">
        <v>7</v>
      </c>
      <c r="B5334" t="s">
        <v>19</v>
      </c>
      <c r="C5334" t="s">
        <v>92</v>
      </c>
      <c r="D5334" s="9" t="s">
        <v>85</v>
      </c>
      <c r="E5334" t="s">
        <v>39</v>
      </c>
      <c r="F5334" t="s">
        <v>75</v>
      </c>
      <c r="G5334">
        <v>19.899999999999999</v>
      </c>
      <c r="H5334" s="9">
        <v>7.57</v>
      </c>
      <c r="I5334"/>
    </row>
    <row r="5335" spans="1:9" x14ac:dyDescent="0.3">
      <c r="A5335" t="s">
        <v>7</v>
      </c>
      <c r="B5335" t="s">
        <v>19</v>
      </c>
      <c r="C5335" t="s">
        <v>93</v>
      </c>
      <c r="D5335" s="9" t="s">
        <v>85</v>
      </c>
      <c r="E5335" t="s">
        <v>40</v>
      </c>
      <c r="F5335" t="s">
        <v>77</v>
      </c>
      <c r="G5335">
        <v>19.600000000000001</v>
      </c>
      <c r="H5335" s="9">
        <v>13.29</v>
      </c>
      <c r="I5335"/>
    </row>
    <row r="5336" spans="1:9" x14ac:dyDescent="0.3">
      <c r="A5336" t="s">
        <v>7</v>
      </c>
      <c r="B5336" t="s">
        <v>19</v>
      </c>
      <c r="C5336" t="s">
        <v>94</v>
      </c>
      <c r="D5336" s="9" t="s">
        <v>85</v>
      </c>
      <c r="E5336" t="s">
        <v>41</v>
      </c>
      <c r="F5336" t="s">
        <v>79</v>
      </c>
      <c r="G5336">
        <v>21.4</v>
      </c>
      <c r="H5336" s="9">
        <v>10.31</v>
      </c>
      <c r="I5336"/>
    </row>
    <row r="5337" spans="1:9" x14ac:dyDescent="0.3">
      <c r="A5337" t="s">
        <v>7</v>
      </c>
      <c r="B5337" t="s">
        <v>19</v>
      </c>
      <c r="C5337" t="s">
        <v>95</v>
      </c>
      <c r="D5337" s="9" t="s">
        <v>85</v>
      </c>
      <c r="E5337" t="s">
        <v>42</v>
      </c>
      <c r="F5337" t="s">
        <v>81</v>
      </c>
      <c r="G5337">
        <v>24.8</v>
      </c>
      <c r="H5337" s="9">
        <v>16.98</v>
      </c>
      <c r="I5337"/>
    </row>
    <row r="5338" spans="1:9" x14ac:dyDescent="0.3">
      <c r="A5338" t="s">
        <v>7</v>
      </c>
      <c r="B5338" t="s">
        <v>19</v>
      </c>
      <c r="C5338" t="s">
        <v>96</v>
      </c>
      <c r="D5338" s="9" t="s">
        <v>85</v>
      </c>
      <c r="E5338" t="s">
        <v>43</v>
      </c>
      <c r="F5338" t="s">
        <v>83</v>
      </c>
      <c r="G5338">
        <v>36.9</v>
      </c>
      <c r="H5338" s="9">
        <v>10.48</v>
      </c>
      <c r="I5338"/>
    </row>
    <row r="5339" spans="1:9" x14ac:dyDescent="0.3">
      <c r="A5339" t="s">
        <v>7</v>
      </c>
      <c r="B5339" t="s">
        <v>19</v>
      </c>
      <c r="C5339" t="s">
        <v>97</v>
      </c>
      <c r="D5339" s="9" t="s">
        <v>98</v>
      </c>
      <c r="E5339" t="s">
        <v>32</v>
      </c>
      <c r="F5339" t="s">
        <v>61</v>
      </c>
      <c r="G5339">
        <v>22.3</v>
      </c>
      <c r="H5339" s="9">
        <v>4.6900000000000004</v>
      </c>
      <c r="I5339"/>
    </row>
    <row r="5340" spans="1:9" x14ac:dyDescent="0.3">
      <c r="A5340" t="s">
        <v>7</v>
      </c>
      <c r="B5340" t="s">
        <v>19</v>
      </c>
      <c r="C5340" t="s">
        <v>99</v>
      </c>
      <c r="D5340" s="9" t="s">
        <v>98</v>
      </c>
      <c r="E5340" t="s">
        <v>33</v>
      </c>
      <c r="F5340" t="s">
        <v>63</v>
      </c>
      <c r="G5340">
        <v>18.7</v>
      </c>
      <c r="H5340" s="9">
        <v>5.65</v>
      </c>
      <c r="I5340"/>
    </row>
    <row r="5341" spans="1:9" x14ac:dyDescent="0.3">
      <c r="A5341" t="s">
        <v>7</v>
      </c>
      <c r="B5341" t="s">
        <v>19</v>
      </c>
      <c r="C5341" t="s">
        <v>100</v>
      </c>
      <c r="D5341" s="9" t="s">
        <v>98</v>
      </c>
      <c r="E5341" t="s">
        <v>34</v>
      </c>
      <c r="F5341" t="s">
        <v>65</v>
      </c>
      <c r="G5341">
        <v>22.8</v>
      </c>
      <c r="H5341" s="9">
        <v>46.15</v>
      </c>
      <c r="I5341"/>
    </row>
    <row r="5342" spans="1:9" x14ac:dyDescent="0.3">
      <c r="A5342" t="s">
        <v>7</v>
      </c>
      <c r="B5342" t="s">
        <v>19</v>
      </c>
      <c r="C5342" t="s">
        <v>101</v>
      </c>
      <c r="D5342" s="9" t="s">
        <v>98</v>
      </c>
      <c r="E5342" t="s">
        <v>35</v>
      </c>
      <c r="F5342" t="s">
        <v>67</v>
      </c>
      <c r="G5342">
        <v>24.3</v>
      </c>
      <c r="H5342" s="9">
        <v>440</v>
      </c>
      <c r="I5342"/>
    </row>
    <row r="5343" spans="1:9" x14ac:dyDescent="0.3">
      <c r="A5343" t="s">
        <v>7</v>
      </c>
      <c r="B5343" t="s">
        <v>19</v>
      </c>
      <c r="C5343" t="s">
        <v>102</v>
      </c>
      <c r="D5343" s="9" t="s">
        <v>98</v>
      </c>
      <c r="E5343" t="s">
        <v>36</v>
      </c>
      <c r="F5343" t="s">
        <v>69</v>
      </c>
      <c r="G5343">
        <v>23.8</v>
      </c>
      <c r="H5343" s="9">
        <v>78.95</v>
      </c>
      <c r="I5343"/>
    </row>
    <row r="5344" spans="1:9" x14ac:dyDescent="0.3">
      <c r="A5344" t="s">
        <v>7</v>
      </c>
      <c r="B5344" t="s">
        <v>19</v>
      </c>
      <c r="C5344" t="s">
        <v>103</v>
      </c>
      <c r="D5344" s="9" t="s">
        <v>98</v>
      </c>
      <c r="E5344" t="s">
        <v>37</v>
      </c>
      <c r="F5344" t="s">
        <v>71</v>
      </c>
      <c r="G5344">
        <v>22.6</v>
      </c>
      <c r="H5344" s="9">
        <v>3.2</v>
      </c>
      <c r="I5344"/>
    </row>
    <row r="5345" spans="1:9" x14ac:dyDescent="0.3">
      <c r="A5345" t="s">
        <v>7</v>
      </c>
      <c r="B5345" t="s">
        <v>19</v>
      </c>
      <c r="C5345" t="s">
        <v>104</v>
      </c>
      <c r="D5345" s="9" t="s">
        <v>98</v>
      </c>
      <c r="E5345" t="s">
        <v>38</v>
      </c>
      <c r="F5345" t="s">
        <v>73</v>
      </c>
      <c r="G5345">
        <v>25</v>
      </c>
      <c r="H5345" s="9">
        <v>10.62</v>
      </c>
      <c r="I5345"/>
    </row>
    <row r="5346" spans="1:9" x14ac:dyDescent="0.3">
      <c r="A5346" t="s">
        <v>7</v>
      </c>
      <c r="B5346" t="s">
        <v>19</v>
      </c>
      <c r="C5346" t="s">
        <v>105</v>
      </c>
      <c r="D5346" s="9" t="s">
        <v>98</v>
      </c>
      <c r="E5346" t="s">
        <v>39</v>
      </c>
      <c r="F5346" t="s">
        <v>75</v>
      </c>
      <c r="G5346">
        <v>22.5</v>
      </c>
      <c r="H5346" s="9">
        <v>13.07</v>
      </c>
      <c r="I5346"/>
    </row>
    <row r="5347" spans="1:9" x14ac:dyDescent="0.3">
      <c r="A5347" t="s">
        <v>7</v>
      </c>
      <c r="B5347" t="s">
        <v>19</v>
      </c>
      <c r="C5347" t="s">
        <v>106</v>
      </c>
      <c r="D5347" s="9" t="s">
        <v>98</v>
      </c>
      <c r="E5347" t="s">
        <v>40</v>
      </c>
      <c r="F5347" t="s">
        <v>77</v>
      </c>
      <c r="G5347">
        <v>24.1</v>
      </c>
      <c r="H5347" s="9">
        <v>22.96</v>
      </c>
      <c r="I5347"/>
    </row>
    <row r="5348" spans="1:9" x14ac:dyDescent="0.3">
      <c r="A5348" t="s">
        <v>7</v>
      </c>
      <c r="B5348" t="s">
        <v>19</v>
      </c>
      <c r="C5348" t="s">
        <v>107</v>
      </c>
      <c r="D5348" s="9" t="s">
        <v>98</v>
      </c>
      <c r="E5348" t="s">
        <v>41</v>
      </c>
      <c r="F5348" t="s">
        <v>79</v>
      </c>
      <c r="G5348">
        <v>24.8</v>
      </c>
      <c r="H5348" s="9">
        <v>15.89</v>
      </c>
      <c r="I5348"/>
    </row>
    <row r="5349" spans="1:9" x14ac:dyDescent="0.3">
      <c r="A5349" t="s">
        <v>7</v>
      </c>
      <c r="B5349" t="s">
        <v>19</v>
      </c>
      <c r="C5349" t="s">
        <v>108</v>
      </c>
      <c r="D5349" s="9" t="s">
        <v>98</v>
      </c>
      <c r="E5349" t="s">
        <v>42</v>
      </c>
      <c r="F5349" t="s">
        <v>81</v>
      </c>
      <c r="G5349">
        <v>29.4</v>
      </c>
      <c r="H5349" s="9">
        <v>18.55</v>
      </c>
      <c r="I5349"/>
    </row>
    <row r="5350" spans="1:9" x14ac:dyDescent="0.3">
      <c r="A5350" t="s">
        <v>7</v>
      </c>
      <c r="B5350" t="s">
        <v>19</v>
      </c>
      <c r="C5350" t="s">
        <v>109</v>
      </c>
      <c r="D5350" s="9" t="s">
        <v>98</v>
      </c>
      <c r="E5350" t="s">
        <v>43</v>
      </c>
      <c r="F5350" t="s">
        <v>83</v>
      </c>
      <c r="G5350">
        <v>41</v>
      </c>
      <c r="H5350" s="9">
        <v>11.11</v>
      </c>
      <c r="I5350"/>
    </row>
    <row r="5351" spans="1:9" x14ac:dyDescent="0.3">
      <c r="A5351" t="s">
        <v>7</v>
      </c>
      <c r="B5351" t="s">
        <v>19</v>
      </c>
      <c r="C5351" t="s">
        <v>110</v>
      </c>
      <c r="D5351" s="9" t="s">
        <v>111</v>
      </c>
      <c r="E5351" t="s">
        <v>32</v>
      </c>
      <c r="F5351" t="s">
        <v>61</v>
      </c>
      <c r="G5351">
        <v>22.9</v>
      </c>
      <c r="H5351" s="9">
        <v>2.69</v>
      </c>
      <c r="I5351"/>
    </row>
    <row r="5352" spans="1:9" x14ac:dyDescent="0.3">
      <c r="A5352" t="s">
        <v>7</v>
      </c>
      <c r="B5352" t="s">
        <v>19</v>
      </c>
      <c r="C5352" t="s">
        <v>112</v>
      </c>
      <c r="D5352" s="9" t="s">
        <v>111</v>
      </c>
      <c r="E5352" t="s">
        <v>33</v>
      </c>
      <c r="F5352" t="s">
        <v>63</v>
      </c>
      <c r="G5352">
        <v>20.100000000000001</v>
      </c>
      <c r="H5352" s="9">
        <v>7.49</v>
      </c>
      <c r="I5352"/>
    </row>
    <row r="5353" spans="1:9" x14ac:dyDescent="0.3">
      <c r="A5353" t="s">
        <v>7</v>
      </c>
      <c r="B5353" t="s">
        <v>19</v>
      </c>
      <c r="C5353" t="s">
        <v>113</v>
      </c>
      <c r="D5353" s="9" t="s">
        <v>111</v>
      </c>
      <c r="E5353" t="s">
        <v>34</v>
      </c>
      <c r="F5353" t="s">
        <v>65</v>
      </c>
      <c r="G5353">
        <v>23.2</v>
      </c>
      <c r="H5353" s="9">
        <v>1.75</v>
      </c>
      <c r="I5353"/>
    </row>
    <row r="5354" spans="1:9" x14ac:dyDescent="0.3">
      <c r="A5354" t="s">
        <v>7</v>
      </c>
      <c r="B5354" t="s">
        <v>19</v>
      </c>
      <c r="C5354" t="s">
        <v>114</v>
      </c>
      <c r="D5354" s="9" t="s">
        <v>111</v>
      </c>
      <c r="E5354" t="s">
        <v>35</v>
      </c>
      <c r="F5354" t="s">
        <v>67</v>
      </c>
      <c r="G5354">
        <v>24.9</v>
      </c>
      <c r="H5354" s="9">
        <v>2.4700000000000002</v>
      </c>
      <c r="I5354"/>
    </row>
    <row r="5355" spans="1:9" x14ac:dyDescent="0.3">
      <c r="A5355" t="s">
        <v>7</v>
      </c>
      <c r="B5355" t="s">
        <v>19</v>
      </c>
      <c r="C5355" t="s">
        <v>115</v>
      </c>
      <c r="D5355" s="9" t="s">
        <v>111</v>
      </c>
      <c r="E5355" t="s">
        <v>36</v>
      </c>
      <c r="F5355" t="s">
        <v>69</v>
      </c>
      <c r="G5355">
        <v>25</v>
      </c>
      <c r="H5355" s="9">
        <v>5.04</v>
      </c>
      <c r="I5355"/>
    </row>
    <row r="5356" spans="1:9" x14ac:dyDescent="0.3">
      <c r="A5356" t="s">
        <v>7</v>
      </c>
      <c r="B5356" t="s">
        <v>19</v>
      </c>
      <c r="C5356" t="s">
        <v>116</v>
      </c>
      <c r="D5356" s="9" t="s">
        <v>111</v>
      </c>
      <c r="E5356" t="s">
        <v>37</v>
      </c>
      <c r="F5356" t="s">
        <v>71</v>
      </c>
      <c r="G5356">
        <v>23.9</v>
      </c>
      <c r="H5356" s="9">
        <v>5.75</v>
      </c>
      <c r="I5356"/>
    </row>
    <row r="5357" spans="1:9" x14ac:dyDescent="0.3">
      <c r="A5357" t="s">
        <v>7</v>
      </c>
      <c r="B5357" t="s">
        <v>19</v>
      </c>
      <c r="C5357" t="s">
        <v>117</v>
      </c>
      <c r="D5357" s="9" t="s">
        <v>111</v>
      </c>
      <c r="E5357" t="s">
        <v>38</v>
      </c>
      <c r="F5357" t="s">
        <v>73</v>
      </c>
      <c r="G5357">
        <v>23.7</v>
      </c>
      <c r="H5357" s="9">
        <v>-5.2</v>
      </c>
      <c r="I5357"/>
    </row>
    <row r="5358" spans="1:9" x14ac:dyDescent="0.3">
      <c r="A5358" t="s">
        <v>7</v>
      </c>
      <c r="B5358" t="s">
        <v>19</v>
      </c>
      <c r="C5358" t="s">
        <v>118</v>
      </c>
      <c r="D5358" s="9" t="s">
        <v>111</v>
      </c>
      <c r="E5358" t="s">
        <v>39</v>
      </c>
      <c r="F5358" t="s">
        <v>75</v>
      </c>
      <c r="G5358">
        <v>22.1</v>
      </c>
      <c r="H5358" s="9">
        <v>-1.78</v>
      </c>
      <c r="I5358"/>
    </row>
    <row r="5359" spans="1:9" x14ac:dyDescent="0.3">
      <c r="A5359" t="s">
        <v>7</v>
      </c>
      <c r="B5359" t="s">
        <v>19</v>
      </c>
      <c r="C5359" t="s">
        <v>119</v>
      </c>
      <c r="D5359" s="9" t="s">
        <v>111</v>
      </c>
      <c r="E5359" t="s">
        <v>40</v>
      </c>
      <c r="F5359" t="s">
        <v>77</v>
      </c>
      <c r="G5359">
        <v>22.7</v>
      </c>
      <c r="H5359" s="9">
        <v>-5.81</v>
      </c>
      <c r="I5359"/>
    </row>
    <row r="5360" spans="1:9" x14ac:dyDescent="0.3">
      <c r="A5360" t="s">
        <v>7</v>
      </c>
      <c r="B5360" t="s">
        <v>19</v>
      </c>
      <c r="C5360" t="s">
        <v>120</v>
      </c>
      <c r="D5360" s="9" t="s">
        <v>111</v>
      </c>
      <c r="E5360" t="s">
        <v>41</v>
      </c>
      <c r="F5360" t="s">
        <v>79</v>
      </c>
      <c r="G5360">
        <v>23.7</v>
      </c>
      <c r="H5360" s="9">
        <v>-4.4400000000000004</v>
      </c>
      <c r="I5360"/>
    </row>
    <row r="5361" spans="1:9" x14ac:dyDescent="0.3">
      <c r="A5361" t="s">
        <v>7</v>
      </c>
      <c r="B5361" t="s">
        <v>19</v>
      </c>
      <c r="C5361" t="s">
        <v>121</v>
      </c>
      <c r="D5361" s="9" t="s">
        <v>111</v>
      </c>
      <c r="E5361" t="s">
        <v>42</v>
      </c>
      <c r="F5361" t="s">
        <v>81</v>
      </c>
      <c r="G5361">
        <v>29.9</v>
      </c>
      <c r="H5361" s="9">
        <v>1.7</v>
      </c>
      <c r="I5361"/>
    </row>
    <row r="5362" spans="1:9" x14ac:dyDescent="0.3">
      <c r="A5362" t="s">
        <v>7</v>
      </c>
      <c r="B5362" t="s">
        <v>19</v>
      </c>
      <c r="C5362" t="s">
        <v>122</v>
      </c>
      <c r="D5362" s="9" t="s">
        <v>111</v>
      </c>
      <c r="E5362" t="s">
        <v>43</v>
      </c>
      <c r="F5362" t="s">
        <v>83</v>
      </c>
      <c r="G5362">
        <v>39.299999999999997</v>
      </c>
      <c r="H5362" s="9">
        <v>-4.1500000000000004</v>
      </c>
      <c r="I5362"/>
    </row>
    <row r="5363" spans="1:9" x14ac:dyDescent="0.3">
      <c r="A5363" t="s">
        <v>7</v>
      </c>
      <c r="B5363" t="s">
        <v>19</v>
      </c>
      <c r="C5363" t="s">
        <v>123</v>
      </c>
      <c r="D5363" s="9" t="s">
        <v>124</v>
      </c>
      <c r="E5363" t="s">
        <v>32</v>
      </c>
      <c r="F5363" t="s">
        <v>61</v>
      </c>
      <c r="G5363">
        <v>23</v>
      </c>
      <c r="H5363" s="9">
        <v>0.44</v>
      </c>
      <c r="I5363"/>
    </row>
    <row r="5364" spans="1:9" x14ac:dyDescent="0.3">
      <c r="A5364" t="s">
        <v>7</v>
      </c>
      <c r="B5364" t="s">
        <v>19</v>
      </c>
      <c r="C5364" t="s">
        <v>125</v>
      </c>
      <c r="D5364" s="9" t="s">
        <v>124</v>
      </c>
      <c r="E5364" t="s">
        <v>33</v>
      </c>
      <c r="F5364" t="s">
        <v>63</v>
      </c>
      <c r="G5364">
        <v>20.6</v>
      </c>
      <c r="H5364" s="9">
        <v>2.4900000000000002</v>
      </c>
      <c r="I5364"/>
    </row>
    <row r="5365" spans="1:9" x14ac:dyDescent="0.3">
      <c r="A5365" t="s">
        <v>7</v>
      </c>
      <c r="B5365" t="s">
        <v>19</v>
      </c>
      <c r="C5365" t="s">
        <v>126</v>
      </c>
      <c r="D5365" s="9" t="s">
        <v>124</v>
      </c>
      <c r="E5365" t="s">
        <v>34</v>
      </c>
      <c r="F5365" t="s">
        <v>65</v>
      </c>
      <c r="G5365">
        <v>24.3</v>
      </c>
      <c r="H5365" s="9">
        <v>4.74</v>
      </c>
      <c r="I5365"/>
    </row>
    <row r="5366" spans="1:9" x14ac:dyDescent="0.3">
      <c r="A5366" t="s">
        <v>7</v>
      </c>
      <c r="B5366" t="s">
        <v>19</v>
      </c>
      <c r="C5366" t="s">
        <v>127</v>
      </c>
      <c r="D5366" s="9" t="s">
        <v>124</v>
      </c>
      <c r="E5366" t="s">
        <v>35</v>
      </c>
      <c r="F5366" t="s">
        <v>67</v>
      </c>
      <c r="G5366">
        <v>23.2</v>
      </c>
      <c r="H5366" s="9">
        <v>-6.83</v>
      </c>
      <c r="I5366"/>
    </row>
    <row r="5367" spans="1:9" x14ac:dyDescent="0.3">
      <c r="A5367" t="s">
        <v>7</v>
      </c>
      <c r="B5367" t="s">
        <v>19</v>
      </c>
      <c r="C5367" t="s">
        <v>128</v>
      </c>
      <c r="D5367" s="9" t="s">
        <v>124</v>
      </c>
      <c r="E5367" t="s">
        <v>36</v>
      </c>
      <c r="F5367" t="s">
        <v>69</v>
      </c>
      <c r="G5367">
        <v>24.3</v>
      </c>
      <c r="H5367" s="9">
        <v>-2.8</v>
      </c>
      <c r="I5367"/>
    </row>
    <row r="5368" spans="1:9" x14ac:dyDescent="0.3">
      <c r="A5368" t="s">
        <v>7</v>
      </c>
      <c r="B5368" t="s">
        <v>19</v>
      </c>
      <c r="C5368" t="s">
        <v>129</v>
      </c>
      <c r="D5368" s="9" t="s">
        <v>124</v>
      </c>
      <c r="E5368" t="s">
        <v>37</v>
      </c>
      <c r="F5368" t="s">
        <v>71</v>
      </c>
      <c r="G5368">
        <v>25.3</v>
      </c>
      <c r="H5368" s="9">
        <v>5.86</v>
      </c>
      <c r="I5368"/>
    </row>
    <row r="5369" spans="1:9" x14ac:dyDescent="0.3">
      <c r="A5369" t="s">
        <v>7</v>
      </c>
      <c r="B5369" t="s">
        <v>19</v>
      </c>
      <c r="C5369" t="s">
        <v>130</v>
      </c>
      <c r="D5369" s="9" t="s">
        <v>124</v>
      </c>
      <c r="E5369" t="s">
        <v>38</v>
      </c>
      <c r="F5369" t="s">
        <v>73</v>
      </c>
      <c r="G5369">
        <v>23.6</v>
      </c>
      <c r="H5369" s="9">
        <v>-0.42</v>
      </c>
      <c r="I5369"/>
    </row>
    <row r="5370" spans="1:9" x14ac:dyDescent="0.3">
      <c r="A5370" t="s">
        <v>7</v>
      </c>
      <c r="B5370" t="s">
        <v>19</v>
      </c>
      <c r="C5370" t="s">
        <v>131</v>
      </c>
      <c r="D5370" s="9" t="s">
        <v>124</v>
      </c>
      <c r="E5370" t="s">
        <v>39</v>
      </c>
      <c r="F5370" t="s">
        <v>75</v>
      </c>
      <c r="G5370">
        <v>22.1</v>
      </c>
      <c r="H5370" s="9">
        <v>0</v>
      </c>
      <c r="I5370"/>
    </row>
    <row r="5371" spans="1:9" x14ac:dyDescent="0.3">
      <c r="A5371" t="s">
        <v>7</v>
      </c>
      <c r="B5371" t="s">
        <v>19</v>
      </c>
      <c r="C5371" t="s">
        <v>132</v>
      </c>
      <c r="D5371" s="9" t="s">
        <v>124</v>
      </c>
      <c r="E5371" t="s">
        <v>40</v>
      </c>
      <c r="F5371" t="s">
        <v>77</v>
      </c>
      <c r="G5371">
        <v>23.2</v>
      </c>
      <c r="H5371" s="9">
        <v>2.2000000000000002</v>
      </c>
      <c r="I5371"/>
    </row>
    <row r="5372" spans="1:9" x14ac:dyDescent="0.3">
      <c r="A5372" t="s">
        <v>7</v>
      </c>
      <c r="B5372" t="s">
        <v>19</v>
      </c>
      <c r="C5372" t="s">
        <v>133</v>
      </c>
      <c r="D5372" s="9" t="s">
        <v>124</v>
      </c>
      <c r="E5372" t="s">
        <v>41</v>
      </c>
      <c r="F5372" t="s">
        <v>79</v>
      </c>
      <c r="G5372">
        <v>24.6</v>
      </c>
      <c r="H5372" s="9">
        <v>3.8</v>
      </c>
      <c r="I5372"/>
    </row>
    <row r="5373" spans="1:9" x14ac:dyDescent="0.3">
      <c r="A5373" t="s">
        <v>7</v>
      </c>
      <c r="B5373" t="s">
        <v>19</v>
      </c>
      <c r="C5373" t="s">
        <v>134</v>
      </c>
      <c r="D5373" s="9" t="s">
        <v>124</v>
      </c>
      <c r="E5373" t="s">
        <v>42</v>
      </c>
      <c r="F5373" t="s">
        <v>81</v>
      </c>
      <c r="G5373">
        <v>29.6</v>
      </c>
      <c r="H5373" s="9">
        <v>-1</v>
      </c>
      <c r="I5373"/>
    </row>
    <row r="5374" spans="1:9" x14ac:dyDescent="0.3">
      <c r="A5374" t="s">
        <v>7</v>
      </c>
      <c r="B5374" t="s">
        <v>19</v>
      </c>
      <c r="C5374" t="s">
        <v>135</v>
      </c>
      <c r="D5374" s="9" t="s">
        <v>124</v>
      </c>
      <c r="E5374" t="s">
        <v>43</v>
      </c>
      <c r="F5374" t="s">
        <v>83</v>
      </c>
      <c r="G5374">
        <v>38</v>
      </c>
      <c r="H5374" s="9">
        <v>-3.31</v>
      </c>
      <c r="I5374"/>
    </row>
    <row r="5375" spans="1:9" x14ac:dyDescent="0.3">
      <c r="A5375" t="s">
        <v>7</v>
      </c>
      <c r="B5375" t="s">
        <v>19</v>
      </c>
      <c r="C5375" t="s">
        <v>136</v>
      </c>
      <c r="D5375" s="9" t="s">
        <v>137</v>
      </c>
      <c r="E5375" t="s">
        <v>32</v>
      </c>
      <c r="F5375" t="s">
        <v>61</v>
      </c>
      <c r="G5375">
        <v>26</v>
      </c>
      <c r="H5375" s="9">
        <v>13.04</v>
      </c>
      <c r="I5375"/>
    </row>
    <row r="5376" spans="1:9" x14ac:dyDescent="0.3">
      <c r="A5376" t="s">
        <v>7</v>
      </c>
      <c r="B5376" t="s">
        <v>19</v>
      </c>
      <c r="C5376" t="s">
        <v>138</v>
      </c>
      <c r="D5376" s="9" t="s">
        <v>137</v>
      </c>
      <c r="E5376" t="s">
        <v>33</v>
      </c>
      <c r="F5376" t="s">
        <v>63</v>
      </c>
      <c r="G5376">
        <v>22.2</v>
      </c>
      <c r="H5376" s="9">
        <v>7.77</v>
      </c>
      <c r="I5376"/>
    </row>
    <row r="5377" spans="1:9" x14ac:dyDescent="0.3">
      <c r="A5377" t="s">
        <v>7</v>
      </c>
      <c r="B5377" t="s">
        <v>19</v>
      </c>
      <c r="C5377" t="s">
        <v>139</v>
      </c>
      <c r="D5377" s="9" t="s">
        <v>137</v>
      </c>
      <c r="E5377" t="s">
        <v>34</v>
      </c>
      <c r="F5377" t="s">
        <v>65</v>
      </c>
      <c r="G5377">
        <v>23.2</v>
      </c>
      <c r="H5377" s="9">
        <v>-4.53</v>
      </c>
      <c r="I5377"/>
    </row>
    <row r="5378" spans="1:9" x14ac:dyDescent="0.3">
      <c r="A5378" t="s">
        <v>7</v>
      </c>
      <c r="B5378" t="s">
        <v>19</v>
      </c>
      <c r="C5378" t="s">
        <v>140</v>
      </c>
      <c r="D5378" s="9" t="s">
        <v>137</v>
      </c>
      <c r="E5378" t="s">
        <v>35</v>
      </c>
      <c r="F5378" t="s">
        <v>67</v>
      </c>
      <c r="G5378">
        <v>24</v>
      </c>
      <c r="H5378" s="9">
        <v>3.45</v>
      </c>
      <c r="I5378"/>
    </row>
    <row r="5379" spans="1:9" x14ac:dyDescent="0.3">
      <c r="A5379" t="s">
        <v>7</v>
      </c>
      <c r="B5379" t="s">
        <v>19</v>
      </c>
      <c r="C5379" t="s">
        <v>141</v>
      </c>
      <c r="D5379" s="9" t="s">
        <v>137</v>
      </c>
      <c r="E5379" t="s">
        <v>36</v>
      </c>
      <c r="F5379" t="s">
        <v>69</v>
      </c>
      <c r="G5379">
        <v>26.2</v>
      </c>
      <c r="H5379" s="9">
        <v>7.82</v>
      </c>
      <c r="I5379"/>
    </row>
    <row r="5380" spans="1:9" x14ac:dyDescent="0.3">
      <c r="A5380" t="s">
        <v>7</v>
      </c>
      <c r="B5380" t="s">
        <v>19</v>
      </c>
      <c r="C5380" t="s">
        <v>142</v>
      </c>
      <c r="D5380" s="9" t="s">
        <v>137</v>
      </c>
      <c r="E5380" t="s">
        <v>37</v>
      </c>
      <c r="F5380" t="s">
        <v>71</v>
      </c>
      <c r="G5380">
        <v>24.5</v>
      </c>
      <c r="H5380" s="9">
        <v>-3.16</v>
      </c>
      <c r="I5380"/>
    </row>
    <row r="5381" spans="1:9" x14ac:dyDescent="0.3">
      <c r="A5381" t="s">
        <v>7</v>
      </c>
      <c r="B5381" t="s">
        <v>19</v>
      </c>
      <c r="C5381" t="s">
        <v>143</v>
      </c>
      <c r="D5381" s="9" t="s">
        <v>137</v>
      </c>
      <c r="E5381" t="s">
        <v>38</v>
      </c>
      <c r="F5381" t="s">
        <v>73</v>
      </c>
      <c r="G5381">
        <v>24</v>
      </c>
      <c r="H5381" s="9">
        <v>1.69</v>
      </c>
      <c r="I5381"/>
    </row>
    <row r="5382" spans="1:9" x14ac:dyDescent="0.3">
      <c r="A5382" t="s">
        <v>7</v>
      </c>
      <c r="B5382" t="s">
        <v>19</v>
      </c>
      <c r="C5382" t="s">
        <v>144</v>
      </c>
      <c r="D5382" s="9" t="s">
        <v>137</v>
      </c>
      <c r="E5382" t="s">
        <v>39</v>
      </c>
      <c r="F5382" t="s">
        <v>75</v>
      </c>
      <c r="G5382">
        <v>23.5</v>
      </c>
      <c r="H5382" s="9">
        <v>6.33</v>
      </c>
      <c r="I5382"/>
    </row>
    <row r="5383" spans="1:9" x14ac:dyDescent="0.3">
      <c r="A5383" t="s">
        <v>7</v>
      </c>
      <c r="B5383" t="s">
        <v>19</v>
      </c>
      <c r="C5383" t="s">
        <v>145</v>
      </c>
      <c r="D5383" s="9" t="s">
        <v>137</v>
      </c>
      <c r="E5383" t="s">
        <v>40</v>
      </c>
      <c r="F5383" t="s">
        <v>77</v>
      </c>
      <c r="G5383">
        <v>23.6</v>
      </c>
      <c r="H5383" s="9">
        <v>1.72</v>
      </c>
      <c r="I5383"/>
    </row>
    <row r="5384" spans="1:9" x14ac:dyDescent="0.3">
      <c r="A5384" t="s">
        <v>7</v>
      </c>
      <c r="B5384" t="s">
        <v>19</v>
      </c>
      <c r="C5384" t="s">
        <v>146</v>
      </c>
      <c r="D5384" s="9" t="s">
        <v>137</v>
      </c>
      <c r="E5384" t="s">
        <v>41</v>
      </c>
      <c r="F5384" t="s">
        <v>79</v>
      </c>
      <c r="G5384">
        <v>24.9</v>
      </c>
      <c r="H5384" s="9">
        <v>1.22</v>
      </c>
      <c r="I5384"/>
    </row>
    <row r="5385" spans="1:9" x14ac:dyDescent="0.3">
      <c r="A5385" t="s">
        <v>7</v>
      </c>
      <c r="B5385" t="s">
        <v>19</v>
      </c>
      <c r="C5385" t="s">
        <v>147</v>
      </c>
      <c r="D5385" s="9" t="s">
        <v>137</v>
      </c>
      <c r="E5385" t="s">
        <v>42</v>
      </c>
      <c r="F5385" t="s">
        <v>81</v>
      </c>
      <c r="G5385">
        <v>28.8</v>
      </c>
      <c r="H5385" s="9">
        <v>-2.7</v>
      </c>
      <c r="I5385"/>
    </row>
    <row r="5386" spans="1:9" x14ac:dyDescent="0.3">
      <c r="A5386" t="s">
        <v>7</v>
      </c>
      <c r="B5386" t="s">
        <v>19</v>
      </c>
      <c r="C5386" t="s">
        <v>148</v>
      </c>
      <c r="D5386" s="9" t="s">
        <v>137</v>
      </c>
      <c r="E5386" t="s">
        <v>43</v>
      </c>
      <c r="F5386" t="s">
        <v>83</v>
      </c>
      <c r="G5386">
        <v>36.299999999999997</v>
      </c>
      <c r="H5386" s="9">
        <v>-4.47</v>
      </c>
      <c r="I5386"/>
    </row>
    <row r="5387" spans="1:9" x14ac:dyDescent="0.3">
      <c r="A5387" t="s">
        <v>7</v>
      </c>
      <c r="B5387" t="s">
        <v>19</v>
      </c>
      <c r="C5387" t="s">
        <v>149</v>
      </c>
      <c r="D5387" s="9" t="s">
        <v>150</v>
      </c>
      <c r="E5387" t="s">
        <v>32</v>
      </c>
      <c r="F5387" t="s">
        <v>61</v>
      </c>
      <c r="G5387">
        <v>26</v>
      </c>
      <c r="H5387" s="9">
        <v>0</v>
      </c>
      <c r="I5387"/>
    </row>
    <row r="5388" spans="1:9" x14ac:dyDescent="0.3">
      <c r="A5388" t="s">
        <v>7</v>
      </c>
      <c r="B5388" t="s">
        <v>19</v>
      </c>
      <c r="C5388" t="s">
        <v>151</v>
      </c>
      <c r="D5388" s="9" t="s">
        <v>150</v>
      </c>
      <c r="E5388" t="s">
        <v>33</v>
      </c>
      <c r="F5388" t="s">
        <v>63</v>
      </c>
      <c r="G5388">
        <v>21.4</v>
      </c>
      <c r="H5388" s="9">
        <v>-3.6</v>
      </c>
      <c r="I5388"/>
    </row>
    <row r="5389" spans="1:9" x14ac:dyDescent="0.3">
      <c r="A5389" t="s">
        <v>7</v>
      </c>
      <c r="B5389" t="s">
        <v>19</v>
      </c>
      <c r="C5389" t="s">
        <v>152</v>
      </c>
      <c r="D5389" s="9" t="s">
        <v>150</v>
      </c>
      <c r="E5389" t="s">
        <v>34</v>
      </c>
      <c r="F5389" t="s">
        <v>65</v>
      </c>
      <c r="G5389">
        <v>23.8</v>
      </c>
      <c r="H5389" s="9">
        <v>2.59</v>
      </c>
      <c r="I5389"/>
    </row>
    <row r="5390" spans="1:9" x14ac:dyDescent="0.3">
      <c r="A5390" t="s">
        <v>7</v>
      </c>
      <c r="B5390" t="s">
        <v>19</v>
      </c>
      <c r="C5390" t="s">
        <v>153</v>
      </c>
      <c r="D5390" s="9" t="s">
        <v>150</v>
      </c>
      <c r="E5390" t="s">
        <v>35</v>
      </c>
      <c r="F5390" t="s">
        <v>67</v>
      </c>
      <c r="G5390">
        <v>23.4</v>
      </c>
      <c r="H5390" s="9">
        <v>-2.5</v>
      </c>
      <c r="I5390"/>
    </row>
    <row r="5391" spans="1:9" x14ac:dyDescent="0.3">
      <c r="A5391" t="s">
        <v>7</v>
      </c>
      <c r="B5391" t="s">
        <v>19</v>
      </c>
      <c r="C5391" t="s">
        <v>154</v>
      </c>
      <c r="D5391" s="9" t="s">
        <v>150</v>
      </c>
      <c r="E5391" t="s">
        <v>36</v>
      </c>
      <c r="F5391" t="s">
        <v>69</v>
      </c>
      <c r="G5391">
        <v>24.9</v>
      </c>
      <c r="H5391" s="9">
        <v>-4.96</v>
      </c>
      <c r="I5391"/>
    </row>
    <row r="5392" spans="1:9" x14ac:dyDescent="0.3">
      <c r="A5392" t="s">
        <v>7</v>
      </c>
      <c r="B5392" t="s">
        <v>19</v>
      </c>
      <c r="C5392" t="s">
        <v>155</v>
      </c>
      <c r="D5392" s="9" t="s">
        <v>150</v>
      </c>
      <c r="E5392" t="s">
        <v>37</v>
      </c>
      <c r="F5392" t="s">
        <v>71</v>
      </c>
      <c r="G5392">
        <v>23.2</v>
      </c>
      <c r="H5392" s="9">
        <v>-5.31</v>
      </c>
      <c r="I5392"/>
    </row>
    <row r="5393" spans="1:9" x14ac:dyDescent="0.3">
      <c r="A5393" t="s">
        <v>7</v>
      </c>
      <c r="B5393" t="s">
        <v>13</v>
      </c>
      <c r="C5393" t="s">
        <v>59</v>
      </c>
      <c r="D5393" s="9" t="s">
        <v>60</v>
      </c>
      <c r="E5393" t="s">
        <v>32</v>
      </c>
      <c r="F5393" t="s">
        <v>61</v>
      </c>
      <c r="G5393">
        <v>35.799999999999997</v>
      </c>
      <c r="I5393"/>
    </row>
    <row r="5394" spans="1:9" x14ac:dyDescent="0.3">
      <c r="A5394" t="s">
        <v>7</v>
      </c>
      <c r="B5394" t="s">
        <v>13</v>
      </c>
      <c r="C5394" t="s">
        <v>62</v>
      </c>
      <c r="D5394" s="9" t="s">
        <v>60</v>
      </c>
      <c r="E5394" t="s">
        <v>33</v>
      </c>
      <c r="F5394" t="s">
        <v>63</v>
      </c>
      <c r="G5394">
        <v>31.4</v>
      </c>
      <c r="I5394"/>
    </row>
    <row r="5395" spans="1:9" x14ac:dyDescent="0.3">
      <c r="A5395" t="s">
        <v>7</v>
      </c>
      <c r="B5395" t="s">
        <v>13</v>
      </c>
      <c r="C5395" t="s">
        <v>64</v>
      </c>
      <c r="D5395" s="9" t="s">
        <v>60</v>
      </c>
      <c r="E5395" t="s">
        <v>34</v>
      </c>
      <c r="F5395" t="s">
        <v>65</v>
      </c>
      <c r="G5395">
        <v>34.9</v>
      </c>
      <c r="I5395"/>
    </row>
    <row r="5396" spans="1:9" x14ac:dyDescent="0.3">
      <c r="A5396" t="s">
        <v>7</v>
      </c>
      <c r="B5396" t="s">
        <v>13</v>
      </c>
      <c r="C5396" t="s">
        <v>66</v>
      </c>
      <c r="D5396" s="9" t="s">
        <v>60</v>
      </c>
      <c r="E5396" t="s">
        <v>35</v>
      </c>
      <c r="F5396" t="s">
        <v>67</v>
      </c>
      <c r="G5396">
        <v>31.4</v>
      </c>
      <c r="I5396"/>
    </row>
    <row r="5397" spans="1:9" x14ac:dyDescent="0.3">
      <c r="A5397" t="s">
        <v>7</v>
      </c>
      <c r="B5397" t="s">
        <v>13</v>
      </c>
      <c r="C5397" t="s">
        <v>68</v>
      </c>
      <c r="D5397" s="9" t="s">
        <v>60</v>
      </c>
      <c r="E5397" t="s">
        <v>36</v>
      </c>
      <c r="F5397" t="s">
        <v>69</v>
      </c>
      <c r="G5397">
        <v>35.799999999999997</v>
      </c>
      <c r="I5397"/>
    </row>
    <row r="5398" spans="1:9" x14ac:dyDescent="0.3">
      <c r="A5398" t="s">
        <v>7</v>
      </c>
      <c r="B5398" t="s">
        <v>13</v>
      </c>
      <c r="C5398" t="s">
        <v>70</v>
      </c>
      <c r="D5398" s="9" t="s">
        <v>60</v>
      </c>
      <c r="E5398" t="s">
        <v>37</v>
      </c>
      <c r="F5398" t="s">
        <v>71</v>
      </c>
      <c r="G5398">
        <v>39.799999999999997</v>
      </c>
      <c r="I5398"/>
    </row>
    <row r="5399" spans="1:9" x14ac:dyDescent="0.3">
      <c r="A5399" t="s">
        <v>7</v>
      </c>
      <c r="B5399" t="s">
        <v>13</v>
      </c>
      <c r="C5399" t="s">
        <v>72</v>
      </c>
      <c r="D5399" s="9" t="s">
        <v>60</v>
      </c>
      <c r="E5399" t="s">
        <v>38</v>
      </c>
      <c r="F5399" t="s">
        <v>73</v>
      </c>
      <c r="G5399">
        <v>36.799999999999997</v>
      </c>
      <c r="I5399"/>
    </row>
    <row r="5400" spans="1:9" x14ac:dyDescent="0.3">
      <c r="A5400" t="s">
        <v>7</v>
      </c>
      <c r="B5400" t="s">
        <v>13</v>
      </c>
      <c r="C5400" t="s">
        <v>74</v>
      </c>
      <c r="D5400" s="9" t="s">
        <v>60</v>
      </c>
      <c r="E5400" t="s">
        <v>39</v>
      </c>
      <c r="F5400" t="s">
        <v>75</v>
      </c>
      <c r="G5400">
        <v>35</v>
      </c>
      <c r="I5400"/>
    </row>
    <row r="5401" spans="1:9" x14ac:dyDescent="0.3">
      <c r="A5401" t="s">
        <v>7</v>
      </c>
      <c r="B5401" t="s">
        <v>13</v>
      </c>
      <c r="C5401" t="s">
        <v>76</v>
      </c>
      <c r="D5401" s="9" t="s">
        <v>60</v>
      </c>
      <c r="E5401" t="s">
        <v>40</v>
      </c>
      <c r="F5401" t="s">
        <v>77</v>
      </c>
      <c r="G5401">
        <v>34</v>
      </c>
      <c r="I5401"/>
    </row>
    <row r="5402" spans="1:9" x14ac:dyDescent="0.3">
      <c r="A5402" t="s">
        <v>7</v>
      </c>
      <c r="B5402" t="s">
        <v>13</v>
      </c>
      <c r="C5402" t="s">
        <v>78</v>
      </c>
      <c r="D5402" s="9" t="s">
        <v>60</v>
      </c>
      <c r="E5402" t="s">
        <v>41</v>
      </c>
      <c r="F5402" t="s">
        <v>79</v>
      </c>
      <c r="G5402">
        <v>38.299999999999997</v>
      </c>
      <c r="I5402"/>
    </row>
    <row r="5403" spans="1:9" x14ac:dyDescent="0.3">
      <c r="A5403" t="s">
        <v>7</v>
      </c>
      <c r="B5403" t="s">
        <v>13</v>
      </c>
      <c r="C5403" t="s">
        <v>80</v>
      </c>
      <c r="D5403" s="9" t="s">
        <v>60</v>
      </c>
      <c r="E5403" t="s">
        <v>42</v>
      </c>
      <c r="F5403" t="s">
        <v>81</v>
      </c>
      <c r="G5403">
        <v>42.9</v>
      </c>
      <c r="I5403"/>
    </row>
    <row r="5404" spans="1:9" x14ac:dyDescent="0.3">
      <c r="A5404" t="s">
        <v>7</v>
      </c>
      <c r="B5404" t="s">
        <v>13</v>
      </c>
      <c r="C5404" t="s">
        <v>82</v>
      </c>
      <c r="D5404" s="9" t="s">
        <v>60</v>
      </c>
      <c r="E5404" t="s">
        <v>43</v>
      </c>
      <c r="F5404" t="s">
        <v>83</v>
      </c>
      <c r="G5404">
        <v>56.2</v>
      </c>
      <c r="I5404"/>
    </row>
    <row r="5405" spans="1:9" x14ac:dyDescent="0.3">
      <c r="A5405" t="s">
        <v>7</v>
      </c>
      <c r="B5405" t="s">
        <v>13</v>
      </c>
      <c r="C5405" t="s">
        <v>84</v>
      </c>
      <c r="D5405" s="9" t="s">
        <v>85</v>
      </c>
      <c r="E5405" t="s">
        <v>32</v>
      </c>
      <c r="F5405" t="s">
        <v>61</v>
      </c>
      <c r="G5405">
        <v>38.4</v>
      </c>
      <c r="H5405" s="9">
        <v>7.26</v>
      </c>
      <c r="I5405"/>
    </row>
    <row r="5406" spans="1:9" x14ac:dyDescent="0.3">
      <c r="A5406" t="s">
        <v>7</v>
      </c>
      <c r="B5406" t="s">
        <v>13</v>
      </c>
      <c r="C5406" t="s">
        <v>86</v>
      </c>
      <c r="D5406" s="9" t="s">
        <v>85</v>
      </c>
      <c r="E5406" t="s">
        <v>33</v>
      </c>
      <c r="F5406" t="s">
        <v>63</v>
      </c>
      <c r="G5406">
        <v>35.299999999999997</v>
      </c>
      <c r="H5406" s="9">
        <v>12.42</v>
      </c>
      <c r="I5406"/>
    </row>
    <row r="5407" spans="1:9" x14ac:dyDescent="0.3">
      <c r="A5407" t="s">
        <v>7</v>
      </c>
      <c r="B5407" t="s">
        <v>13</v>
      </c>
      <c r="C5407" t="s">
        <v>87</v>
      </c>
      <c r="D5407" s="9" t="s">
        <v>85</v>
      </c>
      <c r="E5407" t="s">
        <v>34</v>
      </c>
      <c r="F5407" t="s">
        <v>65</v>
      </c>
      <c r="G5407">
        <v>42.1</v>
      </c>
      <c r="H5407" s="9">
        <v>20.63</v>
      </c>
      <c r="I5407"/>
    </row>
    <row r="5408" spans="1:9" x14ac:dyDescent="0.3">
      <c r="A5408" t="s">
        <v>7</v>
      </c>
      <c r="B5408" t="s">
        <v>13</v>
      </c>
      <c r="C5408" t="s">
        <v>88</v>
      </c>
      <c r="D5408" s="9" t="s">
        <v>85</v>
      </c>
      <c r="E5408" t="s">
        <v>35</v>
      </c>
      <c r="F5408" t="s">
        <v>67</v>
      </c>
      <c r="G5408">
        <v>35.200000000000003</v>
      </c>
      <c r="H5408" s="9">
        <v>12.1</v>
      </c>
      <c r="I5408"/>
    </row>
    <row r="5409" spans="1:9" x14ac:dyDescent="0.3">
      <c r="A5409" t="s">
        <v>7</v>
      </c>
      <c r="B5409" t="s">
        <v>13</v>
      </c>
      <c r="C5409" t="s">
        <v>89</v>
      </c>
      <c r="D5409" s="9" t="s">
        <v>85</v>
      </c>
      <c r="E5409" t="s">
        <v>36</v>
      </c>
      <c r="F5409" t="s">
        <v>69</v>
      </c>
      <c r="G5409">
        <v>47.7</v>
      </c>
      <c r="H5409" s="9">
        <v>33.24</v>
      </c>
      <c r="I5409"/>
    </row>
    <row r="5410" spans="1:9" x14ac:dyDescent="0.3">
      <c r="A5410" t="s">
        <v>7</v>
      </c>
      <c r="B5410" t="s">
        <v>13</v>
      </c>
      <c r="C5410" t="s">
        <v>90</v>
      </c>
      <c r="D5410" s="9" t="s">
        <v>85</v>
      </c>
      <c r="E5410" t="s">
        <v>37</v>
      </c>
      <c r="F5410" t="s">
        <v>71</v>
      </c>
      <c r="G5410">
        <v>51.1</v>
      </c>
      <c r="H5410" s="9">
        <v>28.39</v>
      </c>
      <c r="I5410"/>
    </row>
    <row r="5411" spans="1:9" x14ac:dyDescent="0.3">
      <c r="A5411" t="s">
        <v>7</v>
      </c>
      <c r="B5411" t="s">
        <v>13</v>
      </c>
      <c r="C5411" t="s">
        <v>91</v>
      </c>
      <c r="D5411" s="9" t="s">
        <v>85</v>
      </c>
      <c r="E5411" t="s">
        <v>38</v>
      </c>
      <c r="F5411" t="s">
        <v>73</v>
      </c>
      <c r="G5411">
        <v>48.4</v>
      </c>
      <c r="H5411" s="9">
        <v>31.52</v>
      </c>
      <c r="I5411"/>
    </row>
    <row r="5412" spans="1:9" x14ac:dyDescent="0.3">
      <c r="A5412" t="s">
        <v>7</v>
      </c>
      <c r="B5412" t="s">
        <v>13</v>
      </c>
      <c r="C5412" t="s">
        <v>92</v>
      </c>
      <c r="D5412" s="9" t="s">
        <v>85</v>
      </c>
      <c r="E5412" t="s">
        <v>39</v>
      </c>
      <c r="F5412" t="s">
        <v>75</v>
      </c>
      <c r="G5412">
        <v>47.7</v>
      </c>
      <c r="H5412" s="9">
        <v>36.29</v>
      </c>
      <c r="I5412"/>
    </row>
    <row r="5413" spans="1:9" x14ac:dyDescent="0.3">
      <c r="A5413" t="s">
        <v>7</v>
      </c>
      <c r="B5413" t="s">
        <v>13</v>
      </c>
      <c r="C5413" t="s">
        <v>93</v>
      </c>
      <c r="D5413" s="9" t="s">
        <v>85</v>
      </c>
      <c r="E5413" t="s">
        <v>40</v>
      </c>
      <c r="F5413" t="s">
        <v>77</v>
      </c>
      <c r="G5413">
        <v>40</v>
      </c>
      <c r="H5413" s="9">
        <v>17.649999999999999</v>
      </c>
      <c r="I5413"/>
    </row>
    <row r="5414" spans="1:9" x14ac:dyDescent="0.3">
      <c r="A5414" t="s">
        <v>7</v>
      </c>
      <c r="B5414" t="s">
        <v>13</v>
      </c>
      <c r="C5414" t="s">
        <v>94</v>
      </c>
      <c r="D5414" s="9" t="s">
        <v>85</v>
      </c>
      <c r="E5414" t="s">
        <v>41</v>
      </c>
      <c r="F5414" t="s">
        <v>79</v>
      </c>
      <c r="G5414">
        <v>38.799999999999997</v>
      </c>
      <c r="H5414" s="9">
        <v>1.31</v>
      </c>
      <c r="I5414"/>
    </row>
    <row r="5415" spans="1:9" x14ac:dyDescent="0.3">
      <c r="A5415" t="s">
        <v>7</v>
      </c>
      <c r="B5415" t="s">
        <v>13</v>
      </c>
      <c r="C5415" t="s">
        <v>95</v>
      </c>
      <c r="D5415" s="9" t="s">
        <v>85</v>
      </c>
      <c r="E5415" t="s">
        <v>42</v>
      </c>
      <c r="F5415" t="s">
        <v>81</v>
      </c>
      <c r="G5415">
        <v>45.7</v>
      </c>
      <c r="H5415" s="9">
        <v>6.53</v>
      </c>
      <c r="I5415"/>
    </row>
    <row r="5416" spans="1:9" x14ac:dyDescent="0.3">
      <c r="A5416" t="s">
        <v>7</v>
      </c>
      <c r="B5416" t="s">
        <v>13</v>
      </c>
      <c r="C5416" t="s">
        <v>96</v>
      </c>
      <c r="D5416" s="9" t="s">
        <v>85</v>
      </c>
      <c r="E5416" t="s">
        <v>43</v>
      </c>
      <c r="F5416" t="s">
        <v>83</v>
      </c>
      <c r="G5416">
        <v>55</v>
      </c>
      <c r="H5416" s="9">
        <v>-2.14</v>
      </c>
      <c r="I5416"/>
    </row>
    <row r="5417" spans="1:9" x14ac:dyDescent="0.3">
      <c r="A5417" t="s">
        <v>7</v>
      </c>
      <c r="B5417" t="s">
        <v>13</v>
      </c>
      <c r="C5417" t="s">
        <v>97</v>
      </c>
      <c r="D5417" s="9" t="s">
        <v>98</v>
      </c>
      <c r="E5417" t="s">
        <v>32</v>
      </c>
      <c r="F5417" t="s">
        <v>61</v>
      </c>
      <c r="G5417">
        <v>39</v>
      </c>
      <c r="H5417" s="9">
        <v>1.56</v>
      </c>
      <c r="I5417"/>
    </row>
    <row r="5418" spans="1:9" x14ac:dyDescent="0.3">
      <c r="A5418" t="s">
        <v>7</v>
      </c>
      <c r="B5418" t="s">
        <v>13</v>
      </c>
      <c r="C5418" t="s">
        <v>99</v>
      </c>
      <c r="D5418" s="9" t="s">
        <v>98</v>
      </c>
      <c r="E5418" t="s">
        <v>33</v>
      </c>
      <c r="F5418" t="s">
        <v>63</v>
      </c>
      <c r="G5418">
        <v>36.9</v>
      </c>
      <c r="H5418" s="9">
        <v>4.53</v>
      </c>
      <c r="I5418"/>
    </row>
    <row r="5419" spans="1:9" x14ac:dyDescent="0.3">
      <c r="A5419" t="s">
        <v>7</v>
      </c>
      <c r="B5419" t="s">
        <v>13</v>
      </c>
      <c r="C5419" t="s">
        <v>100</v>
      </c>
      <c r="D5419" s="9" t="s">
        <v>98</v>
      </c>
      <c r="E5419" t="s">
        <v>34</v>
      </c>
      <c r="F5419" t="s">
        <v>65</v>
      </c>
      <c r="G5419">
        <v>38.6</v>
      </c>
      <c r="H5419" s="9">
        <v>-8.31</v>
      </c>
      <c r="I5419"/>
    </row>
    <row r="5420" spans="1:9" x14ac:dyDescent="0.3">
      <c r="A5420" t="s">
        <v>7</v>
      </c>
      <c r="B5420" t="s">
        <v>13</v>
      </c>
      <c r="C5420" t="s">
        <v>101</v>
      </c>
      <c r="D5420" s="9" t="s">
        <v>98</v>
      </c>
      <c r="E5420" t="s">
        <v>35</v>
      </c>
      <c r="F5420" t="s">
        <v>67</v>
      </c>
      <c r="G5420">
        <v>34.6</v>
      </c>
      <c r="H5420" s="9">
        <v>-1.7</v>
      </c>
      <c r="I5420"/>
    </row>
    <row r="5421" spans="1:9" x14ac:dyDescent="0.3">
      <c r="A5421" t="s">
        <v>7</v>
      </c>
      <c r="B5421" t="s">
        <v>13</v>
      </c>
      <c r="C5421" t="s">
        <v>102</v>
      </c>
      <c r="D5421" s="9" t="s">
        <v>98</v>
      </c>
      <c r="E5421" t="s">
        <v>36</v>
      </c>
      <c r="F5421" t="s">
        <v>69</v>
      </c>
      <c r="G5421">
        <v>40.4</v>
      </c>
      <c r="H5421" s="9">
        <v>-15.3</v>
      </c>
      <c r="I5421"/>
    </row>
    <row r="5422" spans="1:9" x14ac:dyDescent="0.3">
      <c r="A5422" t="s">
        <v>7</v>
      </c>
      <c r="B5422" t="s">
        <v>13</v>
      </c>
      <c r="C5422" t="s">
        <v>103</v>
      </c>
      <c r="D5422" s="9" t="s">
        <v>98</v>
      </c>
      <c r="E5422" t="s">
        <v>37</v>
      </c>
      <c r="F5422" t="s">
        <v>71</v>
      </c>
      <c r="G5422">
        <v>44.9</v>
      </c>
      <c r="H5422" s="9">
        <v>-12.13</v>
      </c>
      <c r="I5422"/>
    </row>
    <row r="5423" spans="1:9" x14ac:dyDescent="0.3">
      <c r="A5423" t="s">
        <v>7</v>
      </c>
      <c r="B5423" t="s">
        <v>13</v>
      </c>
      <c r="C5423" t="s">
        <v>104</v>
      </c>
      <c r="D5423" s="9" t="s">
        <v>98</v>
      </c>
      <c r="E5423" t="s">
        <v>38</v>
      </c>
      <c r="F5423" t="s">
        <v>73</v>
      </c>
      <c r="G5423">
        <v>43.6</v>
      </c>
      <c r="H5423" s="9">
        <v>-9.92</v>
      </c>
      <c r="I5423"/>
    </row>
    <row r="5424" spans="1:9" x14ac:dyDescent="0.3">
      <c r="A5424" t="s">
        <v>7</v>
      </c>
      <c r="B5424" t="s">
        <v>13</v>
      </c>
      <c r="C5424" t="s">
        <v>105</v>
      </c>
      <c r="D5424" s="9" t="s">
        <v>98</v>
      </c>
      <c r="E5424" t="s">
        <v>39</v>
      </c>
      <c r="F5424" t="s">
        <v>75</v>
      </c>
      <c r="G5424">
        <v>39.6</v>
      </c>
      <c r="H5424" s="9">
        <v>-16.98</v>
      </c>
      <c r="I5424"/>
    </row>
    <row r="5425" spans="1:9" x14ac:dyDescent="0.3">
      <c r="A5425" t="s">
        <v>7</v>
      </c>
      <c r="B5425" t="s">
        <v>13</v>
      </c>
      <c r="C5425" t="s">
        <v>106</v>
      </c>
      <c r="D5425" s="9" t="s">
        <v>98</v>
      </c>
      <c r="E5425" t="s">
        <v>40</v>
      </c>
      <c r="F5425" t="s">
        <v>77</v>
      </c>
      <c r="G5425">
        <v>39</v>
      </c>
      <c r="H5425" s="9">
        <v>-2.5</v>
      </c>
      <c r="I5425"/>
    </row>
    <row r="5426" spans="1:9" x14ac:dyDescent="0.3">
      <c r="A5426" t="s">
        <v>7</v>
      </c>
      <c r="B5426" t="s">
        <v>13</v>
      </c>
      <c r="C5426" t="s">
        <v>107</v>
      </c>
      <c r="D5426" s="9" t="s">
        <v>98</v>
      </c>
      <c r="E5426" t="s">
        <v>41</v>
      </c>
      <c r="F5426" t="s">
        <v>79</v>
      </c>
      <c r="G5426">
        <v>39.6</v>
      </c>
      <c r="H5426" s="9">
        <v>2.06</v>
      </c>
      <c r="I5426"/>
    </row>
    <row r="5427" spans="1:9" x14ac:dyDescent="0.3">
      <c r="A5427" t="s">
        <v>7</v>
      </c>
      <c r="B5427" t="s">
        <v>13</v>
      </c>
      <c r="C5427" t="s">
        <v>108</v>
      </c>
      <c r="D5427" s="9" t="s">
        <v>98</v>
      </c>
      <c r="E5427" t="s">
        <v>42</v>
      </c>
      <c r="F5427" t="s">
        <v>81</v>
      </c>
      <c r="G5427">
        <v>46</v>
      </c>
      <c r="H5427" s="9">
        <v>0.66</v>
      </c>
      <c r="I5427"/>
    </row>
    <row r="5428" spans="1:9" x14ac:dyDescent="0.3">
      <c r="A5428" t="s">
        <v>7</v>
      </c>
      <c r="B5428" t="s">
        <v>13</v>
      </c>
      <c r="C5428" t="s">
        <v>109</v>
      </c>
      <c r="D5428" s="9" t="s">
        <v>98</v>
      </c>
      <c r="E5428" t="s">
        <v>43</v>
      </c>
      <c r="F5428" t="s">
        <v>83</v>
      </c>
      <c r="G5428">
        <v>52.6</v>
      </c>
      <c r="H5428" s="9">
        <v>-4.3600000000000003</v>
      </c>
      <c r="I5428"/>
    </row>
    <row r="5429" spans="1:9" x14ac:dyDescent="0.3">
      <c r="A5429" t="s">
        <v>7</v>
      </c>
      <c r="B5429" t="s">
        <v>13</v>
      </c>
      <c r="C5429" t="s">
        <v>110</v>
      </c>
      <c r="D5429" s="9" t="s">
        <v>111</v>
      </c>
      <c r="E5429" t="s">
        <v>32</v>
      </c>
      <c r="F5429" t="s">
        <v>61</v>
      </c>
      <c r="G5429">
        <v>35.299999999999997</v>
      </c>
      <c r="H5429" s="9">
        <v>-9.49</v>
      </c>
      <c r="I5429"/>
    </row>
    <row r="5430" spans="1:9" x14ac:dyDescent="0.3">
      <c r="A5430" t="s">
        <v>7</v>
      </c>
      <c r="B5430" t="s">
        <v>13</v>
      </c>
      <c r="C5430" t="s">
        <v>112</v>
      </c>
      <c r="D5430" s="9" t="s">
        <v>111</v>
      </c>
      <c r="E5430" t="s">
        <v>33</v>
      </c>
      <c r="F5430" t="s">
        <v>63</v>
      </c>
      <c r="G5430">
        <v>33.4</v>
      </c>
      <c r="H5430" s="9">
        <v>-9.49</v>
      </c>
      <c r="I5430"/>
    </row>
    <row r="5431" spans="1:9" x14ac:dyDescent="0.3">
      <c r="A5431" t="s">
        <v>7</v>
      </c>
      <c r="B5431" t="s">
        <v>13</v>
      </c>
      <c r="C5431" t="s">
        <v>113</v>
      </c>
      <c r="D5431" s="9" t="s">
        <v>111</v>
      </c>
      <c r="E5431" t="s">
        <v>34</v>
      </c>
      <c r="F5431" t="s">
        <v>65</v>
      </c>
      <c r="G5431">
        <v>37</v>
      </c>
      <c r="H5431" s="9">
        <v>-4.1500000000000004</v>
      </c>
      <c r="I5431"/>
    </row>
    <row r="5432" spans="1:9" x14ac:dyDescent="0.3">
      <c r="A5432" t="s">
        <v>7</v>
      </c>
      <c r="B5432" t="s">
        <v>13</v>
      </c>
      <c r="C5432" t="s">
        <v>114</v>
      </c>
      <c r="D5432" s="9" t="s">
        <v>111</v>
      </c>
      <c r="E5432" t="s">
        <v>35</v>
      </c>
      <c r="F5432" t="s">
        <v>67</v>
      </c>
      <c r="G5432">
        <v>36.1</v>
      </c>
      <c r="H5432" s="9">
        <v>4.34</v>
      </c>
      <c r="I5432"/>
    </row>
    <row r="5433" spans="1:9" x14ac:dyDescent="0.3">
      <c r="A5433" t="s">
        <v>7</v>
      </c>
      <c r="B5433" t="s">
        <v>13</v>
      </c>
      <c r="C5433" t="s">
        <v>115</v>
      </c>
      <c r="D5433" s="9" t="s">
        <v>111</v>
      </c>
      <c r="E5433" t="s">
        <v>36</v>
      </c>
      <c r="F5433" t="s">
        <v>69</v>
      </c>
      <c r="G5433">
        <v>40.299999999999997</v>
      </c>
      <c r="H5433" s="9">
        <v>-0.25</v>
      </c>
      <c r="I5433"/>
    </row>
    <row r="5434" spans="1:9" x14ac:dyDescent="0.3">
      <c r="A5434" t="s">
        <v>7</v>
      </c>
      <c r="B5434" t="s">
        <v>13</v>
      </c>
      <c r="C5434" t="s">
        <v>116</v>
      </c>
      <c r="D5434" s="9" t="s">
        <v>111</v>
      </c>
      <c r="E5434" t="s">
        <v>37</v>
      </c>
      <c r="F5434" t="s">
        <v>71</v>
      </c>
      <c r="G5434">
        <v>44.5</v>
      </c>
      <c r="H5434" s="9">
        <v>-0.89</v>
      </c>
      <c r="I5434"/>
    </row>
    <row r="5435" spans="1:9" x14ac:dyDescent="0.3">
      <c r="A5435" t="s">
        <v>7</v>
      </c>
      <c r="B5435" t="s">
        <v>13</v>
      </c>
      <c r="C5435" t="s">
        <v>117</v>
      </c>
      <c r="D5435" s="9" t="s">
        <v>111</v>
      </c>
      <c r="E5435" t="s">
        <v>38</v>
      </c>
      <c r="F5435" t="s">
        <v>73</v>
      </c>
      <c r="G5435">
        <v>39</v>
      </c>
      <c r="H5435" s="9">
        <v>-10.55</v>
      </c>
      <c r="I5435"/>
    </row>
    <row r="5436" spans="1:9" x14ac:dyDescent="0.3">
      <c r="A5436" t="s">
        <v>7</v>
      </c>
      <c r="B5436" t="s">
        <v>13</v>
      </c>
      <c r="C5436" t="s">
        <v>118</v>
      </c>
      <c r="D5436" s="9" t="s">
        <v>111</v>
      </c>
      <c r="E5436" t="s">
        <v>39</v>
      </c>
      <c r="F5436" t="s">
        <v>75</v>
      </c>
      <c r="G5436">
        <v>40.5</v>
      </c>
      <c r="H5436" s="9">
        <v>2.27</v>
      </c>
      <c r="I5436"/>
    </row>
    <row r="5437" spans="1:9" x14ac:dyDescent="0.3">
      <c r="A5437" t="s">
        <v>7</v>
      </c>
      <c r="B5437" t="s">
        <v>13</v>
      </c>
      <c r="C5437" t="s">
        <v>119</v>
      </c>
      <c r="D5437" s="9" t="s">
        <v>111</v>
      </c>
      <c r="E5437" t="s">
        <v>40</v>
      </c>
      <c r="F5437" t="s">
        <v>77</v>
      </c>
      <c r="G5437">
        <v>38.1</v>
      </c>
      <c r="H5437" s="9">
        <v>-2.31</v>
      </c>
      <c r="I5437"/>
    </row>
    <row r="5438" spans="1:9" x14ac:dyDescent="0.3">
      <c r="A5438" t="s">
        <v>7</v>
      </c>
      <c r="B5438" t="s">
        <v>13</v>
      </c>
      <c r="C5438" t="s">
        <v>120</v>
      </c>
      <c r="D5438" s="9" t="s">
        <v>111</v>
      </c>
      <c r="E5438" t="s">
        <v>41</v>
      </c>
      <c r="F5438" t="s">
        <v>79</v>
      </c>
      <c r="G5438">
        <v>35.9</v>
      </c>
      <c r="H5438" s="9">
        <v>-9.34</v>
      </c>
      <c r="I5438"/>
    </row>
    <row r="5439" spans="1:9" x14ac:dyDescent="0.3">
      <c r="A5439" t="s">
        <v>7</v>
      </c>
      <c r="B5439" t="s">
        <v>13</v>
      </c>
      <c r="C5439" t="s">
        <v>121</v>
      </c>
      <c r="D5439" s="9" t="s">
        <v>111</v>
      </c>
      <c r="E5439" t="s">
        <v>42</v>
      </c>
      <c r="F5439" t="s">
        <v>81</v>
      </c>
      <c r="G5439">
        <v>43.1</v>
      </c>
      <c r="H5439" s="9">
        <v>-6.3</v>
      </c>
      <c r="I5439"/>
    </row>
    <row r="5440" spans="1:9" x14ac:dyDescent="0.3">
      <c r="A5440" t="s">
        <v>7</v>
      </c>
      <c r="B5440" t="s">
        <v>13</v>
      </c>
      <c r="C5440" t="s">
        <v>122</v>
      </c>
      <c r="D5440" s="9" t="s">
        <v>111</v>
      </c>
      <c r="E5440" t="s">
        <v>43</v>
      </c>
      <c r="F5440" t="s">
        <v>83</v>
      </c>
      <c r="G5440">
        <v>47.2</v>
      </c>
      <c r="H5440" s="9">
        <v>-10.27</v>
      </c>
      <c r="I5440"/>
    </row>
    <row r="5441" spans="1:9" x14ac:dyDescent="0.3">
      <c r="A5441" t="s">
        <v>7</v>
      </c>
      <c r="B5441" t="s">
        <v>13</v>
      </c>
      <c r="C5441" t="s">
        <v>123</v>
      </c>
      <c r="D5441" s="9" t="s">
        <v>124</v>
      </c>
      <c r="E5441" t="s">
        <v>32</v>
      </c>
      <c r="F5441" t="s">
        <v>61</v>
      </c>
      <c r="G5441">
        <v>31.4</v>
      </c>
      <c r="H5441" s="9">
        <v>-11.05</v>
      </c>
      <c r="I5441"/>
    </row>
    <row r="5442" spans="1:9" x14ac:dyDescent="0.3">
      <c r="A5442" t="s">
        <v>7</v>
      </c>
      <c r="B5442" t="s">
        <v>13</v>
      </c>
      <c r="C5442" t="s">
        <v>125</v>
      </c>
      <c r="D5442" s="9" t="s">
        <v>124</v>
      </c>
      <c r="E5442" t="s">
        <v>33</v>
      </c>
      <c r="F5442" t="s">
        <v>63</v>
      </c>
      <c r="G5442">
        <v>30.9</v>
      </c>
      <c r="H5442" s="9">
        <v>-7.49</v>
      </c>
      <c r="I5442"/>
    </row>
    <row r="5443" spans="1:9" x14ac:dyDescent="0.3">
      <c r="A5443" t="s">
        <v>7</v>
      </c>
      <c r="B5443" t="s">
        <v>13</v>
      </c>
      <c r="C5443" t="s">
        <v>126</v>
      </c>
      <c r="D5443" s="9" t="s">
        <v>124</v>
      </c>
      <c r="E5443" t="s">
        <v>34</v>
      </c>
      <c r="F5443" t="s">
        <v>65</v>
      </c>
      <c r="G5443">
        <v>33</v>
      </c>
      <c r="H5443" s="9">
        <v>-10.81</v>
      </c>
      <c r="I5443"/>
    </row>
    <row r="5444" spans="1:9" x14ac:dyDescent="0.3">
      <c r="A5444" t="s">
        <v>7</v>
      </c>
      <c r="B5444" t="s">
        <v>13</v>
      </c>
      <c r="C5444" t="s">
        <v>127</v>
      </c>
      <c r="D5444" s="9" t="s">
        <v>124</v>
      </c>
      <c r="E5444" t="s">
        <v>35</v>
      </c>
      <c r="F5444" t="s">
        <v>67</v>
      </c>
      <c r="G5444">
        <v>29.8</v>
      </c>
      <c r="H5444" s="9">
        <v>-17.45</v>
      </c>
      <c r="I5444"/>
    </row>
    <row r="5445" spans="1:9" x14ac:dyDescent="0.3">
      <c r="A5445" t="s">
        <v>7</v>
      </c>
      <c r="B5445" t="s">
        <v>13</v>
      </c>
      <c r="C5445" t="s">
        <v>128</v>
      </c>
      <c r="D5445" s="9" t="s">
        <v>124</v>
      </c>
      <c r="E5445" t="s">
        <v>36</v>
      </c>
      <c r="F5445" t="s">
        <v>69</v>
      </c>
      <c r="G5445">
        <v>34</v>
      </c>
      <c r="H5445" s="9">
        <v>-15.63</v>
      </c>
      <c r="I5445"/>
    </row>
    <row r="5446" spans="1:9" x14ac:dyDescent="0.3">
      <c r="A5446" t="s">
        <v>7</v>
      </c>
      <c r="B5446" t="s">
        <v>13</v>
      </c>
      <c r="C5446" t="s">
        <v>129</v>
      </c>
      <c r="D5446" s="9" t="s">
        <v>124</v>
      </c>
      <c r="E5446" t="s">
        <v>37</v>
      </c>
      <c r="F5446" t="s">
        <v>71</v>
      </c>
      <c r="G5446">
        <v>39.9</v>
      </c>
      <c r="H5446" s="9">
        <v>-10.34</v>
      </c>
      <c r="I5446"/>
    </row>
    <row r="5447" spans="1:9" x14ac:dyDescent="0.3">
      <c r="A5447" t="s">
        <v>7</v>
      </c>
      <c r="B5447" t="s">
        <v>13</v>
      </c>
      <c r="C5447" t="s">
        <v>130</v>
      </c>
      <c r="D5447" s="9" t="s">
        <v>124</v>
      </c>
      <c r="E5447" t="s">
        <v>38</v>
      </c>
      <c r="F5447" t="s">
        <v>73</v>
      </c>
      <c r="G5447">
        <v>34.299999999999997</v>
      </c>
      <c r="H5447" s="9">
        <v>-12.05</v>
      </c>
      <c r="I5447"/>
    </row>
    <row r="5448" spans="1:9" x14ac:dyDescent="0.3">
      <c r="A5448" t="s">
        <v>7</v>
      </c>
      <c r="B5448" t="s">
        <v>13</v>
      </c>
      <c r="C5448" t="s">
        <v>131</v>
      </c>
      <c r="D5448" s="9" t="s">
        <v>124</v>
      </c>
      <c r="E5448" t="s">
        <v>39</v>
      </c>
      <c r="F5448" t="s">
        <v>75</v>
      </c>
      <c r="G5448">
        <v>34.200000000000003</v>
      </c>
      <c r="H5448" s="9">
        <v>-15.56</v>
      </c>
      <c r="I5448"/>
    </row>
    <row r="5449" spans="1:9" x14ac:dyDescent="0.3">
      <c r="A5449" t="s">
        <v>7</v>
      </c>
      <c r="B5449" t="s">
        <v>13</v>
      </c>
      <c r="C5449" t="s">
        <v>132</v>
      </c>
      <c r="D5449" s="9" t="s">
        <v>124</v>
      </c>
      <c r="E5449" t="s">
        <v>40</v>
      </c>
      <c r="F5449" t="s">
        <v>77</v>
      </c>
      <c r="G5449">
        <v>33.200000000000003</v>
      </c>
      <c r="H5449" s="9">
        <v>-12.86</v>
      </c>
      <c r="I5449"/>
    </row>
    <row r="5450" spans="1:9" x14ac:dyDescent="0.3">
      <c r="A5450" t="s">
        <v>7</v>
      </c>
      <c r="B5450" t="s">
        <v>13</v>
      </c>
      <c r="C5450" t="s">
        <v>133</v>
      </c>
      <c r="D5450" s="9" t="s">
        <v>124</v>
      </c>
      <c r="E5450" t="s">
        <v>41</v>
      </c>
      <c r="F5450" t="s">
        <v>79</v>
      </c>
      <c r="G5450">
        <v>33</v>
      </c>
      <c r="H5450" s="9">
        <v>-8.08</v>
      </c>
      <c r="I5450"/>
    </row>
    <row r="5451" spans="1:9" x14ac:dyDescent="0.3">
      <c r="A5451" t="s">
        <v>7</v>
      </c>
      <c r="B5451" t="s">
        <v>13</v>
      </c>
      <c r="C5451" t="s">
        <v>134</v>
      </c>
      <c r="D5451" s="9" t="s">
        <v>124</v>
      </c>
      <c r="E5451" t="s">
        <v>42</v>
      </c>
      <c r="F5451" t="s">
        <v>81</v>
      </c>
      <c r="G5451">
        <v>41.4</v>
      </c>
      <c r="H5451" s="9">
        <v>-3.94</v>
      </c>
      <c r="I5451"/>
    </row>
    <row r="5452" spans="1:9" x14ac:dyDescent="0.3">
      <c r="A5452" t="s">
        <v>7</v>
      </c>
      <c r="B5452" t="s">
        <v>13</v>
      </c>
      <c r="C5452" t="s">
        <v>135</v>
      </c>
      <c r="D5452" s="9" t="s">
        <v>124</v>
      </c>
      <c r="E5452" t="s">
        <v>43</v>
      </c>
      <c r="F5452" t="s">
        <v>83</v>
      </c>
      <c r="G5452">
        <v>45.6</v>
      </c>
      <c r="H5452" s="9">
        <v>-3.39</v>
      </c>
      <c r="I5452"/>
    </row>
    <row r="5453" spans="1:9" x14ac:dyDescent="0.3">
      <c r="A5453" t="s">
        <v>7</v>
      </c>
      <c r="B5453" t="s">
        <v>13</v>
      </c>
      <c r="C5453" t="s">
        <v>136</v>
      </c>
      <c r="D5453" s="9" t="s">
        <v>137</v>
      </c>
      <c r="E5453" t="s">
        <v>32</v>
      </c>
      <c r="F5453" t="s">
        <v>61</v>
      </c>
      <c r="G5453">
        <v>32.700000000000003</v>
      </c>
      <c r="H5453" s="9">
        <v>4.1399999999999997</v>
      </c>
      <c r="I5453"/>
    </row>
    <row r="5454" spans="1:9" x14ac:dyDescent="0.3">
      <c r="A5454" t="s">
        <v>7</v>
      </c>
      <c r="B5454" t="s">
        <v>13</v>
      </c>
      <c r="C5454" t="s">
        <v>138</v>
      </c>
      <c r="D5454" s="9" t="s">
        <v>137</v>
      </c>
      <c r="E5454" t="s">
        <v>33</v>
      </c>
      <c r="F5454" t="s">
        <v>63</v>
      </c>
      <c r="G5454">
        <v>30.1</v>
      </c>
      <c r="H5454" s="9">
        <v>-2.59</v>
      </c>
      <c r="I5454"/>
    </row>
    <row r="5455" spans="1:9" x14ac:dyDescent="0.3">
      <c r="A5455" t="s">
        <v>7</v>
      </c>
      <c r="B5455" t="s">
        <v>13</v>
      </c>
      <c r="C5455" t="s">
        <v>139</v>
      </c>
      <c r="D5455" s="9" t="s">
        <v>137</v>
      </c>
      <c r="E5455" t="s">
        <v>34</v>
      </c>
      <c r="F5455" t="s">
        <v>65</v>
      </c>
      <c r="G5455">
        <v>30.9</v>
      </c>
      <c r="H5455" s="9">
        <v>-6.36</v>
      </c>
      <c r="I5455"/>
    </row>
    <row r="5456" spans="1:9" x14ac:dyDescent="0.3">
      <c r="A5456" t="s">
        <v>7</v>
      </c>
      <c r="B5456" t="s">
        <v>13</v>
      </c>
      <c r="C5456" t="s">
        <v>140</v>
      </c>
      <c r="D5456" s="9" t="s">
        <v>137</v>
      </c>
      <c r="E5456" t="s">
        <v>35</v>
      </c>
      <c r="F5456" t="s">
        <v>67</v>
      </c>
      <c r="G5456">
        <v>31.5</v>
      </c>
      <c r="H5456" s="9">
        <v>5.7</v>
      </c>
      <c r="I5456"/>
    </row>
    <row r="5457" spans="1:9" x14ac:dyDescent="0.3">
      <c r="A5457" t="s">
        <v>7</v>
      </c>
      <c r="B5457" t="s">
        <v>13</v>
      </c>
      <c r="C5457" t="s">
        <v>141</v>
      </c>
      <c r="D5457" s="9" t="s">
        <v>137</v>
      </c>
      <c r="E5457" t="s">
        <v>36</v>
      </c>
      <c r="F5457" t="s">
        <v>69</v>
      </c>
      <c r="G5457">
        <v>33.6</v>
      </c>
      <c r="H5457" s="9">
        <v>-1.18</v>
      </c>
      <c r="I5457"/>
    </row>
    <row r="5458" spans="1:9" x14ac:dyDescent="0.3">
      <c r="A5458" t="s">
        <v>7</v>
      </c>
      <c r="B5458" t="s">
        <v>13</v>
      </c>
      <c r="C5458" t="s">
        <v>142</v>
      </c>
      <c r="D5458" s="9" t="s">
        <v>137</v>
      </c>
      <c r="E5458" t="s">
        <v>37</v>
      </c>
      <c r="F5458" t="s">
        <v>71</v>
      </c>
      <c r="G5458">
        <v>40.700000000000003</v>
      </c>
      <c r="H5458" s="9">
        <v>2.0099999999999998</v>
      </c>
      <c r="I5458"/>
    </row>
    <row r="5459" spans="1:9" x14ac:dyDescent="0.3">
      <c r="A5459" t="s">
        <v>7</v>
      </c>
      <c r="B5459" t="s">
        <v>13</v>
      </c>
      <c r="C5459" t="s">
        <v>143</v>
      </c>
      <c r="D5459" s="9" t="s">
        <v>137</v>
      </c>
      <c r="E5459" t="s">
        <v>38</v>
      </c>
      <c r="F5459" t="s">
        <v>73</v>
      </c>
      <c r="G5459">
        <v>34.700000000000003</v>
      </c>
      <c r="H5459" s="9">
        <v>1.17</v>
      </c>
      <c r="I5459"/>
    </row>
    <row r="5460" spans="1:9" x14ac:dyDescent="0.3">
      <c r="A5460" t="s">
        <v>7</v>
      </c>
      <c r="B5460" t="s">
        <v>13</v>
      </c>
      <c r="C5460" t="s">
        <v>144</v>
      </c>
      <c r="D5460" s="9" t="s">
        <v>137</v>
      </c>
      <c r="E5460" t="s">
        <v>39</v>
      </c>
      <c r="F5460" t="s">
        <v>75</v>
      </c>
      <c r="G5460">
        <v>33.1</v>
      </c>
      <c r="H5460" s="9">
        <v>-3.22</v>
      </c>
      <c r="I5460"/>
    </row>
    <row r="5461" spans="1:9" x14ac:dyDescent="0.3">
      <c r="A5461" t="s">
        <v>7</v>
      </c>
      <c r="B5461" t="s">
        <v>13</v>
      </c>
      <c r="C5461" t="s">
        <v>145</v>
      </c>
      <c r="D5461" s="9" t="s">
        <v>137</v>
      </c>
      <c r="E5461" t="s">
        <v>40</v>
      </c>
      <c r="F5461" t="s">
        <v>77</v>
      </c>
      <c r="G5461">
        <v>33</v>
      </c>
      <c r="H5461" s="9">
        <v>-0.6</v>
      </c>
      <c r="I5461"/>
    </row>
    <row r="5462" spans="1:9" x14ac:dyDescent="0.3">
      <c r="A5462" t="s">
        <v>7</v>
      </c>
      <c r="B5462" t="s">
        <v>13</v>
      </c>
      <c r="C5462" t="s">
        <v>146</v>
      </c>
      <c r="D5462" s="9" t="s">
        <v>137</v>
      </c>
      <c r="E5462" t="s">
        <v>41</v>
      </c>
      <c r="F5462" t="s">
        <v>79</v>
      </c>
      <c r="G5462">
        <v>33.4</v>
      </c>
      <c r="H5462" s="9">
        <v>1.21</v>
      </c>
      <c r="I5462"/>
    </row>
    <row r="5463" spans="1:9" x14ac:dyDescent="0.3">
      <c r="A5463" t="s">
        <v>7</v>
      </c>
      <c r="B5463" t="s">
        <v>13</v>
      </c>
      <c r="C5463" t="s">
        <v>147</v>
      </c>
      <c r="D5463" s="9" t="s">
        <v>137</v>
      </c>
      <c r="E5463" t="s">
        <v>42</v>
      </c>
      <c r="F5463" t="s">
        <v>81</v>
      </c>
      <c r="G5463">
        <v>42.9</v>
      </c>
      <c r="H5463" s="9">
        <v>3.62</v>
      </c>
      <c r="I5463"/>
    </row>
    <row r="5464" spans="1:9" x14ac:dyDescent="0.3">
      <c r="A5464" t="s">
        <v>7</v>
      </c>
      <c r="B5464" t="s">
        <v>13</v>
      </c>
      <c r="C5464" t="s">
        <v>148</v>
      </c>
      <c r="D5464" s="9" t="s">
        <v>137</v>
      </c>
      <c r="E5464" t="s">
        <v>43</v>
      </c>
      <c r="F5464" t="s">
        <v>83</v>
      </c>
      <c r="G5464">
        <v>49.3</v>
      </c>
      <c r="H5464" s="9">
        <v>8.11</v>
      </c>
      <c r="I5464"/>
    </row>
    <row r="5465" spans="1:9" x14ac:dyDescent="0.3">
      <c r="A5465" t="s">
        <v>7</v>
      </c>
      <c r="B5465" t="s">
        <v>13</v>
      </c>
      <c r="C5465" t="s">
        <v>149</v>
      </c>
      <c r="D5465" s="9" t="s">
        <v>150</v>
      </c>
      <c r="E5465" t="s">
        <v>32</v>
      </c>
      <c r="F5465" t="s">
        <v>61</v>
      </c>
      <c r="G5465">
        <v>33</v>
      </c>
      <c r="H5465" s="9">
        <v>0.92</v>
      </c>
      <c r="I5465"/>
    </row>
    <row r="5466" spans="1:9" x14ac:dyDescent="0.3">
      <c r="A5466" t="s">
        <v>7</v>
      </c>
      <c r="B5466" t="s">
        <v>13</v>
      </c>
      <c r="C5466" t="s">
        <v>151</v>
      </c>
      <c r="D5466" s="9" t="s">
        <v>150</v>
      </c>
      <c r="E5466" t="s">
        <v>33</v>
      </c>
      <c r="F5466" t="s">
        <v>63</v>
      </c>
      <c r="G5466">
        <v>30.7</v>
      </c>
      <c r="H5466" s="9">
        <v>1.99</v>
      </c>
      <c r="I5466"/>
    </row>
    <row r="5467" spans="1:9" x14ac:dyDescent="0.3">
      <c r="A5467" t="s">
        <v>7</v>
      </c>
      <c r="B5467" t="s">
        <v>13</v>
      </c>
      <c r="C5467" t="s">
        <v>152</v>
      </c>
      <c r="D5467" s="9" t="s">
        <v>150</v>
      </c>
      <c r="E5467" t="s">
        <v>34</v>
      </c>
      <c r="F5467" t="s">
        <v>65</v>
      </c>
      <c r="G5467">
        <v>32.200000000000003</v>
      </c>
      <c r="H5467" s="9">
        <v>4.21</v>
      </c>
      <c r="I5467"/>
    </row>
    <row r="5468" spans="1:9" x14ac:dyDescent="0.3">
      <c r="A5468" t="s">
        <v>7</v>
      </c>
      <c r="B5468" t="s">
        <v>13</v>
      </c>
      <c r="C5468" t="s">
        <v>153</v>
      </c>
      <c r="D5468" s="9" t="s">
        <v>150</v>
      </c>
      <c r="E5468" t="s">
        <v>35</v>
      </c>
      <c r="F5468" t="s">
        <v>67</v>
      </c>
      <c r="G5468">
        <v>32.299999999999997</v>
      </c>
      <c r="H5468" s="9">
        <v>2.54</v>
      </c>
      <c r="I5468"/>
    </row>
    <row r="5469" spans="1:9" x14ac:dyDescent="0.3">
      <c r="A5469" t="s">
        <v>7</v>
      </c>
      <c r="B5469" t="s">
        <v>13</v>
      </c>
      <c r="C5469" t="s">
        <v>154</v>
      </c>
      <c r="D5469" s="9" t="s">
        <v>150</v>
      </c>
      <c r="E5469" t="s">
        <v>36</v>
      </c>
      <c r="F5469" t="s">
        <v>69</v>
      </c>
      <c r="G5469">
        <v>34.6</v>
      </c>
      <c r="H5469" s="9">
        <v>2.98</v>
      </c>
      <c r="I5469"/>
    </row>
    <row r="5470" spans="1:9" x14ac:dyDescent="0.3">
      <c r="A5470" t="s">
        <v>7</v>
      </c>
      <c r="B5470" t="s">
        <v>13</v>
      </c>
      <c r="C5470" t="s">
        <v>155</v>
      </c>
      <c r="D5470" s="9" t="s">
        <v>150</v>
      </c>
      <c r="E5470" t="s">
        <v>37</v>
      </c>
      <c r="F5470" t="s">
        <v>71</v>
      </c>
      <c r="G5470">
        <v>42.3</v>
      </c>
      <c r="H5470" s="9">
        <v>3.93</v>
      </c>
      <c r="I5470"/>
    </row>
    <row r="5471" spans="1:9" x14ac:dyDescent="0.3">
      <c r="A5471" t="s">
        <v>7</v>
      </c>
      <c r="B5471" t="s">
        <v>22</v>
      </c>
      <c r="C5471" t="s">
        <v>59</v>
      </c>
      <c r="D5471" s="9" t="s">
        <v>60</v>
      </c>
      <c r="E5471" t="s">
        <v>32</v>
      </c>
      <c r="F5471" t="s">
        <v>61</v>
      </c>
      <c r="G5471">
        <v>8</v>
      </c>
      <c r="I5471"/>
    </row>
    <row r="5472" spans="1:9" x14ac:dyDescent="0.3">
      <c r="A5472" t="s">
        <v>7</v>
      </c>
      <c r="B5472" t="s">
        <v>22</v>
      </c>
      <c r="C5472" t="s">
        <v>62</v>
      </c>
      <c r="D5472" s="9" t="s">
        <v>60</v>
      </c>
      <c r="E5472" t="s">
        <v>33</v>
      </c>
      <c r="F5472" t="s">
        <v>63</v>
      </c>
      <c r="G5472">
        <v>7.7</v>
      </c>
      <c r="I5472"/>
    </row>
    <row r="5473" spans="1:9" x14ac:dyDescent="0.3">
      <c r="A5473" t="s">
        <v>7</v>
      </c>
      <c r="B5473" t="s">
        <v>22</v>
      </c>
      <c r="C5473" t="s">
        <v>64</v>
      </c>
      <c r="D5473" s="9" t="s">
        <v>60</v>
      </c>
      <c r="E5473" t="s">
        <v>34</v>
      </c>
      <c r="F5473" t="s">
        <v>65</v>
      </c>
      <c r="G5473">
        <v>8.1</v>
      </c>
      <c r="I5473"/>
    </row>
    <row r="5474" spans="1:9" x14ac:dyDescent="0.3">
      <c r="A5474" t="s">
        <v>7</v>
      </c>
      <c r="B5474" t="s">
        <v>22</v>
      </c>
      <c r="C5474" t="s">
        <v>66</v>
      </c>
      <c r="D5474" s="9" t="s">
        <v>60</v>
      </c>
      <c r="E5474" t="s">
        <v>35</v>
      </c>
      <c r="F5474" t="s">
        <v>67</v>
      </c>
      <c r="G5474">
        <v>7.9</v>
      </c>
      <c r="I5474"/>
    </row>
    <row r="5475" spans="1:9" x14ac:dyDescent="0.3">
      <c r="A5475" t="s">
        <v>7</v>
      </c>
      <c r="B5475" t="s">
        <v>22</v>
      </c>
      <c r="C5475" t="s">
        <v>68</v>
      </c>
      <c r="D5475" s="9" t="s">
        <v>60</v>
      </c>
      <c r="E5475" t="s">
        <v>36</v>
      </c>
      <c r="F5475" t="s">
        <v>69</v>
      </c>
      <c r="G5475">
        <v>8.6999999999999993</v>
      </c>
      <c r="I5475"/>
    </row>
    <row r="5476" spans="1:9" x14ac:dyDescent="0.3">
      <c r="A5476" t="s">
        <v>7</v>
      </c>
      <c r="B5476" t="s">
        <v>22</v>
      </c>
      <c r="C5476" t="s">
        <v>70</v>
      </c>
      <c r="D5476" s="9" t="s">
        <v>60</v>
      </c>
      <c r="E5476" t="s">
        <v>37</v>
      </c>
      <c r="F5476" t="s">
        <v>71</v>
      </c>
      <c r="G5476">
        <v>8.6</v>
      </c>
      <c r="I5476"/>
    </row>
    <row r="5477" spans="1:9" x14ac:dyDescent="0.3">
      <c r="A5477" t="s">
        <v>7</v>
      </c>
      <c r="B5477" t="s">
        <v>22</v>
      </c>
      <c r="C5477" t="s">
        <v>72</v>
      </c>
      <c r="D5477" s="9" t="s">
        <v>60</v>
      </c>
      <c r="E5477" t="s">
        <v>38</v>
      </c>
      <c r="F5477" t="s">
        <v>73</v>
      </c>
      <c r="G5477">
        <v>9.1</v>
      </c>
      <c r="I5477"/>
    </row>
    <row r="5478" spans="1:9" x14ac:dyDescent="0.3">
      <c r="A5478" t="s">
        <v>7</v>
      </c>
      <c r="B5478" t="s">
        <v>22</v>
      </c>
      <c r="C5478" t="s">
        <v>74</v>
      </c>
      <c r="D5478" s="9" t="s">
        <v>60</v>
      </c>
      <c r="E5478" t="s">
        <v>39</v>
      </c>
      <c r="F5478" t="s">
        <v>75</v>
      </c>
      <c r="G5478">
        <v>9</v>
      </c>
      <c r="I5478"/>
    </row>
    <row r="5479" spans="1:9" x14ac:dyDescent="0.3">
      <c r="A5479" t="s">
        <v>7</v>
      </c>
      <c r="B5479" t="s">
        <v>22</v>
      </c>
      <c r="C5479" t="s">
        <v>76</v>
      </c>
      <c r="D5479" s="9" t="s">
        <v>60</v>
      </c>
      <c r="E5479" t="s">
        <v>40</v>
      </c>
      <c r="F5479" t="s">
        <v>77</v>
      </c>
      <c r="G5479">
        <v>8.4</v>
      </c>
      <c r="I5479"/>
    </row>
    <row r="5480" spans="1:9" x14ac:dyDescent="0.3">
      <c r="A5480" t="s">
        <v>7</v>
      </c>
      <c r="B5480" t="s">
        <v>22</v>
      </c>
      <c r="C5480" t="s">
        <v>78</v>
      </c>
      <c r="D5480" s="9" t="s">
        <v>60</v>
      </c>
      <c r="E5480" t="s">
        <v>41</v>
      </c>
      <c r="F5480" t="s">
        <v>79</v>
      </c>
      <c r="G5480">
        <v>9.6</v>
      </c>
      <c r="I5480"/>
    </row>
    <row r="5481" spans="1:9" x14ac:dyDescent="0.3">
      <c r="A5481" t="s">
        <v>7</v>
      </c>
      <c r="B5481" t="s">
        <v>22</v>
      </c>
      <c r="C5481" t="s">
        <v>80</v>
      </c>
      <c r="D5481" s="9" t="s">
        <v>60</v>
      </c>
      <c r="E5481" t="s">
        <v>42</v>
      </c>
      <c r="F5481" t="s">
        <v>81</v>
      </c>
      <c r="G5481">
        <v>10.7</v>
      </c>
      <c r="I5481"/>
    </row>
    <row r="5482" spans="1:9" x14ac:dyDescent="0.3">
      <c r="A5482" t="s">
        <v>7</v>
      </c>
      <c r="B5482" t="s">
        <v>22</v>
      </c>
      <c r="C5482" t="s">
        <v>82</v>
      </c>
      <c r="D5482" s="9" t="s">
        <v>60</v>
      </c>
      <c r="E5482" t="s">
        <v>43</v>
      </c>
      <c r="F5482" t="s">
        <v>83</v>
      </c>
      <c r="G5482">
        <v>16.7</v>
      </c>
      <c r="I5482"/>
    </row>
    <row r="5483" spans="1:9" x14ac:dyDescent="0.3">
      <c r="A5483" t="s">
        <v>7</v>
      </c>
      <c r="B5483" t="s">
        <v>22</v>
      </c>
      <c r="C5483" t="s">
        <v>84</v>
      </c>
      <c r="D5483" s="9" t="s">
        <v>85</v>
      </c>
      <c r="E5483" t="s">
        <v>32</v>
      </c>
      <c r="F5483" t="s">
        <v>61</v>
      </c>
      <c r="G5483">
        <v>9.1999999999999993</v>
      </c>
      <c r="H5483" s="9">
        <v>15</v>
      </c>
      <c r="I5483"/>
    </row>
    <row r="5484" spans="1:9" x14ac:dyDescent="0.3">
      <c r="A5484" t="s">
        <v>7</v>
      </c>
      <c r="B5484" t="s">
        <v>22</v>
      </c>
      <c r="C5484" t="s">
        <v>86</v>
      </c>
      <c r="D5484" s="9" t="s">
        <v>85</v>
      </c>
      <c r="E5484" t="s">
        <v>33</v>
      </c>
      <c r="F5484" t="s">
        <v>63</v>
      </c>
      <c r="G5484">
        <v>8.8000000000000007</v>
      </c>
      <c r="H5484" s="9">
        <v>14.29</v>
      </c>
      <c r="I5484"/>
    </row>
    <row r="5485" spans="1:9" x14ac:dyDescent="0.3">
      <c r="A5485" t="s">
        <v>7</v>
      </c>
      <c r="B5485" t="s">
        <v>22</v>
      </c>
      <c r="C5485" t="s">
        <v>87</v>
      </c>
      <c r="D5485" s="9" t="s">
        <v>85</v>
      </c>
      <c r="E5485" t="s">
        <v>34</v>
      </c>
      <c r="F5485" t="s">
        <v>65</v>
      </c>
      <c r="G5485">
        <v>8.1999999999999993</v>
      </c>
      <c r="H5485" s="9">
        <v>1.23</v>
      </c>
      <c r="I5485"/>
    </row>
    <row r="5486" spans="1:9" x14ac:dyDescent="0.3">
      <c r="A5486" t="s">
        <v>7</v>
      </c>
      <c r="B5486" t="s">
        <v>22</v>
      </c>
      <c r="C5486" t="s">
        <v>88</v>
      </c>
      <c r="D5486" s="9" t="s">
        <v>85</v>
      </c>
      <c r="E5486" t="s">
        <v>35</v>
      </c>
      <c r="F5486" t="s">
        <v>67</v>
      </c>
      <c r="G5486">
        <v>4.8</v>
      </c>
      <c r="H5486" s="9">
        <v>-39.24</v>
      </c>
      <c r="I5486"/>
    </row>
    <row r="5487" spans="1:9" x14ac:dyDescent="0.3">
      <c r="A5487" t="s">
        <v>7</v>
      </c>
      <c r="B5487" t="s">
        <v>22</v>
      </c>
      <c r="C5487" t="s">
        <v>89</v>
      </c>
      <c r="D5487" s="9" t="s">
        <v>85</v>
      </c>
      <c r="E5487" t="s">
        <v>36</v>
      </c>
      <c r="F5487" t="s">
        <v>69</v>
      </c>
      <c r="G5487">
        <v>8.1999999999999993</v>
      </c>
      <c r="H5487" s="9">
        <v>-5.75</v>
      </c>
      <c r="I5487"/>
    </row>
    <row r="5488" spans="1:9" x14ac:dyDescent="0.3">
      <c r="A5488" t="s">
        <v>7</v>
      </c>
      <c r="B5488" t="s">
        <v>22</v>
      </c>
      <c r="C5488" t="s">
        <v>90</v>
      </c>
      <c r="D5488" s="9" t="s">
        <v>85</v>
      </c>
      <c r="E5488" t="s">
        <v>37</v>
      </c>
      <c r="F5488" t="s">
        <v>71</v>
      </c>
      <c r="G5488">
        <v>8.3000000000000007</v>
      </c>
      <c r="H5488" s="9">
        <v>-3.49</v>
      </c>
      <c r="I5488"/>
    </row>
    <row r="5489" spans="1:9" x14ac:dyDescent="0.3">
      <c r="A5489" t="s">
        <v>7</v>
      </c>
      <c r="B5489" t="s">
        <v>22</v>
      </c>
      <c r="C5489" t="s">
        <v>91</v>
      </c>
      <c r="D5489" s="9" t="s">
        <v>85</v>
      </c>
      <c r="E5489" t="s">
        <v>38</v>
      </c>
      <c r="F5489" t="s">
        <v>73</v>
      </c>
      <c r="G5489">
        <v>11.2</v>
      </c>
      <c r="H5489" s="9">
        <v>23.08</v>
      </c>
      <c r="I5489"/>
    </row>
    <row r="5490" spans="1:9" x14ac:dyDescent="0.3">
      <c r="A5490" t="s">
        <v>7</v>
      </c>
      <c r="B5490" t="s">
        <v>22</v>
      </c>
      <c r="C5490" t="s">
        <v>92</v>
      </c>
      <c r="D5490" s="9" t="s">
        <v>85</v>
      </c>
      <c r="E5490" t="s">
        <v>39</v>
      </c>
      <c r="F5490" t="s">
        <v>75</v>
      </c>
      <c r="G5490">
        <v>10.8</v>
      </c>
      <c r="H5490" s="9">
        <v>20</v>
      </c>
      <c r="I5490"/>
    </row>
    <row r="5491" spans="1:9" x14ac:dyDescent="0.3">
      <c r="A5491" t="s">
        <v>7</v>
      </c>
      <c r="B5491" t="s">
        <v>22</v>
      </c>
      <c r="C5491" t="s">
        <v>93</v>
      </c>
      <c r="D5491" s="9" t="s">
        <v>85</v>
      </c>
      <c r="E5491" t="s">
        <v>40</v>
      </c>
      <c r="F5491" t="s">
        <v>77</v>
      </c>
      <c r="G5491">
        <v>10</v>
      </c>
      <c r="H5491" s="9">
        <v>19.05</v>
      </c>
      <c r="I5491"/>
    </row>
    <row r="5492" spans="1:9" x14ac:dyDescent="0.3">
      <c r="A5492" t="s">
        <v>7</v>
      </c>
      <c r="B5492" t="s">
        <v>22</v>
      </c>
      <c r="C5492" t="s">
        <v>94</v>
      </c>
      <c r="D5492" s="9" t="s">
        <v>85</v>
      </c>
      <c r="E5492" t="s">
        <v>41</v>
      </c>
      <c r="F5492" t="s">
        <v>79</v>
      </c>
      <c r="G5492">
        <v>10.5</v>
      </c>
      <c r="H5492" s="9">
        <v>9.3800000000000008</v>
      </c>
      <c r="I5492"/>
    </row>
    <row r="5493" spans="1:9" x14ac:dyDescent="0.3">
      <c r="A5493" t="s">
        <v>7</v>
      </c>
      <c r="B5493" t="s">
        <v>22</v>
      </c>
      <c r="C5493" t="s">
        <v>95</v>
      </c>
      <c r="D5493" s="9" t="s">
        <v>85</v>
      </c>
      <c r="E5493" t="s">
        <v>42</v>
      </c>
      <c r="F5493" t="s">
        <v>81</v>
      </c>
      <c r="G5493">
        <v>12.4</v>
      </c>
      <c r="H5493" s="9">
        <v>15.89</v>
      </c>
      <c r="I5493"/>
    </row>
    <row r="5494" spans="1:9" x14ac:dyDescent="0.3">
      <c r="A5494" t="s">
        <v>7</v>
      </c>
      <c r="B5494" t="s">
        <v>22</v>
      </c>
      <c r="C5494" t="s">
        <v>96</v>
      </c>
      <c r="D5494" s="9" t="s">
        <v>85</v>
      </c>
      <c r="E5494" t="s">
        <v>43</v>
      </c>
      <c r="F5494" t="s">
        <v>83</v>
      </c>
      <c r="G5494">
        <v>19.100000000000001</v>
      </c>
      <c r="H5494" s="9">
        <v>14.37</v>
      </c>
      <c r="I5494"/>
    </row>
    <row r="5495" spans="1:9" x14ac:dyDescent="0.3">
      <c r="A5495" t="s">
        <v>7</v>
      </c>
      <c r="B5495" t="s">
        <v>22</v>
      </c>
      <c r="C5495" t="s">
        <v>97</v>
      </c>
      <c r="D5495" s="9" t="s">
        <v>98</v>
      </c>
      <c r="E5495" t="s">
        <v>32</v>
      </c>
      <c r="F5495" t="s">
        <v>61</v>
      </c>
      <c r="G5495">
        <v>11.4</v>
      </c>
      <c r="H5495" s="9">
        <v>23.91</v>
      </c>
      <c r="I5495"/>
    </row>
    <row r="5496" spans="1:9" x14ac:dyDescent="0.3">
      <c r="A5496" t="s">
        <v>7</v>
      </c>
      <c r="B5496" t="s">
        <v>22</v>
      </c>
      <c r="C5496" t="s">
        <v>99</v>
      </c>
      <c r="D5496" s="9" t="s">
        <v>98</v>
      </c>
      <c r="E5496" t="s">
        <v>33</v>
      </c>
      <c r="F5496" t="s">
        <v>63</v>
      </c>
      <c r="G5496">
        <v>11.3</v>
      </c>
      <c r="H5496" s="9">
        <v>28.41</v>
      </c>
      <c r="I5496"/>
    </row>
    <row r="5497" spans="1:9" x14ac:dyDescent="0.3">
      <c r="A5497" t="s">
        <v>7</v>
      </c>
      <c r="B5497" t="s">
        <v>22</v>
      </c>
      <c r="C5497" t="s">
        <v>100</v>
      </c>
      <c r="D5497" s="9" t="s">
        <v>98</v>
      </c>
      <c r="E5497" t="s">
        <v>34</v>
      </c>
      <c r="F5497" t="s">
        <v>65</v>
      </c>
      <c r="G5497">
        <v>10.7</v>
      </c>
      <c r="H5497" s="9">
        <v>30.49</v>
      </c>
      <c r="I5497"/>
    </row>
    <row r="5498" spans="1:9" x14ac:dyDescent="0.3">
      <c r="A5498" t="s">
        <v>7</v>
      </c>
      <c r="B5498" t="s">
        <v>22</v>
      </c>
      <c r="C5498" t="s">
        <v>101</v>
      </c>
      <c r="D5498" s="9" t="s">
        <v>98</v>
      </c>
      <c r="E5498" t="s">
        <v>35</v>
      </c>
      <c r="F5498" t="s">
        <v>67</v>
      </c>
      <c r="G5498">
        <v>10.199999999999999</v>
      </c>
      <c r="H5498" s="9">
        <v>112.5</v>
      </c>
      <c r="I5498"/>
    </row>
    <row r="5499" spans="1:9" x14ac:dyDescent="0.3">
      <c r="A5499" t="s">
        <v>7</v>
      </c>
      <c r="B5499" t="s">
        <v>22</v>
      </c>
      <c r="C5499" t="s">
        <v>102</v>
      </c>
      <c r="D5499" s="9" t="s">
        <v>98</v>
      </c>
      <c r="E5499" t="s">
        <v>36</v>
      </c>
      <c r="F5499" t="s">
        <v>69</v>
      </c>
      <c r="G5499">
        <v>10.3</v>
      </c>
      <c r="H5499" s="9">
        <v>25.61</v>
      </c>
      <c r="I5499"/>
    </row>
    <row r="5500" spans="1:9" x14ac:dyDescent="0.3">
      <c r="A5500" t="s">
        <v>7</v>
      </c>
      <c r="B5500" t="s">
        <v>22</v>
      </c>
      <c r="C5500" t="s">
        <v>103</v>
      </c>
      <c r="D5500" s="9" t="s">
        <v>98</v>
      </c>
      <c r="E5500" t="s">
        <v>37</v>
      </c>
      <c r="F5500" t="s">
        <v>71</v>
      </c>
      <c r="G5500">
        <v>10.8</v>
      </c>
      <c r="H5500" s="9">
        <v>30.12</v>
      </c>
      <c r="I5500"/>
    </row>
    <row r="5501" spans="1:9" x14ac:dyDescent="0.3">
      <c r="A5501" t="s">
        <v>7</v>
      </c>
      <c r="B5501" t="s">
        <v>22</v>
      </c>
      <c r="C5501" t="s">
        <v>104</v>
      </c>
      <c r="D5501" s="9" t="s">
        <v>98</v>
      </c>
      <c r="E5501" t="s">
        <v>38</v>
      </c>
      <c r="F5501" t="s">
        <v>73</v>
      </c>
      <c r="G5501">
        <v>11.8</v>
      </c>
      <c r="H5501" s="9">
        <v>5.36</v>
      </c>
      <c r="I5501"/>
    </row>
    <row r="5502" spans="1:9" x14ac:dyDescent="0.3">
      <c r="A5502" t="s">
        <v>7</v>
      </c>
      <c r="B5502" t="s">
        <v>22</v>
      </c>
      <c r="C5502" t="s">
        <v>105</v>
      </c>
      <c r="D5502" s="9" t="s">
        <v>98</v>
      </c>
      <c r="E5502" t="s">
        <v>39</v>
      </c>
      <c r="F5502" t="s">
        <v>75</v>
      </c>
      <c r="G5502">
        <v>10.7</v>
      </c>
      <c r="H5502" s="9">
        <v>-0.93</v>
      </c>
      <c r="I5502"/>
    </row>
    <row r="5503" spans="1:9" x14ac:dyDescent="0.3">
      <c r="A5503" t="s">
        <v>7</v>
      </c>
      <c r="B5503" t="s">
        <v>22</v>
      </c>
      <c r="C5503" t="s">
        <v>106</v>
      </c>
      <c r="D5503" s="9" t="s">
        <v>98</v>
      </c>
      <c r="E5503" t="s">
        <v>40</v>
      </c>
      <c r="F5503" t="s">
        <v>77</v>
      </c>
      <c r="G5503">
        <v>11.2</v>
      </c>
      <c r="H5503" s="9">
        <v>12</v>
      </c>
      <c r="I5503"/>
    </row>
    <row r="5504" spans="1:9" x14ac:dyDescent="0.3">
      <c r="A5504" t="s">
        <v>7</v>
      </c>
      <c r="B5504" t="s">
        <v>20</v>
      </c>
      <c r="C5504" t="s">
        <v>59</v>
      </c>
      <c r="D5504" s="9" t="s">
        <v>60</v>
      </c>
      <c r="E5504" t="s">
        <v>32</v>
      </c>
      <c r="F5504" t="s">
        <v>61</v>
      </c>
      <c r="G5504">
        <v>22.9</v>
      </c>
      <c r="I5504"/>
    </row>
    <row r="5505" spans="1:9" x14ac:dyDescent="0.3">
      <c r="A5505" t="s">
        <v>7</v>
      </c>
      <c r="B5505" t="s">
        <v>20</v>
      </c>
      <c r="C5505" t="s">
        <v>62</v>
      </c>
      <c r="D5505" s="9" t="s">
        <v>60</v>
      </c>
      <c r="E5505" t="s">
        <v>33</v>
      </c>
      <c r="F5505" t="s">
        <v>63</v>
      </c>
      <c r="G5505">
        <v>22.7</v>
      </c>
      <c r="I5505"/>
    </row>
    <row r="5506" spans="1:9" x14ac:dyDescent="0.3">
      <c r="A5506" t="s">
        <v>7</v>
      </c>
      <c r="B5506" t="s">
        <v>20</v>
      </c>
      <c r="C5506" t="s">
        <v>64</v>
      </c>
      <c r="D5506" s="9" t="s">
        <v>60</v>
      </c>
      <c r="E5506" t="s">
        <v>34</v>
      </c>
      <c r="F5506" t="s">
        <v>65</v>
      </c>
      <c r="G5506">
        <v>23.3</v>
      </c>
      <c r="I5506"/>
    </row>
    <row r="5507" spans="1:9" x14ac:dyDescent="0.3">
      <c r="A5507" t="s">
        <v>7</v>
      </c>
      <c r="B5507" t="s">
        <v>20</v>
      </c>
      <c r="C5507" t="s">
        <v>66</v>
      </c>
      <c r="D5507" s="9" t="s">
        <v>60</v>
      </c>
      <c r="E5507" t="s">
        <v>35</v>
      </c>
      <c r="F5507" t="s">
        <v>67</v>
      </c>
      <c r="G5507">
        <v>20.9</v>
      </c>
      <c r="I5507"/>
    </row>
    <row r="5508" spans="1:9" x14ac:dyDescent="0.3">
      <c r="A5508" t="s">
        <v>7</v>
      </c>
      <c r="B5508" t="s">
        <v>20</v>
      </c>
      <c r="C5508" t="s">
        <v>68</v>
      </c>
      <c r="D5508" s="9" t="s">
        <v>60</v>
      </c>
      <c r="E5508" t="s">
        <v>36</v>
      </c>
      <c r="F5508" t="s">
        <v>69</v>
      </c>
      <c r="G5508">
        <v>23.5</v>
      </c>
      <c r="I5508"/>
    </row>
    <row r="5509" spans="1:9" x14ac:dyDescent="0.3">
      <c r="A5509" t="s">
        <v>7</v>
      </c>
      <c r="B5509" t="s">
        <v>20</v>
      </c>
      <c r="C5509" t="s">
        <v>70</v>
      </c>
      <c r="D5509" s="9" t="s">
        <v>60</v>
      </c>
      <c r="E5509" t="s">
        <v>37</v>
      </c>
      <c r="F5509" t="s">
        <v>71</v>
      </c>
      <c r="G5509">
        <v>26</v>
      </c>
      <c r="I5509"/>
    </row>
    <row r="5510" spans="1:9" x14ac:dyDescent="0.3">
      <c r="A5510" t="s">
        <v>7</v>
      </c>
      <c r="B5510" t="s">
        <v>20</v>
      </c>
      <c r="C5510" t="s">
        <v>72</v>
      </c>
      <c r="D5510" s="9" t="s">
        <v>60</v>
      </c>
      <c r="E5510" t="s">
        <v>38</v>
      </c>
      <c r="F5510" t="s">
        <v>73</v>
      </c>
      <c r="G5510">
        <v>25.7</v>
      </c>
      <c r="I5510"/>
    </row>
    <row r="5511" spans="1:9" x14ac:dyDescent="0.3">
      <c r="A5511" t="s">
        <v>7</v>
      </c>
      <c r="B5511" t="s">
        <v>20</v>
      </c>
      <c r="C5511" t="s">
        <v>74</v>
      </c>
      <c r="D5511" s="9" t="s">
        <v>60</v>
      </c>
      <c r="E5511" t="s">
        <v>39</v>
      </c>
      <c r="F5511" t="s">
        <v>75</v>
      </c>
      <c r="G5511">
        <v>23.9</v>
      </c>
      <c r="I5511"/>
    </row>
    <row r="5512" spans="1:9" x14ac:dyDescent="0.3">
      <c r="A5512" t="s">
        <v>7</v>
      </c>
      <c r="B5512" t="s">
        <v>20</v>
      </c>
      <c r="C5512" t="s">
        <v>76</v>
      </c>
      <c r="D5512" s="9" t="s">
        <v>60</v>
      </c>
      <c r="E5512" t="s">
        <v>40</v>
      </c>
      <c r="F5512" t="s">
        <v>77</v>
      </c>
      <c r="G5512">
        <v>23.4</v>
      </c>
      <c r="I5512"/>
    </row>
    <row r="5513" spans="1:9" x14ac:dyDescent="0.3">
      <c r="A5513" t="s">
        <v>7</v>
      </c>
      <c r="B5513" t="s">
        <v>20</v>
      </c>
      <c r="C5513" t="s">
        <v>78</v>
      </c>
      <c r="D5513" s="9" t="s">
        <v>60</v>
      </c>
      <c r="E5513" t="s">
        <v>41</v>
      </c>
      <c r="F5513" t="s">
        <v>79</v>
      </c>
      <c r="G5513">
        <v>26.2</v>
      </c>
      <c r="I5513"/>
    </row>
    <row r="5514" spans="1:9" x14ac:dyDescent="0.3">
      <c r="A5514" t="s">
        <v>7</v>
      </c>
      <c r="B5514" t="s">
        <v>20</v>
      </c>
      <c r="C5514" t="s">
        <v>80</v>
      </c>
      <c r="D5514" s="9" t="s">
        <v>60</v>
      </c>
      <c r="E5514" t="s">
        <v>42</v>
      </c>
      <c r="F5514" t="s">
        <v>81</v>
      </c>
      <c r="G5514">
        <v>25.9</v>
      </c>
      <c r="I5514"/>
    </row>
    <row r="5515" spans="1:9" x14ac:dyDescent="0.3">
      <c r="A5515" t="s">
        <v>7</v>
      </c>
      <c r="B5515" t="s">
        <v>20</v>
      </c>
      <c r="C5515" t="s">
        <v>82</v>
      </c>
      <c r="D5515" s="9" t="s">
        <v>60</v>
      </c>
      <c r="E5515" t="s">
        <v>43</v>
      </c>
      <c r="F5515" t="s">
        <v>83</v>
      </c>
      <c r="G5515">
        <v>29.3</v>
      </c>
      <c r="I5515"/>
    </row>
    <row r="5516" spans="1:9" x14ac:dyDescent="0.3">
      <c r="A5516" t="s">
        <v>7</v>
      </c>
      <c r="B5516" t="s">
        <v>20</v>
      </c>
      <c r="C5516" t="s">
        <v>84</v>
      </c>
      <c r="D5516" s="9" t="s">
        <v>85</v>
      </c>
      <c r="E5516" t="s">
        <v>32</v>
      </c>
      <c r="F5516" t="s">
        <v>61</v>
      </c>
      <c r="G5516">
        <v>23.2</v>
      </c>
      <c r="H5516" s="9">
        <v>1.31</v>
      </c>
      <c r="I5516"/>
    </row>
    <row r="5517" spans="1:9" x14ac:dyDescent="0.3">
      <c r="A5517" t="s">
        <v>7</v>
      </c>
      <c r="B5517" t="s">
        <v>20</v>
      </c>
      <c r="C5517" t="s">
        <v>86</v>
      </c>
      <c r="D5517" s="9" t="s">
        <v>85</v>
      </c>
      <c r="E5517" t="s">
        <v>33</v>
      </c>
      <c r="F5517" t="s">
        <v>63</v>
      </c>
      <c r="G5517">
        <v>22.6</v>
      </c>
      <c r="H5517" s="9">
        <v>-0.44</v>
      </c>
      <c r="I5517"/>
    </row>
    <row r="5518" spans="1:9" x14ac:dyDescent="0.3">
      <c r="A5518" t="s">
        <v>7</v>
      </c>
      <c r="B5518" t="s">
        <v>20</v>
      </c>
      <c r="C5518" t="s">
        <v>87</v>
      </c>
      <c r="D5518" s="9" t="s">
        <v>85</v>
      </c>
      <c r="E5518" t="s">
        <v>34</v>
      </c>
      <c r="F5518" t="s">
        <v>65</v>
      </c>
      <c r="G5518">
        <v>21.8</v>
      </c>
      <c r="H5518" s="9">
        <v>-6.44</v>
      </c>
      <c r="I5518"/>
    </row>
    <row r="5519" spans="1:9" x14ac:dyDescent="0.3">
      <c r="A5519" t="s">
        <v>7</v>
      </c>
      <c r="B5519" t="s">
        <v>20</v>
      </c>
      <c r="C5519" t="s">
        <v>88</v>
      </c>
      <c r="D5519" s="9" t="s">
        <v>85</v>
      </c>
      <c r="E5519" t="s">
        <v>35</v>
      </c>
      <c r="F5519" t="s">
        <v>67</v>
      </c>
      <c r="G5519">
        <v>18.100000000000001</v>
      </c>
      <c r="H5519" s="9">
        <v>-13.4</v>
      </c>
      <c r="I5519"/>
    </row>
    <row r="5520" spans="1:9" x14ac:dyDescent="0.3">
      <c r="A5520" t="s">
        <v>7</v>
      </c>
      <c r="B5520" t="s">
        <v>20</v>
      </c>
      <c r="C5520" t="s">
        <v>89</v>
      </c>
      <c r="D5520" s="9" t="s">
        <v>85</v>
      </c>
      <c r="E5520" t="s">
        <v>36</v>
      </c>
      <c r="F5520" t="s">
        <v>69</v>
      </c>
      <c r="G5520">
        <v>28.5</v>
      </c>
      <c r="H5520" s="9">
        <v>21.28</v>
      </c>
      <c r="I5520"/>
    </row>
    <row r="5521" spans="1:9" x14ac:dyDescent="0.3">
      <c r="A5521" t="s">
        <v>7</v>
      </c>
      <c r="B5521" t="s">
        <v>20</v>
      </c>
      <c r="C5521" t="s">
        <v>90</v>
      </c>
      <c r="D5521" s="9" t="s">
        <v>85</v>
      </c>
      <c r="E5521" t="s">
        <v>37</v>
      </c>
      <c r="F5521" t="s">
        <v>71</v>
      </c>
      <c r="G5521">
        <v>30</v>
      </c>
      <c r="H5521" s="9">
        <v>15.38</v>
      </c>
      <c r="I5521"/>
    </row>
    <row r="5522" spans="1:9" x14ac:dyDescent="0.3">
      <c r="A5522" t="s">
        <v>7</v>
      </c>
      <c r="B5522" t="s">
        <v>20</v>
      </c>
      <c r="C5522" t="s">
        <v>91</v>
      </c>
      <c r="D5522" s="9" t="s">
        <v>85</v>
      </c>
      <c r="E5522" t="s">
        <v>38</v>
      </c>
      <c r="F5522" t="s">
        <v>73</v>
      </c>
      <c r="G5522">
        <v>31.2</v>
      </c>
      <c r="H5522" s="9">
        <v>21.4</v>
      </c>
      <c r="I5522"/>
    </row>
    <row r="5523" spans="1:9" x14ac:dyDescent="0.3">
      <c r="A5523" t="s">
        <v>7</v>
      </c>
      <c r="B5523" t="s">
        <v>20</v>
      </c>
      <c r="C5523" t="s">
        <v>92</v>
      </c>
      <c r="D5523" s="9" t="s">
        <v>85</v>
      </c>
      <c r="E5523" t="s">
        <v>39</v>
      </c>
      <c r="F5523" t="s">
        <v>75</v>
      </c>
      <c r="G5523">
        <v>30.4</v>
      </c>
      <c r="H5523" s="9">
        <v>27.2</v>
      </c>
      <c r="I5523"/>
    </row>
    <row r="5524" spans="1:9" x14ac:dyDescent="0.3">
      <c r="A5524" t="s">
        <v>7</v>
      </c>
      <c r="B5524" t="s">
        <v>20</v>
      </c>
      <c r="C5524" t="s">
        <v>93</v>
      </c>
      <c r="D5524" s="9" t="s">
        <v>85</v>
      </c>
      <c r="E5524" t="s">
        <v>40</v>
      </c>
      <c r="F5524" t="s">
        <v>77</v>
      </c>
      <c r="G5524">
        <v>31.4</v>
      </c>
      <c r="H5524" s="9">
        <v>34.19</v>
      </c>
      <c r="I5524"/>
    </row>
    <row r="5525" spans="1:9" x14ac:dyDescent="0.3">
      <c r="A5525" t="s">
        <v>7</v>
      </c>
      <c r="B5525" t="s">
        <v>20</v>
      </c>
      <c r="C5525" t="s">
        <v>94</v>
      </c>
      <c r="D5525" s="9" t="s">
        <v>85</v>
      </c>
      <c r="E5525" t="s">
        <v>41</v>
      </c>
      <c r="F5525" t="s">
        <v>79</v>
      </c>
      <c r="G5525">
        <v>30.1</v>
      </c>
      <c r="H5525" s="9">
        <v>14.89</v>
      </c>
      <c r="I5525"/>
    </row>
    <row r="5526" spans="1:9" x14ac:dyDescent="0.3">
      <c r="A5526" t="s">
        <v>7</v>
      </c>
      <c r="B5526" t="s">
        <v>20</v>
      </c>
      <c r="C5526" t="s">
        <v>95</v>
      </c>
      <c r="D5526" s="9" t="s">
        <v>85</v>
      </c>
      <c r="E5526" t="s">
        <v>42</v>
      </c>
      <c r="F5526" t="s">
        <v>81</v>
      </c>
      <c r="G5526">
        <v>32.6</v>
      </c>
      <c r="H5526" s="9">
        <v>25.87</v>
      </c>
      <c r="I5526"/>
    </row>
    <row r="5527" spans="1:9" x14ac:dyDescent="0.3">
      <c r="A5527" t="s">
        <v>7</v>
      </c>
      <c r="B5527" t="s">
        <v>20</v>
      </c>
      <c r="C5527" t="s">
        <v>96</v>
      </c>
      <c r="D5527" s="9" t="s">
        <v>85</v>
      </c>
      <c r="E5527" t="s">
        <v>43</v>
      </c>
      <c r="F5527" t="s">
        <v>83</v>
      </c>
      <c r="G5527">
        <v>38.200000000000003</v>
      </c>
      <c r="H5527" s="9">
        <v>30.38</v>
      </c>
      <c r="I5527"/>
    </row>
    <row r="5528" spans="1:9" x14ac:dyDescent="0.3">
      <c r="A5528" t="s">
        <v>7</v>
      </c>
      <c r="B5528" t="s">
        <v>20</v>
      </c>
      <c r="C5528" t="s">
        <v>97</v>
      </c>
      <c r="D5528" s="9" t="s">
        <v>98</v>
      </c>
      <c r="E5528" t="s">
        <v>32</v>
      </c>
      <c r="F5528" t="s">
        <v>61</v>
      </c>
      <c r="G5528">
        <v>27.3</v>
      </c>
      <c r="H5528" s="9">
        <v>17.670000000000002</v>
      </c>
      <c r="I5528"/>
    </row>
    <row r="5529" spans="1:9" x14ac:dyDescent="0.3">
      <c r="A5529" t="s">
        <v>7</v>
      </c>
      <c r="B5529" t="s">
        <v>20</v>
      </c>
      <c r="C5529" t="s">
        <v>99</v>
      </c>
      <c r="D5529" s="9" t="s">
        <v>98</v>
      </c>
      <c r="E5529" t="s">
        <v>33</v>
      </c>
      <c r="F5529" t="s">
        <v>63</v>
      </c>
      <c r="G5529">
        <v>28.8</v>
      </c>
      <c r="H5529" s="9">
        <v>27.43</v>
      </c>
      <c r="I5529"/>
    </row>
    <row r="5530" spans="1:9" x14ac:dyDescent="0.3">
      <c r="A5530" t="s">
        <v>7</v>
      </c>
      <c r="B5530" t="s">
        <v>20</v>
      </c>
      <c r="C5530" t="s">
        <v>100</v>
      </c>
      <c r="D5530" s="9" t="s">
        <v>98</v>
      </c>
      <c r="E5530" t="s">
        <v>34</v>
      </c>
      <c r="F5530" t="s">
        <v>65</v>
      </c>
      <c r="G5530">
        <v>32.299999999999997</v>
      </c>
      <c r="H5530" s="9">
        <v>48.17</v>
      </c>
      <c r="I5530"/>
    </row>
    <row r="5531" spans="1:9" x14ac:dyDescent="0.3">
      <c r="A5531" t="s">
        <v>7</v>
      </c>
      <c r="B5531" t="s">
        <v>20</v>
      </c>
      <c r="C5531" t="s">
        <v>101</v>
      </c>
      <c r="D5531" s="9" t="s">
        <v>98</v>
      </c>
      <c r="E5531" t="s">
        <v>35</v>
      </c>
      <c r="F5531" t="s">
        <v>67</v>
      </c>
      <c r="G5531">
        <v>28.7</v>
      </c>
      <c r="H5531" s="9">
        <v>58.56</v>
      </c>
      <c r="I5531"/>
    </row>
    <row r="5532" spans="1:9" x14ac:dyDescent="0.3">
      <c r="A5532" t="s">
        <v>7</v>
      </c>
      <c r="B5532" t="s">
        <v>20</v>
      </c>
      <c r="C5532" t="s">
        <v>102</v>
      </c>
      <c r="D5532" s="9" t="s">
        <v>98</v>
      </c>
      <c r="E5532" t="s">
        <v>36</v>
      </c>
      <c r="F5532" t="s">
        <v>69</v>
      </c>
      <c r="G5532">
        <v>32.9</v>
      </c>
      <c r="H5532" s="9">
        <v>15.44</v>
      </c>
      <c r="I5532"/>
    </row>
    <row r="5533" spans="1:9" x14ac:dyDescent="0.3">
      <c r="A5533" t="s">
        <v>7</v>
      </c>
      <c r="B5533" t="s">
        <v>20</v>
      </c>
      <c r="C5533" t="s">
        <v>103</v>
      </c>
      <c r="D5533" s="9" t="s">
        <v>98</v>
      </c>
      <c r="E5533" t="s">
        <v>37</v>
      </c>
      <c r="F5533" t="s">
        <v>71</v>
      </c>
      <c r="G5533">
        <v>35.299999999999997</v>
      </c>
      <c r="H5533" s="9">
        <v>17.670000000000002</v>
      </c>
      <c r="I5533"/>
    </row>
    <row r="5534" spans="1:9" x14ac:dyDescent="0.3">
      <c r="A5534" t="s">
        <v>7</v>
      </c>
      <c r="B5534" t="s">
        <v>20</v>
      </c>
      <c r="C5534" t="s">
        <v>104</v>
      </c>
      <c r="D5534" s="9" t="s">
        <v>98</v>
      </c>
      <c r="E5534" t="s">
        <v>38</v>
      </c>
      <c r="F5534" t="s">
        <v>73</v>
      </c>
      <c r="G5534">
        <v>33.6</v>
      </c>
      <c r="H5534" s="9">
        <v>7.69</v>
      </c>
      <c r="I5534"/>
    </row>
    <row r="5535" spans="1:9" x14ac:dyDescent="0.3">
      <c r="A5535" t="s">
        <v>7</v>
      </c>
      <c r="B5535" t="s">
        <v>20</v>
      </c>
      <c r="C5535" t="s">
        <v>105</v>
      </c>
      <c r="D5535" s="9" t="s">
        <v>98</v>
      </c>
      <c r="E5535" t="s">
        <v>39</v>
      </c>
      <c r="F5535" t="s">
        <v>75</v>
      </c>
      <c r="G5535">
        <v>34.200000000000003</v>
      </c>
      <c r="H5535" s="9">
        <v>12.5</v>
      </c>
      <c r="I5535"/>
    </row>
    <row r="5536" spans="1:9" x14ac:dyDescent="0.3">
      <c r="A5536" t="s">
        <v>7</v>
      </c>
      <c r="B5536" t="s">
        <v>20</v>
      </c>
      <c r="C5536" t="s">
        <v>106</v>
      </c>
      <c r="D5536" s="9" t="s">
        <v>98</v>
      </c>
      <c r="E5536" t="s">
        <v>40</v>
      </c>
      <c r="F5536" t="s">
        <v>77</v>
      </c>
      <c r="G5536">
        <v>32.299999999999997</v>
      </c>
      <c r="H5536" s="9">
        <v>2.87</v>
      </c>
      <c r="I5536"/>
    </row>
    <row r="5537" spans="1:9" x14ac:dyDescent="0.3">
      <c r="A5537" t="s">
        <v>7</v>
      </c>
      <c r="B5537" t="s">
        <v>20</v>
      </c>
      <c r="C5537" t="s">
        <v>107</v>
      </c>
      <c r="D5537" s="9" t="s">
        <v>98</v>
      </c>
      <c r="E5537" t="s">
        <v>41</v>
      </c>
      <c r="F5537" t="s">
        <v>79</v>
      </c>
      <c r="G5537">
        <v>30.6</v>
      </c>
      <c r="H5537" s="9">
        <v>1.66</v>
      </c>
      <c r="I5537"/>
    </row>
    <row r="5538" spans="1:9" x14ac:dyDescent="0.3">
      <c r="A5538" t="s">
        <v>7</v>
      </c>
      <c r="B5538" t="s">
        <v>20</v>
      </c>
      <c r="C5538" t="s">
        <v>108</v>
      </c>
      <c r="D5538" s="9" t="s">
        <v>98</v>
      </c>
      <c r="E5538" t="s">
        <v>42</v>
      </c>
      <c r="F5538" t="s">
        <v>81</v>
      </c>
      <c r="G5538">
        <v>34.799999999999997</v>
      </c>
      <c r="H5538" s="9">
        <v>6.75</v>
      </c>
      <c r="I5538"/>
    </row>
    <row r="5539" spans="1:9" x14ac:dyDescent="0.3">
      <c r="A5539" t="s">
        <v>7</v>
      </c>
      <c r="B5539" t="s">
        <v>20</v>
      </c>
      <c r="C5539" t="s">
        <v>109</v>
      </c>
      <c r="D5539" s="9" t="s">
        <v>98</v>
      </c>
      <c r="E5539" t="s">
        <v>43</v>
      </c>
      <c r="F5539" t="s">
        <v>83</v>
      </c>
      <c r="G5539">
        <v>37.6</v>
      </c>
      <c r="H5539" s="9">
        <v>-1.57</v>
      </c>
      <c r="I5539"/>
    </row>
    <row r="5540" spans="1:9" x14ac:dyDescent="0.3">
      <c r="A5540" t="s">
        <v>7</v>
      </c>
      <c r="B5540" t="s">
        <v>20</v>
      </c>
      <c r="C5540" t="s">
        <v>110</v>
      </c>
      <c r="D5540" s="9" t="s">
        <v>111</v>
      </c>
      <c r="E5540" t="s">
        <v>32</v>
      </c>
      <c r="F5540" t="s">
        <v>61</v>
      </c>
      <c r="G5540">
        <v>27.7</v>
      </c>
      <c r="H5540" s="9">
        <v>1.47</v>
      </c>
      <c r="I5540"/>
    </row>
    <row r="5541" spans="1:9" x14ac:dyDescent="0.3">
      <c r="A5541" t="s">
        <v>7</v>
      </c>
      <c r="B5541" t="s">
        <v>20</v>
      </c>
      <c r="C5541" t="s">
        <v>112</v>
      </c>
      <c r="D5541" s="9" t="s">
        <v>111</v>
      </c>
      <c r="E5541" t="s">
        <v>33</v>
      </c>
      <c r="F5541" t="s">
        <v>63</v>
      </c>
      <c r="G5541">
        <v>25.6</v>
      </c>
      <c r="H5541" s="9">
        <v>-11.11</v>
      </c>
      <c r="I5541"/>
    </row>
    <row r="5542" spans="1:9" x14ac:dyDescent="0.3">
      <c r="A5542" t="s">
        <v>7</v>
      </c>
      <c r="B5542" t="s">
        <v>20</v>
      </c>
      <c r="C5542" t="s">
        <v>113</v>
      </c>
      <c r="D5542" s="9" t="s">
        <v>111</v>
      </c>
      <c r="E5542" t="s">
        <v>34</v>
      </c>
      <c r="F5542" t="s">
        <v>65</v>
      </c>
      <c r="G5542">
        <v>30.3</v>
      </c>
      <c r="H5542" s="9">
        <v>-6.19</v>
      </c>
      <c r="I5542"/>
    </row>
    <row r="5543" spans="1:9" x14ac:dyDescent="0.3">
      <c r="A5543" t="s">
        <v>7</v>
      </c>
      <c r="B5543" t="s">
        <v>20</v>
      </c>
      <c r="C5543" t="s">
        <v>114</v>
      </c>
      <c r="D5543" s="9" t="s">
        <v>111</v>
      </c>
      <c r="E5543" t="s">
        <v>35</v>
      </c>
      <c r="F5543" t="s">
        <v>67</v>
      </c>
      <c r="G5543">
        <v>28.6</v>
      </c>
      <c r="H5543" s="9">
        <v>-0.35</v>
      </c>
      <c r="I5543"/>
    </row>
    <row r="5544" spans="1:9" x14ac:dyDescent="0.3">
      <c r="A5544" t="s">
        <v>7</v>
      </c>
      <c r="B5544" t="s">
        <v>20</v>
      </c>
      <c r="C5544" t="s">
        <v>115</v>
      </c>
      <c r="D5544" s="9" t="s">
        <v>111</v>
      </c>
      <c r="E5544" t="s">
        <v>36</v>
      </c>
      <c r="F5544" t="s">
        <v>69</v>
      </c>
      <c r="G5544">
        <v>33.1</v>
      </c>
      <c r="H5544" s="9">
        <v>0.61</v>
      </c>
      <c r="I5544"/>
    </row>
    <row r="5545" spans="1:9" x14ac:dyDescent="0.3">
      <c r="A5545" t="s">
        <v>7</v>
      </c>
      <c r="B5545" t="s">
        <v>20</v>
      </c>
      <c r="C5545" t="s">
        <v>116</v>
      </c>
      <c r="D5545" s="9" t="s">
        <v>111</v>
      </c>
      <c r="E5545" t="s">
        <v>37</v>
      </c>
      <c r="F5545" t="s">
        <v>71</v>
      </c>
      <c r="G5545">
        <v>35.5</v>
      </c>
      <c r="H5545" s="9">
        <v>0.56999999999999995</v>
      </c>
      <c r="I5545"/>
    </row>
    <row r="5546" spans="1:9" x14ac:dyDescent="0.3">
      <c r="A5546" t="s">
        <v>7</v>
      </c>
      <c r="B5546" t="s">
        <v>20</v>
      </c>
      <c r="C5546" t="s">
        <v>117</v>
      </c>
      <c r="D5546" s="9" t="s">
        <v>111</v>
      </c>
      <c r="E5546" t="s">
        <v>38</v>
      </c>
      <c r="F5546" t="s">
        <v>73</v>
      </c>
      <c r="G5546">
        <v>30.1</v>
      </c>
      <c r="H5546" s="9">
        <v>-10.42</v>
      </c>
      <c r="I5546"/>
    </row>
    <row r="5547" spans="1:9" x14ac:dyDescent="0.3">
      <c r="A5547" t="s">
        <v>7</v>
      </c>
      <c r="B5547" t="s">
        <v>20</v>
      </c>
      <c r="C5547" t="s">
        <v>118</v>
      </c>
      <c r="D5547" s="9" t="s">
        <v>111</v>
      </c>
      <c r="E5547" t="s">
        <v>39</v>
      </c>
      <c r="F5547" t="s">
        <v>75</v>
      </c>
      <c r="G5547">
        <v>32.6</v>
      </c>
      <c r="H5547" s="9">
        <v>-4.68</v>
      </c>
      <c r="I5547"/>
    </row>
    <row r="5548" spans="1:9" x14ac:dyDescent="0.3">
      <c r="A5548" t="s">
        <v>7</v>
      </c>
      <c r="B5548" t="s">
        <v>20</v>
      </c>
      <c r="C5548" t="s">
        <v>119</v>
      </c>
      <c r="D5548" s="9" t="s">
        <v>111</v>
      </c>
      <c r="E5548" t="s">
        <v>40</v>
      </c>
      <c r="F5548" t="s">
        <v>77</v>
      </c>
      <c r="G5548">
        <v>30.7</v>
      </c>
      <c r="H5548" s="9">
        <v>-4.95</v>
      </c>
      <c r="I5548"/>
    </row>
    <row r="5549" spans="1:9" x14ac:dyDescent="0.3">
      <c r="A5549" t="s">
        <v>7</v>
      </c>
      <c r="B5549" t="s">
        <v>20</v>
      </c>
      <c r="C5549" t="s">
        <v>120</v>
      </c>
      <c r="D5549" s="9" t="s">
        <v>111</v>
      </c>
      <c r="E5549" t="s">
        <v>41</v>
      </c>
      <c r="F5549" t="s">
        <v>79</v>
      </c>
      <c r="G5549">
        <v>30.4</v>
      </c>
      <c r="H5549" s="9">
        <v>-0.65</v>
      </c>
      <c r="I5549"/>
    </row>
    <row r="5550" spans="1:9" x14ac:dyDescent="0.3">
      <c r="A5550" t="s">
        <v>7</v>
      </c>
      <c r="B5550" t="s">
        <v>20</v>
      </c>
      <c r="C5550" t="s">
        <v>121</v>
      </c>
      <c r="D5550" s="9" t="s">
        <v>111</v>
      </c>
      <c r="E5550" t="s">
        <v>42</v>
      </c>
      <c r="F5550" t="s">
        <v>81</v>
      </c>
      <c r="G5550">
        <v>36.700000000000003</v>
      </c>
      <c r="H5550" s="9">
        <v>5.46</v>
      </c>
      <c r="I5550"/>
    </row>
    <row r="5551" spans="1:9" x14ac:dyDescent="0.3">
      <c r="A5551" t="s">
        <v>7</v>
      </c>
      <c r="B5551" t="s">
        <v>20</v>
      </c>
      <c r="C5551" t="s">
        <v>122</v>
      </c>
      <c r="D5551" s="9" t="s">
        <v>111</v>
      </c>
      <c r="E5551" t="s">
        <v>43</v>
      </c>
      <c r="F5551" t="s">
        <v>83</v>
      </c>
      <c r="G5551">
        <v>33</v>
      </c>
      <c r="H5551" s="9">
        <v>-12.23</v>
      </c>
      <c r="I5551"/>
    </row>
    <row r="5552" spans="1:9" x14ac:dyDescent="0.3">
      <c r="A5552" t="s">
        <v>7</v>
      </c>
      <c r="B5552" t="s">
        <v>20</v>
      </c>
      <c r="C5552" t="s">
        <v>123</v>
      </c>
      <c r="D5552" s="9" t="s">
        <v>124</v>
      </c>
      <c r="E5552" t="s">
        <v>32</v>
      </c>
      <c r="F5552" t="s">
        <v>61</v>
      </c>
      <c r="G5552">
        <v>26.2</v>
      </c>
      <c r="H5552" s="9">
        <v>-5.42</v>
      </c>
      <c r="I5552"/>
    </row>
    <row r="5553" spans="1:9" x14ac:dyDescent="0.3">
      <c r="A5553" t="s">
        <v>7</v>
      </c>
      <c r="B5553" t="s">
        <v>20</v>
      </c>
      <c r="C5553" t="s">
        <v>125</v>
      </c>
      <c r="D5553" s="9" t="s">
        <v>124</v>
      </c>
      <c r="E5553" t="s">
        <v>33</v>
      </c>
      <c r="F5553" t="s">
        <v>63</v>
      </c>
      <c r="G5553">
        <v>25.2</v>
      </c>
      <c r="H5553" s="9">
        <v>-1.56</v>
      </c>
      <c r="I5553"/>
    </row>
    <row r="5554" spans="1:9" x14ac:dyDescent="0.3">
      <c r="A5554" t="s">
        <v>7</v>
      </c>
      <c r="B5554" t="s">
        <v>20</v>
      </c>
      <c r="C5554" t="s">
        <v>126</v>
      </c>
      <c r="D5554" s="9" t="s">
        <v>124</v>
      </c>
      <c r="E5554" t="s">
        <v>34</v>
      </c>
      <c r="F5554" t="s">
        <v>65</v>
      </c>
      <c r="G5554">
        <v>30.2</v>
      </c>
      <c r="H5554" s="9">
        <v>-0.33</v>
      </c>
      <c r="I5554"/>
    </row>
    <row r="5555" spans="1:9" x14ac:dyDescent="0.3">
      <c r="A5555" t="s">
        <v>7</v>
      </c>
      <c r="B5555" t="s">
        <v>20</v>
      </c>
      <c r="C5555" t="s">
        <v>127</v>
      </c>
      <c r="D5555" s="9" t="s">
        <v>124</v>
      </c>
      <c r="E5555" t="s">
        <v>35</v>
      </c>
      <c r="F5555" t="s">
        <v>67</v>
      </c>
      <c r="G5555">
        <v>25.4</v>
      </c>
      <c r="H5555" s="9">
        <v>-11.19</v>
      </c>
      <c r="I5555"/>
    </row>
    <row r="5556" spans="1:9" x14ac:dyDescent="0.3">
      <c r="A5556" t="s">
        <v>7</v>
      </c>
      <c r="B5556" t="s">
        <v>20</v>
      </c>
      <c r="C5556" t="s">
        <v>128</v>
      </c>
      <c r="D5556" s="9" t="s">
        <v>124</v>
      </c>
      <c r="E5556" t="s">
        <v>36</v>
      </c>
      <c r="F5556" t="s">
        <v>69</v>
      </c>
      <c r="G5556">
        <v>29.4</v>
      </c>
      <c r="H5556" s="9">
        <v>-11.18</v>
      </c>
      <c r="I5556"/>
    </row>
    <row r="5557" spans="1:9" x14ac:dyDescent="0.3">
      <c r="A5557" t="s">
        <v>7</v>
      </c>
      <c r="B5557" t="s">
        <v>20</v>
      </c>
      <c r="C5557" t="s">
        <v>129</v>
      </c>
      <c r="D5557" s="9" t="s">
        <v>124</v>
      </c>
      <c r="E5557" t="s">
        <v>37</v>
      </c>
      <c r="F5557" t="s">
        <v>71</v>
      </c>
      <c r="G5557">
        <v>32.9</v>
      </c>
      <c r="H5557" s="9">
        <v>-7.32</v>
      </c>
      <c r="I5557"/>
    </row>
    <row r="5558" spans="1:9" x14ac:dyDescent="0.3">
      <c r="A5558" t="s">
        <v>7</v>
      </c>
      <c r="B5558" t="s">
        <v>20</v>
      </c>
      <c r="C5558" t="s">
        <v>130</v>
      </c>
      <c r="D5558" s="9" t="s">
        <v>124</v>
      </c>
      <c r="E5558" t="s">
        <v>38</v>
      </c>
      <c r="F5558" t="s">
        <v>73</v>
      </c>
      <c r="G5558">
        <v>29.3</v>
      </c>
      <c r="H5558" s="9">
        <v>-2.66</v>
      </c>
      <c r="I5558"/>
    </row>
    <row r="5559" spans="1:9" x14ac:dyDescent="0.3">
      <c r="A5559" t="s">
        <v>7</v>
      </c>
      <c r="B5559" t="s">
        <v>20</v>
      </c>
      <c r="C5559" t="s">
        <v>131</v>
      </c>
      <c r="D5559" s="9" t="s">
        <v>124</v>
      </c>
      <c r="E5559" t="s">
        <v>39</v>
      </c>
      <c r="F5559" t="s">
        <v>75</v>
      </c>
      <c r="G5559">
        <v>29.2</v>
      </c>
      <c r="H5559" s="9">
        <v>-10.43</v>
      </c>
      <c r="I5559"/>
    </row>
    <row r="5560" spans="1:9" x14ac:dyDescent="0.3">
      <c r="A5560" t="s">
        <v>7</v>
      </c>
      <c r="B5560" t="s">
        <v>20</v>
      </c>
      <c r="C5560" t="s">
        <v>132</v>
      </c>
      <c r="D5560" s="9" t="s">
        <v>124</v>
      </c>
      <c r="E5560" t="s">
        <v>40</v>
      </c>
      <c r="F5560" t="s">
        <v>77</v>
      </c>
      <c r="G5560">
        <v>27.7</v>
      </c>
      <c r="H5560" s="9">
        <v>-9.77</v>
      </c>
      <c r="I5560"/>
    </row>
    <row r="5561" spans="1:9" x14ac:dyDescent="0.3">
      <c r="A5561" t="s">
        <v>7</v>
      </c>
      <c r="B5561" t="s">
        <v>20</v>
      </c>
      <c r="C5561" t="s">
        <v>133</v>
      </c>
      <c r="D5561" s="9" t="s">
        <v>124</v>
      </c>
      <c r="E5561" t="s">
        <v>41</v>
      </c>
      <c r="F5561" t="s">
        <v>79</v>
      </c>
      <c r="G5561">
        <v>31.7</v>
      </c>
      <c r="H5561" s="9">
        <v>4.28</v>
      </c>
      <c r="I5561"/>
    </row>
    <row r="5562" spans="1:9" x14ac:dyDescent="0.3">
      <c r="A5562" t="s">
        <v>7</v>
      </c>
      <c r="B5562" t="s">
        <v>20</v>
      </c>
      <c r="C5562" t="s">
        <v>134</v>
      </c>
      <c r="D5562" s="9" t="s">
        <v>124</v>
      </c>
      <c r="E5562" t="s">
        <v>42</v>
      </c>
      <c r="F5562" t="s">
        <v>81</v>
      </c>
      <c r="G5562">
        <v>35.6</v>
      </c>
      <c r="H5562" s="9">
        <v>-3</v>
      </c>
      <c r="I5562"/>
    </row>
    <row r="5563" spans="1:9" x14ac:dyDescent="0.3">
      <c r="A5563" t="s">
        <v>7</v>
      </c>
      <c r="B5563" t="s">
        <v>20</v>
      </c>
      <c r="C5563" t="s">
        <v>135</v>
      </c>
      <c r="D5563" s="9" t="s">
        <v>124</v>
      </c>
      <c r="E5563" t="s">
        <v>43</v>
      </c>
      <c r="F5563" t="s">
        <v>83</v>
      </c>
      <c r="G5563">
        <v>34.4</v>
      </c>
      <c r="H5563" s="9">
        <v>4.24</v>
      </c>
      <c r="I5563"/>
    </row>
    <row r="5564" spans="1:9" x14ac:dyDescent="0.3">
      <c r="A5564" t="s">
        <v>7</v>
      </c>
      <c r="B5564" t="s">
        <v>20</v>
      </c>
      <c r="C5564" t="s">
        <v>136</v>
      </c>
      <c r="D5564" s="9" t="s">
        <v>137</v>
      </c>
      <c r="E5564" t="s">
        <v>32</v>
      </c>
      <c r="F5564" t="s">
        <v>61</v>
      </c>
      <c r="G5564">
        <v>30</v>
      </c>
      <c r="H5564" s="9">
        <v>14.5</v>
      </c>
      <c r="I5564"/>
    </row>
    <row r="5565" spans="1:9" x14ac:dyDescent="0.3">
      <c r="A5565" t="s">
        <v>7</v>
      </c>
      <c r="B5565" t="s">
        <v>20</v>
      </c>
      <c r="C5565" t="s">
        <v>138</v>
      </c>
      <c r="D5565" s="9" t="s">
        <v>137</v>
      </c>
      <c r="E5565" t="s">
        <v>33</v>
      </c>
      <c r="F5565" t="s">
        <v>63</v>
      </c>
      <c r="G5565">
        <v>28.4</v>
      </c>
      <c r="H5565" s="9">
        <v>12.7</v>
      </c>
      <c r="I5565"/>
    </row>
    <row r="5566" spans="1:9" x14ac:dyDescent="0.3">
      <c r="A5566" t="s">
        <v>7</v>
      </c>
      <c r="B5566" t="s">
        <v>20</v>
      </c>
      <c r="C5566" t="s">
        <v>139</v>
      </c>
      <c r="D5566" s="9" t="s">
        <v>137</v>
      </c>
      <c r="E5566" t="s">
        <v>34</v>
      </c>
      <c r="F5566" t="s">
        <v>65</v>
      </c>
      <c r="G5566">
        <v>30</v>
      </c>
      <c r="H5566" s="9">
        <v>-0.66</v>
      </c>
      <c r="I5566"/>
    </row>
    <row r="5567" spans="1:9" x14ac:dyDescent="0.3">
      <c r="A5567" t="s">
        <v>7</v>
      </c>
      <c r="B5567" t="s">
        <v>20</v>
      </c>
      <c r="C5567" t="s">
        <v>140</v>
      </c>
      <c r="D5567" s="9" t="s">
        <v>137</v>
      </c>
      <c r="E5567" t="s">
        <v>35</v>
      </c>
      <c r="F5567" t="s">
        <v>67</v>
      </c>
      <c r="G5567">
        <v>30.6</v>
      </c>
      <c r="H5567" s="9">
        <v>20.47</v>
      </c>
      <c r="I5567"/>
    </row>
    <row r="5568" spans="1:9" x14ac:dyDescent="0.3">
      <c r="A5568" t="s">
        <v>7</v>
      </c>
      <c r="B5568" t="s">
        <v>20</v>
      </c>
      <c r="C5568" t="s">
        <v>141</v>
      </c>
      <c r="D5568" s="9" t="s">
        <v>137</v>
      </c>
      <c r="E5568" t="s">
        <v>36</v>
      </c>
      <c r="F5568" t="s">
        <v>69</v>
      </c>
      <c r="G5568">
        <v>33.5</v>
      </c>
      <c r="H5568" s="9">
        <v>13.95</v>
      </c>
      <c r="I5568"/>
    </row>
    <row r="5569" spans="1:9" x14ac:dyDescent="0.3">
      <c r="A5569" t="s">
        <v>7</v>
      </c>
      <c r="B5569" t="s">
        <v>20</v>
      </c>
      <c r="C5569" t="s">
        <v>142</v>
      </c>
      <c r="D5569" s="9" t="s">
        <v>137</v>
      </c>
      <c r="E5569" t="s">
        <v>37</v>
      </c>
      <c r="F5569" t="s">
        <v>71</v>
      </c>
      <c r="G5569">
        <v>33</v>
      </c>
      <c r="H5569" s="9">
        <v>0.3</v>
      </c>
      <c r="I5569"/>
    </row>
    <row r="5570" spans="1:9" x14ac:dyDescent="0.3">
      <c r="A5570" t="s">
        <v>7</v>
      </c>
      <c r="B5570" t="s">
        <v>20</v>
      </c>
      <c r="C5570" t="s">
        <v>143</v>
      </c>
      <c r="D5570" s="9" t="s">
        <v>137</v>
      </c>
      <c r="E5570" t="s">
        <v>38</v>
      </c>
      <c r="F5570" t="s">
        <v>73</v>
      </c>
      <c r="G5570">
        <v>33.1</v>
      </c>
      <c r="H5570" s="9">
        <v>12.97</v>
      </c>
      <c r="I5570"/>
    </row>
    <row r="5571" spans="1:9" x14ac:dyDescent="0.3">
      <c r="A5571" t="s">
        <v>7</v>
      </c>
      <c r="B5571" t="s">
        <v>20</v>
      </c>
      <c r="C5571" t="s">
        <v>144</v>
      </c>
      <c r="D5571" s="9" t="s">
        <v>137</v>
      </c>
      <c r="E5571" t="s">
        <v>39</v>
      </c>
      <c r="F5571" t="s">
        <v>75</v>
      </c>
      <c r="G5571">
        <v>30.9</v>
      </c>
      <c r="H5571" s="9">
        <v>5.82</v>
      </c>
      <c r="I5571"/>
    </row>
    <row r="5572" spans="1:9" x14ac:dyDescent="0.3">
      <c r="A5572" t="s">
        <v>7</v>
      </c>
      <c r="B5572" t="s">
        <v>20</v>
      </c>
      <c r="C5572" t="s">
        <v>145</v>
      </c>
      <c r="D5572" s="9" t="s">
        <v>137</v>
      </c>
      <c r="E5572" t="s">
        <v>40</v>
      </c>
      <c r="F5572" t="s">
        <v>77</v>
      </c>
      <c r="G5572">
        <v>32.799999999999997</v>
      </c>
      <c r="H5572" s="9">
        <v>18.41</v>
      </c>
      <c r="I5572"/>
    </row>
    <row r="5573" spans="1:9" x14ac:dyDescent="0.3">
      <c r="A5573" t="s">
        <v>7</v>
      </c>
      <c r="B5573" t="s">
        <v>20</v>
      </c>
      <c r="C5573" t="s">
        <v>146</v>
      </c>
      <c r="D5573" s="9" t="s">
        <v>137</v>
      </c>
      <c r="E5573" t="s">
        <v>41</v>
      </c>
      <c r="F5573" t="s">
        <v>79</v>
      </c>
      <c r="G5573">
        <v>36.299999999999997</v>
      </c>
      <c r="H5573" s="9">
        <v>14.51</v>
      </c>
      <c r="I5573"/>
    </row>
    <row r="5574" spans="1:9" x14ac:dyDescent="0.3">
      <c r="A5574" t="s">
        <v>7</v>
      </c>
      <c r="B5574" t="s">
        <v>20</v>
      </c>
      <c r="C5574" t="s">
        <v>147</v>
      </c>
      <c r="D5574" s="9" t="s">
        <v>137</v>
      </c>
      <c r="E5574" t="s">
        <v>42</v>
      </c>
      <c r="F5574" t="s">
        <v>81</v>
      </c>
      <c r="G5574">
        <v>37.6</v>
      </c>
      <c r="H5574" s="9">
        <v>5.62</v>
      </c>
      <c r="I5574"/>
    </row>
    <row r="5575" spans="1:9" x14ac:dyDescent="0.3">
      <c r="A5575" t="s">
        <v>7</v>
      </c>
      <c r="B5575" t="s">
        <v>20</v>
      </c>
      <c r="C5575" t="s">
        <v>148</v>
      </c>
      <c r="D5575" s="9" t="s">
        <v>137</v>
      </c>
      <c r="E5575" t="s">
        <v>43</v>
      </c>
      <c r="F5575" t="s">
        <v>83</v>
      </c>
      <c r="G5575">
        <v>37.5</v>
      </c>
      <c r="H5575" s="9">
        <v>9.01</v>
      </c>
      <c r="I5575"/>
    </row>
    <row r="5576" spans="1:9" x14ac:dyDescent="0.3">
      <c r="A5576" t="s">
        <v>7</v>
      </c>
      <c r="B5576" t="s">
        <v>20</v>
      </c>
      <c r="C5576" t="s">
        <v>149</v>
      </c>
      <c r="D5576" s="9" t="s">
        <v>150</v>
      </c>
      <c r="E5576" t="s">
        <v>32</v>
      </c>
      <c r="F5576" t="s">
        <v>61</v>
      </c>
      <c r="G5576">
        <v>30.6</v>
      </c>
      <c r="H5576" s="9">
        <v>2</v>
      </c>
      <c r="I5576"/>
    </row>
    <row r="5577" spans="1:9" x14ac:dyDescent="0.3">
      <c r="A5577" t="s">
        <v>7</v>
      </c>
      <c r="B5577" t="s">
        <v>20</v>
      </c>
      <c r="C5577" t="s">
        <v>151</v>
      </c>
      <c r="D5577" s="9" t="s">
        <v>150</v>
      </c>
      <c r="E5577" t="s">
        <v>33</v>
      </c>
      <c r="F5577" t="s">
        <v>63</v>
      </c>
      <c r="G5577">
        <v>28.4</v>
      </c>
      <c r="H5577" s="9">
        <v>0</v>
      </c>
      <c r="I5577"/>
    </row>
    <row r="5578" spans="1:9" x14ac:dyDescent="0.3">
      <c r="A5578" t="s">
        <v>7</v>
      </c>
      <c r="B5578" t="s">
        <v>20</v>
      </c>
      <c r="C5578" t="s">
        <v>152</v>
      </c>
      <c r="D5578" s="9" t="s">
        <v>150</v>
      </c>
      <c r="E5578" t="s">
        <v>34</v>
      </c>
      <c r="F5578" t="s">
        <v>65</v>
      </c>
      <c r="G5578">
        <v>31.5</v>
      </c>
      <c r="H5578" s="9">
        <v>5</v>
      </c>
      <c r="I5578"/>
    </row>
    <row r="5579" spans="1:9" x14ac:dyDescent="0.3">
      <c r="A5579" t="s">
        <v>7</v>
      </c>
      <c r="B5579" t="s">
        <v>20</v>
      </c>
      <c r="C5579" t="s">
        <v>153</v>
      </c>
      <c r="D5579" s="9" t="s">
        <v>150</v>
      </c>
      <c r="E5579" t="s">
        <v>35</v>
      </c>
      <c r="F5579" t="s">
        <v>67</v>
      </c>
      <c r="G5579">
        <v>28.6</v>
      </c>
      <c r="H5579" s="9">
        <v>-6.54</v>
      </c>
      <c r="I5579"/>
    </row>
    <row r="5580" spans="1:9" x14ac:dyDescent="0.3">
      <c r="A5580" t="s">
        <v>7</v>
      </c>
      <c r="B5580" t="s">
        <v>20</v>
      </c>
      <c r="C5580" t="s">
        <v>154</v>
      </c>
      <c r="D5580" s="9" t="s">
        <v>150</v>
      </c>
      <c r="E5580" t="s">
        <v>36</v>
      </c>
      <c r="F5580" t="s">
        <v>69</v>
      </c>
      <c r="G5580">
        <v>34.6</v>
      </c>
      <c r="H5580" s="9">
        <v>3.28</v>
      </c>
      <c r="I5580"/>
    </row>
    <row r="5581" spans="1:9" x14ac:dyDescent="0.3">
      <c r="A5581" t="s">
        <v>7</v>
      </c>
      <c r="B5581" t="s">
        <v>20</v>
      </c>
      <c r="C5581" t="s">
        <v>155</v>
      </c>
      <c r="D5581" s="9" t="s">
        <v>150</v>
      </c>
      <c r="E5581" t="s">
        <v>37</v>
      </c>
      <c r="F5581" t="s">
        <v>71</v>
      </c>
      <c r="G5581">
        <v>33.799999999999997</v>
      </c>
      <c r="H5581" s="9">
        <v>2.42</v>
      </c>
      <c r="I5581"/>
    </row>
    <row r="5582" spans="1:9" x14ac:dyDescent="0.3">
      <c r="A5582" t="s">
        <v>7</v>
      </c>
      <c r="B5582" t="s">
        <v>15</v>
      </c>
      <c r="C5582" t="s">
        <v>59</v>
      </c>
      <c r="D5582" s="9" t="s">
        <v>60</v>
      </c>
      <c r="E5582" t="s">
        <v>32</v>
      </c>
      <c r="F5582" t="s">
        <v>61</v>
      </c>
      <c r="G5582">
        <v>36.9</v>
      </c>
      <c r="I5582"/>
    </row>
    <row r="5583" spans="1:9" x14ac:dyDescent="0.3">
      <c r="A5583" t="s">
        <v>7</v>
      </c>
      <c r="B5583" t="s">
        <v>15</v>
      </c>
      <c r="C5583" t="s">
        <v>62</v>
      </c>
      <c r="D5583" s="9" t="s">
        <v>60</v>
      </c>
      <c r="E5583" t="s">
        <v>33</v>
      </c>
      <c r="F5583" t="s">
        <v>63</v>
      </c>
      <c r="G5583">
        <v>31.5</v>
      </c>
      <c r="I5583"/>
    </row>
    <row r="5584" spans="1:9" x14ac:dyDescent="0.3">
      <c r="A5584" t="s">
        <v>7</v>
      </c>
      <c r="B5584" t="s">
        <v>15</v>
      </c>
      <c r="C5584" t="s">
        <v>64</v>
      </c>
      <c r="D5584" s="9" t="s">
        <v>60</v>
      </c>
      <c r="E5584" t="s">
        <v>34</v>
      </c>
      <c r="F5584" t="s">
        <v>65</v>
      </c>
      <c r="G5584">
        <v>33.9</v>
      </c>
      <c r="I5584"/>
    </row>
    <row r="5585" spans="1:9" x14ac:dyDescent="0.3">
      <c r="A5585" t="s">
        <v>7</v>
      </c>
      <c r="B5585" t="s">
        <v>15</v>
      </c>
      <c r="C5585" t="s">
        <v>66</v>
      </c>
      <c r="D5585" s="9" t="s">
        <v>60</v>
      </c>
      <c r="E5585" t="s">
        <v>35</v>
      </c>
      <c r="F5585" t="s">
        <v>67</v>
      </c>
      <c r="G5585">
        <v>32</v>
      </c>
      <c r="I5585"/>
    </row>
    <row r="5586" spans="1:9" x14ac:dyDescent="0.3">
      <c r="A5586" t="s">
        <v>7</v>
      </c>
      <c r="B5586" t="s">
        <v>15</v>
      </c>
      <c r="C5586" t="s">
        <v>68</v>
      </c>
      <c r="D5586" s="9" t="s">
        <v>60</v>
      </c>
      <c r="E5586" t="s">
        <v>36</v>
      </c>
      <c r="F5586" t="s">
        <v>69</v>
      </c>
      <c r="G5586">
        <v>32.5</v>
      </c>
      <c r="I5586"/>
    </row>
    <row r="5587" spans="1:9" x14ac:dyDescent="0.3">
      <c r="A5587" t="s">
        <v>7</v>
      </c>
      <c r="B5587" t="s">
        <v>15</v>
      </c>
      <c r="C5587" t="s">
        <v>70</v>
      </c>
      <c r="D5587" s="9" t="s">
        <v>60</v>
      </c>
      <c r="E5587" t="s">
        <v>37</v>
      </c>
      <c r="F5587" t="s">
        <v>71</v>
      </c>
      <c r="G5587">
        <v>31</v>
      </c>
      <c r="I5587"/>
    </row>
    <row r="5588" spans="1:9" x14ac:dyDescent="0.3">
      <c r="A5588" t="s">
        <v>7</v>
      </c>
      <c r="B5588" t="s">
        <v>15</v>
      </c>
      <c r="C5588" t="s">
        <v>72</v>
      </c>
      <c r="D5588" s="9" t="s">
        <v>60</v>
      </c>
      <c r="E5588" t="s">
        <v>38</v>
      </c>
      <c r="F5588" t="s">
        <v>73</v>
      </c>
      <c r="G5588">
        <v>31.8</v>
      </c>
      <c r="I5588"/>
    </row>
    <row r="5589" spans="1:9" x14ac:dyDescent="0.3">
      <c r="A5589" t="s">
        <v>7</v>
      </c>
      <c r="B5589" t="s">
        <v>15</v>
      </c>
      <c r="C5589" t="s">
        <v>74</v>
      </c>
      <c r="D5589" s="9" t="s">
        <v>60</v>
      </c>
      <c r="E5589" t="s">
        <v>39</v>
      </c>
      <c r="F5589" t="s">
        <v>75</v>
      </c>
      <c r="G5589">
        <v>33.9</v>
      </c>
      <c r="I5589"/>
    </row>
    <row r="5590" spans="1:9" x14ac:dyDescent="0.3">
      <c r="A5590" t="s">
        <v>7</v>
      </c>
      <c r="B5590" t="s">
        <v>15</v>
      </c>
      <c r="C5590" t="s">
        <v>76</v>
      </c>
      <c r="D5590" s="9" t="s">
        <v>60</v>
      </c>
      <c r="E5590" t="s">
        <v>40</v>
      </c>
      <c r="F5590" t="s">
        <v>77</v>
      </c>
      <c r="G5590">
        <v>36.200000000000003</v>
      </c>
      <c r="I5590"/>
    </row>
    <row r="5591" spans="1:9" x14ac:dyDescent="0.3">
      <c r="A5591" t="s">
        <v>7</v>
      </c>
      <c r="B5591" t="s">
        <v>15</v>
      </c>
      <c r="C5591" t="s">
        <v>78</v>
      </c>
      <c r="D5591" s="9" t="s">
        <v>60</v>
      </c>
      <c r="E5591" t="s">
        <v>41</v>
      </c>
      <c r="F5591" t="s">
        <v>79</v>
      </c>
      <c r="G5591">
        <v>40.1</v>
      </c>
      <c r="I5591"/>
    </row>
    <row r="5592" spans="1:9" x14ac:dyDescent="0.3">
      <c r="A5592" t="s">
        <v>7</v>
      </c>
      <c r="B5592" t="s">
        <v>15</v>
      </c>
      <c r="C5592" t="s">
        <v>80</v>
      </c>
      <c r="D5592" s="9" t="s">
        <v>60</v>
      </c>
      <c r="E5592" t="s">
        <v>42</v>
      </c>
      <c r="F5592" t="s">
        <v>81</v>
      </c>
      <c r="G5592">
        <v>39.6</v>
      </c>
      <c r="I5592"/>
    </row>
    <row r="5593" spans="1:9" x14ac:dyDescent="0.3">
      <c r="A5593" t="s">
        <v>7</v>
      </c>
      <c r="B5593" t="s">
        <v>15</v>
      </c>
      <c r="C5593" t="s">
        <v>82</v>
      </c>
      <c r="D5593" s="9" t="s">
        <v>60</v>
      </c>
      <c r="E5593" t="s">
        <v>43</v>
      </c>
      <c r="F5593" t="s">
        <v>83</v>
      </c>
      <c r="G5593">
        <v>43.8</v>
      </c>
      <c r="I5593"/>
    </row>
    <row r="5594" spans="1:9" x14ac:dyDescent="0.3">
      <c r="A5594" t="s">
        <v>7</v>
      </c>
      <c r="B5594" t="s">
        <v>15</v>
      </c>
      <c r="C5594" t="s">
        <v>107</v>
      </c>
      <c r="D5594" s="9" t="s">
        <v>98</v>
      </c>
      <c r="E5594" t="s">
        <v>41</v>
      </c>
      <c r="F5594" t="s">
        <v>79</v>
      </c>
      <c r="G5594">
        <v>55</v>
      </c>
      <c r="H5594" s="9">
        <v>49.05</v>
      </c>
      <c r="I5594"/>
    </row>
    <row r="5595" spans="1:9" x14ac:dyDescent="0.3">
      <c r="A5595" t="s">
        <v>7</v>
      </c>
      <c r="B5595" t="s">
        <v>15</v>
      </c>
      <c r="C5595" t="s">
        <v>108</v>
      </c>
      <c r="D5595" s="9" t="s">
        <v>98</v>
      </c>
      <c r="E5595" t="s">
        <v>42</v>
      </c>
      <c r="F5595" t="s">
        <v>81</v>
      </c>
      <c r="G5595">
        <v>58.6</v>
      </c>
      <c r="H5595" s="9">
        <v>86.03</v>
      </c>
      <c r="I5595"/>
    </row>
    <row r="5596" spans="1:9" x14ac:dyDescent="0.3">
      <c r="A5596" t="s">
        <v>7</v>
      </c>
      <c r="B5596" t="s">
        <v>15</v>
      </c>
      <c r="C5596" t="s">
        <v>109</v>
      </c>
      <c r="D5596" s="9" t="s">
        <v>98</v>
      </c>
      <c r="E5596" t="s">
        <v>43</v>
      </c>
      <c r="F5596" t="s">
        <v>83</v>
      </c>
      <c r="G5596">
        <v>62.1</v>
      </c>
      <c r="H5596" s="9">
        <v>83.19</v>
      </c>
      <c r="I5596"/>
    </row>
    <row r="5597" spans="1:9" x14ac:dyDescent="0.3">
      <c r="A5597" t="s">
        <v>7</v>
      </c>
      <c r="B5597" t="s">
        <v>15</v>
      </c>
      <c r="C5597" t="s">
        <v>110</v>
      </c>
      <c r="D5597" s="9" t="s">
        <v>111</v>
      </c>
      <c r="E5597" t="s">
        <v>32</v>
      </c>
      <c r="F5597" t="s">
        <v>61</v>
      </c>
      <c r="G5597">
        <v>52</v>
      </c>
      <c r="H5597" s="9">
        <v>62.5</v>
      </c>
      <c r="I5597"/>
    </row>
    <row r="5598" spans="1:9" x14ac:dyDescent="0.3">
      <c r="A5598" t="s">
        <v>7</v>
      </c>
      <c r="B5598" t="s">
        <v>15</v>
      </c>
      <c r="C5598" t="s">
        <v>112</v>
      </c>
      <c r="D5598" s="9" t="s">
        <v>111</v>
      </c>
      <c r="E5598" t="s">
        <v>33</v>
      </c>
      <c r="F5598" t="s">
        <v>63</v>
      </c>
      <c r="G5598">
        <v>48.8</v>
      </c>
      <c r="H5598" s="9">
        <v>50.15</v>
      </c>
      <c r="I5598"/>
    </row>
    <row r="5599" spans="1:9" x14ac:dyDescent="0.3">
      <c r="A5599" t="s">
        <v>7</v>
      </c>
      <c r="B5599" t="s">
        <v>15</v>
      </c>
      <c r="C5599" t="s">
        <v>113</v>
      </c>
      <c r="D5599" s="9" t="s">
        <v>111</v>
      </c>
      <c r="E5599" t="s">
        <v>34</v>
      </c>
      <c r="F5599" t="s">
        <v>65</v>
      </c>
      <c r="G5599">
        <v>50.3</v>
      </c>
      <c r="H5599" s="9">
        <v>62.26</v>
      </c>
      <c r="I5599"/>
    </row>
    <row r="5600" spans="1:9" x14ac:dyDescent="0.3">
      <c r="A5600" t="s">
        <v>7</v>
      </c>
      <c r="B5600" t="s">
        <v>15</v>
      </c>
      <c r="C5600" t="s">
        <v>114</v>
      </c>
      <c r="D5600" s="9" t="s">
        <v>111</v>
      </c>
      <c r="E5600" t="s">
        <v>35</v>
      </c>
      <c r="F5600" t="s">
        <v>67</v>
      </c>
      <c r="G5600">
        <v>47.2</v>
      </c>
      <c r="H5600" s="9">
        <v>48.43</v>
      </c>
      <c r="I5600"/>
    </row>
    <row r="5601" spans="1:9" x14ac:dyDescent="0.3">
      <c r="A5601" t="s">
        <v>7</v>
      </c>
      <c r="B5601" t="s">
        <v>15</v>
      </c>
      <c r="C5601" t="s">
        <v>115</v>
      </c>
      <c r="D5601" s="9" t="s">
        <v>111</v>
      </c>
      <c r="E5601" t="s">
        <v>36</v>
      </c>
      <c r="F5601" t="s">
        <v>69</v>
      </c>
      <c r="G5601">
        <v>46.2</v>
      </c>
      <c r="H5601" s="9">
        <v>36.28</v>
      </c>
      <c r="I5601"/>
    </row>
    <row r="5602" spans="1:9" x14ac:dyDescent="0.3">
      <c r="A5602" t="s">
        <v>7</v>
      </c>
      <c r="B5602" t="s">
        <v>15</v>
      </c>
      <c r="C5602" t="s">
        <v>116</v>
      </c>
      <c r="D5602" s="9" t="s">
        <v>111</v>
      </c>
      <c r="E5602" t="s">
        <v>37</v>
      </c>
      <c r="F5602" t="s">
        <v>71</v>
      </c>
      <c r="G5602">
        <v>44.1</v>
      </c>
      <c r="H5602" s="9">
        <v>21.82</v>
      </c>
      <c r="I5602"/>
    </row>
    <row r="5603" spans="1:9" x14ac:dyDescent="0.3">
      <c r="A5603" t="s">
        <v>7</v>
      </c>
      <c r="B5603" t="s">
        <v>15</v>
      </c>
      <c r="C5603" t="s">
        <v>117</v>
      </c>
      <c r="D5603" s="9" t="s">
        <v>111</v>
      </c>
      <c r="E5603" t="s">
        <v>38</v>
      </c>
      <c r="F5603" t="s">
        <v>73</v>
      </c>
      <c r="G5603">
        <v>45.8</v>
      </c>
      <c r="H5603" s="9">
        <v>14.21</v>
      </c>
      <c r="I5603"/>
    </row>
    <row r="5604" spans="1:9" x14ac:dyDescent="0.3">
      <c r="A5604" t="s">
        <v>7</v>
      </c>
      <c r="B5604" t="s">
        <v>15</v>
      </c>
      <c r="C5604" t="s">
        <v>118</v>
      </c>
      <c r="D5604" s="9" t="s">
        <v>111</v>
      </c>
      <c r="E5604" t="s">
        <v>39</v>
      </c>
      <c r="F5604" t="s">
        <v>75</v>
      </c>
      <c r="G5604">
        <v>48.7</v>
      </c>
      <c r="H5604" s="9">
        <v>22.98</v>
      </c>
      <c r="I5604"/>
    </row>
    <row r="5605" spans="1:9" x14ac:dyDescent="0.3">
      <c r="A5605" t="s">
        <v>7</v>
      </c>
      <c r="B5605" t="s">
        <v>15</v>
      </c>
      <c r="C5605" t="s">
        <v>119</v>
      </c>
      <c r="D5605" s="9" t="s">
        <v>111</v>
      </c>
      <c r="E5605" t="s">
        <v>40</v>
      </c>
      <c r="F5605" t="s">
        <v>77</v>
      </c>
      <c r="G5605">
        <v>52.2</v>
      </c>
      <c r="H5605" s="9">
        <v>19.18</v>
      </c>
      <c r="I5605"/>
    </row>
    <row r="5606" spans="1:9" x14ac:dyDescent="0.3">
      <c r="A5606" t="s">
        <v>7</v>
      </c>
      <c r="B5606" t="s">
        <v>15</v>
      </c>
      <c r="C5606" t="s">
        <v>120</v>
      </c>
      <c r="D5606" s="9" t="s">
        <v>111</v>
      </c>
      <c r="E5606" t="s">
        <v>41</v>
      </c>
      <c r="F5606" t="s">
        <v>79</v>
      </c>
      <c r="G5606">
        <v>55.1</v>
      </c>
      <c r="H5606" s="9">
        <v>0.18</v>
      </c>
      <c r="I5606"/>
    </row>
    <row r="5607" spans="1:9" x14ac:dyDescent="0.3">
      <c r="A5607" t="s">
        <v>7</v>
      </c>
      <c r="B5607" t="s">
        <v>15</v>
      </c>
      <c r="C5607" t="s">
        <v>121</v>
      </c>
      <c r="D5607" s="9" t="s">
        <v>111</v>
      </c>
      <c r="E5607" t="s">
        <v>42</v>
      </c>
      <c r="F5607" t="s">
        <v>81</v>
      </c>
      <c r="G5607">
        <v>57.3</v>
      </c>
      <c r="H5607" s="9">
        <v>-2.2200000000000002</v>
      </c>
      <c r="I5607"/>
    </row>
    <row r="5608" spans="1:9" x14ac:dyDescent="0.3">
      <c r="A5608" t="s">
        <v>7</v>
      </c>
      <c r="B5608" t="s">
        <v>15</v>
      </c>
      <c r="C5608" t="s">
        <v>122</v>
      </c>
      <c r="D5608" s="9" t="s">
        <v>111</v>
      </c>
      <c r="E5608" t="s">
        <v>43</v>
      </c>
      <c r="F5608" t="s">
        <v>83</v>
      </c>
      <c r="G5608">
        <v>59.8</v>
      </c>
      <c r="H5608" s="9">
        <v>-3.7</v>
      </c>
      <c r="I5608"/>
    </row>
    <row r="5609" spans="1:9" x14ac:dyDescent="0.3">
      <c r="A5609" t="s">
        <v>7</v>
      </c>
      <c r="B5609" t="s">
        <v>15</v>
      </c>
      <c r="C5609" t="s">
        <v>123</v>
      </c>
      <c r="D5609" s="9" t="s">
        <v>124</v>
      </c>
      <c r="E5609" t="s">
        <v>32</v>
      </c>
      <c r="F5609" t="s">
        <v>61</v>
      </c>
      <c r="G5609">
        <v>53.8</v>
      </c>
      <c r="H5609" s="9">
        <v>3.46</v>
      </c>
      <c r="I5609"/>
    </row>
    <row r="5610" spans="1:9" x14ac:dyDescent="0.3">
      <c r="A5610" t="s">
        <v>7</v>
      </c>
      <c r="B5610" t="s">
        <v>15</v>
      </c>
      <c r="C5610" t="s">
        <v>125</v>
      </c>
      <c r="D5610" s="9" t="s">
        <v>124</v>
      </c>
      <c r="E5610" t="s">
        <v>33</v>
      </c>
      <c r="F5610" t="s">
        <v>63</v>
      </c>
      <c r="G5610">
        <v>46.6</v>
      </c>
      <c r="H5610" s="9">
        <v>-4.51</v>
      </c>
      <c r="I5610"/>
    </row>
    <row r="5611" spans="1:9" x14ac:dyDescent="0.3">
      <c r="A5611" t="s">
        <v>7</v>
      </c>
      <c r="B5611" t="s">
        <v>15</v>
      </c>
      <c r="C5611" t="s">
        <v>126</v>
      </c>
      <c r="D5611" s="9" t="s">
        <v>124</v>
      </c>
      <c r="E5611" t="s">
        <v>34</v>
      </c>
      <c r="F5611" t="s">
        <v>65</v>
      </c>
      <c r="G5611">
        <v>48.6</v>
      </c>
      <c r="H5611" s="9">
        <v>-3.38</v>
      </c>
      <c r="I5611"/>
    </row>
    <row r="5612" spans="1:9" x14ac:dyDescent="0.3">
      <c r="A5612" t="s">
        <v>7</v>
      </c>
      <c r="B5612" t="s">
        <v>15</v>
      </c>
      <c r="C5612" t="s">
        <v>127</v>
      </c>
      <c r="D5612" s="9" t="s">
        <v>124</v>
      </c>
      <c r="E5612" t="s">
        <v>35</v>
      </c>
      <c r="F5612" t="s">
        <v>67</v>
      </c>
      <c r="G5612">
        <v>46.4</v>
      </c>
      <c r="H5612" s="9">
        <v>-1.69</v>
      </c>
      <c r="I5612"/>
    </row>
    <row r="5613" spans="1:9" x14ac:dyDescent="0.3">
      <c r="A5613" t="s">
        <v>7</v>
      </c>
      <c r="B5613" t="s">
        <v>15</v>
      </c>
      <c r="C5613" t="s">
        <v>128</v>
      </c>
      <c r="D5613" s="9" t="s">
        <v>124</v>
      </c>
      <c r="E5613" t="s">
        <v>36</v>
      </c>
      <c r="F5613" t="s">
        <v>69</v>
      </c>
      <c r="G5613">
        <v>46.8</v>
      </c>
      <c r="H5613" s="9">
        <v>1.3</v>
      </c>
      <c r="I5613"/>
    </row>
    <row r="5614" spans="1:9" x14ac:dyDescent="0.3">
      <c r="A5614" t="s">
        <v>7</v>
      </c>
      <c r="B5614" t="s">
        <v>15</v>
      </c>
      <c r="C5614" t="s">
        <v>129</v>
      </c>
      <c r="D5614" s="9" t="s">
        <v>124</v>
      </c>
      <c r="E5614" t="s">
        <v>37</v>
      </c>
      <c r="F5614" t="s">
        <v>71</v>
      </c>
      <c r="G5614">
        <v>44.7</v>
      </c>
      <c r="H5614" s="9">
        <v>1.36</v>
      </c>
      <c r="I5614"/>
    </row>
    <row r="5615" spans="1:9" x14ac:dyDescent="0.3">
      <c r="A5615" t="s">
        <v>7</v>
      </c>
      <c r="B5615" t="s">
        <v>15</v>
      </c>
      <c r="C5615" t="s">
        <v>130</v>
      </c>
      <c r="D5615" s="9" t="s">
        <v>124</v>
      </c>
      <c r="E5615" t="s">
        <v>38</v>
      </c>
      <c r="F5615" t="s">
        <v>73</v>
      </c>
      <c r="G5615">
        <v>45.8</v>
      </c>
      <c r="H5615" s="9">
        <v>0</v>
      </c>
      <c r="I5615"/>
    </row>
    <row r="5616" spans="1:9" x14ac:dyDescent="0.3">
      <c r="A5616" t="s">
        <v>7</v>
      </c>
      <c r="B5616" t="s">
        <v>15</v>
      </c>
      <c r="C5616" t="s">
        <v>131</v>
      </c>
      <c r="D5616" s="9" t="s">
        <v>124</v>
      </c>
      <c r="E5616" t="s">
        <v>39</v>
      </c>
      <c r="F5616" t="s">
        <v>75</v>
      </c>
      <c r="G5616">
        <v>48.8</v>
      </c>
      <c r="H5616" s="9">
        <v>0.21</v>
      </c>
      <c r="I5616"/>
    </row>
    <row r="5617" spans="1:9" x14ac:dyDescent="0.3">
      <c r="A5617" t="s">
        <v>7</v>
      </c>
      <c r="B5617" t="s">
        <v>15</v>
      </c>
      <c r="C5617" t="s">
        <v>132</v>
      </c>
      <c r="D5617" s="9" t="s">
        <v>124</v>
      </c>
      <c r="E5617" t="s">
        <v>40</v>
      </c>
      <c r="F5617" t="s">
        <v>77</v>
      </c>
      <c r="G5617">
        <v>51.6</v>
      </c>
      <c r="H5617" s="9">
        <v>-1.1499999999999999</v>
      </c>
      <c r="I5617"/>
    </row>
    <row r="5618" spans="1:9" x14ac:dyDescent="0.3">
      <c r="A5618" t="s">
        <v>7</v>
      </c>
      <c r="B5618" t="s">
        <v>15</v>
      </c>
      <c r="C5618" t="s">
        <v>133</v>
      </c>
      <c r="D5618" s="9" t="s">
        <v>124</v>
      </c>
      <c r="E5618" t="s">
        <v>41</v>
      </c>
      <c r="F5618" t="s">
        <v>79</v>
      </c>
      <c r="G5618">
        <v>54.6</v>
      </c>
      <c r="H5618" s="9">
        <v>-0.91</v>
      </c>
      <c r="I5618"/>
    </row>
    <row r="5619" spans="1:9" x14ac:dyDescent="0.3">
      <c r="A5619" t="s">
        <v>7</v>
      </c>
      <c r="B5619" t="s">
        <v>15</v>
      </c>
      <c r="C5619" t="s">
        <v>134</v>
      </c>
      <c r="D5619" s="9" t="s">
        <v>124</v>
      </c>
      <c r="E5619" t="s">
        <v>42</v>
      </c>
      <c r="F5619" t="s">
        <v>81</v>
      </c>
      <c r="G5619">
        <v>57.5</v>
      </c>
      <c r="H5619" s="9">
        <v>0.35</v>
      </c>
      <c r="I5619"/>
    </row>
    <row r="5620" spans="1:9" x14ac:dyDescent="0.3">
      <c r="A5620" t="s">
        <v>7</v>
      </c>
      <c r="B5620" t="s">
        <v>15</v>
      </c>
      <c r="C5620" t="s">
        <v>135</v>
      </c>
      <c r="D5620" s="9" t="s">
        <v>124</v>
      </c>
      <c r="E5620" t="s">
        <v>43</v>
      </c>
      <c r="F5620" t="s">
        <v>83</v>
      </c>
      <c r="G5620">
        <v>58</v>
      </c>
      <c r="H5620" s="9">
        <v>-3.01</v>
      </c>
      <c r="I5620"/>
    </row>
    <row r="5621" spans="1:9" x14ac:dyDescent="0.3">
      <c r="A5621" t="s">
        <v>7</v>
      </c>
      <c r="B5621" t="s">
        <v>15</v>
      </c>
      <c r="C5621" t="s">
        <v>136</v>
      </c>
      <c r="D5621" s="9" t="s">
        <v>137</v>
      </c>
      <c r="E5621" t="s">
        <v>32</v>
      </c>
      <c r="F5621" t="s">
        <v>61</v>
      </c>
      <c r="G5621">
        <v>53.5</v>
      </c>
      <c r="H5621" s="9">
        <v>-0.56000000000000005</v>
      </c>
      <c r="I5621"/>
    </row>
    <row r="5622" spans="1:9" x14ac:dyDescent="0.3">
      <c r="A5622" t="s">
        <v>7</v>
      </c>
      <c r="B5622" t="s">
        <v>15</v>
      </c>
      <c r="C5622" t="s">
        <v>138</v>
      </c>
      <c r="D5622" s="9" t="s">
        <v>137</v>
      </c>
      <c r="E5622" t="s">
        <v>33</v>
      </c>
      <c r="F5622" t="s">
        <v>63</v>
      </c>
      <c r="G5622">
        <v>49.1</v>
      </c>
      <c r="H5622" s="9">
        <v>5.36</v>
      </c>
      <c r="I5622"/>
    </row>
    <row r="5623" spans="1:9" x14ac:dyDescent="0.3">
      <c r="A5623" t="s">
        <v>7</v>
      </c>
      <c r="B5623" t="s">
        <v>15</v>
      </c>
      <c r="C5623" t="s">
        <v>139</v>
      </c>
      <c r="D5623" s="9" t="s">
        <v>137</v>
      </c>
      <c r="E5623" t="s">
        <v>34</v>
      </c>
      <c r="F5623" t="s">
        <v>65</v>
      </c>
      <c r="G5623">
        <v>49.3</v>
      </c>
      <c r="H5623" s="9">
        <v>1.44</v>
      </c>
      <c r="I5623"/>
    </row>
    <row r="5624" spans="1:9" x14ac:dyDescent="0.3">
      <c r="A5624" t="s">
        <v>7</v>
      </c>
      <c r="B5624" t="s">
        <v>15</v>
      </c>
      <c r="C5624" t="s">
        <v>140</v>
      </c>
      <c r="D5624" s="9" t="s">
        <v>137</v>
      </c>
      <c r="E5624" t="s">
        <v>35</v>
      </c>
      <c r="F5624" t="s">
        <v>67</v>
      </c>
      <c r="G5624">
        <v>48.2</v>
      </c>
      <c r="H5624" s="9">
        <v>3.88</v>
      </c>
      <c r="I5624"/>
    </row>
    <row r="5625" spans="1:9" x14ac:dyDescent="0.3">
      <c r="A5625" t="s">
        <v>7</v>
      </c>
      <c r="B5625" t="s">
        <v>15</v>
      </c>
      <c r="C5625" t="s">
        <v>141</v>
      </c>
      <c r="D5625" s="9" t="s">
        <v>137</v>
      </c>
      <c r="E5625" t="s">
        <v>36</v>
      </c>
      <c r="F5625" t="s">
        <v>69</v>
      </c>
      <c r="G5625">
        <v>48.2</v>
      </c>
      <c r="H5625" s="9">
        <v>2.99</v>
      </c>
      <c r="I5625"/>
    </row>
    <row r="5626" spans="1:9" x14ac:dyDescent="0.3">
      <c r="A5626" t="s">
        <v>7</v>
      </c>
      <c r="B5626" t="s">
        <v>15</v>
      </c>
      <c r="C5626" t="s">
        <v>142</v>
      </c>
      <c r="D5626" s="9" t="s">
        <v>137</v>
      </c>
      <c r="E5626" t="s">
        <v>37</v>
      </c>
      <c r="F5626" t="s">
        <v>71</v>
      </c>
      <c r="G5626">
        <v>44.8</v>
      </c>
      <c r="H5626" s="9">
        <v>0.22</v>
      </c>
      <c r="I5626"/>
    </row>
    <row r="5627" spans="1:9" x14ac:dyDescent="0.3">
      <c r="A5627" t="s">
        <v>7</v>
      </c>
      <c r="B5627" t="s">
        <v>15</v>
      </c>
      <c r="C5627" t="s">
        <v>143</v>
      </c>
      <c r="D5627" s="9" t="s">
        <v>137</v>
      </c>
      <c r="E5627" t="s">
        <v>38</v>
      </c>
      <c r="F5627" t="s">
        <v>73</v>
      </c>
      <c r="G5627">
        <v>44.2</v>
      </c>
      <c r="H5627" s="9">
        <v>-3.49</v>
      </c>
      <c r="I5627"/>
    </row>
    <row r="5628" spans="1:9" x14ac:dyDescent="0.3">
      <c r="A5628" t="s">
        <v>7</v>
      </c>
      <c r="B5628" t="s">
        <v>15</v>
      </c>
      <c r="C5628" t="s">
        <v>144</v>
      </c>
      <c r="D5628" s="9" t="s">
        <v>137</v>
      </c>
      <c r="E5628" t="s">
        <v>39</v>
      </c>
      <c r="F5628" t="s">
        <v>75</v>
      </c>
      <c r="G5628">
        <v>46.5</v>
      </c>
      <c r="H5628" s="9">
        <v>-4.71</v>
      </c>
      <c r="I5628"/>
    </row>
    <row r="5629" spans="1:9" x14ac:dyDescent="0.3">
      <c r="A5629" t="s">
        <v>7</v>
      </c>
      <c r="B5629" t="s">
        <v>15</v>
      </c>
      <c r="C5629" t="s">
        <v>145</v>
      </c>
      <c r="D5629" s="9" t="s">
        <v>137</v>
      </c>
      <c r="E5629" t="s">
        <v>40</v>
      </c>
      <c r="F5629" t="s">
        <v>77</v>
      </c>
      <c r="G5629">
        <v>48.7</v>
      </c>
      <c r="H5629" s="9">
        <v>-5.62</v>
      </c>
      <c r="I5629"/>
    </row>
    <row r="5630" spans="1:9" x14ac:dyDescent="0.3">
      <c r="A5630" t="s">
        <v>7</v>
      </c>
      <c r="B5630" t="s">
        <v>15</v>
      </c>
      <c r="C5630" t="s">
        <v>146</v>
      </c>
      <c r="D5630" s="9" t="s">
        <v>137</v>
      </c>
      <c r="E5630" t="s">
        <v>41</v>
      </c>
      <c r="F5630" t="s">
        <v>79</v>
      </c>
      <c r="G5630">
        <v>58</v>
      </c>
      <c r="H5630" s="9">
        <v>6.23</v>
      </c>
      <c r="I5630"/>
    </row>
    <row r="5631" spans="1:9" x14ac:dyDescent="0.3">
      <c r="A5631" t="s">
        <v>7</v>
      </c>
      <c r="B5631" t="s">
        <v>15</v>
      </c>
      <c r="C5631" t="s">
        <v>147</v>
      </c>
      <c r="D5631" s="9" t="s">
        <v>137</v>
      </c>
      <c r="E5631" t="s">
        <v>42</v>
      </c>
      <c r="F5631" t="s">
        <v>81</v>
      </c>
      <c r="G5631">
        <v>60.2</v>
      </c>
      <c r="H5631" s="9">
        <v>4.7</v>
      </c>
      <c r="I5631"/>
    </row>
    <row r="5632" spans="1:9" x14ac:dyDescent="0.3">
      <c r="A5632" t="s">
        <v>7</v>
      </c>
      <c r="B5632" t="s">
        <v>15</v>
      </c>
      <c r="C5632" t="s">
        <v>148</v>
      </c>
      <c r="D5632" s="9" t="s">
        <v>137</v>
      </c>
      <c r="E5632" t="s">
        <v>43</v>
      </c>
      <c r="F5632" t="s">
        <v>83</v>
      </c>
      <c r="G5632">
        <v>59.7</v>
      </c>
      <c r="H5632" s="9">
        <v>2.93</v>
      </c>
      <c r="I5632"/>
    </row>
    <row r="5633" spans="1:9" x14ac:dyDescent="0.3">
      <c r="A5633" t="s">
        <v>7</v>
      </c>
      <c r="B5633" t="s">
        <v>15</v>
      </c>
      <c r="C5633" t="s">
        <v>149</v>
      </c>
      <c r="D5633" s="9" t="s">
        <v>150</v>
      </c>
      <c r="E5633" t="s">
        <v>32</v>
      </c>
      <c r="F5633" t="s">
        <v>61</v>
      </c>
      <c r="G5633">
        <v>54.1</v>
      </c>
      <c r="H5633" s="9">
        <v>1.1200000000000001</v>
      </c>
      <c r="I5633"/>
    </row>
    <row r="5634" spans="1:9" x14ac:dyDescent="0.3">
      <c r="A5634" t="s">
        <v>7</v>
      </c>
      <c r="B5634" t="s">
        <v>15</v>
      </c>
      <c r="C5634" t="s">
        <v>151</v>
      </c>
      <c r="D5634" s="9" t="s">
        <v>150</v>
      </c>
      <c r="E5634" t="s">
        <v>33</v>
      </c>
      <c r="F5634" t="s">
        <v>63</v>
      </c>
      <c r="G5634">
        <v>47.2</v>
      </c>
      <c r="H5634" s="9">
        <v>-3.87</v>
      </c>
      <c r="I5634"/>
    </row>
    <row r="5635" spans="1:9" x14ac:dyDescent="0.3">
      <c r="A5635" t="s">
        <v>7</v>
      </c>
      <c r="B5635" t="s">
        <v>15</v>
      </c>
      <c r="C5635" t="s">
        <v>152</v>
      </c>
      <c r="D5635" s="9" t="s">
        <v>150</v>
      </c>
      <c r="E5635" t="s">
        <v>34</v>
      </c>
      <c r="F5635" t="s">
        <v>65</v>
      </c>
      <c r="G5635">
        <v>50.5</v>
      </c>
      <c r="H5635" s="9">
        <v>2.4300000000000002</v>
      </c>
      <c r="I5635"/>
    </row>
    <row r="5636" spans="1:9" x14ac:dyDescent="0.3">
      <c r="A5636" t="s">
        <v>7</v>
      </c>
      <c r="B5636" t="s">
        <v>15</v>
      </c>
      <c r="C5636" t="s">
        <v>153</v>
      </c>
      <c r="D5636" s="9" t="s">
        <v>150</v>
      </c>
      <c r="E5636" t="s">
        <v>35</v>
      </c>
      <c r="F5636" t="s">
        <v>67</v>
      </c>
      <c r="G5636">
        <v>48.3</v>
      </c>
      <c r="H5636" s="9">
        <v>0.21</v>
      </c>
      <c r="I5636"/>
    </row>
    <row r="5637" spans="1:9" x14ac:dyDescent="0.3">
      <c r="A5637" t="s">
        <v>7</v>
      </c>
      <c r="B5637" t="s">
        <v>15</v>
      </c>
      <c r="C5637" t="s">
        <v>154</v>
      </c>
      <c r="D5637" s="9" t="s">
        <v>150</v>
      </c>
      <c r="E5637" t="s">
        <v>36</v>
      </c>
      <c r="F5637" t="s">
        <v>69</v>
      </c>
      <c r="G5637">
        <v>50.4</v>
      </c>
      <c r="H5637" s="9">
        <v>4.5599999999999996</v>
      </c>
      <c r="I5637"/>
    </row>
    <row r="5638" spans="1:9" x14ac:dyDescent="0.3">
      <c r="A5638" t="s">
        <v>7</v>
      </c>
      <c r="B5638" t="s">
        <v>15</v>
      </c>
      <c r="C5638" t="s">
        <v>155</v>
      </c>
      <c r="D5638" s="9" t="s">
        <v>150</v>
      </c>
      <c r="E5638" t="s">
        <v>37</v>
      </c>
      <c r="F5638" t="s">
        <v>71</v>
      </c>
      <c r="G5638">
        <v>47.7</v>
      </c>
      <c r="H5638" s="9">
        <v>6.47</v>
      </c>
      <c r="I5638"/>
    </row>
    <row r="5639" spans="1:9" x14ac:dyDescent="0.3">
      <c r="A5639" t="s">
        <v>7</v>
      </c>
      <c r="B5639" t="s">
        <v>21</v>
      </c>
      <c r="C5639" t="s">
        <v>66</v>
      </c>
      <c r="D5639" s="9" t="s">
        <v>60</v>
      </c>
      <c r="E5639" t="s">
        <v>35</v>
      </c>
      <c r="F5639" t="s">
        <v>67</v>
      </c>
      <c r="G5639">
        <v>27.3</v>
      </c>
      <c r="I5639"/>
    </row>
    <row r="5640" spans="1:9" x14ac:dyDescent="0.3">
      <c r="A5640" t="s">
        <v>7</v>
      </c>
      <c r="B5640" t="s">
        <v>21</v>
      </c>
      <c r="C5640" t="s">
        <v>68</v>
      </c>
      <c r="D5640" s="9" t="s">
        <v>60</v>
      </c>
      <c r="E5640" t="s">
        <v>36</v>
      </c>
      <c r="F5640" t="s">
        <v>69</v>
      </c>
      <c r="G5640">
        <v>25</v>
      </c>
      <c r="I5640"/>
    </row>
    <row r="5641" spans="1:9" x14ac:dyDescent="0.3">
      <c r="A5641" t="s">
        <v>7</v>
      </c>
      <c r="B5641" t="s">
        <v>21</v>
      </c>
      <c r="C5641" t="s">
        <v>70</v>
      </c>
      <c r="D5641" s="9" t="s">
        <v>60</v>
      </c>
      <c r="E5641" t="s">
        <v>37</v>
      </c>
      <c r="F5641" t="s">
        <v>71</v>
      </c>
      <c r="G5641">
        <v>23.2</v>
      </c>
      <c r="I5641"/>
    </row>
    <row r="5642" spans="1:9" x14ac:dyDescent="0.3">
      <c r="A5642" t="s">
        <v>7</v>
      </c>
      <c r="B5642" t="s">
        <v>21</v>
      </c>
      <c r="C5642" t="s">
        <v>72</v>
      </c>
      <c r="D5642" s="9" t="s">
        <v>60</v>
      </c>
      <c r="E5642" t="s">
        <v>38</v>
      </c>
      <c r="F5642" t="s">
        <v>73</v>
      </c>
      <c r="G5642">
        <v>25</v>
      </c>
      <c r="I5642"/>
    </row>
    <row r="5643" spans="1:9" x14ac:dyDescent="0.3">
      <c r="A5643" t="s">
        <v>7</v>
      </c>
      <c r="B5643" t="s">
        <v>21</v>
      </c>
      <c r="C5643" t="s">
        <v>74</v>
      </c>
      <c r="D5643" s="9" t="s">
        <v>60</v>
      </c>
      <c r="E5643" t="s">
        <v>39</v>
      </c>
      <c r="F5643" t="s">
        <v>75</v>
      </c>
      <c r="G5643">
        <v>26.5</v>
      </c>
      <c r="I5643"/>
    </row>
    <row r="5644" spans="1:9" x14ac:dyDescent="0.3">
      <c r="A5644" t="s">
        <v>7</v>
      </c>
      <c r="B5644" t="s">
        <v>21</v>
      </c>
      <c r="C5644" t="s">
        <v>76</v>
      </c>
      <c r="D5644" s="9" t="s">
        <v>60</v>
      </c>
      <c r="E5644" t="s">
        <v>40</v>
      </c>
      <c r="F5644" t="s">
        <v>77</v>
      </c>
      <c r="G5644">
        <v>26.4</v>
      </c>
      <c r="I5644"/>
    </row>
    <row r="5645" spans="1:9" x14ac:dyDescent="0.3">
      <c r="A5645" t="s">
        <v>7</v>
      </c>
      <c r="B5645" t="s">
        <v>21</v>
      </c>
      <c r="C5645" t="s">
        <v>78</v>
      </c>
      <c r="D5645" s="9" t="s">
        <v>60</v>
      </c>
      <c r="E5645" t="s">
        <v>41</v>
      </c>
      <c r="F5645" t="s">
        <v>79</v>
      </c>
      <c r="G5645">
        <v>28.5</v>
      </c>
      <c r="I5645"/>
    </row>
    <row r="5646" spans="1:9" x14ac:dyDescent="0.3">
      <c r="A5646" t="s">
        <v>7</v>
      </c>
      <c r="B5646" t="s">
        <v>21</v>
      </c>
      <c r="C5646" t="s">
        <v>80</v>
      </c>
      <c r="D5646" s="9" t="s">
        <v>60</v>
      </c>
      <c r="E5646" t="s">
        <v>42</v>
      </c>
      <c r="F5646" t="s">
        <v>81</v>
      </c>
      <c r="G5646">
        <v>30.7</v>
      </c>
      <c r="I5646"/>
    </row>
    <row r="5647" spans="1:9" x14ac:dyDescent="0.3">
      <c r="A5647" t="s">
        <v>7</v>
      </c>
      <c r="B5647" t="s">
        <v>21</v>
      </c>
      <c r="C5647" t="s">
        <v>82</v>
      </c>
      <c r="D5647" s="9" t="s">
        <v>60</v>
      </c>
      <c r="E5647" t="s">
        <v>43</v>
      </c>
      <c r="F5647" t="s">
        <v>83</v>
      </c>
      <c r="G5647">
        <v>45.8</v>
      </c>
      <c r="I5647"/>
    </row>
    <row r="5648" spans="1:9" x14ac:dyDescent="0.3">
      <c r="A5648" t="s">
        <v>7</v>
      </c>
      <c r="B5648" t="s">
        <v>21</v>
      </c>
      <c r="C5648" t="s">
        <v>84</v>
      </c>
      <c r="D5648" s="9" t="s">
        <v>85</v>
      </c>
      <c r="E5648" t="s">
        <v>32</v>
      </c>
      <c r="F5648" t="s">
        <v>61</v>
      </c>
      <c r="G5648">
        <v>32.799999999999997</v>
      </c>
      <c r="I5648"/>
    </row>
    <row r="5649" spans="1:9" x14ac:dyDescent="0.3">
      <c r="A5649" t="s">
        <v>7</v>
      </c>
      <c r="B5649" t="s">
        <v>21</v>
      </c>
      <c r="C5649" t="s">
        <v>86</v>
      </c>
      <c r="D5649" s="9" t="s">
        <v>85</v>
      </c>
      <c r="E5649" t="s">
        <v>33</v>
      </c>
      <c r="F5649" t="s">
        <v>63</v>
      </c>
      <c r="G5649">
        <v>29.3</v>
      </c>
      <c r="I5649"/>
    </row>
    <row r="5650" spans="1:9" x14ac:dyDescent="0.3">
      <c r="A5650" t="s">
        <v>7</v>
      </c>
      <c r="B5650" t="s">
        <v>21</v>
      </c>
      <c r="C5650" t="s">
        <v>87</v>
      </c>
      <c r="D5650" s="9" t="s">
        <v>85</v>
      </c>
      <c r="E5650" t="s">
        <v>34</v>
      </c>
      <c r="F5650" t="s">
        <v>65</v>
      </c>
      <c r="G5650">
        <v>36</v>
      </c>
      <c r="I5650"/>
    </row>
    <row r="5651" spans="1:9" x14ac:dyDescent="0.3">
      <c r="A5651" t="s">
        <v>7</v>
      </c>
      <c r="B5651" t="s">
        <v>21</v>
      </c>
      <c r="C5651" t="s">
        <v>88</v>
      </c>
      <c r="D5651" s="9" t="s">
        <v>85</v>
      </c>
      <c r="E5651" t="s">
        <v>35</v>
      </c>
      <c r="F5651" t="s">
        <v>67</v>
      </c>
      <c r="G5651">
        <v>27.5</v>
      </c>
      <c r="H5651" s="9">
        <v>0.73</v>
      </c>
      <c r="I5651"/>
    </row>
    <row r="5652" spans="1:9" x14ac:dyDescent="0.3">
      <c r="A5652" t="s">
        <v>7</v>
      </c>
      <c r="B5652" t="s">
        <v>21</v>
      </c>
      <c r="C5652" t="s">
        <v>89</v>
      </c>
      <c r="D5652" s="9" t="s">
        <v>85</v>
      </c>
      <c r="E5652" t="s">
        <v>36</v>
      </c>
      <c r="F5652" t="s">
        <v>69</v>
      </c>
      <c r="G5652">
        <v>32.1</v>
      </c>
      <c r="H5652" s="9">
        <v>28.4</v>
      </c>
      <c r="I5652"/>
    </row>
    <row r="5653" spans="1:9" x14ac:dyDescent="0.3">
      <c r="A5653" t="s">
        <v>7</v>
      </c>
      <c r="B5653" t="s">
        <v>21</v>
      </c>
      <c r="C5653" t="s">
        <v>90</v>
      </c>
      <c r="D5653" s="9" t="s">
        <v>85</v>
      </c>
      <c r="E5653" t="s">
        <v>37</v>
      </c>
      <c r="F5653" t="s">
        <v>71</v>
      </c>
      <c r="G5653">
        <v>31</v>
      </c>
      <c r="H5653" s="9">
        <v>33.619999999999997</v>
      </c>
      <c r="I5653"/>
    </row>
    <row r="5654" spans="1:9" x14ac:dyDescent="0.3">
      <c r="A5654" t="s">
        <v>7</v>
      </c>
      <c r="B5654" t="s">
        <v>21</v>
      </c>
      <c r="C5654" t="s">
        <v>91</v>
      </c>
      <c r="D5654" s="9" t="s">
        <v>85</v>
      </c>
      <c r="E5654" t="s">
        <v>38</v>
      </c>
      <c r="F5654" t="s">
        <v>73</v>
      </c>
      <c r="G5654">
        <v>33.5</v>
      </c>
      <c r="H5654" s="9">
        <v>34</v>
      </c>
      <c r="I5654"/>
    </row>
    <row r="5655" spans="1:9" x14ac:dyDescent="0.3">
      <c r="A5655" t="s">
        <v>7</v>
      </c>
      <c r="B5655" t="s">
        <v>21</v>
      </c>
      <c r="C5655" t="s">
        <v>92</v>
      </c>
      <c r="D5655" s="9" t="s">
        <v>85</v>
      </c>
      <c r="E5655" t="s">
        <v>39</v>
      </c>
      <c r="F5655" t="s">
        <v>75</v>
      </c>
      <c r="G5655">
        <v>32.1</v>
      </c>
      <c r="H5655" s="9">
        <v>21.13</v>
      </c>
      <c r="I5655"/>
    </row>
    <row r="5656" spans="1:9" x14ac:dyDescent="0.3">
      <c r="A5656" t="s">
        <v>7</v>
      </c>
      <c r="B5656" t="s">
        <v>21</v>
      </c>
      <c r="C5656" t="s">
        <v>93</v>
      </c>
      <c r="D5656" s="9" t="s">
        <v>85</v>
      </c>
      <c r="E5656" t="s">
        <v>40</v>
      </c>
      <c r="F5656" t="s">
        <v>77</v>
      </c>
      <c r="G5656">
        <v>32.1</v>
      </c>
      <c r="H5656" s="9">
        <v>21.59</v>
      </c>
      <c r="I5656"/>
    </row>
    <row r="5657" spans="1:9" x14ac:dyDescent="0.3">
      <c r="A5657" t="s">
        <v>7</v>
      </c>
      <c r="B5657" t="s">
        <v>21</v>
      </c>
      <c r="C5657" t="s">
        <v>94</v>
      </c>
      <c r="D5657" s="9" t="s">
        <v>85</v>
      </c>
      <c r="E5657" t="s">
        <v>41</v>
      </c>
      <c r="F5657" t="s">
        <v>79</v>
      </c>
      <c r="G5657">
        <v>34.700000000000003</v>
      </c>
      <c r="H5657" s="9">
        <v>21.75</v>
      </c>
      <c r="I5657"/>
    </row>
    <row r="5658" spans="1:9" x14ac:dyDescent="0.3">
      <c r="A5658" t="s">
        <v>7</v>
      </c>
      <c r="B5658" t="s">
        <v>21</v>
      </c>
      <c r="C5658" t="s">
        <v>95</v>
      </c>
      <c r="D5658" s="9" t="s">
        <v>85</v>
      </c>
      <c r="E5658" t="s">
        <v>42</v>
      </c>
      <c r="F5658" t="s">
        <v>81</v>
      </c>
      <c r="G5658">
        <v>34.299999999999997</v>
      </c>
      <c r="H5658" s="9">
        <v>11.73</v>
      </c>
      <c r="I5658"/>
    </row>
    <row r="5659" spans="1:9" x14ac:dyDescent="0.3">
      <c r="A5659" t="s">
        <v>7</v>
      </c>
      <c r="B5659" t="s">
        <v>21</v>
      </c>
      <c r="C5659" t="s">
        <v>96</v>
      </c>
      <c r="D5659" s="9" t="s">
        <v>85</v>
      </c>
      <c r="E5659" t="s">
        <v>43</v>
      </c>
      <c r="F5659" t="s">
        <v>83</v>
      </c>
      <c r="G5659">
        <v>52.4</v>
      </c>
      <c r="H5659" s="9">
        <v>14.41</v>
      </c>
      <c r="I5659"/>
    </row>
    <row r="5660" spans="1:9" x14ac:dyDescent="0.3">
      <c r="A5660" t="s">
        <v>7</v>
      </c>
      <c r="B5660" t="s">
        <v>21</v>
      </c>
      <c r="C5660" t="s">
        <v>97</v>
      </c>
      <c r="D5660" s="9" t="s">
        <v>98</v>
      </c>
      <c r="E5660" t="s">
        <v>32</v>
      </c>
      <c r="F5660" t="s">
        <v>61</v>
      </c>
      <c r="G5660">
        <v>36.200000000000003</v>
      </c>
      <c r="H5660" s="9">
        <v>10.37</v>
      </c>
      <c r="I5660"/>
    </row>
    <row r="5661" spans="1:9" x14ac:dyDescent="0.3">
      <c r="A5661" t="s">
        <v>7</v>
      </c>
      <c r="B5661" t="s">
        <v>21</v>
      </c>
      <c r="C5661" t="s">
        <v>99</v>
      </c>
      <c r="D5661" s="9" t="s">
        <v>98</v>
      </c>
      <c r="E5661" t="s">
        <v>33</v>
      </c>
      <c r="F5661" t="s">
        <v>63</v>
      </c>
      <c r="G5661">
        <v>31</v>
      </c>
      <c r="H5661" s="9">
        <v>5.8</v>
      </c>
      <c r="I5661"/>
    </row>
    <row r="5662" spans="1:9" x14ac:dyDescent="0.3">
      <c r="A5662" t="s">
        <v>7</v>
      </c>
      <c r="B5662" t="s">
        <v>21</v>
      </c>
      <c r="C5662" t="s">
        <v>100</v>
      </c>
      <c r="D5662" s="9" t="s">
        <v>98</v>
      </c>
      <c r="E5662" t="s">
        <v>34</v>
      </c>
      <c r="F5662" t="s">
        <v>65</v>
      </c>
      <c r="G5662">
        <v>35.9</v>
      </c>
      <c r="H5662" s="9">
        <v>-0.28000000000000003</v>
      </c>
      <c r="I5662"/>
    </row>
    <row r="5663" spans="1:9" x14ac:dyDescent="0.3">
      <c r="A5663" t="s">
        <v>7</v>
      </c>
      <c r="B5663" t="s">
        <v>21</v>
      </c>
      <c r="C5663" t="s">
        <v>101</v>
      </c>
      <c r="D5663" s="9" t="s">
        <v>98</v>
      </c>
      <c r="E5663" t="s">
        <v>35</v>
      </c>
      <c r="F5663" t="s">
        <v>67</v>
      </c>
      <c r="G5663">
        <v>34.700000000000003</v>
      </c>
      <c r="H5663" s="9">
        <v>26.18</v>
      </c>
      <c r="I5663"/>
    </row>
    <row r="5664" spans="1:9" x14ac:dyDescent="0.3">
      <c r="A5664" t="s">
        <v>7</v>
      </c>
      <c r="B5664" t="s">
        <v>21</v>
      </c>
      <c r="C5664" t="s">
        <v>102</v>
      </c>
      <c r="D5664" s="9" t="s">
        <v>98</v>
      </c>
      <c r="E5664" t="s">
        <v>36</v>
      </c>
      <c r="F5664" t="s">
        <v>69</v>
      </c>
      <c r="G5664">
        <v>32.5</v>
      </c>
      <c r="H5664" s="9">
        <v>1.25</v>
      </c>
      <c r="I5664"/>
    </row>
    <row r="5665" spans="1:9" x14ac:dyDescent="0.3">
      <c r="A5665" t="s">
        <v>7</v>
      </c>
      <c r="B5665" t="s">
        <v>21</v>
      </c>
      <c r="C5665" t="s">
        <v>103</v>
      </c>
      <c r="D5665" s="9" t="s">
        <v>98</v>
      </c>
      <c r="E5665" t="s">
        <v>37</v>
      </c>
      <c r="F5665" t="s">
        <v>71</v>
      </c>
      <c r="G5665">
        <v>30.8</v>
      </c>
      <c r="H5665" s="9">
        <v>-0.65</v>
      </c>
      <c r="I5665"/>
    </row>
    <row r="5666" spans="1:9" x14ac:dyDescent="0.3">
      <c r="A5666" t="s">
        <v>7</v>
      </c>
      <c r="B5666" t="s">
        <v>21</v>
      </c>
      <c r="C5666" t="s">
        <v>104</v>
      </c>
      <c r="D5666" s="9" t="s">
        <v>98</v>
      </c>
      <c r="E5666" t="s">
        <v>38</v>
      </c>
      <c r="F5666" t="s">
        <v>73</v>
      </c>
      <c r="G5666">
        <v>33.799999999999997</v>
      </c>
      <c r="H5666" s="9">
        <v>0.9</v>
      </c>
      <c r="I5666"/>
    </row>
    <row r="5667" spans="1:9" x14ac:dyDescent="0.3">
      <c r="A5667" t="s">
        <v>7</v>
      </c>
      <c r="B5667" t="s">
        <v>21</v>
      </c>
      <c r="C5667" t="s">
        <v>105</v>
      </c>
      <c r="D5667" s="9" t="s">
        <v>98</v>
      </c>
      <c r="E5667" t="s">
        <v>39</v>
      </c>
      <c r="F5667" t="s">
        <v>75</v>
      </c>
      <c r="G5667">
        <v>31.4</v>
      </c>
      <c r="H5667" s="9">
        <v>-2.1800000000000002</v>
      </c>
      <c r="I5667"/>
    </row>
    <row r="5668" spans="1:9" x14ac:dyDescent="0.3">
      <c r="A5668" t="s">
        <v>7</v>
      </c>
      <c r="B5668" t="s">
        <v>21</v>
      </c>
      <c r="C5668" t="s">
        <v>106</v>
      </c>
      <c r="D5668" s="9" t="s">
        <v>98</v>
      </c>
      <c r="E5668" t="s">
        <v>40</v>
      </c>
      <c r="F5668" t="s">
        <v>77</v>
      </c>
      <c r="G5668">
        <v>33.5</v>
      </c>
      <c r="H5668" s="9">
        <v>4.3600000000000003</v>
      </c>
      <c r="I5668"/>
    </row>
    <row r="5669" spans="1:9" x14ac:dyDescent="0.3">
      <c r="A5669" t="s">
        <v>7</v>
      </c>
      <c r="B5669" t="s">
        <v>21</v>
      </c>
      <c r="C5669" t="s">
        <v>107</v>
      </c>
      <c r="D5669" s="9" t="s">
        <v>98</v>
      </c>
      <c r="E5669" t="s">
        <v>41</v>
      </c>
      <c r="F5669" t="s">
        <v>79</v>
      </c>
      <c r="G5669">
        <v>34.9</v>
      </c>
      <c r="H5669" s="9">
        <v>0.57999999999999996</v>
      </c>
      <c r="I5669"/>
    </row>
    <row r="5670" spans="1:9" x14ac:dyDescent="0.3">
      <c r="A5670" t="s">
        <v>7</v>
      </c>
      <c r="B5670" t="s">
        <v>21</v>
      </c>
      <c r="C5670" t="s">
        <v>108</v>
      </c>
      <c r="D5670" s="9" t="s">
        <v>98</v>
      </c>
      <c r="E5670" t="s">
        <v>42</v>
      </c>
      <c r="F5670" t="s">
        <v>81</v>
      </c>
      <c r="G5670">
        <v>34.200000000000003</v>
      </c>
      <c r="H5670" s="9">
        <v>-0.28999999999999998</v>
      </c>
      <c r="I5670"/>
    </row>
    <row r="5671" spans="1:9" x14ac:dyDescent="0.3">
      <c r="A5671" t="s">
        <v>7</v>
      </c>
      <c r="B5671" t="s">
        <v>21</v>
      </c>
      <c r="C5671" t="s">
        <v>109</v>
      </c>
      <c r="D5671" s="9" t="s">
        <v>98</v>
      </c>
      <c r="E5671" t="s">
        <v>43</v>
      </c>
      <c r="F5671" t="s">
        <v>83</v>
      </c>
      <c r="G5671">
        <v>55.6</v>
      </c>
      <c r="H5671" s="9">
        <v>6.11</v>
      </c>
      <c r="I5671"/>
    </row>
    <row r="5672" spans="1:9" x14ac:dyDescent="0.3">
      <c r="A5672" t="s">
        <v>7</v>
      </c>
      <c r="B5672" t="s">
        <v>21</v>
      </c>
      <c r="C5672" t="s">
        <v>110</v>
      </c>
      <c r="D5672" s="9" t="s">
        <v>111</v>
      </c>
      <c r="E5672" t="s">
        <v>32</v>
      </c>
      <c r="F5672" t="s">
        <v>61</v>
      </c>
      <c r="G5672">
        <v>35.700000000000003</v>
      </c>
      <c r="H5672" s="9">
        <v>-1.38</v>
      </c>
      <c r="I5672"/>
    </row>
    <row r="5673" spans="1:9" x14ac:dyDescent="0.3">
      <c r="A5673" t="s">
        <v>7</v>
      </c>
      <c r="B5673" t="s">
        <v>21</v>
      </c>
      <c r="C5673" t="s">
        <v>112</v>
      </c>
      <c r="D5673" s="9" t="s">
        <v>111</v>
      </c>
      <c r="E5673" t="s">
        <v>33</v>
      </c>
      <c r="F5673" t="s">
        <v>63</v>
      </c>
      <c r="G5673">
        <v>34.200000000000003</v>
      </c>
      <c r="H5673" s="9">
        <v>10.32</v>
      </c>
      <c r="I5673"/>
    </row>
    <row r="5674" spans="1:9" x14ac:dyDescent="0.3">
      <c r="A5674" t="s">
        <v>7</v>
      </c>
      <c r="B5674" t="s">
        <v>21</v>
      </c>
      <c r="C5674" t="s">
        <v>113</v>
      </c>
      <c r="D5674" s="9" t="s">
        <v>111</v>
      </c>
      <c r="E5674" t="s">
        <v>34</v>
      </c>
      <c r="F5674" t="s">
        <v>65</v>
      </c>
      <c r="G5674">
        <v>38</v>
      </c>
      <c r="H5674" s="9">
        <v>5.85</v>
      </c>
      <c r="I5674"/>
    </row>
    <row r="5675" spans="1:9" x14ac:dyDescent="0.3">
      <c r="A5675" t="s">
        <v>7</v>
      </c>
      <c r="B5675" t="s">
        <v>21</v>
      </c>
      <c r="C5675" t="s">
        <v>114</v>
      </c>
      <c r="D5675" s="9" t="s">
        <v>111</v>
      </c>
      <c r="E5675" t="s">
        <v>35</v>
      </c>
      <c r="F5675" t="s">
        <v>67</v>
      </c>
      <c r="G5675">
        <v>39.1</v>
      </c>
      <c r="H5675" s="9">
        <v>12.68</v>
      </c>
      <c r="I5675"/>
    </row>
    <row r="5676" spans="1:9" x14ac:dyDescent="0.3">
      <c r="A5676" t="s">
        <v>7</v>
      </c>
      <c r="B5676" t="s">
        <v>21</v>
      </c>
      <c r="C5676" t="s">
        <v>115</v>
      </c>
      <c r="D5676" s="9" t="s">
        <v>111</v>
      </c>
      <c r="E5676" t="s">
        <v>36</v>
      </c>
      <c r="F5676" t="s">
        <v>69</v>
      </c>
      <c r="G5676">
        <v>35.4</v>
      </c>
      <c r="H5676" s="9">
        <v>8.92</v>
      </c>
      <c r="I5676"/>
    </row>
    <row r="5677" spans="1:9" x14ac:dyDescent="0.3">
      <c r="A5677" t="s">
        <v>7</v>
      </c>
      <c r="B5677" t="s">
        <v>21</v>
      </c>
      <c r="C5677" t="s">
        <v>116</v>
      </c>
      <c r="D5677" s="9" t="s">
        <v>111</v>
      </c>
      <c r="E5677" t="s">
        <v>37</v>
      </c>
      <c r="F5677" t="s">
        <v>71</v>
      </c>
      <c r="G5677">
        <v>34.299999999999997</v>
      </c>
      <c r="H5677" s="9">
        <v>11.36</v>
      </c>
      <c r="I5677"/>
    </row>
    <row r="5678" spans="1:9" x14ac:dyDescent="0.3">
      <c r="A5678" t="s">
        <v>7</v>
      </c>
      <c r="B5678" t="s">
        <v>21</v>
      </c>
      <c r="C5678" t="s">
        <v>117</v>
      </c>
      <c r="D5678" s="9" t="s">
        <v>111</v>
      </c>
      <c r="E5678" t="s">
        <v>38</v>
      </c>
      <c r="F5678" t="s">
        <v>73</v>
      </c>
      <c r="G5678">
        <v>35.700000000000003</v>
      </c>
      <c r="H5678" s="9">
        <v>5.62</v>
      </c>
      <c r="I5678"/>
    </row>
    <row r="5679" spans="1:9" x14ac:dyDescent="0.3">
      <c r="A5679" t="s">
        <v>7</v>
      </c>
      <c r="B5679" t="s">
        <v>21</v>
      </c>
      <c r="C5679" t="s">
        <v>118</v>
      </c>
      <c r="D5679" s="9" t="s">
        <v>111</v>
      </c>
      <c r="E5679" t="s">
        <v>39</v>
      </c>
      <c r="F5679" t="s">
        <v>75</v>
      </c>
      <c r="G5679">
        <v>36</v>
      </c>
      <c r="H5679" s="9">
        <v>14.65</v>
      </c>
      <c r="I5679"/>
    </row>
    <row r="5680" spans="1:9" x14ac:dyDescent="0.3">
      <c r="A5680" t="s">
        <v>7</v>
      </c>
      <c r="B5680" t="s">
        <v>21</v>
      </c>
      <c r="C5680" t="s">
        <v>119</v>
      </c>
      <c r="D5680" s="9" t="s">
        <v>111</v>
      </c>
      <c r="E5680" t="s">
        <v>40</v>
      </c>
      <c r="F5680" t="s">
        <v>77</v>
      </c>
      <c r="G5680">
        <v>39</v>
      </c>
      <c r="H5680" s="9">
        <v>16.420000000000002</v>
      </c>
      <c r="I5680"/>
    </row>
    <row r="5681" spans="1:9" x14ac:dyDescent="0.3">
      <c r="A5681" t="s">
        <v>7</v>
      </c>
      <c r="B5681" t="s">
        <v>21</v>
      </c>
      <c r="C5681" t="s">
        <v>120</v>
      </c>
      <c r="D5681" s="9" t="s">
        <v>111</v>
      </c>
      <c r="E5681" t="s">
        <v>41</v>
      </c>
      <c r="F5681" t="s">
        <v>79</v>
      </c>
      <c r="G5681">
        <v>38.1</v>
      </c>
      <c r="H5681" s="9">
        <v>9.17</v>
      </c>
      <c r="I5681"/>
    </row>
    <row r="5682" spans="1:9" x14ac:dyDescent="0.3">
      <c r="A5682" t="s">
        <v>7</v>
      </c>
      <c r="B5682" t="s">
        <v>21</v>
      </c>
      <c r="C5682" t="s">
        <v>121</v>
      </c>
      <c r="D5682" s="9" t="s">
        <v>111</v>
      </c>
      <c r="E5682" t="s">
        <v>42</v>
      </c>
      <c r="F5682" t="s">
        <v>81</v>
      </c>
      <c r="G5682">
        <v>40.299999999999997</v>
      </c>
      <c r="H5682" s="9">
        <v>17.84</v>
      </c>
      <c r="I5682"/>
    </row>
    <row r="5683" spans="1:9" x14ac:dyDescent="0.3">
      <c r="A5683" t="s">
        <v>7</v>
      </c>
      <c r="B5683" t="s">
        <v>21</v>
      </c>
      <c r="C5683" t="s">
        <v>122</v>
      </c>
      <c r="D5683" s="9" t="s">
        <v>111</v>
      </c>
      <c r="E5683" t="s">
        <v>43</v>
      </c>
      <c r="F5683" t="s">
        <v>83</v>
      </c>
      <c r="G5683">
        <v>59.6</v>
      </c>
      <c r="H5683" s="9">
        <v>7.19</v>
      </c>
      <c r="I5683"/>
    </row>
    <row r="5684" spans="1:9" x14ac:dyDescent="0.3">
      <c r="A5684" t="s">
        <v>7</v>
      </c>
      <c r="B5684" t="s">
        <v>21</v>
      </c>
      <c r="C5684" t="s">
        <v>123</v>
      </c>
      <c r="D5684" s="9" t="s">
        <v>124</v>
      </c>
      <c r="E5684" t="s">
        <v>32</v>
      </c>
      <c r="F5684" t="s">
        <v>61</v>
      </c>
      <c r="G5684">
        <v>41.8</v>
      </c>
      <c r="H5684" s="9">
        <v>17.09</v>
      </c>
      <c r="I5684"/>
    </row>
    <row r="5685" spans="1:9" x14ac:dyDescent="0.3">
      <c r="A5685" t="s">
        <v>7</v>
      </c>
      <c r="B5685" t="s">
        <v>21</v>
      </c>
      <c r="C5685" t="s">
        <v>125</v>
      </c>
      <c r="D5685" s="9" t="s">
        <v>124</v>
      </c>
      <c r="E5685" t="s">
        <v>33</v>
      </c>
      <c r="F5685" t="s">
        <v>63</v>
      </c>
      <c r="G5685">
        <v>38.299999999999997</v>
      </c>
      <c r="H5685" s="9">
        <v>11.99</v>
      </c>
      <c r="I5685"/>
    </row>
    <row r="5686" spans="1:9" x14ac:dyDescent="0.3">
      <c r="A5686" t="s">
        <v>7</v>
      </c>
      <c r="B5686" t="s">
        <v>21</v>
      </c>
      <c r="C5686" t="s">
        <v>126</v>
      </c>
      <c r="D5686" s="9" t="s">
        <v>124</v>
      </c>
      <c r="E5686" t="s">
        <v>34</v>
      </c>
      <c r="F5686" t="s">
        <v>65</v>
      </c>
      <c r="G5686">
        <v>41.4</v>
      </c>
      <c r="H5686" s="9">
        <v>8.9499999999999993</v>
      </c>
      <c r="I5686"/>
    </row>
    <row r="5687" spans="1:9" x14ac:dyDescent="0.3">
      <c r="A5687" t="s">
        <v>7</v>
      </c>
      <c r="B5687" t="s">
        <v>21</v>
      </c>
      <c r="C5687" t="s">
        <v>127</v>
      </c>
      <c r="D5687" s="9" t="s">
        <v>124</v>
      </c>
      <c r="E5687" t="s">
        <v>35</v>
      </c>
      <c r="F5687" t="s">
        <v>67</v>
      </c>
      <c r="G5687">
        <v>39.4</v>
      </c>
      <c r="H5687" s="9">
        <v>0.77</v>
      </c>
      <c r="I5687"/>
    </row>
    <row r="5688" spans="1:9" x14ac:dyDescent="0.3">
      <c r="A5688" t="s">
        <v>7</v>
      </c>
      <c r="B5688" t="s">
        <v>21</v>
      </c>
      <c r="C5688" t="s">
        <v>128</v>
      </c>
      <c r="D5688" s="9" t="s">
        <v>124</v>
      </c>
      <c r="E5688" t="s">
        <v>36</v>
      </c>
      <c r="F5688" t="s">
        <v>69</v>
      </c>
      <c r="G5688">
        <v>36.5</v>
      </c>
      <c r="H5688" s="9">
        <v>3.11</v>
      </c>
      <c r="I5688"/>
    </row>
    <row r="5689" spans="1:9" x14ac:dyDescent="0.3">
      <c r="A5689" t="s">
        <v>7</v>
      </c>
      <c r="B5689" t="s">
        <v>21</v>
      </c>
      <c r="C5689" t="s">
        <v>129</v>
      </c>
      <c r="D5689" s="9" t="s">
        <v>124</v>
      </c>
      <c r="E5689" t="s">
        <v>37</v>
      </c>
      <c r="F5689" t="s">
        <v>71</v>
      </c>
      <c r="G5689">
        <v>35.700000000000003</v>
      </c>
      <c r="H5689" s="9">
        <v>4.08</v>
      </c>
      <c r="I5689"/>
    </row>
    <row r="5690" spans="1:9" x14ac:dyDescent="0.3">
      <c r="A5690" t="s">
        <v>7</v>
      </c>
      <c r="B5690" t="s">
        <v>21</v>
      </c>
      <c r="C5690" t="s">
        <v>130</v>
      </c>
      <c r="D5690" s="9" t="s">
        <v>124</v>
      </c>
      <c r="E5690" t="s">
        <v>38</v>
      </c>
      <c r="F5690" t="s">
        <v>73</v>
      </c>
      <c r="G5690">
        <v>36.200000000000003</v>
      </c>
      <c r="H5690" s="9">
        <v>1.4</v>
      </c>
      <c r="I5690"/>
    </row>
    <row r="5691" spans="1:9" x14ac:dyDescent="0.3">
      <c r="A5691" t="s">
        <v>7</v>
      </c>
      <c r="B5691" t="s">
        <v>21</v>
      </c>
      <c r="C5691" t="s">
        <v>131</v>
      </c>
      <c r="D5691" s="9" t="s">
        <v>124</v>
      </c>
      <c r="E5691" t="s">
        <v>39</v>
      </c>
      <c r="F5691" t="s">
        <v>75</v>
      </c>
      <c r="G5691">
        <v>37.299999999999997</v>
      </c>
      <c r="H5691" s="9">
        <v>3.61</v>
      </c>
      <c r="I5691"/>
    </row>
    <row r="5692" spans="1:9" x14ac:dyDescent="0.3">
      <c r="A5692" t="s">
        <v>7</v>
      </c>
      <c r="B5692" t="s">
        <v>21</v>
      </c>
      <c r="C5692" t="s">
        <v>132</v>
      </c>
      <c r="D5692" s="9" t="s">
        <v>124</v>
      </c>
      <c r="E5692" t="s">
        <v>40</v>
      </c>
      <c r="F5692" t="s">
        <v>77</v>
      </c>
      <c r="G5692">
        <v>41.2</v>
      </c>
      <c r="H5692" s="9">
        <v>5.64</v>
      </c>
      <c r="I5692"/>
    </row>
    <row r="5693" spans="1:9" x14ac:dyDescent="0.3">
      <c r="A5693" t="s">
        <v>7</v>
      </c>
      <c r="B5693" t="s">
        <v>21</v>
      </c>
      <c r="C5693" t="s">
        <v>133</v>
      </c>
      <c r="D5693" s="9" t="s">
        <v>124</v>
      </c>
      <c r="E5693" t="s">
        <v>41</v>
      </c>
      <c r="F5693" t="s">
        <v>79</v>
      </c>
      <c r="G5693">
        <v>39.9</v>
      </c>
      <c r="H5693" s="9">
        <v>4.72</v>
      </c>
      <c r="I5693"/>
    </row>
    <row r="5694" spans="1:9" x14ac:dyDescent="0.3">
      <c r="A5694" t="s">
        <v>7</v>
      </c>
      <c r="B5694" t="s">
        <v>21</v>
      </c>
      <c r="C5694" t="s">
        <v>134</v>
      </c>
      <c r="D5694" s="9" t="s">
        <v>124</v>
      </c>
      <c r="E5694" t="s">
        <v>42</v>
      </c>
      <c r="F5694" t="s">
        <v>81</v>
      </c>
      <c r="G5694">
        <v>43</v>
      </c>
      <c r="H5694" s="9">
        <v>6.7</v>
      </c>
      <c r="I5694"/>
    </row>
    <row r="5695" spans="1:9" x14ac:dyDescent="0.3">
      <c r="A5695" t="s">
        <v>7</v>
      </c>
      <c r="B5695" t="s">
        <v>21</v>
      </c>
      <c r="C5695" t="s">
        <v>135</v>
      </c>
      <c r="D5695" s="9" t="s">
        <v>124</v>
      </c>
      <c r="E5695" t="s">
        <v>43</v>
      </c>
      <c r="F5695" t="s">
        <v>83</v>
      </c>
      <c r="G5695">
        <v>62.3</v>
      </c>
      <c r="H5695" s="9">
        <v>4.53</v>
      </c>
      <c r="I5695"/>
    </row>
    <row r="5696" spans="1:9" x14ac:dyDescent="0.3">
      <c r="A5696" t="s">
        <v>7</v>
      </c>
      <c r="B5696" t="s">
        <v>21</v>
      </c>
      <c r="C5696" t="s">
        <v>136</v>
      </c>
      <c r="D5696" s="9" t="s">
        <v>137</v>
      </c>
      <c r="E5696" t="s">
        <v>32</v>
      </c>
      <c r="F5696" t="s">
        <v>61</v>
      </c>
      <c r="G5696">
        <v>41.2</v>
      </c>
      <c r="H5696" s="9">
        <v>-1.44</v>
      </c>
      <c r="I5696"/>
    </row>
    <row r="5697" spans="1:9" x14ac:dyDescent="0.3">
      <c r="A5697" t="s">
        <v>7</v>
      </c>
      <c r="B5697" t="s">
        <v>21</v>
      </c>
      <c r="C5697" t="s">
        <v>138</v>
      </c>
      <c r="D5697" s="9" t="s">
        <v>137</v>
      </c>
      <c r="E5697" t="s">
        <v>33</v>
      </c>
      <c r="F5697" t="s">
        <v>63</v>
      </c>
      <c r="G5697">
        <v>39.6</v>
      </c>
      <c r="H5697" s="9">
        <v>3.39</v>
      </c>
      <c r="I5697"/>
    </row>
    <row r="5698" spans="1:9" x14ac:dyDescent="0.3">
      <c r="A5698" t="s">
        <v>7</v>
      </c>
      <c r="B5698" t="s">
        <v>21</v>
      </c>
      <c r="C5698" t="s">
        <v>139</v>
      </c>
      <c r="D5698" s="9" t="s">
        <v>137</v>
      </c>
      <c r="E5698" t="s">
        <v>34</v>
      </c>
      <c r="F5698" t="s">
        <v>65</v>
      </c>
      <c r="G5698">
        <v>43.5</v>
      </c>
      <c r="H5698" s="9">
        <v>5.07</v>
      </c>
      <c r="I5698"/>
    </row>
    <row r="5699" spans="1:9" x14ac:dyDescent="0.3">
      <c r="A5699" t="s">
        <v>7</v>
      </c>
      <c r="B5699" t="s">
        <v>21</v>
      </c>
      <c r="C5699" t="s">
        <v>140</v>
      </c>
      <c r="D5699" s="9" t="s">
        <v>137</v>
      </c>
      <c r="E5699" t="s">
        <v>35</v>
      </c>
      <c r="F5699" t="s">
        <v>67</v>
      </c>
      <c r="G5699">
        <v>36.299999999999997</v>
      </c>
      <c r="H5699" s="9">
        <v>-7.87</v>
      </c>
      <c r="I5699"/>
    </row>
    <row r="5700" spans="1:9" x14ac:dyDescent="0.3">
      <c r="A5700" t="s">
        <v>7</v>
      </c>
      <c r="B5700" t="s">
        <v>21</v>
      </c>
      <c r="C5700" t="s">
        <v>141</v>
      </c>
      <c r="D5700" s="9" t="s">
        <v>137</v>
      </c>
      <c r="E5700" t="s">
        <v>36</v>
      </c>
      <c r="F5700" t="s">
        <v>69</v>
      </c>
      <c r="G5700">
        <v>36.9</v>
      </c>
      <c r="H5700" s="9">
        <v>1.1000000000000001</v>
      </c>
      <c r="I5700"/>
    </row>
    <row r="5701" spans="1:9" x14ac:dyDescent="0.3">
      <c r="A5701" t="s">
        <v>7</v>
      </c>
      <c r="B5701" t="s">
        <v>21</v>
      </c>
      <c r="C5701" t="s">
        <v>142</v>
      </c>
      <c r="D5701" s="9" t="s">
        <v>137</v>
      </c>
      <c r="E5701" t="s">
        <v>37</v>
      </c>
      <c r="F5701" t="s">
        <v>71</v>
      </c>
      <c r="G5701">
        <v>35.700000000000003</v>
      </c>
      <c r="H5701" s="9">
        <v>0</v>
      </c>
      <c r="I5701"/>
    </row>
    <row r="5702" spans="1:9" x14ac:dyDescent="0.3">
      <c r="A5702" t="s">
        <v>7</v>
      </c>
      <c r="B5702" t="s">
        <v>21</v>
      </c>
      <c r="C5702" t="s">
        <v>143</v>
      </c>
      <c r="D5702" s="9" t="s">
        <v>137</v>
      </c>
      <c r="E5702" t="s">
        <v>38</v>
      </c>
      <c r="F5702" t="s">
        <v>73</v>
      </c>
      <c r="G5702">
        <v>35.700000000000003</v>
      </c>
      <c r="H5702" s="9">
        <v>-1.38</v>
      </c>
      <c r="I5702"/>
    </row>
    <row r="5703" spans="1:9" x14ac:dyDescent="0.3">
      <c r="A5703" t="s">
        <v>7</v>
      </c>
      <c r="B5703" t="s">
        <v>21</v>
      </c>
      <c r="C5703" t="s">
        <v>144</v>
      </c>
      <c r="D5703" s="9" t="s">
        <v>137</v>
      </c>
      <c r="E5703" t="s">
        <v>39</v>
      </c>
      <c r="F5703" t="s">
        <v>75</v>
      </c>
      <c r="G5703">
        <v>38.4</v>
      </c>
      <c r="H5703" s="9">
        <v>2.95</v>
      </c>
      <c r="I5703"/>
    </row>
    <row r="5704" spans="1:9" x14ac:dyDescent="0.3">
      <c r="A5704" t="s">
        <v>7</v>
      </c>
      <c r="B5704" t="s">
        <v>21</v>
      </c>
      <c r="C5704" t="s">
        <v>145</v>
      </c>
      <c r="D5704" s="9" t="s">
        <v>137</v>
      </c>
      <c r="E5704" t="s">
        <v>40</v>
      </c>
      <c r="F5704" t="s">
        <v>77</v>
      </c>
      <c r="G5704">
        <v>37</v>
      </c>
      <c r="H5704" s="9">
        <v>-10.19</v>
      </c>
      <c r="I5704"/>
    </row>
    <row r="5705" spans="1:9" x14ac:dyDescent="0.3">
      <c r="A5705" t="s">
        <v>7</v>
      </c>
      <c r="B5705" t="s">
        <v>21</v>
      </c>
      <c r="C5705" t="s">
        <v>146</v>
      </c>
      <c r="D5705" s="9" t="s">
        <v>137</v>
      </c>
      <c r="E5705" t="s">
        <v>41</v>
      </c>
      <c r="F5705" t="s">
        <v>79</v>
      </c>
      <c r="G5705">
        <v>39.5</v>
      </c>
      <c r="H5705" s="9">
        <v>-1</v>
      </c>
      <c r="I5705"/>
    </row>
    <row r="5706" spans="1:9" x14ac:dyDescent="0.3">
      <c r="A5706" t="s">
        <v>7</v>
      </c>
      <c r="B5706" t="s">
        <v>21</v>
      </c>
      <c r="C5706" t="s">
        <v>147</v>
      </c>
      <c r="D5706" s="9" t="s">
        <v>137</v>
      </c>
      <c r="E5706" t="s">
        <v>42</v>
      </c>
      <c r="F5706" t="s">
        <v>81</v>
      </c>
      <c r="G5706">
        <v>42.9</v>
      </c>
      <c r="H5706" s="9">
        <v>-0.23</v>
      </c>
      <c r="I5706"/>
    </row>
    <row r="5707" spans="1:9" x14ac:dyDescent="0.3">
      <c r="A5707" t="s">
        <v>7</v>
      </c>
      <c r="B5707" t="s">
        <v>21</v>
      </c>
      <c r="C5707" t="s">
        <v>148</v>
      </c>
      <c r="D5707" s="9" t="s">
        <v>137</v>
      </c>
      <c r="E5707" t="s">
        <v>43</v>
      </c>
      <c r="F5707" t="s">
        <v>83</v>
      </c>
      <c r="G5707">
        <v>60.3</v>
      </c>
      <c r="H5707" s="9">
        <v>-3.21</v>
      </c>
      <c r="I5707"/>
    </row>
    <row r="5708" spans="1:9" x14ac:dyDescent="0.3">
      <c r="A5708" t="s">
        <v>7</v>
      </c>
      <c r="B5708" t="s">
        <v>21</v>
      </c>
      <c r="C5708" t="s">
        <v>149</v>
      </c>
      <c r="D5708" s="9" t="s">
        <v>150</v>
      </c>
      <c r="E5708" t="s">
        <v>32</v>
      </c>
      <c r="F5708" t="s">
        <v>61</v>
      </c>
      <c r="G5708">
        <v>42.6</v>
      </c>
      <c r="H5708" s="9">
        <v>3.4</v>
      </c>
      <c r="I5708"/>
    </row>
    <row r="5709" spans="1:9" x14ac:dyDescent="0.3">
      <c r="A5709" t="s">
        <v>7</v>
      </c>
      <c r="B5709" t="s">
        <v>21</v>
      </c>
      <c r="C5709" t="s">
        <v>151</v>
      </c>
      <c r="D5709" s="9" t="s">
        <v>150</v>
      </c>
      <c r="E5709" t="s">
        <v>33</v>
      </c>
      <c r="F5709" t="s">
        <v>63</v>
      </c>
      <c r="G5709">
        <v>38.5</v>
      </c>
      <c r="H5709" s="9">
        <v>-2.78</v>
      </c>
      <c r="I5709"/>
    </row>
    <row r="5710" spans="1:9" x14ac:dyDescent="0.3">
      <c r="A5710" t="s">
        <v>7</v>
      </c>
      <c r="B5710" t="s">
        <v>21</v>
      </c>
      <c r="C5710" t="s">
        <v>152</v>
      </c>
      <c r="D5710" s="9" t="s">
        <v>150</v>
      </c>
      <c r="E5710" t="s">
        <v>34</v>
      </c>
      <c r="F5710" t="s">
        <v>65</v>
      </c>
      <c r="G5710">
        <v>41.4</v>
      </c>
      <c r="H5710" s="9">
        <v>-4.83</v>
      </c>
      <c r="I5710"/>
    </row>
    <row r="5711" spans="1:9" x14ac:dyDescent="0.3">
      <c r="A5711" t="s">
        <v>7</v>
      </c>
      <c r="B5711" t="s">
        <v>21</v>
      </c>
      <c r="C5711" t="s">
        <v>153</v>
      </c>
      <c r="D5711" s="9" t="s">
        <v>150</v>
      </c>
      <c r="E5711" t="s">
        <v>35</v>
      </c>
      <c r="F5711" t="s">
        <v>67</v>
      </c>
      <c r="G5711">
        <v>39.9</v>
      </c>
      <c r="H5711" s="9">
        <v>9.92</v>
      </c>
      <c r="I5711"/>
    </row>
    <row r="5712" spans="1:9" x14ac:dyDescent="0.3">
      <c r="A5712" t="s">
        <v>7</v>
      </c>
      <c r="B5712" t="s">
        <v>21</v>
      </c>
      <c r="C5712" t="s">
        <v>154</v>
      </c>
      <c r="D5712" s="9" t="s">
        <v>150</v>
      </c>
      <c r="E5712" t="s">
        <v>36</v>
      </c>
      <c r="F5712" t="s">
        <v>69</v>
      </c>
      <c r="G5712">
        <v>39</v>
      </c>
      <c r="H5712" s="9">
        <v>5.69</v>
      </c>
      <c r="I5712"/>
    </row>
    <row r="5713" spans="1:9" x14ac:dyDescent="0.3">
      <c r="A5713" t="s">
        <v>7</v>
      </c>
      <c r="B5713" t="s">
        <v>21</v>
      </c>
      <c r="C5713" t="s">
        <v>155</v>
      </c>
      <c r="D5713" s="9" t="s">
        <v>150</v>
      </c>
      <c r="E5713" t="s">
        <v>37</v>
      </c>
      <c r="F5713" t="s">
        <v>71</v>
      </c>
      <c r="G5713">
        <v>35.200000000000003</v>
      </c>
      <c r="H5713" s="9">
        <v>-1.4</v>
      </c>
      <c r="I5713"/>
    </row>
    <row r="5714" spans="1:9" x14ac:dyDescent="0.3">
      <c r="A5714" t="s">
        <v>7</v>
      </c>
      <c r="B5714" t="s">
        <v>25</v>
      </c>
      <c r="C5714" t="s">
        <v>59</v>
      </c>
      <c r="D5714" s="9" t="s">
        <v>60</v>
      </c>
      <c r="E5714" t="s">
        <v>32</v>
      </c>
      <c r="F5714" t="s">
        <v>61</v>
      </c>
      <c r="G5714">
        <v>10.1</v>
      </c>
      <c r="I5714"/>
    </row>
    <row r="5715" spans="1:9" x14ac:dyDescent="0.3">
      <c r="A5715" t="s">
        <v>7</v>
      </c>
      <c r="B5715" t="s">
        <v>25</v>
      </c>
      <c r="C5715" t="s">
        <v>62</v>
      </c>
      <c r="D5715" s="9" t="s">
        <v>60</v>
      </c>
      <c r="E5715" t="s">
        <v>33</v>
      </c>
      <c r="F5715" t="s">
        <v>63</v>
      </c>
      <c r="G5715">
        <v>9.6999999999999993</v>
      </c>
      <c r="I5715"/>
    </row>
    <row r="5716" spans="1:9" x14ac:dyDescent="0.3">
      <c r="A5716" t="s">
        <v>7</v>
      </c>
      <c r="B5716" t="s">
        <v>25</v>
      </c>
      <c r="C5716" t="s">
        <v>64</v>
      </c>
      <c r="D5716" s="9" t="s">
        <v>60</v>
      </c>
      <c r="E5716" t="s">
        <v>34</v>
      </c>
      <c r="F5716" t="s">
        <v>65</v>
      </c>
      <c r="G5716">
        <v>8.9</v>
      </c>
      <c r="I5716"/>
    </row>
    <row r="5717" spans="1:9" x14ac:dyDescent="0.3">
      <c r="A5717" t="s">
        <v>7</v>
      </c>
      <c r="B5717" t="s">
        <v>25</v>
      </c>
      <c r="C5717" t="s">
        <v>66</v>
      </c>
      <c r="D5717" s="9" t="s">
        <v>60</v>
      </c>
      <c r="E5717" t="s">
        <v>35</v>
      </c>
      <c r="F5717" t="s">
        <v>67</v>
      </c>
      <c r="G5717">
        <v>8.6999999999999993</v>
      </c>
      <c r="I5717"/>
    </row>
    <row r="5718" spans="1:9" x14ac:dyDescent="0.3">
      <c r="A5718" t="s">
        <v>7</v>
      </c>
      <c r="B5718" t="s">
        <v>25</v>
      </c>
      <c r="C5718" t="s">
        <v>68</v>
      </c>
      <c r="D5718" s="9" t="s">
        <v>60</v>
      </c>
      <c r="E5718" t="s">
        <v>36</v>
      </c>
      <c r="F5718" t="s">
        <v>69</v>
      </c>
      <c r="G5718">
        <v>9.1</v>
      </c>
      <c r="I5718"/>
    </row>
    <row r="5719" spans="1:9" x14ac:dyDescent="0.3">
      <c r="A5719" t="s">
        <v>7</v>
      </c>
      <c r="B5719" t="s">
        <v>25</v>
      </c>
      <c r="C5719" t="s">
        <v>70</v>
      </c>
      <c r="D5719" s="9" t="s">
        <v>60</v>
      </c>
      <c r="E5719" t="s">
        <v>37</v>
      </c>
      <c r="F5719" t="s">
        <v>71</v>
      </c>
      <c r="G5719">
        <v>8.6</v>
      </c>
      <c r="I5719"/>
    </row>
    <row r="5720" spans="1:9" x14ac:dyDescent="0.3">
      <c r="A5720" t="s">
        <v>7</v>
      </c>
      <c r="B5720" t="s">
        <v>25</v>
      </c>
      <c r="C5720" t="s">
        <v>72</v>
      </c>
      <c r="D5720" s="9" t="s">
        <v>60</v>
      </c>
      <c r="E5720" t="s">
        <v>38</v>
      </c>
      <c r="F5720" t="s">
        <v>73</v>
      </c>
      <c r="G5720">
        <v>10</v>
      </c>
      <c r="I5720"/>
    </row>
    <row r="5721" spans="1:9" x14ac:dyDescent="0.3">
      <c r="A5721" t="s">
        <v>7</v>
      </c>
      <c r="B5721" t="s">
        <v>25</v>
      </c>
      <c r="C5721" t="s">
        <v>74</v>
      </c>
      <c r="D5721" s="9" t="s">
        <v>60</v>
      </c>
      <c r="E5721" t="s">
        <v>39</v>
      </c>
      <c r="F5721" t="s">
        <v>75</v>
      </c>
      <c r="G5721">
        <v>9.3000000000000007</v>
      </c>
      <c r="I5721"/>
    </row>
    <row r="5722" spans="1:9" x14ac:dyDescent="0.3">
      <c r="A5722" t="s">
        <v>7</v>
      </c>
      <c r="B5722" t="s">
        <v>25</v>
      </c>
      <c r="C5722" t="s">
        <v>76</v>
      </c>
      <c r="D5722" s="9" t="s">
        <v>60</v>
      </c>
      <c r="E5722" t="s">
        <v>40</v>
      </c>
      <c r="F5722" t="s">
        <v>77</v>
      </c>
      <c r="G5722">
        <v>9.6</v>
      </c>
      <c r="I5722"/>
    </row>
    <row r="5723" spans="1:9" x14ac:dyDescent="0.3">
      <c r="A5723" t="s">
        <v>7</v>
      </c>
      <c r="B5723" t="s">
        <v>25</v>
      </c>
      <c r="C5723" t="s">
        <v>78</v>
      </c>
      <c r="D5723" s="9" t="s">
        <v>60</v>
      </c>
      <c r="E5723" t="s">
        <v>41</v>
      </c>
      <c r="F5723" t="s">
        <v>79</v>
      </c>
      <c r="G5723">
        <v>10.4</v>
      </c>
      <c r="I5723"/>
    </row>
    <row r="5724" spans="1:9" x14ac:dyDescent="0.3">
      <c r="A5724" t="s">
        <v>7</v>
      </c>
      <c r="B5724" t="s">
        <v>25</v>
      </c>
      <c r="C5724" t="s">
        <v>80</v>
      </c>
      <c r="D5724" s="9" t="s">
        <v>60</v>
      </c>
      <c r="E5724" t="s">
        <v>42</v>
      </c>
      <c r="F5724" t="s">
        <v>81</v>
      </c>
      <c r="G5724">
        <v>11.6</v>
      </c>
      <c r="I5724"/>
    </row>
    <row r="5725" spans="1:9" x14ac:dyDescent="0.3">
      <c r="A5725" t="s">
        <v>7</v>
      </c>
      <c r="B5725" t="s">
        <v>25</v>
      </c>
      <c r="C5725" t="s">
        <v>82</v>
      </c>
      <c r="D5725" s="9" t="s">
        <v>60</v>
      </c>
      <c r="E5725" t="s">
        <v>43</v>
      </c>
      <c r="F5725" t="s">
        <v>83</v>
      </c>
      <c r="G5725">
        <v>15.7</v>
      </c>
      <c r="I5725"/>
    </row>
    <row r="5726" spans="1:9" x14ac:dyDescent="0.3">
      <c r="A5726" t="s">
        <v>7</v>
      </c>
      <c r="B5726" t="s">
        <v>25</v>
      </c>
      <c r="C5726" t="s">
        <v>84</v>
      </c>
      <c r="D5726" s="9" t="s">
        <v>85</v>
      </c>
      <c r="E5726" t="s">
        <v>32</v>
      </c>
      <c r="F5726" t="s">
        <v>61</v>
      </c>
      <c r="G5726">
        <v>11.4</v>
      </c>
      <c r="H5726" s="9">
        <v>12.87</v>
      </c>
      <c r="I5726"/>
    </row>
    <row r="5727" spans="1:9" x14ac:dyDescent="0.3">
      <c r="A5727" t="s">
        <v>7</v>
      </c>
      <c r="B5727" t="s">
        <v>25</v>
      </c>
      <c r="C5727" t="s">
        <v>86</v>
      </c>
      <c r="D5727" s="9" t="s">
        <v>85</v>
      </c>
      <c r="E5727" t="s">
        <v>33</v>
      </c>
      <c r="F5727" t="s">
        <v>63</v>
      </c>
      <c r="G5727">
        <v>10.6</v>
      </c>
      <c r="H5727" s="9">
        <v>9.2799999999999994</v>
      </c>
      <c r="I5727"/>
    </row>
    <row r="5728" spans="1:9" x14ac:dyDescent="0.3">
      <c r="A5728" t="s">
        <v>7</v>
      </c>
      <c r="B5728" t="s">
        <v>25</v>
      </c>
      <c r="C5728" t="s">
        <v>87</v>
      </c>
      <c r="D5728" s="9" t="s">
        <v>85</v>
      </c>
      <c r="E5728" t="s">
        <v>34</v>
      </c>
      <c r="F5728" t="s">
        <v>65</v>
      </c>
      <c r="G5728">
        <v>11.6</v>
      </c>
      <c r="H5728" s="9">
        <v>30.34</v>
      </c>
      <c r="I5728"/>
    </row>
    <row r="5729" spans="1:9" x14ac:dyDescent="0.3">
      <c r="A5729" t="s">
        <v>7</v>
      </c>
      <c r="B5729" t="s">
        <v>25</v>
      </c>
      <c r="C5729" t="s">
        <v>88</v>
      </c>
      <c r="D5729" s="9" t="s">
        <v>85</v>
      </c>
      <c r="E5729" t="s">
        <v>35</v>
      </c>
      <c r="F5729" t="s">
        <v>67</v>
      </c>
      <c r="G5729">
        <v>9.3000000000000007</v>
      </c>
      <c r="H5729" s="9">
        <v>6.9</v>
      </c>
      <c r="I5729"/>
    </row>
    <row r="5730" spans="1:9" x14ac:dyDescent="0.3">
      <c r="A5730" t="s">
        <v>7</v>
      </c>
      <c r="B5730" t="s">
        <v>25</v>
      </c>
      <c r="C5730" t="s">
        <v>89</v>
      </c>
      <c r="D5730" s="9" t="s">
        <v>85</v>
      </c>
      <c r="E5730" t="s">
        <v>36</v>
      </c>
      <c r="F5730" t="s">
        <v>69</v>
      </c>
      <c r="G5730">
        <v>11.4</v>
      </c>
      <c r="H5730" s="9">
        <v>25.27</v>
      </c>
      <c r="I5730"/>
    </row>
    <row r="5731" spans="1:9" x14ac:dyDescent="0.3">
      <c r="A5731" t="s">
        <v>7</v>
      </c>
      <c r="B5731" t="s">
        <v>25</v>
      </c>
      <c r="C5731" t="s">
        <v>90</v>
      </c>
      <c r="D5731" s="9" t="s">
        <v>85</v>
      </c>
      <c r="E5731" t="s">
        <v>37</v>
      </c>
      <c r="F5731" t="s">
        <v>71</v>
      </c>
      <c r="G5731">
        <v>10.1</v>
      </c>
      <c r="H5731" s="9">
        <v>17.440000000000001</v>
      </c>
      <c r="I5731"/>
    </row>
    <row r="5732" spans="1:9" x14ac:dyDescent="0.3">
      <c r="A5732" t="s">
        <v>7</v>
      </c>
      <c r="B5732" t="s">
        <v>25</v>
      </c>
      <c r="C5732" t="s">
        <v>91</v>
      </c>
      <c r="D5732" s="9" t="s">
        <v>85</v>
      </c>
      <c r="E5732" t="s">
        <v>38</v>
      </c>
      <c r="F5732" t="s">
        <v>73</v>
      </c>
      <c r="G5732">
        <v>11.6</v>
      </c>
      <c r="H5732" s="9">
        <v>16</v>
      </c>
      <c r="I5732"/>
    </row>
    <row r="5733" spans="1:9" x14ac:dyDescent="0.3">
      <c r="A5733" t="s">
        <v>7</v>
      </c>
      <c r="B5733" t="s">
        <v>25</v>
      </c>
      <c r="C5733" t="s">
        <v>92</v>
      </c>
      <c r="D5733" s="9" t="s">
        <v>85</v>
      </c>
      <c r="E5733" t="s">
        <v>39</v>
      </c>
      <c r="F5733" t="s">
        <v>75</v>
      </c>
      <c r="G5733">
        <v>10.9</v>
      </c>
      <c r="H5733" s="9">
        <v>17.2</v>
      </c>
      <c r="I5733"/>
    </row>
    <row r="5734" spans="1:9" x14ac:dyDescent="0.3">
      <c r="A5734" t="s">
        <v>7</v>
      </c>
      <c r="B5734" t="s">
        <v>25</v>
      </c>
      <c r="C5734" t="s">
        <v>93</v>
      </c>
      <c r="D5734" s="9" t="s">
        <v>85</v>
      </c>
      <c r="E5734" t="s">
        <v>40</v>
      </c>
      <c r="F5734" t="s">
        <v>77</v>
      </c>
      <c r="G5734">
        <v>11.5</v>
      </c>
      <c r="H5734" s="9">
        <v>19.79</v>
      </c>
      <c r="I5734"/>
    </row>
    <row r="5735" spans="1:9" x14ac:dyDescent="0.3">
      <c r="A5735" t="s">
        <v>7</v>
      </c>
      <c r="B5735" t="s">
        <v>25</v>
      </c>
      <c r="C5735" t="s">
        <v>94</v>
      </c>
      <c r="D5735" s="9" t="s">
        <v>85</v>
      </c>
      <c r="E5735" t="s">
        <v>41</v>
      </c>
      <c r="F5735" t="s">
        <v>79</v>
      </c>
      <c r="G5735">
        <v>11.7</v>
      </c>
      <c r="H5735" s="9">
        <v>12.5</v>
      </c>
      <c r="I5735"/>
    </row>
    <row r="5736" spans="1:9" x14ac:dyDescent="0.3">
      <c r="A5736" t="s">
        <v>7</v>
      </c>
      <c r="B5736" t="s">
        <v>25</v>
      </c>
      <c r="C5736" t="s">
        <v>95</v>
      </c>
      <c r="D5736" s="9" t="s">
        <v>85</v>
      </c>
      <c r="E5736" t="s">
        <v>42</v>
      </c>
      <c r="F5736" t="s">
        <v>81</v>
      </c>
      <c r="G5736">
        <v>13.3</v>
      </c>
      <c r="H5736" s="9">
        <v>14.66</v>
      </c>
      <c r="I5736"/>
    </row>
    <row r="5737" spans="1:9" x14ac:dyDescent="0.3">
      <c r="A5737" t="s">
        <v>7</v>
      </c>
      <c r="B5737" t="s">
        <v>25</v>
      </c>
      <c r="C5737" t="s">
        <v>96</v>
      </c>
      <c r="D5737" s="9" t="s">
        <v>85</v>
      </c>
      <c r="E5737" t="s">
        <v>43</v>
      </c>
      <c r="F5737" t="s">
        <v>83</v>
      </c>
      <c r="G5737">
        <v>16.899999999999999</v>
      </c>
      <c r="H5737" s="9">
        <v>7.64</v>
      </c>
      <c r="I5737"/>
    </row>
    <row r="5738" spans="1:9" x14ac:dyDescent="0.3">
      <c r="A5738" t="s">
        <v>7</v>
      </c>
      <c r="B5738" t="s">
        <v>25</v>
      </c>
      <c r="C5738" t="s">
        <v>97</v>
      </c>
      <c r="D5738" s="9" t="s">
        <v>98</v>
      </c>
      <c r="E5738" t="s">
        <v>32</v>
      </c>
      <c r="F5738" t="s">
        <v>61</v>
      </c>
      <c r="G5738">
        <v>12</v>
      </c>
      <c r="H5738" s="9">
        <v>5.26</v>
      </c>
      <c r="I5738"/>
    </row>
    <row r="5739" spans="1:9" x14ac:dyDescent="0.3">
      <c r="A5739" t="s">
        <v>7</v>
      </c>
      <c r="B5739" t="s">
        <v>25</v>
      </c>
      <c r="C5739" t="s">
        <v>99</v>
      </c>
      <c r="D5739" s="9" t="s">
        <v>98</v>
      </c>
      <c r="E5739" t="s">
        <v>33</v>
      </c>
      <c r="F5739" t="s">
        <v>63</v>
      </c>
      <c r="G5739">
        <v>10.1</v>
      </c>
      <c r="H5739" s="9">
        <v>-4.72</v>
      </c>
      <c r="I5739"/>
    </row>
    <row r="5740" spans="1:9" x14ac:dyDescent="0.3">
      <c r="A5740" t="s">
        <v>7</v>
      </c>
      <c r="B5740" t="s">
        <v>25</v>
      </c>
      <c r="C5740" t="s">
        <v>100</v>
      </c>
      <c r="D5740" s="9" t="s">
        <v>98</v>
      </c>
      <c r="E5740" t="s">
        <v>34</v>
      </c>
      <c r="F5740" t="s">
        <v>65</v>
      </c>
      <c r="G5740">
        <v>10.7</v>
      </c>
      <c r="H5740" s="9">
        <v>-7.76</v>
      </c>
      <c r="I5740"/>
    </row>
    <row r="5741" spans="1:9" x14ac:dyDescent="0.3">
      <c r="A5741" t="s">
        <v>7</v>
      </c>
      <c r="B5741" t="s">
        <v>25</v>
      </c>
      <c r="C5741" t="s">
        <v>101</v>
      </c>
      <c r="D5741" s="9" t="s">
        <v>98</v>
      </c>
      <c r="E5741" t="s">
        <v>35</v>
      </c>
      <c r="F5741" t="s">
        <v>67</v>
      </c>
      <c r="G5741">
        <v>10.8</v>
      </c>
      <c r="H5741" s="9">
        <v>16.13</v>
      </c>
      <c r="I5741"/>
    </row>
    <row r="5742" spans="1:9" x14ac:dyDescent="0.3">
      <c r="A5742" t="s">
        <v>7</v>
      </c>
      <c r="B5742" t="s">
        <v>25</v>
      </c>
      <c r="C5742" t="s">
        <v>102</v>
      </c>
      <c r="D5742" s="9" t="s">
        <v>98</v>
      </c>
      <c r="E5742" t="s">
        <v>36</v>
      </c>
      <c r="F5742" t="s">
        <v>69</v>
      </c>
      <c r="G5742">
        <v>11</v>
      </c>
      <c r="H5742" s="9">
        <v>-3.51</v>
      </c>
      <c r="I5742"/>
    </row>
    <row r="5743" spans="1:9" x14ac:dyDescent="0.3">
      <c r="A5743" t="s">
        <v>7</v>
      </c>
      <c r="B5743" t="s">
        <v>25</v>
      </c>
      <c r="C5743" t="s">
        <v>103</v>
      </c>
      <c r="D5743" s="9" t="s">
        <v>98</v>
      </c>
      <c r="E5743" t="s">
        <v>37</v>
      </c>
      <c r="F5743" t="s">
        <v>71</v>
      </c>
      <c r="G5743">
        <v>11.1</v>
      </c>
      <c r="H5743" s="9">
        <v>9.9</v>
      </c>
      <c r="I5743"/>
    </row>
    <row r="5744" spans="1:9" x14ac:dyDescent="0.3">
      <c r="A5744" t="s">
        <v>7</v>
      </c>
      <c r="B5744" t="s">
        <v>25</v>
      </c>
      <c r="C5744" t="s">
        <v>104</v>
      </c>
      <c r="D5744" s="9" t="s">
        <v>98</v>
      </c>
      <c r="E5744" t="s">
        <v>38</v>
      </c>
      <c r="F5744" t="s">
        <v>73</v>
      </c>
      <c r="G5744">
        <v>10.6</v>
      </c>
      <c r="H5744" s="9">
        <v>-8.6199999999999992</v>
      </c>
      <c r="I5744"/>
    </row>
    <row r="5745" spans="1:9" x14ac:dyDescent="0.3">
      <c r="A5745" t="s">
        <v>7</v>
      </c>
      <c r="B5745" t="s">
        <v>25</v>
      </c>
      <c r="C5745" t="s">
        <v>105</v>
      </c>
      <c r="D5745" s="9" t="s">
        <v>98</v>
      </c>
      <c r="E5745" t="s">
        <v>39</v>
      </c>
      <c r="F5745" t="s">
        <v>75</v>
      </c>
      <c r="G5745">
        <v>9.1999999999999993</v>
      </c>
      <c r="H5745" s="9">
        <v>-15.6</v>
      </c>
      <c r="I5745"/>
    </row>
    <row r="5746" spans="1:9" x14ac:dyDescent="0.3">
      <c r="A5746" t="s">
        <v>7</v>
      </c>
      <c r="B5746" t="s">
        <v>25</v>
      </c>
      <c r="C5746" t="s">
        <v>106</v>
      </c>
      <c r="D5746" s="9" t="s">
        <v>98</v>
      </c>
      <c r="E5746" t="s">
        <v>40</v>
      </c>
      <c r="F5746" t="s">
        <v>77</v>
      </c>
      <c r="G5746">
        <v>9.6</v>
      </c>
      <c r="H5746" s="9">
        <v>-16.52</v>
      </c>
      <c r="I5746"/>
    </row>
    <row r="5747" spans="1:9" x14ac:dyDescent="0.3">
      <c r="A5747" t="s">
        <v>7</v>
      </c>
      <c r="B5747" t="s">
        <v>25</v>
      </c>
      <c r="C5747" t="s">
        <v>107</v>
      </c>
      <c r="D5747" s="9" t="s">
        <v>98</v>
      </c>
      <c r="E5747" t="s">
        <v>41</v>
      </c>
      <c r="F5747" t="s">
        <v>79</v>
      </c>
      <c r="G5747">
        <v>9.1999999999999993</v>
      </c>
      <c r="H5747" s="9">
        <v>-21.37</v>
      </c>
      <c r="I5747"/>
    </row>
    <row r="5748" spans="1:9" x14ac:dyDescent="0.3">
      <c r="A5748" t="s">
        <v>7</v>
      </c>
      <c r="B5748" t="s">
        <v>25</v>
      </c>
      <c r="C5748" t="s">
        <v>108</v>
      </c>
      <c r="D5748" s="9" t="s">
        <v>98</v>
      </c>
      <c r="E5748" t="s">
        <v>42</v>
      </c>
      <c r="F5748" t="s">
        <v>81</v>
      </c>
      <c r="G5748">
        <v>10.199999999999999</v>
      </c>
      <c r="H5748" s="9">
        <v>-23.31</v>
      </c>
      <c r="I5748"/>
    </row>
    <row r="5749" spans="1:9" x14ac:dyDescent="0.3">
      <c r="A5749" t="s">
        <v>7</v>
      </c>
      <c r="B5749" t="s">
        <v>25</v>
      </c>
      <c r="C5749" t="s">
        <v>109</v>
      </c>
      <c r="D5749" s="9" t="s">
        <v>98</v>
      </c>
      <c r="E5749" t="s">
        <v>43</v>
      </c>
      <c r="F5749" t="s">
        <v>83</v>
      </c>
      <c r="G5749">
        <v>13.6</v>
      </c>
      <c r="H5749" s="9">
        <v>-19.53</v>
      </c>
      <c r="I5749"/>
    </row>
    <row r="5750" spans="1:9" x14ac:dyDescent="0.3">
      <c r="A5750" t="s">
        <v>7</v>
      </c>
      <c r="B5750" t="s">
        <v>25</v>
      </c>
      <c r="C5750" t="s">
        <v>110</v>
      </c>
      <c r="D5750" s="9" t="s">
        <v>111</v>
      </c>
      <c r="E5750" t="s">
        <v>32</v>
      </c>
      <c r="F5750" t="s">
        <v>61</v>
      </c>
      <c r="G5750">
        <v>8.9</v>
      </c>
      <c r="H5750" s="9">
        <v>-25.83</v>
      </c>
      <c r="I5750"/>
    </row>
    <row r="5751" spans="1:9" x14ac:dyDescent="0.3">
      <c r="A5751" t="s">
        <v>7</v>
      </c>
      <c r="B5751" t="s">
        <v>25</v>
      </c>
      <c r="C5751" t="s">
        <v>112</v>
      </c>
      <c r="D5751" s="9" t="s">
        <v>111</v>
      </c>
      <c r="E5751" t="s">
        <v>33</v>
      </c>
      <c r="F5751" t="s">
        <v>63</v>
      </c>
      <c r="G5751">
        <v>7.7</v>
      </c>
      <c r="H5751" s="9">
        <v>-23.76</v>
      </c>
      <c r="I5751"/>
    </row>
    <row r="5752" spans="1:9" x14ac:dyDescent="0.3">
      <c r="A5752" t="s">
        <v>7</v>
      </c>
      <c r="B5752" t="s">
        <v>25</v>
      </c>
      <c r="C5752" t="s">
        <v>113</v>
      </c>
      <c r="D5752" s="9" t="s">
        <v>111</v>
      </c>
      <c r="E5752" t="s">
        <v>34</v>
      </c>
      <c r="F5752" t="s">
        <v>65</v>
      </c>
      <c r="G5752">
        <v>7.7</v>
      </c>
      <c r="H5752" s="9">
        <v>-28.04</v>
      </c>
      <c r="I5752"/>
    </row>
    <row r="5753" spans="1:9" x14ac:dyDescent="0.3">
      <c r="A5753" t="s">
        <v>7</v>
      </c>
      <c r="B5753" t="s">
        <v>25</v>
      </c>
      <c r="C5753" t="s">
        <v>114</v>
      </c>
      <c r="D5753" s="9" t="s">
        <v>111</v>
      </c>
      <c r="E5753" t="s">
        <v>35</v>
      </c>
      <c r="F5753" t="s">
        <v>67</v>
      </c>
      <c r="G5753">
        <v>6.9</v>
      </c>
      <c r="H5753" s="9">
        <v>-36.11</v>
      </c>
      <c r="I5753"/>
    </row>
    <row r="5754" spans="1:9" x14ac:dyDescent="0.3">
      <c r="A5754" t="s">
        <v>7</v>
      </c>
      <c r="B5754" t="s">
        <v>25</v>
      </c>
      <c r="C5754" t="s">
        <v>115</v>
      </c>
      <c r="D5754" s="9" t="s">
        <v>111</v>
      </c>
      <c r="E5754" t="s">
        <v>36</v>
      </c>
      <c r="F5754" t="s">
        <v>69</v>
      </c>
      <c r="G5754">
        <v>7.3</v>
      </c>
      <c r="H5754" s="9">
        <v>-33.64</v>
      </c>
      <c r="I5754"/>
    </row>
    <row r="5755" spans="1:9" x14ac:dyDescent="0.3">
      <c r="A5755" t="s">
        <v>7</v>
      </c>
      <c r="B5755" t="s">
        <v>25</v>
      </c>
      <c r="C5755" t="s">
        <v>116</v>
      </c>
      <c r="D5755" s="9" t="s">
        <v>111</v>
      </c>
      <c r="E5755" t="s">
        <v>37</v>
      </c>
      <c r="F5755" t="s">
        <v>71</v>
      </c>
      <c r="G5755">
        <v>6.6</v>
      </c>
      <c r="H5755" s="9">
        <v>-40.54</v>
      </c>
      <c r="I5755"/>
    </row>
    <row r="5756" spans="1:9" x14ac:dyDescent="0.3">
      <c r="A5756" t="s">
        <v>7</v>
      </c>
      <c r="B5756" t="s">
        <v>25</v>
      </c>
      <c r="C5756" t="s">
        <v>117</v>
      </c>
      <c r="D5756" s="9" t="s">
        <v>111</v>
      </c>
      <c r="E5756" t="s">
        <v>38</v>
      </c>
      <c r="F5756" t="s">
        <v>73</v>
      </c>
      <c r="G5756">
        <v>5.4</v>
      </c>
      <c r="H5756" s="9">
        <v>-49.06</v>
      </c>
      <c r="I5756"/>
    </row>
    <row r="5757" spans="1:9" x14ac:dyDescent="0.3">
      <c r="A5757" t="s">
        <v>7</v>
      </c>
      <c r="B5757" t="s">
        <v>25</v>
      </c>
      <c r="C5757" t="s">
        <v>118</v>
      </c>
      <c r="D5757" s="9" t="s">
        <v>111</v>
      </c>
      <c r="E5757" t="s">
        <v>39</v>
      </c>
      <c r="F5757" t="s">
        <v>75</v>
      </c>
      <c r="G5757">
        <v>4.8</v>
      </c>
      <c r="H5757" s="9">
        <v>-47.83</v>
      </c>
      <c r="I5757"/>
    </row>
    <row r="5758" spans="1:9" x14ac:dyDescent="0.3">
      <c r="A5758" t="s">
        <v>7</v>
      </c>
      <c r="B5758" t="s">
        <v>25</v>
      </c>
      <c r="C5758" t="s">
        <v>119</v>
      </c>
      <c r="D5758" s="9" t="s">
        <v>111</v>
      </c>
      <c r="E5758" t="s">
        <v>40</v>
      </c>
      <c r="F5758" t="s">
        <v>77</v>
      </c>
      <c r="G5758">
        <v>5.2</v>
      </c>
      <c r="H5758" s="9">
        <v>-45.83</v>
      </c>
      <c r="I5758"/>
    </row>
    <row r="5759" spans="1:9" x14ac:dyDescent="0.3">
      <c r="A5759" t="s">
        <v>7</v>
      </c>
      <c r="B5759" t="s">
        <v>25</v>
      </c>
      <c r="C5759" t="s">
        <v>120</v>
      </c>
      <c r="D5759" s="9" t="s">
        <v>111</v>
      </c>
      <c r="E5759" t="s">
        <v>41</v>
      </c>
      <c r="F5759" t="s">
        <v>79</v>
      </c>
      <c r="G5759">
        <v>5.4</v>
      </c>
      <c r="H5759" s="9">
        <v>-41.3</v>
      </c>
      <c r="I5759"/>
    </row>
    <row r="5760" spans="1:9" x14ac:dyDescent="0.3">
      <c r="A5760" t="s">
        <v>7</v>
      </c>
      <c r="B5760" t="s">
        <v>25</v>
      </c>
      <c r="C5760" t="s">
        <v>121</v>
      </c>
      <c r="D5760" s="9" t="s">
        <v>111</v>
      </c>
      <c r="E5760" t="s">
        <v>42</v>
      </c>
      <c r="F5760" t="s">
        <v>81</v>
      </c>
      <c r="G5760">
        <v>5.2</v>
      </c>
      <c r="H5760" s="9">
        <v>-49.02</v>
      </c>
      <c r="I5760"/>
    </row>
    <row r="5761" spans="1:9" x14ac:dyDescent="0.3">
      <c r="A5761" t="s">
        <v>7</v>
      </c>
      <c r="B5761" t="s">
        <v>25</v>
      </c>
      <c r="C5761" t="s">
        <v>122</v>
      </c>
      <c r="D5761" s="9" t="s">
        <v>111</v>
      </c>
      <c r="E5761" t="s">
        <v>43</v>
      </c>
      <c r="F5761" t="s">
        <v>83</v>
      </c>
      <c r="G5761">
        <v>5.4</v>
      </c>
      <c r="H5761" s="9">
        <v>-60.29</v>
      </c>
      <c r="I5761"/>
    </row>
    <row r="5762" spans="1:9" x14ac:dyDescent="0.3">
      <c r="A5762" t="s">
        <v>7</v>
      </c>
      <c r="B5762" t="s">
        <v>25</v>
      </c>
      <c r="C5762" t="s">
        <v>123</v>
      </c>
      <c r="D5762" s="9" t="s">
        <v>124</v>
      </c>
      <c r="E5762" t="s">
        <v>32</v>
      </c>
      <c r="F5762" t="s">
        <v>61</v>
      </c>
      <c r="G5762">
        <v>4.7</v>
      </c>
      <c r="H5762" s="9">
        <v>-47.19</v>
      </c>
      <c r="I5762"/>
    </row>
    <row r="5763" spans="1:9" x14ac:dyDescent="0.3">
      <c r="A5763" t="s">
        <v>7</v>
      </c>
      <c r="B5763" t="s">
        <v>25</v>
      </c>
      <c r="C5763" t="s">
        <v>125</v>
      </c>
      <c r="D5763" s="9" t="s">
        <v>124</v>
      </c>
      <c r="E5763" t="s">
        <v>33</v>
      </c>
      <c r="F5763" t="s">
        <v>63</v>
      </c>
      <c r="G5763">
        <v>4.2</v>
      </c>
      <c r="H5763" s="9">
        <v>-45.45</v>
      </c>
      <c r="I5763"/>
    </row>
    <row r="5764" spans="1:9" x14ac:dyDescent="0.3">
      <c r="A5764" t="s">
        <v>7</v>
      </c>
      <c r="B5764" t="s">
        <v>25</v>
      </c>
      <c r="C5764" t="s">
        <v>126</v>
      </c>
      <c r="D5764" s="9" t="s">
        <v>124</v>
      </c>
      <c r="E5764" t="s">
        <v>34</v>
      </c>
      <c r="F5764" t="s">
        <v>65</v>
      </c>
      <c r="G5764">
        <v>4.2</v>
      </c>
      <c r="H5764" s="9">
        <v>-45.45</v>
      </c>
      <c r="I5764"/>
    </row>
    <row r="5765" spans="1:9" x14ac:dyDescent="0.3">
      <c r="A5765" t="s">
        <v>7</v>
      </c>
      <c r="B5765" t="s">
        <v>25</v>
      </c>
      <c r="C5765" t="s">
        <v>127</v>
      </c>
      <c r="D5765" s="9" t="s">
        <v>124</v>
      </c>
      <c r="E5765" t="s">
        <v>35</v>
      </c>
      <c r="F5765" t="s">
        <v>67</v>
      </c>
      <c r="G5765">
        <v>3.7</v>
      </c>
      <c r="H5765" s="9">
        <v>-46.38</v>
      </c>
      <c r="I5765"/>
    </row>
    <row r="5766" spans="1:9" x14ac:dyDescent="0.3">
      <c r="A5766" t="s">
        <v>7</v>
      </c>
      <c r="B5766" t="s">
        <v>25</v>
      </c>
      <c r="C5766" t="s">
        <v>128</v>
      </c>
      <c r="D5766" s="9" t="s">
        <v>124</v>
      </c>
      <c r="E5766" t="s">
        <v>36</v>
      </c>
      <c r="F5766" t="s">
        <v>69</v>
      </c>
      <c r="G5766">
        <v>3.7</v>
      </c>
      <c r="H5766" s="9">
        <v>-49.32</v>
      </c>
      <c r="I5766"/>
    </row>
    <row r="5767" spans="1:9" x14ac:dyDescent="0.3">
      <c r="A5767" t="s">
        <v>7</v>
      </c>
      <c r="B5767" t="s">
        <v>25</v>
      </c>
      <c r="C5767" t="s">
        <v>129</v>
      </c>
      <c r="D5767" s="9" t="s">
        <v>124</v>
      </c>
      <c r="E5767" t="s">
        <v>37</v>
      </c>
      <c r="F5767" t="s">
        <v>71</v>
      </c>
      <c r="G5767">
        <v>3.4</v>
      </c>
      <c r="H5767" s="9">
        <v>-48.48</v>
      </c>
      <c r="I5767"/>
    </row>
    <row r="5768" spans="1:9" x14ac:dyDescent="0.3">
      <c r="A5768" t="s">
        <v>7</v>
      </c>
      <c r="B5768" t="s">
        <v>25</v>
      </c>
      <c r="C5768" t="s">
        <v>130</v>
      </c>
      <c r="D5768" s="9" t="s">
        <v>124</v>
      </c>
      <c r="E5768" t="s">
        <v>38</v>
      </c>
      <c r="F5768" t="s">
        <v>73</v>
      </c>
      <c r="G5768">
        <v>3.6</v>
      </c>
      <c r="H5768" s="9">
        <v>-33.33</v>
      </c>
      <c r="I5768"/>
    </row>
    <row r="5769" spans="1:9" x14ac:dyDescent="0.3">
      <c r="A5769" t="s">
        <v>7</v>
      </c>
      <c r="B5769" t="s">
        <v>25</v>
      </c>
      <c r="C5769" t="s">
        <v>131</v>
      </c>
      <c r="D5769" s="9" t="s">
        <v>124</v>
      </c>
      <c r="E5769" t="s">
        <v>39</v>
      </c>
      <c r="F5769" t="s">
        <v>75</v>
      </c>
      <c r="G5769">
        <v>3.8</v>
      </c>
      <c r="H5769" s="9">
        <v>-20.83</v>
      </c>
      <c r="I5769"/>
    </row>
    <row r="5770" spans="1:9" x14ac:dyDescent="0.3">
      <c r="A5770" t="s">
        <v>7</v>
      </c>
      <c r="B5770" t="s">
        <v>25</v>
      </c>
      <c r="C5770" t="s">
        <v>132</v>
      </c>
      <c r="D5770" s="9" t="s">
        <v>124</v>
      </c>
      <c r="E5770" t="s">
        <v>40</v>
      </c>
      <c r="F5770" t="s">
        <v>77</v>
      </c>
      <c r="G5770">
        <v>3.7</v>
      </c>
      <c r="H5770" s="9">
        <v>-28.85</v>
      </c>
      <c r="I5770"/>
    </row>
    <row r="5771" spans="1:9" x14ac:dyDescent="0.3">
      <c r="A5771" t="s">
        <v>7</v>
      </c>
      <c r="B5771" t="s">
        <v>25</v>
      </c>
      <c r="C5771" t="s">
        <v>133</v>
      </c>
      <c r="D5771" s="9" t="s">
        <v>124</v>
      </c>
      <c r="E5771" t="s">
        <v>41</v>
      </c>
      <c r="F5771" t="s">
        <v>79</v>
      </c>
      <c r="G5771">
        <v>4.4000000000000004</v>
      </c>
      <c r="H5771" s="9">
        <v>-18.52</v>
      </c>
      <c r="I5771"/>
    </row>
    <row r="5772" spans="1:9" x14ac:dyDescent="0.3">
      <c r="A5772" t="s">
        <v>7</v>
      </c>
      <c r="B5772" t="s">
        <v>25</v>
      </c>
      <c r="C5772" t="s">
        <v>134</v>
      </c>
      <c r="D5772" s="9" t="s">
        <v>124</v>
      </c>
      <c r="E5772" t="s">
        <v>42</v>
      </c>
      <c r="F5772" t="s">
        <v>81</v>
      </c>
      <c r="G5772">
        <v>4.7</v>
      </c>
      <c r="H5772" s="9">
        <v>-9.6199999999999992</v>
      </c>
      <c r="I5772"/>
    </row>
    <row r="5773" spans="1:9" x14ac:dyDescent="0.3">
      <c r="A5773" t="s">
        <v>7</v>
      </c>
      <c r="B5773" t="s">
        <v>25</v>
      </c>
      <c r="C5773" t="s">
        <v>135</v>
      </c>
      <c r="D5773" s="9" t="s">
        <v>124</v>
      </c>
      <c r="E5773" t="s">
        <v>43</v>
      </c>
      <c r="F5773" t="s">
        <v>83</v>
      </c>
      <c r="G5773">
        <v>6.2</v>
      </c>
      <c r="H5773" s="9">
        <v>14.81</v>
      </c>
      <c r="I5773"/>
    </row>
    <row r="5774" spans="1:9" x14ac:dyDescent="0.3">
      <c r="A5774" t="s">
        <v>7</v>
      </c>
      <c r="B5774" t="s">
        <v>25</v>
      </c>
      <c r="C5774" t="s">
        <v>136</v>
      </c>
      <c r="D5774" s="9" t="s">
        <v>137</v>
      </c>
      <c r="E5774" t="s">
        <v>32</v>
      </c>
      <c r="F5774" t="s">
        <v>61</v>
      </c>
      <c r="G5774">
        <v>5.0999999999999996</v>
      </c>
      <c r="H5774" s="9">
        <v>8.51</v>
      </c>
      <c r="I5774"/>
    </row>
    <row r="5775" spans="1:9" x14ac:dyDescent="0.3">
      <c r="A5775" t="s">
        <v>7</v>
      </c>
      <c r="B5775" t="s">
        <v>25</v>
      </c>
      <c r="C5775" t="s">
        <v>138</v>
      </c>
      <c r="D5775" s="9" t="s">
        <v>137</v>
      </c>
      <c r="E5775" t="s">
        <v>33</v>
      </c>
      <c r="F5775" t="s">
        <v>63</v>
      </c>
      <c r="G5775">
        <v>4.4000000000000004</v>
      </c>
      <c r="H5775" s="9">
        <v>4.76</v>
      </c>
      <c r="I5775"/>
    </row>
    <row r="5776" spans="1:9" x14ac:dyDescent="0.3">
      <c r="A5776" t="s">
        <v>7</v>
      </c>
      <c r="B5776" t="s">
        <v>25</v>
      </c>
      <c r="C5776" t="s">
        <v>139</v>
      </c>
      <c r="D5776" s="9" t="s">
        <v>137</v>
      </c>
      <c r="E5776" t="s">
        <v>34</v>
      </c>
      <c r="F5776" t="s">
        <v>65</v>
      </c>
      <c r="G5776">
        <v>4.4000000000000004</v>
      </c>
      <c r="H5776" s="9">
        <v>4.76</v>
      </c>
      <c r="I5776"/>
    </row>
    <row r="5777" spans="1:9" x14ac:dyDescent="0.3">
      <c r="A5777" t="s">
        <v>7</v>
      </c>
      <c r="B5777" t="s">
        <v>25</v>
      </c>
      <c r="C5777" t="s">
        <v>140</v>
      </c>
      <c r="D5777" s="9" t="s">
        <v>137</v>
      </c>
      <c r="E5777" t="s">
        <v>35</v>
      </c>
      <c r="F5777" t="s">
        <v>67</v>
      </c>
      <c r="G5777">
        <v>4.8</v>
      </c>
      <c r="H5777" s="9">
        <v>29.73</v>
      </c>
      <c r="I5777"/>
    </row>
    <row r="5778" spans="1:9" x14ac:dyDescent="0.3">
      <c r="A5778" t="s">
        <v>7</v>
      </c>
      <c r="B5778" t="s">
        <v>25</v>
      </c>
      <c r="C5778" t="s">
        <v>141</v>
      </c>
      <c r="D5778" s="9" t="s">
        <v>137</v>
      </c>
      <c r="E5778" t="s">
        <v>36</v>
      </c>
      <c r="F5778" t="s">
        <v>69</v>
      </c>
      <c r="G5778">
        <v>4.7</v>
      </c>
      <c r="H5778" s="9">
        <v>27.03</v>
      </c>
      <c r="I5778"/>
    </row>
    <row r="5779" spans="1:9" x14ac:dyDescent="0.3">
      <c r="A5779" t="s">
        <v>7</v>
      </c>
      <c r="B5779" t="s">
        <v>25</v>
      </c>
      <c r="C5779" t="s">
        <v>142</v>
      </c>
      <c r="D5779" s="9" t="s">
        <v>137</v>
      </c>
      <c r="E5779" t="s">
        <v>37</v>
      </c>
      <c r="F5779" t="s">
        <v>71</v>
      </c>
      <c r="G5779">
        <v>4.2</v>
      </c>
      <c r="H5779" s="9">
        <v>23.53</v>
      </c>
      <c r="I5779"/>
    </row>
    <row r="5780" spans="1:9" x14ac:dyDescent="0.3">
      <c r="A5780" t="s">
        <v>7</v>
      </c>
      <c r="B5780" t="s">
        <v>25</v>
      </c>
      <c r="C5780" t="s">
        <v>143</v>
      </c>
      <c r="D5780" s="9" t="s">
        <v>137</v>
      </c>
      <c r="E5780" t="s">
        <v>38</v>
      </c>
      <c r="F5780" t="s">
        <v>73</v>
      </c>
      <c r="G5780">
        <v>5</v>
      </c>
      <c r="H5780" s="9">
        <v>38.89</v>
      </c>
      <c r="I5780"/>
    </row>
    <row r="5781" spans="1:9" x14ac:dyDescent="0.3">
      <c r="A5781" t="s">
        <v>7</v>
      </c>
      <c r="B5781" t="s">
        <v>25</v>
      </c>
      <c r="C5781" t="s">
        <v>144</v>
      </c>
      <c r="D5781" s="9" t="s">
        <v>137</v>
      </c>
      <c r="E5781" t="s">
        <v>39</v>
      </c>
      <c r="F5781" t="s">
        <v>75</v>
      </c>
      <c r="G5781">
        <v>5</v>
      </c>
      <c r="H5781" s="9">
        <v>31.58</v>
      </c>
      <c r="I5781"/>
    </row>
    <row r="5782" spans="1:9" x14ac:dyDescent="0.3">
      <c r="A5782" t="s">
        <v>7</v>
      </c>
      <c r="B5782" t="s">
        <v>25</v>
      </c>
      <c r="C5782" t="s">
        <v>145</v>
      </c>
      <c r="D5782" s="9" t="s">
        <v>137</v>
      </c>
      <c r="E5782" t="s">
        <v>40</v>
      </c>
      <c r="F5782" t="s">
        <v>77</v>
      </c>
      <c r="G5782">
        <v>5</v>
      </c>
      <c r="H5782" s="9">
        <v>35.14</v>
      </c>
      <c r="I5782"/>
    </row>
    <row r="5783" spans="1:9" x14ac:dyDescent="0.3">
      <c r="A5783" t="s">
        <v>7</v>
      </c>
      <c r="B5783" t="s">
        <v>25</v>
      </c>
      <c r="C5783" t="s">
        <v>146</v>
      </c>
      <c r="D5783" s="9" t="s">
        <v>137</v>
      </c>
      <c r="E5783" t="s">
        <v>41</v>
      </c>
      <c r="F5783" t="s">
        <v>79</v>
      </c>
      <c r="G5783">
        <v>5.8</v>
      </c>
      <c r="H5783" s="9">
        <v>31.82</v>
      </c>
      <c r="I5783"/>
    </row>
    <row r="5784" spans="1:9" x14ac:dyDescent="0.3">
      <c r="A5784" t="s">
        <v>7</v>
      </c>
      <c r="B5784" t="s">
        <v>25</v>
      </c>
      <c r="C5784" t="s">
        <v>147</v>
      </c>
      <c r="D5784" s="9" t="s">
        <v>137</v>
      </c>
      <c r="E5784" t="s">
        <v>42</v>
      </c>
      <c r="F5784" t="s">
        <v>81</v>
      </c>
      <c r="G5784">
        <v>6.3</v>
      </c>
      <c r="H5784" s="9">
        <v>34.04</v>
      </c>
      <c r="I5784"/>
    </row>
    <row r="5785" spans="1:9" x14ac:dyDescent="0.3">
      <c r="A5785" t="s">
        <v>7</v>
      </c>
      <c r="B5785" t="s">
        <v>25</v>
      </c>
      <c r="C5785" t="s">
        <v>148</v>
      </c>
      <c r="D5785" s="9" t="s">
        <v>137</v>
      </c>
      <c r="E5785" t="s">
        <v>43</v>
      </c>
      <c r="F5785" t="s">
        <v>83</v>
      </c>
      <c r="G5785">
        <v>9.4</v>
      </c>
      <c r="H5785" s="9">
        <v>51.61</v>
      </c>
      <c r="I5785"/>
    </row>
    <row r="5786" spans="1:9" x14ac:dyDescent="0.3">
      <c r="A5786" t="s">
        <v>7</v>
      </c>
      <c r="B5786" t="s">
        <v>25</v>
      </c>
      <c r="C5786" t="s">
        <v>149</v>
      </c>
      <c r="D5786" s="9" t="s">
        <v>150</v>
      </c>
      <c r="E5786" t="s">
        <v>32</v>
      </c>
      <c r="F5786" t="s">
        <v>61</v>
      </c>
      <c r="G5786">
        <v>6.1</v>
      </c>
      <c r="H5786" s="9">
        <v>19.61</v>
      </c>
      <c r="I5786"/>
    </row>
    <row r="5787" spans="1:9" x14ac:dyDescent="0.3">
      <c r="A5787" t="s">
        <v>7</v>
      </c>
      <c r="B5787" t="s">
        <v>25</v>
      </c>
      <c r="C5787" t="s">
        <v>151</v>
      </c>
      <c r="D5787" s="9" t="s">
        <v>150</v>
      </c>
      <c r="E5787" t="s">
        <v>33</v>
      </c>
      <c r="F5787" t="s">
        <v>63</v>
      </c>
      <c r="G5787">
        <v>4.7</v>
      </c>
      <c r="H5787" s="9">
        <v>6.82</v>
      </c>
      <c r="I5787"/>
    </row>
    <row r="5788" spans="1:9" x14ac:dyDescent="0.3">
      <c r="A5788" t="s">
        <v>7</v>
      </c>
      <c r="B5788" t="s">
        <v>25</v>
      </c>
      <c r="C5788" t="s">
        <v>152</v>
      </c>
      <c r="D5788" s="9" t="s">
        <v>150</v>
      </c>
      <c r="E5788" t="s">
        <v>34</v>
      </c>
      <c r="F5788" t="s">
        <v>65</v>
      </c>
      <c r="G5788">
        <v>4.8</v>
      </c>
      <c r="H5788" s="9">
        <v>9.09</v>
      </c>
      <c r="I5788"/>
    </row>
    <row r="5789" spans="1:9" x14ac:dyDescent="0.3">
      <c r="A5789" t="s">
        <v>7</v>
      </c>
      <c r="B5789" t="s">
        <v>25</v>
      </c>
      <c r="C5789" t="s">
        <v>153</v>
      </c>
      <c r="D5789" s="9" t="s">
        <v>150</v>
      </c>
      <c r="E5789" t="s">
        <v>35</v>
      </c>
      <c r="F5789" t="s">
        <v>67</v>
      </c>
      <c r="G5789">
        <v>5.3</v>
      </c>
      <c r="H5789" s="9">
        <v>10.42</v>
      </c>
      <c r="I5789"/>
    </row>
    <row r="5790" spans="1:9" x14ac:dyDescent="0.3">
      <c r="A5790" t="s">
        <v>7</v>
      </c>
      <c r="B5790" t="s">
        <v>25</v>
      </c>
      <c r="C5790" t="s">
        <v>154</v>
      </c>
      <c r="D5790" s="9" t="s">
        <v>150</v>
      </c>
      <c r="E5790" t="s">
        <v>36</v>
      </c>
      <c r="F5790" t="s">
        <v>69</v>
      </c>
      <c r="G5790">
        <v>5.5</v>
      </c>
      <c r="H5790" s="9">
        <v>17.02</v>
      </c>
      <c r="I5790"/>
    </row>
    <row r="5791" spans="1:9" x14ac:dyDescent="0.3">
      <c r="A5791" t="s">
        <v>7</v>
      </c>
      <c r="B5791" t="s">
        <v>25</v>
      </c>
      <c r="C5791" t="s">
        <v>155</v>
      </c>
      <c r="D5791" s="9" t="s">
        <v>150</v>
      </c>
      <c r="E5791" t="s">
        <v>37</v>
      </c>
      <c r="F5791" t="s">
        <v>71</v>
      </c>
      <c r="G5791">
        <v>4.5999999999999996</v>
      </c>
      <c r="H5791" s="9">
        <v>9.52</v>
      </c>
      <c r="I5791"/>
    </row>
    <row r="5792" spans="1:9" x14ac:dyDescent="0.3">
      <c r="A5792" t="s">
        <v>7</v>
      </c>
      <c r="B5792" t="s">
        <v>24</v>
      </c>
      <c r="C5792" t="s">
        <v>59</v>
      </c>
      <c r="D5792" s="9" t="s">
        <v>60</v>
      </c>
      <c r="E5792" t="s">
        <v>32</v>
      </c>
      <c r="F5792" t="s">
        <v>61</v>
      </c>
      <c r="G5792">
        <v>14.9</v>
      </c>
      <c r="I5792"/>
    </row>
    <row r="5793" spans="1:9" x14ac:dyDescent="0.3">
      <c r="A5793" t="s">
        <v>7</v>
      </c>
      <c r="B5793" t="s">
        <v>24</v>
      </c>
      <c r="C5793" t="s">
        <v>62</v>
      </c>
      <c r="D5793" s="9" t="s">
        <v>60</v>
      </c>
      <c r="E5793" t="s">
        <v>33</v>
      </c>
      <c r="F5793" t="s">
        <v>63</v>
      </c>
      <c r="G5793">
        <v>10.3</v>
      </c>
      <c r="I5793"/>
    </row>
    <row r="5794" spans="1:9" x14ac:dyDescent="0.3">
      <c r="A5794" t="s">
        <v>7</v>
      </c>
      <c r="B5794" t="s">
        <v>24</v>
      </c>
      <c r="C5794" t="s">
        <v>64</v>
      </c>
      <c r="D5794" s="9" t="s">
        <v>60</v>
      </c>
      <c r="E5794" t="s">
        <v>34</v>
      </c>
      <c r="F5794" t="s">
        <v>65</v>
      </c>
      <c r="G5794">
        <v>11.5</v>
      </c>
      <c r="I5794"/>
    </row>
    <row r="5795" spans="1:9" x14ac:dyDescent="0.3">
      <c r="A5795" t="s">
        <v>7</v>
      </c>
      <c r="B5795" t="s">
        <v>24</v>
      </c>
      <c r="C5795" t="s">
        <v>66</v>
      </c>
      <c r="D5795" s="9" t="s">
        <v>60</v>
      </c>
      <c r="E5795" t="s">
        <v>35</v>
      </c>
      <c r="F5795" t="s">
        <v>67</v>
      </c>
      <c r="G5795">
        <v>11.1</v>
      </c>
      <c r="I5795"/>
    </row>
    <row r="5796" spans="1:9" x14ac:dyDescent="0.3">
      <c r="A5796" t="s">
        <v>7</v>
      </c>
      <c r="B5796" t="s">
        <v>24</v>
      </c>
      <c r="C5796" t="s">
        <v>68</v>
      </c>
      <c r="D5796" s="9" t="s">
        <v>60</v>
      </c>
      <c r="E5796" t="s">
        <v>36</v>
      </c>
      <c r="F5796" t="s">
        <v>69</v>
      </c>
      <c r="G5796">
        <v>9.4</v>
      </c>
      <c r="I5796"/>
    </row>
    <row r="5797" spans="1:9" x14ac:dyDescent="0.3">
      <c r="A5797" t="s">
        <v>7</v>
      </c>
      <c r="B5797" t="s">
        <v>24</v>
      </c>
      <c r="C5797" t="s">
        <v>70</v>
      </c>
      <c r="D5797" s="9" t="s">
        <v>60</v>
      </c>
      <c r="E5797" t="s">
        <v>37</v>
      </c>
      <c r="F5797" t="s">
        <v>71</v>
      </c>
      <c r="G5797">
        <v>10.4</v>
      </c>
      <c r="I5797"/>
    </row>
    <row r="5798" spans="1:9" x14ac:dyDescent="0.3">
      <c r="A5798" t="s">
        <v>7</v>
      </c>
      <c r="B5798" t="s">
        <v>24</v>
      </c>
      <c r="C5798" t="s">
        <v>72</v>
      </c>
      <c r="D5798" s="9" t="s">
        <v>60</v>
      </c>
      <c r="E5798" t="s">
        <v>38</v>
      </c>
      <c r="F5798" t="s">
        <v>73</v>
      </c>
      <c r="G5798">
        <v>11.2</v>
      </c>
      <c r="I5798"/>
    </row>
    <row r="5799" spans="1:9" x14ac:dyDescent="0.3">
      <c r="A5799" t="s">
        <v>7</v>
      </c>
      <c r="B5799" t="s">
        <v>24</v>
      </c>
      <c r="C5799" t="s">
        <v>74</v>
      </c>
      <c r="D5799" s="9" t="s">
        <v>60</v>
      </c>
      <c r="E5799" t="s">
        <v>39</v>
      </c>
      <c r="F5799" t="s">
        <v>75</v>
      </c>
      <c r="G5799">
        <v>10.6</v>
      </c>
      <c r="I5799"/>
    </row>
    <row r="5800" spans="1:9" x14ac:dyDescent="0.3">
      <c r="A5800" t="s">
        <v>7</v>
      </c>
      <c r="B5800" t="s">
        <v>24</v>
      </c>
      <c r="C5800" t="s">
        <v>76</v>
      </c>
      <c r="D5800" s="9" t="s">
        <v>60</v>
      </c>
      <c r="E5800" t="s">
        <v>40</v>
      </c>
      <c r="F5800" t="s">
        <v>77</v>
      </c>
      <c r="G5800">
        <v>10.6</v>
      </c>
      <c r="I5800"/>
    </row>
    <row r="5801" spans="1:9" x14ac:dyDescent="0.3">
      <c r="A5801" t="s">
        <v>7</v>
      </c>
      <c r="B5801" t="s">
        <v>24</v>
      </c>
      <c r="C5801" t="s">
        <v>78</v>
      </c>
      <c r="D5801" s="9" t="s">
        <v>60</v>
      </c>
      <c r="E5801" t="s">
        <v>41</v>
      </c>
      <c r="F5801" t="s">
        <v>79</v>
      </c>
      <c r="G5801">
        <v>13.3</v>
      </c>
      <c r="I5801"/>
    </row>
    <row r="5802" spans="1:9" x14ac:dyDescent="0.3">
      <c r="A5802" t="s">
        <v>7</v>
      </c>
      <c r="B5802" t="s">
        <v>24</v>
      </c>
      <c r="C5802" t="s">
        <v>80</v>
      </c>
      <c r="D5802" s="9" t="s">
        <v>60</v>
      </c>
      <c r="E5802" t="s">
        <v>42</v>
      </c>
      <c r="F5802" t="s">
        <v>81</v>
      </c>
      <c r="G5802">
        <v>15.8</v>
      </c>
      <c r="I5802"/>
    </row>
    <row r="5803" spans="1:9" x14ac:dyDescent="0.3">
      <c r="A5803" t="s">
        <v>7</v>
      </c>
      <c r="B5803" t="s">
        <v>24</v>
      </c>
      <c r="C5803" t="s">
        <v>82</v>
      </c>
      <c r="D5803" s="9" t="s">
        <v>60</v>
      </c>
      <c r="E5803" t="s">
        <v>43</v>
      </c>
      <c r="F5803" t="s">
        <v>83</v>
      </c>
      <c r="G5803">
        <v>25.3</v>
      </c>
      <c r="I5803"/>
    </row>
    <row r="5804" spans="1:9" x14ac:dyDescent="0.3">
      <c r="A5804" t="s">
        <v>7</v>
      </c>
      <c r="B5804" t="s">
        <v>24</v>
      </c>
      <c r="C5804" t="s">
        <v>84</v>
      </c>
      <c r="D5804" s="9" t="s">
        <v>85</v>
      </c>
      <c r="E5804" t="s">
        <v>32</v>
      </c>
      <c r="F5804" t="s">
        <v>61</v>
      </c>
      <c r="G5804">
        <v>13.4</v>
      </c>
      <c r="H5804" s="9">
        <v>-10.07</v>
      </c>
      <c r="I5804"/>
    </row>
    <row r="5805" spans="1:9" x14ac:dyDescent="0.3">
      <c r="A5805" t="s">
        <v>7</v>
      </c>
      <c r="B5805" t="s">
        <v>24</v>
      </c>
      <c r="C5805" t="s">
        <v>86</v>
      </c>
      <c r="D5805" s="9" t="s">
        <v>85</v>
      </c>
      <c r="E5805" t="s">
        <v>33</v>
      </c>
      <c r="F5805" t="s">
        <v>63</v>
      </c>
      <c r="G5805">
        <v>10.5</v>
      </c>
      <c r="H5805" s="9">
        <v>1.94</v>
      </c>
      <c r="I5805"/>
    </row>
    <row r="5806" spans="1:9" x14ac:dyDescent="0.3">
      <c r="A5806" t="s">
        <v>7</v>
      </c>
      <c r="B5806" t="s">
        <v>24</v>
      </c>
      <c r="C5806" t="s">
        <v>87</v>
      </c>
      <c r="D5806" s="9" t="s">
        <v>85</v>
      </c>
      <c r="E5806" t="s">
        <v>34</v>
      </c>
      <c r="F5806" t="s">
        <v>65</v>
      </c>
      <c r="G5806">
        <v>14.1</v>
      </c>
      <c r="H5806" s="9">
        <v>22.61</v>
      </c>
      <c r="I5806"/>
    </row>
    <row r="5807" spans="1:9" x14ac:dyDescent="0.3">
      <c r="A5807" t="s">
        <v>7</v>
      </c>
      <c r="B5807" t="s">
        <v>24</v>
      </c>
      <c r="C5807" t="s">
        <v>88</v>
      </c>
      <c r="D5807" s="9" t="s">
        <v>85</v>
      </c>
      <c r="E5807" t="s">
        <v>35</v>
      </c>
      <c r="F5807" t="s">
        <v>67</v>
      </c>
      <c r="G5807">
        <v>13.6</v>
      </c>
      <c r="H5807" s="9">
        <v>22.52</v>
      </c>
      <c r="I5807"/>
    </row>
    <row r="5808" spans="1:9" x14ac:dyDescent="0.3">
      <c r="A5808" t="s">
        <v>7</v>
      </c>
      <c r="B5808" t="s">
        <v>24</v>
      </c>
      <c r="C5808" t="s">
        <v>89</v>
      </c>
      <c r="D5808" s="9" t="s">
        <v>85</v>
      </c>
      <c r="E5808" t="s">
        <v>36</v>
      </c>
      <c r="F5808" t="s">
        <v>69</v>
      </c>
      <c r="G5808">
        <v>15.3</v>
      </c>
      <c r="H5808" s="9">
        <v>62.77</v>
      </c>
      <c r="I5808"/>
    </row>
    <row r="5809" spans="1:9" x14ac:dyDescent="0.3">
      <c r="A5809" t="s">
        <v>7</v>
      </c>
      <c r="B5809" t="s">
        <v>24</v>
      </c>
      <c r="C5809" t="s">
        <v>90</v>
      </c>
      <c r="D5809" s="9" t="s">
        <v>85</v>
      </c>
      <c r="E5809" t="s">
        <v>37</v>
      </c>
      <c r="F5809" t="s">
        <v>71</v>
      </c>
      <c r="G5809">
        <v>16.3</v>
      </c>
      <c r="H5809" s="9">
        <v>56.73</v>
      </c>
      <c r="I5809"/>
    </row>
    <row r="5810" spans="1:9" x14ac:dyDescent="0.3">
      <c r="A5810" t="s">
        <v>7</v>
      </c>
      <c r="B5810" t="s">
        <v>24</v>
      </c>
      <c r="C5810" t="s">
        <v>91</v>
      </c>
      <c r="D5810" s="9" t="s">
        <v>85</v>
      </c>
      <c r="E5810" t="s">
        <v>38</v>
      </c>
      <c r="F5810" t="s">
        <v>73</v>
      </c>
      <c r="G5810">
        <v>18.399999999999999</v>
      </c>
      <c r="H5810" s="9">
        <v>64.290000000000006</v>
      </c>
      <c r="I5810"/>
    </row>
    <row r="5811" spans="1:9" x14ac:dyDescent="0.3">
      <c r="A5811" t="s">
        <v>7</v>
      </c>
      <c r="B5811" t="s">
        <v>24</v>
      </c>
      <c r="C5811" t="s">
        <v>92</v>
      </c>
      <c r="D5811" s="9" t="s">
        <v>85</v>
      </c>
      <c r="E5811" t="s">
        <v>39</v>
      </c>
      <c r="F5811" t="s">
        <v>75</v>
      </c>
      <c r="G5811">
        <v>16.2</v>
      </c>
      <c r="H5811" s="9">
        <v>52.83</v>
      </c>
      <c r="I5811"/>
    </row>
    <row r="5812" spans="1:9" x14ac:dyDescent="0.3">
      <c r="A5812" t="s">
        <v>7</v>
      </c>
      <c r="B5812" t="s">
        <v>24</v>
      </c>
      <c r="C5812" t="s">
        <v>93</v>
      </c>
      <c r="D5812" s="9" t="s">
        <v>85</v>
      </c>
      <c r="E5812" t="s">
        <v>40</v>
      </c>
      <c r="F5812" t="s">
        <v>77</v>
      </c>
      <c r="G5812">
        <v>16.2</v>
      </c>
      <c r="H5812" s="9">
        <v>52.83</v>
      </c>
      <c r="I5812"/>
    </row>
    <row r="5813" spans="1:9" x14ac:dyDescent="0.3">
      <c r="A5813" t="s">
        <v>7</v>
      </c>
      <c r="B5813" t="s">
        <v>24</v>
      </c>
      <c r="C5813" t="s">
        <v>94</v>
      </c>
      <c r="D5813" s="9" t="s">
        <v>85</v>
      </c>
      <c r="E5813" t="s">
        <v>41</v>
      </c>
      <c r="F5813" t="s">
        <v>79</v>
      </c>
      <c r="G5813">
        <v>17.100000000000001</v>
      </c>
      <c r="H5813" s="9">
        <v>28.57</v>
      </c>
      <c r="I5813"/>
    </row>
    <row r="5814" spans="1:9" x14ac:dyDescent="0.3">
      <c r="A5814" t="s">
        <v>7</v>
      </c>
      <c r="B5814" t="s">
        <v>24</v>
      </c>
      <c r="C5814" t="s">
        <v>95</v>
      </c>
      <c r="D5814" s="9" t="s">
        <v>85</v>
      </c>
      <c r="E5814" t="s">
        <v>42</v>
      </c>
      <c r="F5814" t="s">
        <v>81</v>
      </c>
      <c r="G5814">
        <v>20</v>
      </c>
      <c r="H5814" s="9">
        <v>26.58</v>
      </c>
      <c r="I5814"/>
    </row>
    <row r="5815" spans="1:9" x14ac:dyDescent="0.3">
      <c r="A5815" t="s">
        <v>7</v>
      </c>
      <c r="B5815" t="s">
        <v>24</v>
      </c>
      <c r="C5815" t="s">
        <v>96</v>
      </c>
      <c r="D5815" s="9" t="s">
        <v>85</v>
      </c>
      <c r="E5815" t="s">
        <v>43</v>
      </c>
      <c r="F5815" t="s">
        <v>83</v>
      </c>
      <c r="G5815">
        <v>28.3</v>
      </c>
      <c r="H5815" s="9">
        <v>11.86</v>
      </c>
      <c r="I5815"/>
    </row>
    <row r="5816" spans="1:9" x14ac:dyDescent="0.3">
      <c r="A5816" t="s">
        <v>7</v>
      </c>
      <c r="B5816" t="s">
        <v>24</v>
      </c>
      <c r="C5816" t="s">
        <v>97</v>
      </c>
      <c r="D5816" s="9" t="s">
        <v>98</v>
      </c>
      <c r="E5816" t="s">
        <v>32</v>
      </c>
      <c r="F5816" t="s">
        <v>61</v>
      </c>
      <c r="G5816">
        <v>18.399999999999999</v>
      </c>
      <c r="H5816" s="9">
        <v>37.31</v>
      </c>
      <c r="I5816"/>
    </row>
    <row r="5817" spans="1:9" x14ac:dyDescent="0.3">
      <c r="A5817" t="s">
        <v>7</v>
      </c>
      <c r="B5817" t="s">
        <v>24</v>
      </c>
      <c r="C5817" t="s">
        <v>99</v>
      </c>
      <c r="D5817" s="9" t="s">
        <v>98</v>
      </c>
      <c r="E5817" t="s">
        <v>33</v>
      </c>
      <c r="F5817" t="s">
        <v>63</v>
      </c>
      <c r="G5817">
        <v>12.2</v>
      </c>
      <c r="H5817" s="9">
        <v>16.190000000000001</v>
      </c>
      <c r="I5817"/>
    </row>
    <row r="5818" spans="1:9" x14ac:dyDescent="0.3">
      <c r="A5818" t="s">
        <v>7</v>
      </c>
      <c r="B5818" t="s">
        <v>24</v>
      </c>
      <c r="C5818" t="s">
        <v>100</v>
      </c>
      <c r="D5818" s="9" t="s">
        <v>98</v>
      </c>
      <c r="E5818" t="s">
        <v>34</v>
      </c>
      <c r="F5818" t="s">
        <v>65</v>
      </c>
      <c r="G5818">
        <v>11.9</v>
      </c>
      <c r="H5818" s="9">
        <v>-15.6</v>
      </c>
      <c r="I5818"/>
    </row>
    <row r="5819" spans="1:9" x14ac:dyDescent="0.3">
      <c r="A5819" t="s">
        <v>7</v>
      </c>
      <c r="B5819" t="s">
        <v>24</v>
      </c>
      <c r="C5819" t="s">
        <v>101</v>
      </c>
      <c r="D5819" s="9" t="s">
        <v>98</v>
      </c>
      <c r="E5819" t="s">
        <v>35</v>
      </c>
      <c r="F5819" t="s">
        <v>67</v>
      </c>
      <c r="G5819">
        <v>12.3</v>
      </c>
      <c r="H5819" s="9">
        <v>-9.56</v>
      </c>
      <c r="I5819"/>
    </row>
    <row r="5820" spans="1:9" x14ac:dyDescent="0.3">
      <c r="A5820" t="s">
        <v>7</v>
      </c>
      <c r="B5820" t="s">
        <v>24</v>
      </c>
      <c r="C5820" t="s">
        <v>102</v>
      </c>
      <c r="D5820" s="9" t="s">
        <v>98</v>
      </c>
      <c r="E5820" t="s">
        <v>36</v>
      </c>
      <c r="F5820" t="s">
        <v>69</v>
      </c>
      <c r="G5820">
        <v>11.8</v>
      </c>
      <c r="H5820" s="9">
        <v>-22.88</v>
      </c>
      <c r="I5820"/>
    </row>
    <row r="5821" spans="1:9" x14ac:dyDescent="0.3">
      <c r="A5821" t="s">
        <v>7</v>
      </c>
      <c r="B5821" t="s">
        <v>24</v>
      </c>
      <c r="C5821" t="s">
        <v>103</v>
      </c>
      <c r="D5821" s="9" t="s">
        <v>98</v>
      </c>
      <c r="E5821" t="s">
        <v>37</v>
      </c>
      <c r="F5821" t="s">
        <v>71</v>
      </c>
      <c r="G5821">
        <v>11.5</v>
      </c>
      <c r="H5821" s="9">
        <v>-29.45</v>
      </c>
      <c r="I5821"/>
    </row>
    <row r="5822" spans="1:9" x14ac:dyDescent="0.3">
      <c r="A5822" t="s">
        <v>7</v>
      </c>
      <c r="B5822" t="s">
        <v>24</v>
      </c>
      <c r="C5822" t="s">
        <v>104</v>
      </c>
      <c r="D5822" s="9" t="s">
        <v>98</v>
      </c>
      <c r="E5822" t="s">
        <v>38</v>
      </c>
      <c r="F5822" t="s">
        <v>73</v>
      </c>
      <c r="G5822">
        <v>13.1</v>
      </c>
      <c r="H5822" s="9">
        <v>-28.8</v>
      </c>
      <c r="I5822"/>
    </row>
    <row r="5823" spans="1:9" x14ac:dyDescent="0.3">
      <c r="A5823" t="s">
        <v>7</v>
      </c>
      <c r="B5823" t="s">
        <v>24</v>
      </c>
      <c r="C5823" t="s">
        <v>105</v>
      </c>
      <c r="D5823" s="9" t="s">
        <v>98</v>
      </c>
      <c r="E5823" t="s">
        <v>39</v>
      </c>
      <c r="F5823" t="s">
        <v>75</v>
      </c>
      <c r="G5823">
        <v>11.9</v>
      </c>
      <c r="H5823" s="9">
        <v>-26.54</v>
      </c>
      <c r="I5823"/>
    </row>
    <row r="5824" spans="1:9" x14ac:dyDescent="0.3">
      <c r="A5824" t="s">
        <v>7</v>
      </c>
      <c r="B5824" t="s">
        <v>24</v>
      </c>
      <c r="C5824" t="s">
        <v>106</v>
      </c>
      <c r="D5824" s="9" t="s">
        <v>98</v>
      </c>
      <c r="E5824" t="s">
        <v>40</v>
      </c>
      <c r="F5824" t="s">
        <v>77</v>
      </c>
      <c r="G5824">
        <v>13.7</v>
      </c>
      <c r="H5824" s="9">
        <v>-15.43</v>
      </c>
      <c r="I5824"/>
    </row>
    <row r="5825" spans="1:9" x14ac:dyDescent="0.3">
      <c r="A5825" t="s">
        <v>7</v>
      </c>
      <c r="B5825" t="s">
        <v>24</v>
      </c>
      <c r="C5825" t="s">
        <v>107</v>
      </c>
      <c r="D5825" s="9" t="s">
        <v>98</v>
      </c>
      <c r="E5825" t="s">
        <v>41</v>
      </c>
      <c r="F5825" t="s">
        <v>79</v>
      </c>
      <c r="G5825">
        <v>12.9</v>
      </c>
      <c r="H5825" s="9">
        <v>-24.56</v>
      </c>
      <c r="I5825"/>
    </row>
    <row r="5826" spans="1:9" x14ac:dyDescent="0.3">
      <c r="A5826" t="s">
        <v>7</v>
      </c>
      <c r="B5826" t="s">
        <v>24</v>
      </c>
      <c r="C5826" t="s">
        <v>108</v>
      </c>
      <c r="D5826" s="9" t="s">
        <v>98</v>
      </c>
      <c r="E5826" t="s">
        <v>42</v>
      </c>
      <c r="F5826" t="s">
        <v>81</v>
      </c>
      <c r="G5826">
        <v>14.5</v>
      </c>
      <c r="H5826" s="9">
        <v>-27.5</v>
      </c>
      <c r="I5826"/>
    </row>
    <row r="5827" spans="1:9" x14ac:dyDescent="0.3">
      <c r="A5827" t="s">
        <v>7</v>
      </c>
      <c r="B5827" t="s">
        <v>24</v>
      </c>
      <c r="C5827" t="s">
        <v>109</v>
      </c>
      <c r="D5827" s="9" t="s">
        <v>98</v>
      </c>
      <c r="E5827" t="s">
        <v>43</v>
      </c>
      <c r="F5827" t="s">
        <v>83</v>
      </c>
      <c r="G5827">
        <v>21.6</v>
      </c>
      <c r="H5827" s="9">
        <v>-23.67</v>
      </c>
      <c r="I5827"/>
    </row>
    <row r="5828" spans="1:9" x14ac:dyDescent="0.3">
      <c r="A5828" t="s">
        <v>7</v>
      </c>
      <c r="B5828" t="s">
        <v>24</v>
      </c>
      <c r="C5828" t="s">
        <v>110</v>
      </c>
      <c r="D5828" s="9" t="s">
        <v>111</v>
      </c>
      <c r="E5828" t="s">
        <v>32</v>
      </c>
      <c r="F5828" t="s">
        <v>61</v>
      </c>
      <c r="G5828">
        <v>16.600000000000001</v>
      </c>
      <c r="H5828" s="9">
        <v>-9.7799999999999994</v>
      </c>
      <c r="I5828"/>
    </row>
    <row r="5829" spans="1:9" x14ac:dyDescent="0.3">
      <c r="A5829" t="s">
        <v>7</v>
      </c>
      <c r="B5829" t="s">
        <v>24</v>
      </c>
      <c r="C5829" t="s">
        <v>112</v>
      </c>
      <c r="D5829" s="9" t="s">
        <v>111</v>
      </c>
      <c r="E5829" t="s">
        <v>33</v>
      </c>
      <c r="F5829" t="s">
        <v>63</v>
      </c>
      <c r="G5829">
        <v>11.3</v>
      </c>
      <c r="H5829" s="9">
        <v>-7.38</v>
      </c>
      <c r="I5829"/>
    </row>
    <row r="5830" spans="1:9" x14ac:dyDescent="0.3">
      <c r="A5830" t="s">
        <v>7</v>
      </c>
      <c r="B5830" t="s">
        <v>24</v>
      </c>
      <c r="C5830" t="s">
        <v>113</v>
      </c>
      <c r="D5830" s="9" t="s">
        <v>111</v>
      </c>
      <c r="E5830" t="s">
        <v>34</v>
      </c>
      <c r="F5830" t="s">
        <v>65</v>
      </c>
      <c r="G5830">
        <v>10.4</v>
      </c>
      <c r="H5830" s="9">
        <v>-12.61</v>
      </c>
      <c r="I5830"/>
    </row>
    <row r="5831" spans="1:9" x14ac:dyDescent="0.3">
      <c r="A5831" t="s">
        <v>7</v>
      </c>
      <c r="B5831" t="s">
        <v>24</v>
      </c>
      <c r="C5831" t="s">
        <v>114</v>
      </c>
      <c r="D5831" s="9" t="s">
        <v>111</v>
      </c>
      <c r="E5831" t="s">
        <v>35</v>
      </c>
      <c r="F5831" t="s">
        <v>67</v>
      </c>
      <c r="G5831">
        <v>12.2</v>
      </c>
      <c r="H5831" s="9">
        <v>-0.81</v>
      </c>
      <c r="I5831"/>
    </row>
    <row r="5832" spans="1:9" x14ac:dyDescent="0.3">
      <c r="A5832" t="s">
        <v>7</v>
      </c>
      <c r="B5832" t="s">
        <v>24</v>
      </c>
      <c r="C5832" t="s">
        <v>115</v>
      </c>
      <c r="D5832" s="9" t="s">
        <v>111</v>
      </c>
      <c r="E5832" t="s">
        <v>36</v>
      </c>
      <c r="F5832" t="s">
        <v>69</v>
      </c>
      <c r="G5832">
        <v>11.8</v>
      </c>
      <c r="H5832" s="9">
        <v>0</v>
      </c>
      <c r="I5832"/>
    </row>
    <row r="5833" spans="1:9" x14ac:dyDescent="0.3">
      <c r="A5833" t="s">
        <v>7</v>
      </c>
      <c r="B5833" t="s">
        <v>24</v>
      </c>
      <c r="C5833" t="s">
        <v>116</v>
      </c>
      <c r="D5833" s="9" t="s">
        <v>111</v>
      </c>
      <c r="E5833" t="s">
        <v>37</v>
      </c>
      <c r="F5833" t="s">
        <v>71</v>
      </c>
      <c r="G5833">
        <v>13.4</v>
      </c>
      <c r="H5833" s="9">
        <v>16.52</v>
      </c>
      <c r="I5833"/>
    </row>
    <row r="5834" spans="1:9" x14ac:dyDescent="0.3">
      <c r="A5834" t="s">
        <v>7</v>
      </c>
      <c r="B5834" t="s">
        <v>24</v>
      </c>
      <c r="C5834" t="s">
        <v>117</v>
      </c>
      <c r="D5834" s="9" t="s">
        <v>111</v>
      </c>
      <c r="E5834" t="s">
        <v>38</v>
      </c>
      <c r="F5834" t="s">
        <v>73</v>
      </c>
      <c r="G5834">
        <v>12.9</v>
      </c>
      <c r="H5834" s="9">
        <v>-1.53</v>
      </c>
      <c r="I5834"/>
    </row>
    <row r="5835" spans="1:9" x14ac:dyDescent="0.3">
      <c r="A5835" t="s">
        <v>7</v>
      </c>
      <c r="B5835" t="s">
        <v>24</v>
      </c>
      <c r="C5835" t="s">
        <v>118</v>
      </c>
      <c r="D5835" s="9" t="s">
        <v>111</v>
      </c>
      <c r="E5835" t="s">
        <v>39</v>
      </c>
      <c r="F5835" t="s">
        <v>75</v>
      </c>
      <c r="G5835">
        <v>12.1</v>
      </c>
      <c r="H5835" s="9">
        <v>1.68</v>
      </c>
      <c r="I5835"/>
    </row>
    <row r="5836" spans="1:9" x14ac:dyDescent="0.3">
      <c r="A5836" t="s">
        <v>7</v>
      </c>
      <c r="B5836" t="s">
        <v>24</v>
      </c>
      <c r="C5836" t="s">
        <v>119</v>
      </c>
      <c r="D5836" s="9" t="s">
        <v>111</v>
      </c>
      <c r="E5836" t="s">
        <v>40</v>
      </c>
      <c r="F5836" t="s">
        <v>77</v>
      </c>
      <c r="G5836">
        <v>13.3</v>
      </c>
      <c r="H5836" s="9">
        <v>-2.92</v>
      </c>
      <c r="I5836"/>
    </row>
    <row r="5837" spans="1:9" x14ac:dyDescent="0.3">
      <c r="A5837" t="s">
        <v>7</v>
      </c>
      <c r="B5837" t="s">
        <v>24</v>
      </c>
      <c r="C5837" t="s">
        <v>120</v>
      </c>
      <c r="D5837" s="9" t="s">
        <v>111</v>
      </c>
      <c r="E5837" t="s">
        <v>41</v>
      </c>
      <c r="F5837" t="s">
        <v>79</v>
      </c>
      <c r="G5837">
        <v>13</v>
      </c>
      <c r="H5837" s="9">
        <v>0.78</v>
      </c>
      <c r="I5837"/>
    </row>
    <row r="5838" spans="1:9" x14ac:dyDescent="0.3">
      <c r="A5838" t="s">
        <v>7</v>
      </c>
      <c r="B5838" t="s">
        <v>24</v>
      </c>
      <c r="C5838" t="s">
        <v>121</v>
      </c>
      <c r="D5838" s="9" t="s">
        <v>111</v>
      </c>
      <c r="E5838" t="s">
        <v>42</v>
      </c>
      <c r="F5838" t="s">
        <v>81</v>
      </c>
      <c r="G5838">
        <v>16.5</v>
      </c>
      <c r="H5838" s="9">
        <v>13.79</v>
      </c>
      <c r="I5838"/>
    </row>
    <row r="5839" spans="1:9" x14ac:dyDescent="0.3">
      <c r="A5839" t="s">
        <v>7</v>
      </c>
      <c r="B5839" t="s">
        <v>24</v>
      </c>
      <c r="C5839" t="s">
        <v>122</v>
      </c>
      <c r="D5839" s="9" t="s">
        <v>111</v>
      </c>
      <c r="E5839" t="s">
        <v>43</v>
      </c>
      <c r="F5839" t="s">
        <v>83</v>
      </c>
      <c r="G5839">
        <v>22.1</v>
      </c>
      <c r="H5839" s="9">
        <v>2.31</v>
      </c>
      <c r="I5839"/>
    </row>
    <row r="5840" spans="1:9" x14ac:dyDescent="0.3">
      <c r="A5840" t="s">
        <v>7</v>
      </c>
      <c r="B5840" t="s">
        <v>24</v>
      </c>
      <c r="C5840" t="s">
        <v>123</v>
      </c>
      <c r="D5840" s="9" t="s">
        <v>124</v>
      </c>
      <c r="E5840" t="s">
        <v>32</v>
      </c>
      <c r="F5840" t="s">
        <v>61</v>
      </c>
      <c r="G5840">
        <v>16.3</v>
      </c>
      <c r="H5840" s="9">
        <v>-1.81</v>
      </c>
      <c r="I5840"/>
    </row>
    <row r="5841" spans="1:9" x14ac:dyDescent="0.3">
      <c r="A5841" t="s">
        <v>7</v>
      </c>
      <c r="B5841" t="s">
        <v>24</v>
      </c>
      <c r="C5841" t="s">
        <v>125</v>
      </c>
      <c r="D5841" s="9" t="s">
        <v>124</v>
      </c>
      <c r="E5841" t="s">
        <v>33</v>
      </c>
      <c r="F5841" t="s">
        <v>63</v>
      </c>
      <c r="G5841">
        <v>11.5</v>
      </c>
      <c r="H5841" s="9">
        <v>1.77</v>
      </c>
      <c r="I5841"/>
    </row>
    <row r="5842" spans="1:9" x14ac:dyDescent="0.3">
      <c r="A5842" t="s">
        <v>7</v>
      </c>
      <c r="B5842" t="s">
        <v>24</v>
      </c>
      <c r="C5842" t="s">
        <v>126</v>
      </c>
      <c r="D5842" s="9" t="s">
        <v>124</v>
      </c>
      <c r="E5842" t="s">
        <v>34</v>
      </c>
      <c r="F5842" t="s">
        <v>65</v>
      </c>
      <c r="G5842">
        <v>11.2</v>
      </c>
      <c r="H5842" s="9">
        <v>7.69</v>
      </c>
      <c r="I5842"/>
    </row>
    <row r="5843" spans="1:9" x14ac:dyDescent="0.3">
      <c r="A5843" t="s">
        <v>7</v>
      </c>
      <c r="B5843" t="s">
        <v>24</v>
      </c>
      <c r="C5843" t="s">
        <v>127</v>
      </c>
      <c r="D5843" s="9" t="s">
        <v>124</v>
      </c>
      <c r="E5843" t="s">
        <v>35</v>
      </c>
      <c r="F5843" t="s">
        <v>67</v>
      </c>
      <c r="G5843">
        <v>10.9</v>
      </c>
      <c r="H5843" s="9">
        <v>-10.66</v>
      </c>
      <c r="I5843"/>
    </row>
    <row r="5844" spans="1:9" x14ac:dyDescent="0.3">
      <c r="A5844" t="s">
        <v>7</v>
      </c>
      <c r="B5844" t="s">
        <v>24</v>
      </c>
      <c r="C5844" t="s">
        <v>128</v>
      </c>
      <c r="D5844" s="9" t="s">
        <v>124</v>
      </c>
      <c r="E5844" t="s">
        <v>36</v>
      </c>
      <c r="F5844" t="s">
        <v>69</v>
      </c>
      <c r="G5844">
        <v>10.3</v>
      </c>
      <c r="H5844" s="9">
        <v>-12.71</v>
      </c>
      <c r="I5844"/>
    </row>
    <row r="5845" spans="1:9" x14ac:dyDescent="0.3">
      <c r="A5845" t="s">
        <v>7</v>
      </c>
      <c r="B5845" t="s">
        <v>24</v>
      </c>
      <c r="C5845" t="s">
        <v>129</v>
      </c>
      <c r="D5845" s="9" t="s">
        <v>124</v>
      </c>
      <c r="E5845" t="s">
        <v>37</v>
      </c>
      <c r="F5845" t="s">
        <v>71</v>
      </c>
      <c r="G5845">
        <v>10.199999999999999</v>
      </c>
      <c r="H5845" s="9">
        <v>-23.88</v>
      </c>
      <c r="I5845"/>
    </row>
    <row r="5846" spans="1:9" x14ac:dyDescent="0.3">
      <c r="A5846" t="s">
        <v>7</v>
      </c>
      <c r="B5846" t="s">
        <v>24</v>
      </c>
      <c r="C5846" t="s">
        <v>130</v>
      </c>
      <c r="D5846" s="9" t="s">
        <v>124</v>
      </c>
      <c r="E5846" t="s">
        <v>38</v>
      </c>
      <c r="F5846" t="s">
        <v>73</v>
      </c>
      <c r="G5846">
        <v>11.2</v>
      </c>
      <c r="H5846" s="9">
        <v>-13.18</v>
      </c>
      <c r="I5846"/>
    </row>
    <row r="5847" spans="1:9" x14ac:dyDescent="0.3">
      <c r="A5847" t="s">
        <v>7</v>
      </c>
      <c r="B5847" t="s">
        <v>24</v>
      </c>
      <c r="C5847" t="s">
        <v>131</v>
      </c>
      <c r="D5847" s="9" t="s">
        <v>124</v>
      </c>
      <c r="E5847" t="s">
        <v>39</v>
      </c>
      <c r="F5847" t="s">
        <v>75</v>
      </c>
      <c r="G5847">
        <v>10.3</v>
      </c>
      <c r="H5847" s="9">
        <v>-14.88</v>
      </c>
      <c r="I5847"/>
    </row>
    <row r="5848" spans="1:9" x14ac:dyDescent="0.3">
      <c r="A5848" t="s">
        <v>7</v>
      </c>
      <c r="B5848" t="s">
        <v>24</v>
      </c>
      <c r="C5848" t="s">
        <v>132</v>
      </c>
      <c r="D5848" s="9" t="s">
        <v>124</v>
      </c>
      <c r="E5848" t="s">
        <v>40</v>
      </c>
      <c r="F5848" t="s">
        <v>77</v>
      </c>
      <c r="G5848">
        <v>11</v>
      </c>
      <c r="H5848" s="9">
        <v>-17.29</v>
      </c>
      <c r="I5848"/>
    </row>
    <row r="5849" spans="1:9" x14ac:dyDescent="0.3">
      <c r="A5849" t="s">
        <v>7</v>
      </c>
      <c r="B5849" t="s">
        <v>24</v>
      </c>
      <c r="C5849" t="s">
        <v>133</v>
      </c>
      <c r="D5849" s="9" t="s">
        <v>124</v>
      </c>
      <c r="E5849" t="s">
        <v>41</v>
      </c>
      <c r="F5849" t="s">
        <v>79</v>
      </c>
      <c r="G5849">
        <v>12.3</v>
      </c>
      <c r="H5849" s="9">
        <v>-5.38</v>
      </c>
      <c r="I5849"/>
    </row>
    <row r="5850" spans="1:9" x14ac:dyDescent="0.3">
      <c r="A5850" t="s">
        <v>7</v>
      </c>
      <c r="B5850" t="s">
        <v>24</v>
      </c>
      <c r="C5850" t="s">
        <v>134</v>
      </c>
      <c r="D5850" s="9" t="s">
        <v>124</v>
      </c>
      <c r="E5850" t="s">
        <v>42</v>
      </c>
      <c r="F5850" t="s">
        <v>81</v>
      </c>
      <c r="G5850">
        <v>16</v>
      </c>
      <c r="H5850" s="9">
        <v>-3.03</v>
      </c>
      <c r="I5850"/>
    </row>
    <row r="5851" spans="1:9" x14ac:dyDescent="0.3">
      <c r="A5851" t="s">
        <v>7</v>
      </c>
      <c r="B5851" t="s">
        <v>24</v>
      </c>
      <c r="C5851" t="s">
        <v>135</v>
      </c>
      <c r="D5851" s="9" t="s">
        <v>124</v>
      </c>
      <c r="E5851" t="s">
        <v>43</v>
      </c>
      <c r="F5851" t="s">
        <v>83</v>
      </c>
      <c r="G5851">
        <v>24</v>
      </c>
      <c r="H5851" s="9">
        <v>8.6</v>
      </c>
      <c r="I5851"/>
    </row>
    <row r="5852" spans="1:9" x14ac:dyDescent="0.3">
      <c r="A5852" t="s">
        <v>7</v>
      </c>
      <c r="B5852" t="s">
        <v>24</v>
      </c>
      <c r="C5852" t="s">
        <v>136</v>
      </c>
      <c r="D5852" s="9" t="s">
        <v>137</v>
      </c>
      <c r="E5852" t="s">
        <v>32</v>
      </c>
      <c r="F5852" t="s">
        <v>61</v>
      </c>
      <c r="G5852">
        <v>16.5</v>
      </c>
      <c r="H5852" s="9">
        <v>1.23</v>
      </c>
      <c r="I5852"/>
    </row>
    <row r="5853" spans="1:9" x14ac:dyDescent="0.3">
      <c r="A5853" t="s">
        <v>7</v>
      </c>
      <c r="B5853" t="s">
        <v>24</v>
      </c>
      <c r="C5853" t="s">
        <v>138</v>
      </c>
      <c r="D5853" s="9" t="s">
        <v>137</v>
      </c>
      <c r="E5853" t="s">
        <v>33</v>
      </c>
      <c r="F5853" t="s">
        <v>63</v>
      </c>
      <c r="G5853">
        <v>12.9</v>
      </c>
      <c r="H5853" s="9">
        <v>12.17</v>
      </c>
      <c r="I5853"/>
    </row>
    <row r="5854" spans="1:9" x14ac:dyDescent="0.3">
      <c r="A5854" t="s">
        <v>7</v>
      </c>
      <c r="B5854" t="s">
        <v>24</v>
      </c>
      <c r="C5854" t="s">
        <v>139</v>
      </c>
      <c r="D5854" s="9" t="s">
        <v>137</v>
      </c>
      <c r="E5854" t="s">
        <v>34</v>
      </c>
      <c r="F5854" t="s">
        <v>65</v>
      </c>
      <c r="G5854">
        <v>12.5</v>
      </c>
      <c r="H5854" s="9">
        <v>11.61</v>
      </c>
      <c r="I5854"/>
    </row>
    <row r="5855" spans="1:9" x14ac:dyDescent="0.3">
      <c r="A5855" t="s">
        <v>7</v>
      </c>
      <c r="B5855" t="s">
        <v>24</v>
      </c>
      <c r="C5855" t="s">
        <v>140</v>
      </c>
      <c r="D5855" s="9" t="s">
        <v>137</v>
      </c>
      <c r="E5855" t="s">
        <v>35</v>
      </c>
      <c r="F5855" t="s">
        <v>67</v>
      </c>
      <c r="G5855">
        <v>12.5</v>
      </c>
      <c r="H5855" s="9">
        <v>14.68</v>
      </c>
      <c r="I5855"/>
    </row>
    <row r="5856" spans="1:9" x14ac:dyDescent="0.3">
      <c r="A5856" t="s">
        <v>7</v>
      </c>
      <c r="B5856" t="s">
        <v>24</v>
      </c>
      <c r="C5856" t="s">
        <v>141</v>
      </c>
      <c r="D5856" s="9" t="s">
        <v>137</v>
      </c>
      <c r="E5856" t="s">
        <v>36</v>
      </c>
      <c r="F5856" t="s">
        <v>69</v>
      </c>
      <c r="G5856">
        <v>11.1</v>
      </c>
      <c r="H5856" s="9">
        <v>7.77</v>
      </c>
      <c r="I5856"/>
    </row>
    <row r="5857" spans="1:9" x14ac:dyDescent="0.3">
      <c r="A5857" t="s">
        <v>7</v>
      </c>
      <c r="B5857" t="s">
        <v>24</v>
      </c>
      <c r="C5857" t="s">
        <v>142</v>
      </c>
      <c r="D5857" s="9" t="s">
        <v>137</v>
      </c>
      <c r="E5857" t="s">
        <v>37</v>
      </c>
      <c r="F5857" t="s">
        <v>71</v>
      </c>
      <c r="G5857">
        <v>10.6</v>
      </c>
      <c r="H5857" s="9">
        <v>3.92</v>
      </c>
      <c r="I5857"/>
    </row>
    <row r="5858" spans="1:9" x14ac:dyDescent="0.3">
      <c r="A5858" t="s">
        <v>7</v>
      </c>
      <c r="B5858" t="s">
        <v>24</v>
      </c>
      <c r="C5858" t="s">
        <v>143</v>
      </c>
      <c r="D5858" s="9" t="s">
        <v>137</v>
      </c>
      <c r="E5858" t="s">
        <v>38</v>
      </c>
      <c r="F5858" t="s">
        <v>73</v>
      </c>
      <c r="G5858">
        <v>10.7</v>
      </c>
      <c r="H5858" s="9">
        <v>-4.46</v>
      </c>
      <c r="I5858"/>
    </row>
    <row r="5859" spans="1:9" x14ac:dyDescent="0.3">
      <c r="A5859" t="s">
        <v>7</v>
      </c>
      <c r="B5859" t="s">
        <v>24</v>
      </c>
      <c r="C5859" t="s">
        <v>144</v>
      </c>
      <c r="D5859" s="9" t="s">
        <v>137</v>
      </c>
      <c r="E5859" t="s">
        <v>39</v>
      </c>
      <c r="F5859" t="s">
        <v>75</v>
      </c>
      <c r="G5859">
        <v>10.6</v>
      </c>
      <c r="H5859" s="9">
        <v>2.91</v>
      </c>
      <c r="I5859"/>
    </row>
    <row r="5860" spans="1:9" x14ac:dyDescent="0.3">
      <c r="A5860" t="s">
        <v>7</v>
      </c>
      <c r="B5860" t="s">
        <v>24</v>
      </c>
      <c r="C5860" t="s">
        <v>145</v>
      </c>
      <c r="D5860" s="9" t="s">
        <v>137</v>
      </c>
      <c r="E5860" t="s">
        <v>40</v>
      </c>
      <c r="F5860" t="s">
        <v>77</v>
      </c>
      <c r="G5860">
        <v>10.199999999999999</v>
      </c>
      <c r="H5860" s="9">
        <v>-7.27</v>
      </c>
      <c r="I5860"/>
    </row>
    <row r="5861" spans="1:9" x14ac:dyDescent="0.3">
      <c r="A5861" t="s">
        <v>7</v>
      </c>
      <c r="B5861" t="s">
        <v>24</v>
      </c>
      <c r="C5861" t="s">
        <v>146</v>
      </c>
      <c r="D5861" s="9" t="s">
        <v>137</v>
      </c>
      <c r="E5861" t="s">
        <v>41</v>
      </c>
      <c r="F5861" t="s">
        <v>79</v>
      </c>
      <c r="G5861">
        <v>11.9</v>
      </c>
      <c r="H5861" s="9">
        <v>-3.25</v>
      </c>
      <c r="I5861"/>
    </row>
    <row r="5862" spans="1:9" x14ac:dyDescent="0.3">
      <c r="A5862" t="s">
        <v>7</v>
      </c>
      <c r="B5862" t="s">
        <v>24</v>
      </c>
      <c r="C5862" t="s">
        <v>147</v>
      </c>
      <c r="D5862" s="9" t="s">
        <v>137</v>
      </c>
      <c r="E5862" t="s">
        <v>42</v>
      </c>
      <c r="F5862" t="s">
        <v>81</v>
      </c>
      <c r="G5862">
        <v>16.2</v>
      </c>
      <c r="H5862" s="9">
        <v>1.25</v>
      </c>
      <c r="I5862"/>
    </row>
    <row r="5863" spans="1:9" x14ac:dyDescent="0.3">
      <c r="A5863" t="s">
        <v>7</v>
      </c>
      <c r="B5863" t="s">
        <v>24</v>
      </c>
      <c r="C5863" t="s">
        <v>148</v>
      </c>
      <c r="D5863" s="9" t="s">
        <v>137</v>
      </c>
      <c r="E5863" t="s">
        <v>43</v>
      </c>
      <c r="F5863" t="s">
        <v>83</v>
      </c>
      <c r="G5863">
        <v>24.2</v>
      </c>
      <c r="H5863" s="9">
        <v>0.83</v>
      </c>
      <c r="I5863"/>
    </row>
    <row r="5864" spans="1:9" x14ac:dyDescent="0.3">
      <c r="A5864" t="s">
        <v>7</v>
      </c>
      <c r="B5864" t="s">
        <v>24</v>
      </c>
      <c r="C5864" t="s">
        <v>149</v>
      </c>
      <c r="D5864" s="9" t="s">
        <v>150</v>
      </c>
      <c r="E5864" t="s">
        <v>32</v>
      </c>
      <c r="F5864" t="s">
        <v>61</v>
      </c>
      <c r="G5864">
        <v>15.9</v>
      </c>
      <c r="H5864" s="9">
        <v>-3.64</v>
      </c>
      <c r="I5864"/>
    </row>
    <row r="5865" spans="1:9" x14ac:dyDescent="0.3">
      <c r="A5865" t="s">
        <v>7</v>
      </c>
      <c r="B5865" t="s">
        <v>24</v>
      </c>
      <c r="C5865" t="s">
        <v>151</v>
      </c>
      <c r="D5865" s="9" t="s">
        <v>150</v>
      </c>
      <c r="E5865" t="s">
        <v>33</v>
      </c>
      <c r="F5865" t="s">
        <v>63</v>
      </c>
      <c r="G5865">
        <v>11.5</v>
      </c>
      <c r="H5865" s="9">
        <v>-10.85</v>
      </c>
      <c r="I5865"/>
    </row>
    <row r="5866" spans="1:9" x14ac:dyDescent="0.3">
      <c r="A5866" t="s">
        <v>7</v>
      </c>
      <c r="B5866" t="s">
        <v>24</v>
      </c>
      <c r="C5866" t="s">
        <v>152</v>
      </c>
      <c r="D5866" s="9" t="s">
        <v>150</v>
      </c>
      <c r="E5866" t="s">
        <v>34</v>
      </c>
      <c r="F5866" t="s">
        <v>65</v>
      </c>
      <c r="G5866">
        <v>11.5</v>
      </c>
      <c r="H5866" s="9">
        <v>-8</v>
      </c>
      <c r="I5866"/>
    </row>
    <row r="5867" spans="1:9" x14ac:dyDescent="0.3">
      <c r="A5867" t="s">
        <v>7</v>
      </c>
      <c r="B5867" t="s">
        <v>24</v>
      </c>
      <c r="C5867" t="s">
        <v>153</v>
      </c>
      <c r="D5867" s="9" t="s">
        <v>150</v>
      </c>
      <c r="E5867" t="s">
        <v>35</v>
      </c>
      <c r="F5867" t="s">
        <v>67</v>
      </c>
      <c r="G5867">
        <v>11.3</v>
      </c>
      <c r="H5867" s="9">
        <v>-9.6</v>
      </c>
      <c r="I5867"/>
    </row>
    <row r="5868" spans="1:9" x14ac:dyDescent="0.3">
      <c r="A5868" t="s">
        <v>7</v>
      </c>
      <c r="B5868" t="s">
        <v>24</v>
      </c>
      <c r="C5868" t="s">
        <v>154</v>
      </c>
      <c r="D5868" s="9" t="s">
        <v>150</v>
      </c>
      <c r="E5868" t="s">
        <v>36</v>
      </c>
      <c r="F5868" t="s">
        <v>69</v>
      </c>
      <c r="G5868">
        <v>10.7</v>
      </c>
      <c r="H5868" s="9">
        <v>-3.6</v>
      </c>
      <c r="I5868"/>
    </row>
    <row r="5869" spans="1:9" x14ac:dyDescent="0.3">
      <c r="A5869" t="s">
        <v>7</v>
      </c>
      <c r="B5869" t="s">
        <v>24</v>
      </c>
      <c r="C5869" t="s">
        <v>155</v>
      </c>
      <c r="D5869" s="9" t="s">
        <v>150</v>
      </c>
      <c r="E5869" t="s">
        <v>37</v>
      </c>
      <c r="F5869" t="s">
        <v>71</v>
      </c>
      <c r="G5869">
        <v>12.2</v>
      </c>
      <c r="H5869" s="9">
        <v>15.09</v>
      </c>
      <c r="I5869"/>
    </row>
    <row r="5870" spans="1:9" x14ac:dyDescent="0.3">
      <c r="A5870" t="s">
        <v>7</v>
      </c>
      <c r="B5870" t="s">
        <v>14</v>
      </c>
      <c r="C5870" t="s">
        <v>88</v>
      </c>
      <c r="D5870" s="9" t="s">
        <v>85</v>
      </c>
      <c r="E5870" t="s">
        <v>35</v>
      </c>
      <c r="F5870" t="s">
        <v>67</v>
      </c>
      <c r="G5870">
        <v>35</v>
      </c>
      <c r="I5870"/>
    </row>
    <row r="5871" spans="1:9" x14ac:dyDescent="0.3">
      <c r="A5871" t="s">
        <v>7</v>
      </c>
      <c r="B5871" t="s">
        <v>14</v>
      </c>
      <c r="C5871" t="s">
        <v>89</v>
      </c>
      <c r="D5871" s="9" t="s">
        <v>85</v>
      </c>
      <c r="E5871" t="s">
        <v>36</v>
      </c>
      <c r="F5871" t="s">
        <v>69</v>
      </c>
      <c r="G5871">
        <v>36</v>
      </c>
      <c r="I5871"/>
    </row>
    <row r="5872" spans="1:9" x14ac:dyDescent="0.3">
      <c r="A5872" t="s">
        <v>7</v>
      </c>
      <c r="B5872" t="s">
        <v>14</v>
      </c>
      <c r="C5872" t="s">
        <v>90</v>
      </c>
      <c r="D5872" s="9" t="s">
        <v>85</v>
      </c>
      <c r="E5872" t="s">
        <v>37</v>
      </c>
      <c r="F5872" t="s">
        <v>71</v>
      </c>
      <c r="G5872">
        <v>38.700000000000003</v>
      </c>
      <c r="I5872"/>
    </row>
    <row r="5873" spans="1:9" x14ac:dyDescent="0.3">
      <c r="A5873" t="s">
        <v>7</v>
      </c>
      <c r="B5873" t="s">
        <v>14</v>
      </c>
      <c r="C5873" t="s">
        <v>91</v>
      </c>
      <c r="D5873" s="9" t="s">
        <v>85</v>
      </c>
      <c r="E5873" t="s">
        <v>38</v>
      </c>
      <c r="F5873" t="s">
        <v>73</v>
      </c>
      <c r="G5873">
        <v>38.9</v>
      </c>
      <c r="I5873"/>
    </row>
    <row r="5874" spans="1:9" x14ac:dyDescent="0.3">
      <c r="A5874" t="s">
        <v>7</v>
      </c>
      <c r="B5874" t="s">
        <v>14</v>
      </c>
      <c r="C5874" t="s">
        <v>92</v>
      </c>
      <c r="D5874" s="9" t="s">
        <v>85</v>
      </c>
      <c r="E5874" t="s">
        <v>39</v>
      </c>
      <c r="F5874" t="s">
        <v>75</v>
      </c>
      <c r="G5874">
        <v>38.799999999999997</v>
      </c>
      <c r="I5874"/>
    </row>
    <row r="5875" spans="1:9" x14ac:dyDescent="0.3">
      <c r="A5875" t="s">
        <v>7</v>
      </c>
      <c r="B5875" t="s">
        <v>14</v>
      </c>
      <c r="C5875" t="s">
        <v>93</v>
      </c>
      <c r="D5875" s="9" t="s">
        <v>85</v>
      </c>
      <c r="E5875" t="s">
        <v>40</v>
      </c>
      <c r="F5875" t="s">
        <v>77</v>
      </c>
      <c r="G5875">
        <v>39.299999999999997</v>
      </c>
      <c r="I5875"/>
    </row>
    <row r="5876" spans="1:9" x14ac:dyDescent="0.3">
      <c r="A5876" t="s">
        <v>7</v>
      </c>
      <c r="B5876" t="s">
        <v>14</v>
      </c>
      <c r="C5876" t="s">
        <v>94</v>
      </c>
      <c r="D5876" s="9" t="s">
        <v>85</v>
      </c>
      <c r="E5876" t="s">
        <v>41</v>
      </c>
      <c r="F5876" t="s">
        <v>79</v>
      </c>
      <c r="G5876">
        <v>41.6</v>
      </c>
      <c r="I5876"/>
    </row>
    <row r="5877" spans="1:9" x14ac:dyDescent="0.3">
      <c r="A5877" t="s">
        <v>7</v>
      </c>
      <c r="B5877" t="s">
        <v>14</v>
      </c>
      <c r="C5877" t="s">
        <v>95</v>
      </c>
      <c r="D5877" s="9" t="s">
        <v>85</v>
      </c>
      <c r="E5877" t="s">
        <v>42</v>
      </c>
      <c r="F5877" t="s">
        <v>81</v>
      </c>
      <c r="G5877">
        <v>49.8</v>
      </c>
      <c r="I5877"/>
    </row>
    <row r="5878" spans="1:9" x14ac:dyDescent="0.3">
      <c r="A5878" t="s">
        <v>7</v>
      </c>
      <c r="B5878" t="s">
        <v>14</v>
      </c>
      <c r="C5878" t="s">
        <v>96</v>
      </c>
      <c r="D5878" s="9" t="s">
        <v>85</v>
      </c>
      <c r="E5878" t="s">
        <v>43</v>
      </c>
      <c r="F5878" t="s">
        <v>83</v>
      </c>
      <c r="G5878">
        <v>52.5</v>
      </c>
      <c r="I5878"/>
    </row>
    <row r="5879" spans="1:9" x14ac:dyDescent="0.3">
      <c r="A5879" t="s">
        <v>7</v>
      </c>
      <c r="B5879" t="s">
        <v>14</v>
      </c>
      <c r="C5879" t="s">
        <v>97</v>
      </c>
      <c r="D5879" s="9" t="s">
        <v>98</v>
      </c>
      <c r="E5879" t="s">
        <v>32</v>
      </c>
      <c r="F5879" t="s">
        <v>61</v>
      </c>
      <c r="G5879">
        <v>36.5</v>
      </c>
      <c r="I5879"/>
    </row>
    <row r="5880" spans="1:9" x14ac:dyDescent="0.3">
      <c r="A5880" t="s">
        <v>7</v>
      </c>
      <c r="B5880" t="s">
        <v>14</v>
      </c>
      <c r="C5880" t="s">
        <v>99</v>
      </c>
      <c r="D5880" s="9" t="s">
        <v>98</v>
      </c>
      <c r="E5880" t="s">
        <v>33</v>
      </c>
      <c r="F5880" t="s">
        <v>63</v>
      </c>
      <c r="G5880">
        <v>36.5</v>
      </c>
      <c r="I5880"/>
    </row>
    <row r="5881" spans="1:9" x14ac:dyDescent="0.3">
      <c r="A5881" t="s">
        <v>7</v>
      </c>
      <c r="B5881" t="s">
        <v>14</v>
      </c>
      <c r="C5881" t="s">
        <v>100</v>
      </c>
      <c r="D5881" s="9" t="s">
        <v>98</v>
      </c>
      <c r="E5881" t="s">
        <v>34</v>
      </c>
      <c r="F5881" t="s">
        <v>65</v>
      </c>
      <c r="G5881">
        <v>40.299999999999997</v>
      </c>
      <c r="I5881"/>
    </row>
    <row r="5882" spans="1:9" x14ac:dyDescent="0.3">
      <c r="A5882" t="s">
        <v>7</v>
      </c>
      <c r="B5882" t="s">
        <v>14</v>
      </c>
      <c r="C5882" t="s">
        <v>101</v>
      </c>
      <c r="D5882" s="9" t="s">
        <v>98</v>
      </c>
      <c r="E5882" t="s">
        <v>35</v>
      </c>
      <c r="F5882" t="s">
        <v>67</v>
      </c>
      <c r="G5882">
        <v>37.700000000000003</v>
      </c>
      <c r="H5882" s="9">
        <v>7.71</v>
      </c>
      <c r="I5882"/>
    </row>
    <row r="5883" spans="1:9" x14ac:dyDescent="0.3">
      <c r="A5883" t="s">
        <v>7</v>
      </c>
      <c r="B5883" t="s">
        <v>14</v>
      </c>
      <c r="C5883" t="s">
        <v>102</v>
      </c>
      <c r="D5883" s="9" t="s">
        <v>98</v>
      </c>
      <c r="E5883" t="s">
        <v>36</v>
      </c>
      <c r="F5883" t="s">
        <v>69</v>
      </c>
      <c r="G5883">
        <v>38.1</v>
      </c>
      <c r="H5883" s="9">
        <v>5.83</v>
      </c>
      <c r="I5883"/>
    </row>
    <row r="5884" spans="1:9" x14ac:dyDescent="0.3">
      <c r="A5884" t="s">
        <v>7</v>
      </c>
      <c r="B5884" t="s">
        <v>14</v>
      </c>
      <c r="C5884" t="s">
        <v>103</v>
      </c>
      <c r="D5884" s="9" t="s">
        <v>98</v>
      </c>
      <c r="E5884" t="s">
        <v>37</v>
      </c>
      <c r="F5884" t="s">
        <v>71</v>
      </c>
      <c r="G5884">
        <v>38.200000000000003</v>
      </c>
      <c r="H5884" s="9">
        <v>-1.29</v>
      </c>
      <c r="I5884"/>
    </row>
    <row r="5885" spans="1:9" x14ac:dyDescent="0.3">
      <c r="A5885" t="s">
        <v>7</v>
      </c>
      <c r="B5885" t="s">
        <v>14</v>
      </c>
      <c r="C5885" t="s">
        <v>104</v>
      </c>
      <c r="D5885" s="9" t="s">
        <v>98</v>
      </c>
      <c r="E5885" t="s">
        <v>38</v>
      </c>
      <c r="F5885" t="s">
        <v>73</v>
      </c>
      <c r="G5885">
        <v>41.8</v>
      </c>
      <c r="H5885" s="9">
        <v>7.46</v>
      </c>
      <c r="I5885"/>
    </row>
    <row r="5886" spans="1:9" x14ac:dyDescent="0.3">
      <c r="A5886" t="s">
        <v>7</v>
      </c>
      <c r="B5886" t="s">
        <v>14</v>
      </c>
      <c r="C5886" t="s">
        <v>105</v>
      </c>
      <c r="D5886" s="9" t="s">
        <v>98</v>
      </c>
      <c r="E5886" t="s">
        <v>39</v>
      </c>
      <c r="F5886" t="s">
        <v>75</v>
      </c>
      <c r="G5886">
        <v>40.4</v>
      </c>
      <c r="H5886" s="9">
        <v>4.12</v>
      </c>
      <c r="I5886"/>
    </row>
    <row r="5887" spans="1:9" x14ac:dyDescent="0.3">
      <c r="A5887" t="s">
        <v>7</v>
      </c>
      <c r="B5887" t="s">
        <v>14</v>
      </c>
      <c r="C5887" t="s">
        <v>106</v>
      </c>
      <c r="D5887" s="9" t="s">
        <v>98</v>
      </c>
      <c r="E5887" t="s">
        <v>40</v>
      </c>
      <c r="F5887" t="s">
        <v>77</v>
      </c>
      <c r="G5887">
        <v>40.4</v>
      </c>
      <c r="H5887" s="9">
        <v>2.8</v>
      </c>
      <c r="I5887"/>
    </row>
    <row r="5888" spans="1:9" x14ac:dyDescent="0.3">
      <c r="A5888" t="s">
        <v>7</v>
      </c>
      <c r="B5888" t="s">
        <v>14</v>
      </c>
      <c r="C5888" t="s">
        <v>107</v>
      </c>
      <c r="D5888" s="9" t="s">
        <v>98</v>
      </c>
      <c r="E5888" t="s">
        <v>41</v>
      </c>
      <c r="F5888" t="s">
        <v>79</v>
      </c>
      <c r="G5888">
        <v>43.5</v>
      </c>
      <c r="H5888" s="9">
        <v>4.57</v>
      </c>
      <c r="I5888"/>
    </row>
    <row r="5889" spans="1:9" x14ac:dyDescent="0.3">
      <c r="A5889" t="s">
        <v>7</v>
      </c>
      <c r="B5889" t="s">
        <v>14</v>
      </c>
      <c r="C5889" t="s">
        <v>108</v>
      </c>
      <c r="D5889" s="9" t="s">
        <v>98</v>
      </c>
      <c r="E5889" t="s">
        <v>42</v>
      </c>
      <c r="F5889" t="s">
        <v>81</v>
      </c>
      <c r="G5889">
        <v>52.5</v>
      </c>
      <c r="H5889" s="9">
        <v>5.42</v>
      </c>
      <c r="I5889"/>
    </row>
    <row r="5890" spans="1:9" x14ac:dyDescent="0.3">
      <c r="A5890" t="s">
        <v>7</v>
      </c>
      <c r="B5890" t="s">
        <v>14</v>
      </c>
      <c r="C5890" t="s">
        <v>109</v>
      </c>
      <c r="D5890" s="9" t="s">
        <v>98</v>
      </c>
      <c r="E5890" t="s">
        <v>43</v>
      </c>
      <c r="F5890" t="s">
        <v>83</v>
      </c>
      <c r="G5890">
        <v>55.8</v>
      </c>
      <c r="H5890" s="9">
        <v>6.29</v>
      </c>
      <c r="I5890"/>
    </row>
    <row r="5891" spans="1:9" x14ac:dyDescent="0.3">
      <c r="A5891" t="s">
        <v>7</v>
      </c>
      <c r="B5891" t="s">
        <v>14</v>
      </c>
      <c r="C5891" t="s">
        <v>110</v>
      </c>
      <c r="D5891" s="9" t="s">
        <v>111</v>
      </c>
      <c r="E5891" t="s">
        <v>32</v>
      </c>
      <c r="F5891" t="s">
        <v>61</v>
      </c>
      <c r="G5891">
        <v>40.4</v>
      </c>
      <c r="H5891" s="9">
        <v>10.68</v>
      </c>
      <c r="I5891"/>
    </row>
    <row r="5892" spans="1:9" x14ac:dyDescent="0.3">
      <c r="A5892" t="s">
        <v>7</v>
      </c>
      <c r="B5892" t="s">
        <v>14</v>
      </c>
      <c r="C5892" t="s">
        <v>112</v>
      </c>
      <c r="D5892" s="9" t="s">
        <v>111</v>
      </c>
      <c r="E5892" t="s">
        <v>33</v>
      </c>
      <c r="F5892" t="s">
        <v>63</v>
      </c>
      <c r="G5892">
        <v>38.1</v>
      </c>
      <c r="H5892" s="9">
        <v>4.38</v>
      </c>
      <c r="I5892"/>
    </row>
    <row r="5893" spans="1:9" x14ac:dyDescent="0.3">
      <c r="A5893" t="s">
        <v>7</v>
      </c>
      <c r="B5893" t="s">
        <v>14</v>
      </c>
      <c r="C5893" t="s">
        <v>113</v>
      </c>
      <c r="D5893" s="9" t="s">
        <v>111</v>
      </c>
      <c r="E5893" t="s">
        <v>34</v>
      </c>
      <c r="F5893" t="s">
        <v>65</v>
      </c>
      <c r="G5893">
        <v>40.1</v>
      </c>
      <c r="H5893" s="9">
        <v>-0.5</v>
      </c>
      <c r="I5893"/>
    </row>
    <row r="5894" spans="1:9" x14ac:dyDescent="0.3">
      <c r="A5894" t="s">
        <v>7</v>
      </c>
      <c r="B5894" t="s">
        <v>14</v>
      </c>
      <c r="C5894" t="s">
        <v>114</v>
      </c>
      <c r="D5894" s="9" t="s">
        <v>111</v>
      </c>
      <c r="E5894" t="s">
        <v>35</v>
      </c>
      <c r="F5894" t="s">
        <v>67</v>
      </c>
      <c r="G5894">
        <v>40.6</v>
      </c>
      <c r="H5894" s="9">
        <v>7.69</v>
      </c>
      <c r="I5894"/>
    </row>
    <row r="5895" spans="1:9" x14ac:dyDescent="0.3">
      <c r="A5895" t="s">
        <v>7</v>
      </c>
      <c r="B5895" t="s">
        <v>14</v>
      </c>
      <c r="C5895" t="s">
        <v>115</v>
      </c>
      <c r="D5895" s="9" t="s">
        <v>111</v>
      </c>
      <c r="E5895" t="s">
        <v>36</v>
      </c>
      <c r="F5895" t="s">
        <v>69</v>
      </c>
      <c r="G5895">
        <v>40.4</v>
      </c>
      <c r="H5895" s="9">
        <v>6.04</v>
      </c>
      <c r="I5895"/>
    </row>
    <row r="5896" spans="1:9" x14ac:dyDescent="0.3">
      <c r="A5896" t="s">
        <v>7</v>
      </c>
      <c r="B5896" t="s">
        <v>14</v>
      </c>
      <c r="C5896" t="s">
        <v>116</v>
      </c>
      <c r="D5896" s="9" t="s">
        <v>111</v>
      </c>
      <c r="E5896" t="s">
        <v>37</v>
      </c>
      <c r="F5896" t="s">
        <v>71</v>
      </c>
      <c r="G5896">
        <v>39.4</v>
      </c>
      <c r="H5896" s="9">
        <v>3.14</v>
      </c>
      <c r="I5896"/>
    </row>
    <row r="5897" spans="1:9" x14ac:dyDescent="0.3">
      <c r="A5897" t="s">
        <v>7</v>
      </c>
      <c r="B5897" t="s">
        <v>14</v>
      </c>
      <c r="C5897" t="s">
        <v>117</v>
      </c>
      <c r="D5897" s="9" t="s">
        <v>111</v>
      </c>
      <c r="E5897" t="s">
        <v>38</v>
      </c>
      <c r="F5897" t="s">
        <v>73</v>
      </c>
      <c r="G5897">
        <v>41.2</v>
      </c>
      <c r="H5897" s="9">
        <v>-1.44</v>
      </c>
      <c r="I5897"/>
    </row>
    <row r="5898" spans="1:9" x14ac:dyDescent="0.3">
      <c r="A5898" t="s">
        <v>7</v>
      </c>
      <c r="B5898" t="s">
        <v>14</v>
      </c>
      <c r="C5898" t="s">
        <v>118</v>
      </c>
      <c r="D5898" s="9" t="s">
        <v>111</v>
      </c>
      <c r="E5898" t="s">
        <v>39</v>
      </c>
      <c r="F5898" t="s">
        <v>75</v>
      </c>
      <c r="G5898">
        <v>41.5</v>
      </c>
      <c r="H5898" s="9">
        <v>2.72</v>
      </c>
      <c r="I5898"/>
    </row>
    <row r="5899" spans="1:9" x14ac:dyDescent="0.3">
      <c r="A5899" t="s">
        <v>7</v>
      </c>
      <c r="B5899" t="s">
        <v>14</v>
      </c>
      <c r="C5899" t="s">
        <v>119</v>
      </c>
      <c r="D5899" s="9" t="s">
        <v>111</v>
      </c>
      <c r="E5899" t="s">
        <v>40</v>
      </c>
      <c r="F5899" t="s">
        <v>77</v>
      </c>
      <c r="G5899">
        <v>41.6</v>
      </c>
      <c r="H5899" s="9">
        <v>2.97</v>
      </c>
      <c r="I5899"/>
    </row>
    <row r="5900" spans="1:9" x14ac:dyDescent="0.3">
      <c r="A5900" t="s">
        <v>7</v>
      </c>
      <c r="B5900" t="s">
        <v>14</v>
      </c>
      <c r="C5900" t="s">
        <v>120</v>
      </c>
      <c r="D5900" s="9" t="s">
        <v>111</v>
      </c>
      <c r="E5900" t="s">
        <v>41</v>
      </c>
      <c r="F5900" t="s">
        <v>79</v>
      </c>
      <c r="G5900">
        <v>46</v>
      </c>
      <c r="H5900" s="9">
        <v>5.75</v>
      </c>
      <c r="I5900"/>
    </row>
    <row r="5901" spans="1:9" x14ac:dyDescent="0.3">
      <c r="A5901" t="s">
        <v>7</v>
      </c>
      <c r="B5901" t="s">
        <v>14</v>
      </c>
      <c r="C5901" t="s">
        <v>121</v>
      </c>
      <c r="D5901" s="9" t="s">
        <v>111</v>
      </c>
      <c r="E5901" t="s">
        <v>42</v>
      </c>
      <c r="F5901" t="s">
        <v>81</v>
      </c>
      <c r="G5901">
        <v>54.5</v>
      </c>
      <c r="H5901" s="9">
        <v>3.81</v>
      </c>
      <c r="I5901"/>
    </row>
    <row r="5902" spans="1:9" x14ac:dyDescent="0.3">
      <c r="A5902" t="s">
        <v>7</v>
      </c>
      <c r="B5902" t="s">
        <v>14</v>
      </c>
      <c r="C5902" t="s">
        <v>122</v>
      </c>
      <c r="D5902" s="9" t="s">
        <v>111</v>
      </c>
      <c r="E5902" t="s">
        <v>43</v>
      </c>
      <c r="F5902" t="s">
        <v>83</v>
      </c>
      <c r="G5902">
        <v>57.1</v>
      </c>
      <c r="H5902" s="9">
        <v>2.33</v>
      </c>
      <c r="I5902"/>
    </row>
    <row r="5903" spans="1:9" x14ac:dyDescent="0.3">
      <c r="A5903" t="s">
        <v>7</v>
      </c>
      <c r="B5903" t="s">
        <v>14</v>
      </c>
      <c r="C5903" t="s">
        <v>123</v>
      </c>
      <c r="D5903" s="9" t="s">
        <v>124</v>
      </c>
      <c r="E5903" t="s">
        <v>32</v>
      </c>
      <c r="F5903" t="s">
        <v>61</v>
      </c>
      <c r="G5903">
        <v>41.8</v>
      </c>
      <c r="H5903" s="9">
        <v>3.47</v>
      </c>
      <c r="I5903"/>
    </row>
    <row r="5904" spans="1:9" x14ac:dyDescent="0.3">
      <c r="A5904" t="s">
        <v>7</v>
      </c>
      <c r="B5904" t="s">
        <v>14</v>
      </c>
      <c r="C5904" t="s">
        <v>125</v>
      </c>
      <c r="D5904" s="9" t="s">
        <v>124</v>
      </c>
      <c r="E5904" t="s">
        <v>33</v>
      </c>
      <c r="F5904" t="s">
        <v>63</v>
      </c>
      <c r="G5904">
        <v>39.799999999999997</v>
      </c>
      <c r="H5904" s="9">
        <v>4.46</v>
      </c>
      <c r="I5904"/>
    </row>
    <row r="5905" spans="1:9" x14ac:dyDescent="0.3">
      <c r="A5905" t="s">
        <v>7</v>
      </c>
      <c r="B5905" t="s">
        <v>14</v>
      </c>
      <c r="C5905" t="s">
        <v>126</v>
      </c>
      <c r="D5905" s="9" t="s">
        <v>124</v>
      </c>
      <c r="E5905" t="s">
        <v>34</v>
      </c>
      <c r="F5905" t="s">
        <v>65</v>
      </c>
      <c r="G5905">
        <v>44.2</v>
      </c>
      <c r="H5905" s="9">
        <v>10.220000000000001</v>
      </c>
      <c r="I5905"/>
    </row>
    <row r="5906" spans="1:9" x14ac:dyDescent="0.3">
      <c r="A5906" t="s">
        <v>7</v>
      </c>
      <c r="B5906" t="s">
        <v>14</v>
      </c>
      <c r="C5906" t="s">
        <v>127</v>
      </c>
      <c r="D5906" s="9" t="s">
        <v>124</v>
      </c>
      <c r="E5906" t="s">
        <v>35</v>
      </c>
      <c r="F5906" t="s">
        <v>67</v>
      </c>
      <c r="G5906">
        <v>39.799999999999997</v>
      </c>
      <c r="H5906" s="9">
        <v>-1.97</v>
      </c>
      <c r="I5906"/>
    </row>
    <row r="5907" spans="1:9" x14ac:dyDescent="0.3">
      <c r="A5907" t="s">
        <v>7</v>
      </c>
      <c r="B5907" t="s">
        <v>14</v>
      </c>
      <c r="C5907" t="s">
        <v>128</v>
      </c>
      <c r="D5907" s="9" t="s">
        <v>124</v>
      </c>
      <c r="E5907" t="s">
        <v>36</v>
      </c>
      <c r="F5907" t="s">
        <v>69</v>
      </c>
      <c r="G5907">
        <v>43.8</v>
      </c>
      <c r="H5907" s="9">
        <v>8.42</v>
      </c>
      <c r="I5907"/>
    </row>
    <row r="5908" spans="1:9" x14ac:dyDescent="0.3">
      <c r="A5908" t="s">
        <v>7</v>
      </c>
      <c r="B5908" t="s">
        <v>14</v>
      </c>
      <c r="C5908" t="s">
        <v>129</v>
      </c>
      <c r="D5908" s="9" t="s">
        <v>124</v>
      </c>
      <c r="E5908" t="s">
        <v>37</v>
      </c>
      <c r="F5908" t="s">
        <v>71</v>
      </c>
      <c r="G5908">
        <v>42.2</v>
      </c>
      <c r="H5908" s="9">
        <v>7.11</v>
      </c>
      <c r="I5908"/>
    </row>
    <row r="5909" spans="1:9" x14ac:dyDescent="0.3">
      <c r="A5909" t="s">
        <v>7</v>
      </c>
      <c r="B5909" t="s">
        <v>14</v>
      </c>
      <c r="C5909" t="s">
        <v>130</v>
      </c>
      <c r="D5909" s="9" t="s">
        <v>124</v>
      </c>
      <c r="E5909" t="s">
        <v>38</v>
      </c>
      <c r="F5909" t="s">
        <v>73</v>
      </c>
      <c r="G5909">
        <v>44</v>
      </c>
      <c r="H5909" s="9">
        <v>6.8</v>
      </c>
      <c r="I5909"/>
    </row>
    <row r="5910" spans="1:9" x14ac:dyDescent="0.3">
      <c r="A5910" t="s">
        <v>7</v>
      </c>
      <c r="B5910" t="s">
        <v>14</v>
      </c>
      <c r="C5910" t="s">
        <v>131</v>
      </c>
      <c r="D5910" s="9" t="s">
        <v>124</v>
      </c>
      <c r="E5910" t="s">
        <v>39</v>
      </c>
      <c r="F5910" t="s">
        <v>75</v>
      </c>
      <c r="G5910">
        <v>44.6</v>
      </c>
      <c r="H5910" s="9">
        <v>7.47</v>
      </c>
      <c r="I5910"/>
    </row>
    <row r="5911" spans="1:9" x14ac:dyDescent="0.3">
      <c r="A5911" t="s">
        <v>7</v>
      </c>
      <c r="B5911" t="s">
        <v>14</v>
      </c>
      <c r="C5911" t="s">
        <v>132</v>
      </c>
      <c r="D5911" s="9" t="s">
        <v>124</v>
      </c>
      <c r="E5911" t="s">
        <v>40</v>
      </c>
      <c r="F5911" t="s">
        <v>77</v>
      </c>
      <c r="G5911">
        <v>46.7</v>
      </c>
      <c r="H5911" s="9">
        <v>12.26</v>
      </c>
      <c r="I5911"/>
    </row>
    <row r="5912" spans="1:9" x14ac:dyDescent="0.3">
      <c r="A5912" t="s">
        <v>7</v>
      </c>
      <c r="B5912" t="s">
        <v>14</v>
      </c>
      <c r="C5912" t="s">
        <v>133</v>
      </c>
      <c r="D5912" s="9" t="s">
        <v>124</v>
      </c>
      <c r="E5912" t="s">
        <v>41</v>
      </c>
      <c r="F5912" t="s">
        <v>79</v>
      </c>
      <c r="G5912">
        <v>49.4</v>
      </c>
      <c r="H5912" s="9">
        <v>7.39</v>
      </c>
      <c r="I5912"/>
    </row>
    <row r="5913" spans="1:9" x14ac:dyDescent="0.3">
      <c r="A5913" t="s">
        <v>7</v>
      </c>
      <c r="B5913" t="s">
        <v>14</v>
      </c>
      <c r="C5913" t="s">
        <v>134</v>
      </c>
      <c r="D5913" s="9" t="s">
        <v>124</v>
      </c>
      <c r="E5913" t="s">
        <v>42</v>
      </c>
      <c r="F5913" t="s">
        <v>81</v>
      </c>
      <c r="G5913">
        <v>59.1</v>
      </c>
      <c r="H5913" s="9">
        <v>8.44</v>
      </c>
      <c r="I5913"/>
    </row>
    <row r="5914" spans="1:9" x14ac:dyDescent="0.3">
      <c r="A5914" t="s">
        <v>7</v>
      </c>
      <c r="B5914" t="s">
        <v>14</v>
      </c>
      <c r="C5914" t="s">
        <v>135</v>
      </c>
      <c r="D5914" s="9" t="s">
        <v>124</v>
      </c>
      <c r="E5914" t="s">
        <v>43</v>
      </c>
      <c r="F5914" t="s">
        <v>83</v>
      </c>
      <c r="G5914">
        <v>68.2</v>
      </c>
      <c r="H5914" s="9">
        <v>19.440000000000001</v>
      </c>
      <c r="I5914"/>
    </row>
    <row r="5915" spans="1:9" x14ac:dyDescent="0.3">
      <c r="A5915" t="s">
        <v>7</v>
      </c>
      <c r="B5915" t="s">
        <v>14</v>
      </c>
      <c r="C5915" t="s">
        <v>136</v>
      </c>
      <c r="D5915" s="9" t="s">
        <v>137</v>
      </c>
      <c r="E5915" t="s">
        <v>32</v>
      </c>
      <c r="F5915" t="s">
        <v>61</v>
      </c>
      <c r="G5915">
        <v>50.2</v>
      </c>
      <c r="H5915" s="9">
        <v>20.100000000000001</v>
      </c>
      <c r="I5915"/>
    </row>
    <row r="5916" spans="1:9" x14ac:dyDescent="0.3">
      <c r="A5916" t="s">
        <v>7</v>
      </c>
      <c r="B5916" t="s">
        <v>14</v>
      </c>
      <c r="C5916" t="s">
        <v>138</v>
      </c>
      <c r="D5916" s="9" t="s">
        <v>137</v>
      </c>
      <c r="E5916" t="s">
        <v>33</v>
      </c>
      <c r="F5916" t="s">
        <v>63</v>
      </c>
      <c r="G5916">
        <v>48.5</v>
      </c>
      <c r="H5916" s="9">
        <v>21.86</v>
      </c>
      <c r="I5916"/>
    </row>
    <row r="5917" spans="1:9" x14ac:dyDescent="0.3">
      <c r="A5917" t="s">
        <v>7</v>
      </c>
      <c r="B5917" t="s">
        <v>14</v>
      </c>
      <c r="C5917" t="s">
        <v>139</v>
      </c>
      <c r="D5917" s="9" t="s">
        <v>137</v>
      </c>
      <c r="E5917" t="s">
        <v>34</v>
      </c>
      <c r="F5917" t="s">
        <v>65</v>
      </c>
      <c r="G5917">
        <v>51.2</v>
      </c>
      <c r="H5917" s="9">
        <v>15.84</v>
      </c>
      <c r="I5917"/>
    </row>
    <row r="5918" spans="1:9" x14ac:dyDescent="0.3">
      <c r="A5918" t="s">
        <v>7</v>
      </c>
      <c r="B5918" t="s">
        <v>14</v>
      </c>
      <c r="C5918" t="s">
        <v>140</v>
      </c>
      <c r="D5918" s="9" t="s">
        <v>137</v>
      </c>
      <c r="E5918" t="s">
        <v>35</v>
      </c>
      <c r="F5918" t="s">
        <v>67</v>
      </c>
      <c r="G5918">
        <v>49.9</v>
      </c>
      <c r="H5918" s="9">
        <v>25.38</v>
      </c>
      <c r="I5918"/>
    </row>
    <row r="5919" spans="1:9" x14ac:dyDescent="0.3">
      <c r="A5919" t="s">
        <v>7</v>
      </c>
      <c r="B5919" t="s">
        <v>14</v>
      </c>
      <c r="C5919" t="s">
        <v>141</v>
      </c>
      <c r="D5919" s="9" t="s">
        <v>137</v>
      </c>
      <c r="E5919" t="s">
        <v>36</v>
      </c>
      <c r="F5919" t="s">
        <v>69</v>
      </c>
      <c r="G5919">
        <v>51.7</v>
      </c>
      <c r="H5919" s="9">
        <v>18.04</v>
      </c>
      <c r="I5919"/>
    </row>
    <row r="5920" spans="1:9" x14ac:dyDescent="0.3">
      <c r="A5920" t="s">
        <v>7</v>
      </c>
      <c r="B5920" t="s">
        <v>14</v>
      </c>
      <c r="C5920" t="s">
        <v>142</v>
      </c>
      <c r="D5920" s="9" t="s">
        <v>137</v>
      </c>
      <c r="E5920" t="s">
        <v>37</v>
      </c>
      <c r="F5920" t="s">
        <v>71</v>
      </c>
      <c r="G5920">
        <v>47.7</v>
      </c>
      <c r="H5920" s="9">
        <v>13.03</v>
      </c>
      <c r="I5920"/>
    </row>
    <row r="5921" spans="1:9" x14ac:dyDescent="0.3">
      <c r="A5921" t="s">
        <v>7</v>
      </c>
      <c r="B5921" t="s">
        <v>14</v>
      </c>
      <c r="C5921" t="s">
        <v>143</v>
      </c>
      <c r="D5921" s="9" t="s">
        <v>137</v>
      </c>
      <c r="E5921" t="s">
        <v>38</v>
      </c>
      <c r="F5921" t="s">
        <v>73</v>
      </c>
      <c r="G5921">
        <v>50.7</v>
      </c>
      <c r="H5921" s="9">
        <v>15.23</v>
      </c>
      <c r="I5921"/>
    </row>
    <row r="5922" spans="1:9" x14ac:dyDescent="0.3">
      <c r="A5922" t="s">
        <v>7</v>
      </c>
      <c r="B5922" t="s">
        <v>14</v>
      </c>
      <c r="C5922" t="s">
        <v>144</v>
      </c>
      <c r="D5922" s="9" t="s">
        <v>137</v>
      </c>
      <c r="E5922" t="s">
        <v>39</v>
      </c>
      <c r="F5922" t="s">
        <v>75</v>
      </c>
      <c r="G5922">
        <v>50.6</v>
      </c>
      <c r="H5922" s="9">
        <v>13.45</v>
      </c>
      <c r="I5922"/>
    </row>
    <row r="5923" spans="1:9" x14ac:dyDescent="0.3">
      <c r="A5923" t="s">
        <v>7</v>
      </c>
      <c r="B5923" t="s">
        <v>14</v>
      </c>
      <c r="C5923" t="s">
        <v>145</v>
      </c>
      <c r="D5923" s="9" t="s">
        <v>137</v>
      </c>
      <c r="E5923" t="s">
        <v>40</v>
      </c>
      <c r="F5923" t="s">
        <v>77</v>
      </c>
      <c r="G5923">
        <v>50.1</v>
      </c>
      <c r="H5923" s="9">
        <v>7.28</v>
      </c>
      <c r="I5923"/>
    </row>
    <row r="5924" spans="1:9" x14ac:dyDescent="0.3">
      <c r="A5924" t="s">
        <v>7</v>
      </c>
      <c r="B5924" t="s">
        <v>14</v>
      </c>
      <c r="C5924" t="s">
        <v>146</v>
      </c>
      <c r="D5924" s="9" t="s">
        <v>137</v>
      </c>
      <c r="E5924" t="s">
        <v>41</v>
      </c>
      <c r="F5924" t="s">
        <v>79</v>
      </c>
      <c r="G5924">
        <v>56.8</v>
      </c>
      <c r="H5924" s="9">
        <v>14.98</v>
      </c>
      <c r="I5924"/>
    </row>
    <row r="5925" spans="1:9" x14ac:dyDescent="0.3">
      <c r="A5925" t="s">
        <v>7</v>
      </c>
      <c r="B5925" t="s">
        <v>14</v>
      </c>
      <c r="C5925" t="s">
        <v>147</v>
      </c>
      <c r="D5925" s="9" t="s">
        <v>137</v>
      </c>
      <c r="E5925" t="s">
        <v>42</v>
      </c>
      <c r="F5925" t="s">
        <v>81</v>
      </c>
      <c r="G5925">
        <v>65.7</v>
      </c>
      <c r="H5925" s="9">
        <v>11.17</v>
      </c>
      <c r="I5925"/>
    </row>
    <row r="5926" spans="1:9" x14ac:dyDescent="0.3">
      <c r="A5926" t="s">
        <v>7</v>
      </c>
      <c r="B5926" t="s">
        <v>14</v>
      </c>
      <c r="C5926" t="s">
        <v>148</v>
      </c>
      <c r="D5926" s="9" t="s">
        <v>137</v>
      </c>
      <c r="E5926" t="s">
        <v>43</v>
      </c>
      <c r="F5926" t="s">
        <v>83</v>
      </c>
      <c r="G5926">
        <v>70.5</v>
      </c>
      <c r="H5926" s="9">
        <v>3.37</v>
      </c>
      <c r="I5926"/>
    </row>
    <row r="5927" spans="1:9" x14ac:dyDescent="0.3">
      <c r="A5927" t="s">
        <v>7</v>
      </c>
      <c r="B5927" t="s">
        <v>14</v>
      </c>
      <c r="C5927" t="s">
        <v>149</v>
      </c>
      <c r="D5927" s="9" t="s">
        <v>150</v>
      </c>
      <c r="E5927" t="s">
        <v>32</v>
      </c>
      <c r="F5927" t="s">
        <v>61</v>
      </c>
      <c r="G5927">
        <v>53.3</v>
      </c>
      <c r="H5927" s="9">
        <v>6.18</v>
      </c>
      <c r="I5927"/>
    </row>
    <row r="5928" spans="1:9" x14ac:dyDescent="0.3">
      <c r="A5928" t="s">
        <v>7</v>
      </c>
      <c r="B5928" t="s">
        <v>14</v>
      </c>
      <c r="C5928" t="s">
        <v>151</v>
      </c>
      <c r="D5928" s="9" t="s">
        <v>150</v>
      </c>
      <c r="E5928" t="s">
        <v>33</v>
      </c>
      <c r="F5928" t="s">
        <v>63</v>
      </c>
      <c r="G5928">
        <v>49.7</v>
      </c>
      <c r="H5928" s="9">
        <v>2.4700000000000002</v>
      </c>
      <c r="I5928"/>
    </row>
    <row r="5929" spans="1:9" x14ac:dyDescent="0.3">
      <c r="A5929" t="s">
        <v>7</v>
      </c>
      <c r="B5929" t="s">
        <v>14</v>
      </c>
      <c r="C5929" t="s">
        <v>152</v>
      </c>
      <c r="D5929" s="9" t="s">
        <v>150</v>
      </c>
      <c r="E5929" t="s">
        <v>34</v>
      </c>
      <c r="F5929" t="s">
        <v>65</v>
      </c>
      <c r="G5929">
        <v>52.2</v>
      </c>
      <c r="H5929" s="9">
        <v>1.95</v>
      </c>
      <c r="I5929"/>
    </row>
    <row r="5930" spans="1:9" x14ac:dyDescent="0.3">
      <c r="A5930" t="s">
        <v>7</v>
      </c>
      <c r="B5930" t="s">
        <v>14</v>
      </c>
      <c r="C5930" t="s">
        <v>153</v>
      </c>
      <c r="D5930" s="9" t="s">
        <v>150</v>
      </c>
      <c r="E5930" t="s">
        <v>35</v>
      </c>
      <c r="F5930" t="s">
        <v>67</v>
      </c>
      <c r="G5930">
        <v>51</v>
      </c>
      <c r="H5930" s="9">
        <v>2.2000000000000002</v>
      </c>
      <c r="I5930"/>
    </row>
    <row r="5931" spans="1:9" x14ac:dyDescent="0.3">
      <c r="A5931" t="s">
        <v>7</v>
      </c>
      <c r="B5931" t="s">
        <v>14</v>
      </c>
      <c r="C5931" t="s">
        <v>154</v>
      </c>
      <c r="D5931" s="9" t="s">
        <v>150</v>
      </c>
      <c r="E5931" t="s">
        <v>36</v>
      </c>
      <c r="F5931" t="s">
        <v>69</v>
      </c>
      <c r="G5931">
        <v>52.8</v>
      </c>
      <c r="H5931" s="9">
        <v>2.13</v>
      </c>
      <c r="I5931"/>
    </row>
    <row r="5932" spans="1:9" x14ac:dyDescent="0.3">
      <c r="A5932" t="s">
        <v>7</v>
      </c>
      <c r="B5932" t="s">
        <v>14</v>
      </c>
      <c r="C5932" t="s">
        <v>155</v>
      </c>
      <c r="D5932" s="9" t="s">
        <v>150</v>
      </c>
      <c r="E5932" t="s">
        <v>37</v>
      </c>
      <c r="F5932" t="s">
        <v>71</v>
      </c>
      <c r="G5932">
        <v>51</v>
      </c>
      <c r="H5932" s="9">
        <v>6.92</v>
      </c>
      <c r="I5932"/>
    </row>
    <row r="5933" spans="1:9" x14ac:dyDescent="0.3">
      <c r="A5933" t="s">
        <v>7</v>
      </c>
      <c r="B5933" t="s">
        <v>23</v>
      </c>
      <c r="C5933" t="s">
        <v>66</v>
      </c>
      <c r="D5933" s="9" t="s">
        <v>60</v>
      </c>
      <c r="E5933" t="s">
        <v>35</v>
      </c>
      <c r="F5933" t="s">
        <v>67</v>
      </c>
      <c r="G5933">
        <v>9.6999999999999993</v>
      </c>
      <c r="I5933"/>
    </row>
    <row r="5934" spans="1:9" x14ac:dyDescent="0.3">
      <c r="A5934" t="s">
        <v>7</v>
      </c>
      <c r="B5934" t="s">
        <v>23</v>
      </c>
      <c r="C5934" t="s">
        <v>68</v>
      </c>
      <c r="D5934" s="9" t="s">
        <v>60</v>
      </c>
      <c r="E5934" t="s">
        <v>36</v>
      </c>
      <c r="F5934" t="s">
        <v>69</v>
      </c>
      <c r="G5934">
        <v>9.6999999999999993</v>
      </c>
      <c r="I5934"/>
    </row>
    <row r="5935" spans="1:9" x14ac:dyDescent="0.3">
      <c r="A5935" t="s">
        <v>7</v>
      </c>
      <c r="B5935" t="s">
        <v>23</v>
      </c>
      <c r="C5935" t="s">
        <v>70</v>
      </c>
      <c r="D5935" s="9" t="s">
        <v>60</v>
      </c>
      <c r="E5935" t="s">
        <v>37</v>
      </c>
      <c r="F5935" t="s">
        <v>71</v>
      </c>
      <c r="G5935">
        <v>9.1999999999999993</v>
      </c>
      <c r="I5935"/>
    </row>
    <row r="5936" spans="1:9" x14ac:dyDescent="0.3">
      <c r="A5936" t="s">
        <v>7</v>
      </c>
      <c r="B5936" t="s">
        <v>23</v>
      </c>
      <c r="C5936" t="s">
        <v>72</v>
      </c>
      <c r="D5936" s="9" t="s">
        <v>60</v>
      </c>
      <c r="E5936" t="s">
        <v>38</v>
      </c>
      <c r="F5936" t="s">
        <v>73</v>
      </c>
      <c r="G5936">
        <v>9.1</v>
      </c>
      <c r="I5936"/>
    </row>
    <row r="5937" spans="1:9" x14ac:dyDescent="0.3">
      <c r="A5937" t="s">
        <v>7</v>
      </c>
      <c r="B5937" t="s">
        <v>23</v>
      </c>
      <c r="C5937" t="s">
        <v>74</v>
      </c>
      <c r="D5937" s="9" t="s">
        <v>60</v>
      </c>
      <c r="E5937" t="s">
        <v>39</v>
      </c>
      <c r="F5937" t="s">
        <v>75</v>
      </c>
      <c r="G5937">
        <v>9.3000000000000007</v>
      </c>
      <c r="I5937"/>
    </row>
    <row r="5938" spans="1:9" x14ac:dyDescent="0.3">
      <c r="A5938" t="s">
        <v>7</v>
      </c>
      <c r="B5938" t="s">
        <v>23</v>
      </c>
      <c r="C5938" t="s">
        <v>76</v>
      </c>
      <c r="D5938" s="9" t="s">
        <v>60</v>
      </c>
      <c r="E5938" t="s">
        <v>40</v>
      </c>
      <c r="F5938" t="s">
        <v>77</v>
      </c>
      <c r="G5938">
        <v>9.3000000000000007</v>
      </c>
      <c r="I5938"/>
    </row>
    <row r="5939" spans="1:9" x14ac:dyDescent="0.3">
      <c r="A5939" t="s">
        <v>7</v>
      </c>
      <c r="B5939" t="s">
        <v>23</v>
      </c>
      <c r="C5939" t="s">
        <v>78</v>
      </c>
      <c r="D5939" s="9" t="s">
        <v>60</v>
      </c>
      <c r="E5939" t="s">
        <v>41</v>
      </c>
      <c r="F5939" t="s">
        <v>79</v>
      </c>
      <c r="G5939">
        <v>10.3</v>
      </c>
      <c r="I5939"/>
    </row>
    <row r="5940" spans="1:9" x14ac:dyDescent="0.3">
      <c r="A5940" t="s">
        <v>7</v>
      </c>
      <c r="B5940" t="s">
        <v>23</v>
      </c>
      <c r="C5940" t="s">
        <v>80</v>
      </c>
      <c r="D5940" s="9" t="s">
        <v>60</v>
      </c>
      <c r="E5940" t="s">
        <v>42</v>
      </c>
      <c r="F5940" t="s">
        <v>81</v>
      </c>
      <c r="G5940">
        <v>10.6</v>
      </c>
      <c r="I5940"/>
    </row>
    <row r="5941" spans="1:9" x14ac:dyDescent="0.3">
      <c r="A5941" t="s">
        <v>7</v>
      </c>
      <c r="B5941" t="s">
        <v>23</v>
      </c>
      <c r="C5941" t="s">
        <v>82</v>
      </c>
      <c r="D5941" s="9" t="s">
        <v>60</v>
      </c>
      <c r="E5941" t="s">
        <v>43</v>
      </c>
      <c r="F5941" t="s">
        <v>83</v>
      </c>
      <c r="G5941">
        <v>13.1</v>
      </c>
      <c r="I5941"/>
    </row>
    <row r="5942" spans="1:9" x14ac:dyDescent="0.3">
      <c r="A5942" t="s">
        <v>7</v>
      </c>
      <c r="B5942" t="s">
        <v>23</v>
      </c>
      <c r="C5942" t="s">
        <v>84</v>
      </c>
      <c r="D5942" s="9" t="s">
        <v>85</v>
      </c>
      <c r="E5942" t="s">
        <v>32</v>
      </c>
      <c r="F5942" t="s">
        <v>61</v>
      </c>
      <c r="G5942">
        <v>9.6</v>
      </c>
      <c r="I5942"/>
    </row>
    <row r="5943" spans="1:9" x14ac:dyDescent="0.3">
      <c r="A5943" t="s">
        <v>7</v>
      </c>
      <c r="B5943" t="s">
        <v>23</v>
      </c>
      <c r="C5943" t="s">
        <v>86</v>
      </c>
      <c r="D5943" s="9" t="s">
        <v>85</v>
      </c>
      <c r="E5943" t="s">
        <v>33</v>
      </c>
      <c r="F5943" t="s">
        <v>63</v>
      </c>
      <c r="G5943">
        <v>9.1999999999999993</v>
      </c>
      <c r="I5943"/>
    </row>
    <row r="5944" spans="1:9" x14ac:dyDescent="0.3">
      <c r="A5944" t="s">
        <v>7</v>
      </c>
      <c r="B5944" t="s">
        <v>23</v>
      </c>
      <c r="C5944" t="s">
        <v>87</v>
      </c>
      <c r="D5944" s="9" t="s">
        <v>85</v>
      </c>
      <c r="E5944" t="s">
        <v>34</v>
      </c>
      <c r="F5944" t="s">
        <v>65</v>
      </c>
      <c r="G5944">
        <v>11.7</v>
      </c>
      <c r="I5944"/>
    </row>
    <row r="5945" spans="1:9" x14ac:dyDescent="0.3">
      <c r="A5945" t="s">
        <v>7</v>
      </c>
      <c r="B5945" t="s">
        <v>23</v>
      </c>
      <c r="C5945" t="s">
        <v>88</v>
      </c>
      <c r="D5945" s="9" t="s">
        <v>85</v>
      </c>
      <c r="E5945" t="s">
        <v>35</v>
      </c>
      <c r="F5945" t="s">
        <v>67</v>
      </c>
      <c r="G5945">
        <v>9.3000000000000007</v>
      </c>
      <c r="H5945" s="9">
        <v>-4.12</v>
      </c>
      <c r="I5945"/>
    </row>
    <row r="5946" spans="1:9" x14ac:dyDescent="0.3">
      <c r="A5946" t="s">
        <v>7</v>
      </c>
      <c r="B5946" t="s">
        <v>23</v>
      </c>
      <c r="C5946" t="s">
        <v>89</v>
      </c>
      <c r="D5946" s="9" t="s">
        <v>85</v>
      </c>
      <c r="E5946" t="s">
        <v>36</v>
      </c>
      <c r="F5946" t="s">
        <v>69</v>
      </c>
      <c r="G5946">
        <v>9.5</v>
      </c>
      <c r="H5946" s="9">
        <v>-2.06</v>
      </c>
      <c r="I5946"/>
    </row>
    <row r="5947" spans="1:9" x14ac:dyDescent="0.3">
      <c r="A5947" t="s">
        <v>7</v>
      </c>
      <c r="B5947" t="s">
        <v>23</v>
      </c>
      <c r="C5947" t="s">
        <v>90</v>
      </c>
      <c r="D5947" s="9" t="s">
        <v>85</v>
      </c>
      <c r="E5947" t="s">
        <v>37</v>
      </c>
      <c r="F5947" t="s">
        <v>71</v>
      </c>
      <c r="G5947">
        <v>9.3000000000000007</v>
      </c>
      <c r="H5947" s="9">
        <v>1.0900000000000001</v>
      </c>
      <c r="I5947"/>
    </row>
    <row r="5948" spans="1:9" x14ac:dyDescent="0.3">
      <c r="A5948" t="s">
        <v>7</v>
      </c>
      <c r="B5948" t="s">
        <v>23</v>
      </c>
      <c r="C5948" t="s">
        <v>91</v>
      </c>
      <c r="D5948" s="9" t="s">
        <v>85</v>
      </c>
      <c r="E5948" t="s">
        <v>38</v>
      </c>
      <c r="F5948" t="s">
        <v>73</v>
      </c>
      <c r="G5948">
        <v>10.4</v>
      </c>
      <c r="H5948" s="9">
        <v>14.29</v>
      </c>
      <c r="I5948"/>
    </row>
    <row r="5949" spans="1:9" x14ac:dyDescent="0.3">
      <c r="A5949" t="s">
        <v>7</v>
      </c>
      <c r="B5949" t="s">
        <v>23</v>
      </c>
      <c r="C5949" t="s">
        <v>92</v>
      </c>
      <c r="D5949" s="9" t="s">
        <v>85</v>
      </c>
      <c r="E5949" t="s">
        <v>39</v>
      </c>
      <c r="F5949" t="s">
        <v>75</v>
      </c>
      <c r="G5949">
        <v>10.199999999999999</v>
      </c>
      <c r="H5949" s="9">
        <v>9.68</v>
      </c>
      <c r="I5949"/>
    </row>
    <row r="5950" spans="1:9" x14ac:dyDescent="0.3">
      <c r="A5950" t="s">
        <v>7</v>
      </c>
      <c r="B5950" t="s">
        <v>23</v>
      </c>
      <c r="C5950" t="s">
        <v>93</v>
      </c>
      <c r="D5950" s="9" t="s">
        <v>85</v>
      </c>
      <c r="E5950" t="s">
        <v>40</v>
      </c>
      <c r="F5950" t="s">
        <v>77</v>
      </c>
      <c r="G5950">
        <v>10.1</v>
      </c>
      <c r="H5950" s="9">
        <v>8.6</v>
      </c>
      <c r="I5950"/>
    </row>
    <row r="5951" spans="1:9" x14ac:dyDescent="0.3">
      <c r="A5951" t="s">
        <v>7</v>
      </c>
      <c r="B5951" t="s">
        <v>23</v>
      </c>
      <c r="C5951" t="s">
        <v>94</v>
      </c>
      <c r="D5951" s="9" t="s">
        <v>85</v>
      </c>
      <c r="E5951" t="s">
        <v>41</v>
      </c>
      <c r="F5951" t="s">
        <v>79</v>
      </c>
      <c r="G5951">
        <v>10.6</v>
      </c>
      <c r="H5951" s="9">
        <v>2.91</v>
      </c>
      <c r="I5951"/>
    </row>
    <row r="5952" spans="1:9" x14ac:dyDescent="0.3">
      <c r="A5952" t="s">
        <v>7</v>
      </c>
      <c r="B5952" t="s">
        <v>23</v>
      </c>
      <c r="C5952" t="s">
        <v>95</v>
      </c>
      <c r="D5952" s="9" t="s">
        <v>85</v>
      </c>
      <c r="E5952" t="s">
        <v>42</v>
      </c>
      <c r="F5952" t="s">
        <v>81</v>
      </c>
      <c r="G5952">
        <v>10.6</v>
      </c>
      <c r="H5952" s="9">
        <v>0</v>
      </c>
      <c r="I5952"/>
    </row>
    <row r="5953" spans="1:9" x14ac:dyDescent="0.3">
      <c r="A5953" t="s">
        <v>7</v>
      </c>
      <c r="B5953" t="s">
        <v>23</v>
      </c>
      <c r="C5953" t="s">
        <v>96</v>
      </c>
      <c r="D5953" s="9" t="s">
        <v>85</v>
      </c>
      <c r="E5953" t="s">
        <v>43</v>
      </c>
      <c r="F5953" t="s">
        <v>83</v>
      </c>
      <c r="G5953">
        <v>13.5</v>
      </c>
      <c r="H5953" s="9">
        <v>3.05</v>
      </c>
      <c r="I5953"/>
    </row>
    <row r="5954" spans="1:9" x14ac:dyDescent="0.3">
      <c r="A5954" t="s">
        <v>7</v>
      </c>
      <c r="B5954" t="s">
        <v>23</v>
      </c>
      <c r="C5954" t="s">
        <v>97</v>
      </c>
      <c r="D5954" s="9" t="s">
        <v>98</v>
      </c>
      <c r="E5954" t="s">
        <v>32</v>
      </c>
      <c r="F5954" t="s">
        <v>61</v>
      </c>
      <c r="G5954">
        <v>11.1</v>
      </c>
      <c r="H5954" s="9">
        <v>15.63</v>
      </c>
      <c r="I5954"/>
    </row>
    <row r="5955" spans="1:9" x14ac:dyDescent="0.3">
      <c r="A5955" t="s">
        <v>7</v>
      </c>
      <c r="B5955" t="s">
        <v>23</v>
      </c>
      <c r="C5955" t="s">
        <v>99</v>
      </c>
      <c r="D5955" s="9" t="s">
        <v>98</v>
      </c>
      <c r="E5955" t="s">
        <v>33</v>
      </c>
      <c r="F5955" t="s">
        <v>63</v>
      </c>
      <c r="G5955">
        <v>10.6</v>
      </c>
      <c r="H5955" s="9">
        <v>15.22</v>
      </c>
      <c r="I5955"/>
    </row>
    <row r="5956" spans="1:9" x14ac:dyDescent="0.3">
      <c r="A5956" t="s">
        <v>7</v>
      </c>
      <c r="B5956" t="s">
        <v>23</v>
      </c>
      <c r="C5956" t="s">
        <v>100</v>
      </c>
      <c r="D5956" s="9" t="s">
        <v>98</v>
      </c>
      <c r="E5956" t="s">
        <v>34</v>
      </c>
      <c r="F5956" t="s">
        <v>65</v>
      </c>
      <c r="G5956">
        <v>12.3</v>
      </c>
      <c r="H5956" s="9">
        <v>5.13</v>
      </c>
      <c r="I5956"/>
    </row>
    <row r="5957" spans="1:9" x14ac:dyDescent="0.3">
      <c r="A5957" t="s">
        <v>7</v>
      </c>
      <c r="B5957" t="s">
        <v>23</v>
      </c>
      <c r="C5957" t="s">
        <v>101</v>
      </c>
      <c r="D5957" s="9" t="s">
        <v>98</v>
      </c>
      <c r="E5957" t="s">
        <v>35</v>
      </c>
      <c r="F5957" t="s">
        <v>67</v>
      </c>
      <c r="G5957">
        <v>11</v>
      </c>
      <c r="H5957" s="9">
        <v>18.28</v>
      </c>
      <c r="I5957"/>
    </row>
    <row r="5958" spans="1:9" x14ac:dyDescent="0.3">
      <c r="A5958" t="s">
        <v>7</v>
      </c>
      <c r="B5958" t="s">
        <v>23</v>
      </c>
      <c r="C5958" t="s">
        <v>102</v>
      </c>
      <c r="D5958" s="9" t="s">
        <v>98</v>
      </c>
      <c r="E5958" t="s">
        <v>36</v>
      </c>
      <c r="F5958" t="s">
        <v>69</v>
      </c>
      <c r="G5958">
        <v>10.4</v>
      </c>
      <c r="H5958" s="9">
        <v>9.4700000000000006</v>
      </c>
      <c r="I5958"/>
    </row>
    <row r="5959" spans="1:9" x14ac:dyDescent="0.3">
      <c r="A5959" t="s">
        <v>7</v>
      </c>
      <c r="B5959" t="s">
        <v>23</v>
      </c>
      <c r="C5959" t="s">
        <v>103</v>
      </c>
      <c r="D5959" s="9" t="s">
        <v>98</v>
      </c>
      <c r="E5959" t="s">
        <v>37</v>
      </c>
      <c r="F5959" t="s">
        <v>71</v>
      </c>
      <c r="G5959">
        <v>10</v>
      </c>
      <c r="H5959" s="9">
        <v>7.53</v>
      </c>
      <c r="I5959"/>
    </row>
    <row r="5960" spans="1:9" x14ac:dyDescent="0.3">
      <c r="A5960" t="s">
        <v>7</v>
      </c>
      <c r="B5960" t="s">
        <v>23</v>
      </c>
      <c r="C5960" t="s">
        <v>104</v>
      </c>
      <c r="D5960" s="9" t="s">
        <v>98</v>
      </c>
      <c r="E5960" t="s">
        <v>38</v>
      </c>
      <c r="F5960" t="s">
        <v>73</v>
      </c>
      <c r="G5960">
        <v>10.1</v>
      </c>
      <c r="H5960" s="9">
        <v>-2.88</v>
      </c>
      <c r="I5960"/>
    </row>
    <row r="5961" spans="1:9" x14ac:dyDescent="0.3">
      <c r="A5961" t="s">
        <v>7</v>
      </c>
      <c r="B5961" t="s">
        <v>23</v>
      </c>
      <c r="C5961" t="s">
        <v>105</v>
      </c>
      <c r="D5961" s="9" t="s">
        <v>98</v>
      </c>
      <c r="E5961" t="s">
        <v>39</v>
      </c>
      <c r="F5961" t="s">
        <v>75</v>
      </c>
      <c r="G5961">
        <v>9.1</v>
      </c>
      <c r="H5961" s="9">
        <v>-10.78</v>
      </c>
      <c r="I5961"/>
    </row>
    <row r="5962" spans="1:9" x14ac:dyDescent="0.3">
      <c r="A5962" t="s">
        <v>7</v>
      </c>
      <c r="B5962" t="s">
        <v>23</v>
      </c>
      <c r="C5962" t="s">
        <v>106</v>
      </c>
      <c r="D5962" s="9" t="s">
        <v>98</v>
      </c>
      <c r="E5962" t="s">
        <v>40</v>
      </c>
      <c r="F5962" t="s">
        <v>77</v>
      </c>
      <c r="G5962">
        <v>9.4</v>
      </c>
      <c r="H5962" s="9">
        <v>-6.93</v>
      </c>
      <c r="I5962"/>
    </row>
    <row r="5963" spans="1:9" x14ac:dyDescent="0.3">
      <c r="A5963" t="s">
        <v>7</v>
      </c>
      <c r="B5963" t="s">
        <v>23</v>
      </c>
      <c r="C5963" t="s">
        <v>107</v>
      </c>
      <c r="D5963" s="9" t="s">
        <v>98</v>
      </c>
      <c r="E5963" t="s">
        <v>41</v>
      </c>
      <c r="F5963" t="s">
        <v>79</v>
      </c>
      <c r="G5963">
        <v>10.7</v>
      </c>
      <c r="H5963" s="9">
        <v>0.94</v>
      </c>
      <c r="I5963"/>
    </row>
    <row r="5964" spans="1:9" x14ac:dyDescent="0.3">
      <c r="A5964" t="s">
        <v>7</v>
      </c>
      <c r="B5964" t="s">
        <v>23</v>
      </c>
      <c r="C5964" t="s">
        <v>108</v>
      </c>
      <c r="D5964" s="9" t="s">
        <v>98</v>
      </c>
      <c r="E5964" t="s">
        <v>42</v>
      </c>
      <c r="F5964" t="s">
        <v>81</v>
      </c>
      <c r="G5964">
        <v>10.7</v>
      </c>
      <c r="H5964" s="9">
        <v>0.94</v>
      </c>
      <c r="I5964"/>
    </row>
    <row r="5965" spans="1:9" x14ac:dyDescent="0.3">
      <c r="A5965" t="s">
        <v>7</v>
      </c>
      <c r="B5965" t="s">
        <v>23</v>
      </c>
      <c r="C5965" t="s">
        <v>109</v>
      </c>
      <c r="D5965" s="9" t="s">
        <v>98</v>
      </c>
      <c r="E5965" t="s">
        <v>43</v>
      </c>
      <c r="F5965" t="s">
        <v>83</v>
      </c>
      <c r="G5965">
        <v>12.4</v>
      </c>
      <c r="H5965" s="9">
        <v>-8.15</v>
      </c>
      <c r="I5965"/>
    </row>
    <row r="5966" spans="1:9" x14ac:dyDescent="0.3">
      <c r="A5966" t="s">
        <v>7</v>
      </c>
      <c r="B5966" t="s">
        <v>23</v>
      </c>
      <c r="C5966" t="s">
        <v>110</v>
      </c>
      <c r="D5966" s="9" t="s">
        <v>111</v>
      </c>
      <c r="E5966" t="s">
        <v>32</v>
      </c>
      <c r="F5966" t="s">
        <v>61</v>
      </c>
      <c r="G5966">
        <v>10.199999999999999</v>
      </c>
      <c r="H5966" s="9">
        <v>-8.11</v>
      </c>
      <c r="I5966"/>
    </row>
    <row r="5967" spans="1:9" x14ac:dyDescent="0.3">
      <c r="A5967" t="s">
        <v>7</v>
      </c>
      <c r="B5967" t="s">
        <v>23</v>
      </c>
      <c r="C5967" t="s">
        <v>112</v>
      </c>
      <c r="D5967" s="9" t="s">
        <v>111</v>
      </c>
      <c r="E5967" t="s">
        <v>33</v>
      </c>
      <c r="F5967" t="s">
        <v>63</v>
      </c>
      <c r="G5967">
        <v>9.1</v>
      </c>
      <c r="H5967" s="9">
        <v>-14.15</v>
      </c>
      <c r="I5967"/>
    </row>
    <row r="5968" spans="1:9" x14ac:dyDescent="0.3">
      <c r="A5968" t="s">
        <v>7</v>
      </c>
      <c r="B5968" t="s">
        <v>23</v>
      </c>
      <c r="C5968" t="s">
        <v>113</v>
      </c>
      <c r="D5968" s="9" t="s">
        <v>111</v>
      </c>
      <c r="E5968" t="s">
        <v>34</v>
      </c>
      <c r="F5968" t="s">
        <v>65</v>
      </c>
      <c r="G5968">
        <v>10.3</v>
      </c>
      <c r="H5968" s="9">
        <v>-16.260000000000002</v>
      </c>
      <c r="I5968"/>
    </row>
    <row r="5969" spans="1:9" x14ac:dyDescent="0.3">
      <c r="A5969" t="s">
        <v>7</v>
      </c>
      <c r="B5969" t="s">
        <v>23</v>
      </c>
      <c r="C5969" t="s">
        <v>114</v>
      </c>
      <c r="D5969" s="9" t="s">
        <v>111</v>
      </c>
      <c r="E5969" t="s">
        <v>35</v>
      </c>
      <c r="F5969" t="s">
        <v>67</v>
      </c>
      <c r="G5969">
        <v>10.1</v>
      </c>
      <c r="H5969" s="9">
        <v>-8.18</v>
      </c>
      <c r="I5969"/>
    </row>
    <row r="5970" spans="1:9" x14ac:dyDescent="0.3">
      <c r="A5970" t="s">
        <v>7</v>
      </c>
      <c r="B5970" t="s">
        <v>23</v>
      </c>
      <c r="C5970" t="s">
        <v>115</v>
      </c>
      <c r="D5970" s="9" t="s">
        <v>111</v>
      </c>
      <c r="E5970" t="s">
        <v>36</v>
      </c>
      <c r="F5970" t="s">
        <v>69</v>
      </c>
      <c r="G5970">
        <v>10.199999999999999</v>
      </c>
      <c r="H5970" s="9">
        <v>-1.92</v>
      </c>
      <c r="I5970"/>
    </row>
    <row r="5971" spans="1:9" x14ac:dyDescent="0.3">
      <c r="A5971" t="s">
        <v>7</v>
      </c>
      <c r="B5971" t="s">
        <v>23</v>
      </c>
      <c r="C5971" t="s">
        <v>116</v>
      </c>
      <c r="D5971" s="9" t="s">
        <v>111</v>
      </c>
      <c r="E5971" t="s">
        <v>37</v>
      </c>
      <c r="F5971" t="s">
        <v>71</v>
      </c>
      <c r="G5971">
        <v>9.5</v>
      </c>
      <c r="H5971" s="9">
        <v>-5</v>
      </c>
      <c r="I5971"/>
    </row>
    <row r="5972" spans="1:9" x14ac:dyDescent="0.3">
      <c r="A5972" t="s">
        <v>7</v>
      </c>
      <c r="B5972" t="s">
        <v>23</v>
      </c>
      <c r="C5972" t="s">
        <v>117</v>
      </c>
      <c r="D5972" s="9" t="s">
        <v>111</v>
      </c>
      <c r="E5972" t="s">
        <v>38</v>
      </c>
      <c r="F5972" t="s">
        <v>73</v>
      </c>
      <c r="G5972">
        <v>10.9</v>
      </c>
      <c r="H5972" s="9">
        <v>7.92</v>
      </c>
      <c r="I5972"/>
    </row>
    <row r="5973" spans="1:9" x14ac:dyDescent="0.3">
      <c r="A5973" t="s">
        <v>7</v>
      </c>
      <c r="B5973" t="s">
        <v>23</v>
      </c>
      <c r="C5973" t="s">
        <v>118</v>
      </c>
      <c r="D5973" s="9" t="s">
        <v>111</v>
      </c>
      <c r="E5973" t="s">
        <v>39</v>
      </c>
      <c r="F5973" t="s">
        <v>75</v>
      </c>
      <c r="G5973">
        <v>11.6</v>
      </c>
      <c r="H5973" s="9">
        <v>27.47</v>
      </c>
      <c r="I5973"/>
    </row>
    <row r="5974" spans="1:9" x14ac:dyDescent="0.3">
      <c r="A5974" t="s">
        <v>7</v>
      </c>
      <c r="B5974" t="s">
        <v>23</v>
      </c>
      <c r="C5974" t="s">
        <v>119</v>
      </c>
      <c r="D5974" s="9" t="s">
        <v>111</v>
      </c>
      <c r="E5974" t="s">
        <v>40</v>
      </c>
      <c r="F5974" t="s">
        <v>77</v>
      </c>
      <c r="G5974">
        <v>11.6</v>
      </c>
      <c r="H5974" s="9">
        <v>23.4</v>
      </c>
      <c r="I5974"/>
    </row>
    <row r="5975" spans="1:9" x14ac:dyDescent="0.3">
      <c r="A5975" t="s">
        <v>7</v>
      </c>
      <c r="B5975" t="s">
        <v>23</v>
      </c>
      <c r="C5975" t="s">
        <v>120</v>
      </c>
      <c r="D5975" s="9" t="s">
        <v>111</v>
      </c>
      <c r="E5975" t="s">
        <v>41</v>
      </c>
      <c r="F5975" t="s">
        <v>79</v>
      </c>
      <c r="G5975">
        <v>12.3</v>
      </c>
      <c r="H5975" s="9">
        <v>14.95</v>
      </c>
      <c r="I5975"/>
    </row>
    <row r="5976" spans="1:9" x14ac:dyDescent="0.3">
      <c r="A5976" t="s">
        <v>7</v>
      </c>
      <c r="B5976" t="s">
        <v>23</v>
      </c>
      <c r="C5976" t="s">
        <v>121</v>
      </c>
      <c r="D5976" s="9" t="s">
        <v>111</v>
      </c>
      <c r="E5976" t="s">
        <v>42</v>
      </c>
      <c r="F5976" t="s">
        <v>81</v>
      </c>
      <c r="G5976">
        <v>12.7</v>
      </c>
      <c r="H5976" s="9">
        <v>18.690000000000001</v>
      </c>
      <c r="I5976"/>
    </row>
    <row r="5977" spans="1:9" x14ac:dyDescent="0.3">
      <c r="A5977" t="s">
        <v>7</v>
      </c>
      <c r="B5977" t="s">
        <v>23</v>
      </c>
      <c r="C5977" t="s">
        <v>122</v>
      </c>
      <c r="D5977" s="9" t="s">
        <v>111</v>
      </c>
      <c r="E5977" t="s">
        <v>43</v>
      </c>
      <c r="F5977" t="s">
        <v>83</v>
      </c>
      <c r="G5977">
        <v>15.9</v>
      </c>
      <c r="H5977" s="9">
        <v>28.23</v>
      </c>
      <c r="I5977"/>
    </row>
    <row r="5978" spans="1:9" x14ac:dyDescent="0.3">
      <c r="A5978" t="s">
        <v>7</v>
      </c>
      <c r="B5978" t="s">
        <v>23</v>
      </c>
      <c r="C5978" t="s">
        <v>123</v>
      </c>
      <c r="D5978" s="9" t="s">
        <v>124</v>
      </c>
      <c r="E5978" t="s">
        <v>32</v>
      </c>
      <c r="F5978" t="s">
        <v>61</v>
      </c>
      <c r="G5978">
        <v>13.5</v>
      </c>
      <c r="H5978" s="9">
        <v>32.35</v>
      </c>
      <c r="I5978"/>
    </row>
    <row r="5979" spans="1:9" x14ac:dyDescent="0.3">
      <c r="A5979" t="s">
        <v>7</v>
      </c>
      <c r="B5979" t="s">
        <v>23</v>
      </c>
      <c r="C5979" t="s">
        <v>125</v>
      </c>
      <c r="D5979" s="9" t="s">
        <v>124</v>
      </c>
      <c r="E5979" t="s">
        <v>33</v>
      </c>
      <c r="F5979" t="s">
        <v>63</v>
      </c>
      <c r="G5979">
        <v>12.7</v>
      </c>
      <c r="H5979" s="9">
        <v>39.56</v>
      </c>
      <c r="I5979"/>
    </row>
    <row r="5980" spans="1:9" x14ac:dyDescent="0.3">
      <c r="A5980" t="s">
        <v>7</v>
      </c>
      <c r="B5980" t="s">
        <v>23</v>
      </c>
      <c r="C5980" t="s">
        <v>126</v>
      </c>
      <c r="D5980" s="9" t="s">
        <v>124</v>
      </c>
      <c r="E5980" t="s">
        <v>34</v>
      </c>
      <c r="F5980" t="s">
        <v>65</v>
      </c>
      <c r="G5980">
        <v>14.4</v>
      </c>
      <c r="H5980" s="9">
        <v>39.81</v>
      </c>
      <c r="I5980"/>
    </row>
    <row r="5981" spans="1:9" x14ac:dyDescent="0.3">
      <c r="A5981" t="s">
        <v>7</v>
      </c>
      <c r="B5981" t="s">
        <v>23</v>
      </c>
      <c r="C5981" t="s">
        <v>127</v>
      </c>
      <c r="D5981" s="9" t="s">
        <v>124</v>
      </c>
      <c r="E5981" t="s">
        <v>35</v>
      </c>
      <c r="F5981" t="s">
        <v>67</v>
      </c>
      <c r="G5981">
        <v>13.5</v>
      </c>
      <c r="H5981" s="9">
        <v>33.659999999999997</v>
      </c>
      <c r="I5981"/>
    </row>
    <row r="5982" spans="1:9" x14ac:dyDescent="0.3">
      <c r="A5982" t="s">
        <v>7</v>
      </c>
      <c r="B5982" t="s">
        <v>23</v>
      </c>
      <c r="C5982" t="s">
        <v>128</v>
      </c>
      <c r="D5982" s="9" t="s">
        <v>124</v>
      </c>
      <c r="E5982" t="s">
        <v>36</v>
      </c>
      <c r="F5982" t="s">
        <v>69</v>
      </c>
      <c r="G5982">
        <v>12.7</v>
      </c>
      <c r="H5982" s="9">
        <v>24.51</v>
      </c>
      <c r="I5982"/>
    </row>
    <row r="5983" spans="1:9" x14ac:dyDescent="0.3">
      <c r="A5983" t="s">
        <v>7</v>
      </c>
      <c r="B5983" t="s">
        <v>23</v>
      </c>
      <c r="C5983" t="s">
        <v>129</v>
      </c>
      <c r="D5983" s="9" t="s">
        <v>124</v>
      </c>
      <c r="E5983" t="s">
        <v>37</v>
      </c>
      <c r="F5983" t="s">
        <v>71</v>
      </c>
      <c r="G5983">
        <v>12.2</v>
      </c>
      <c r="H5983" s="9">
        <v>28.42</v>
      </c>
      <c r="I5983"/>
    </row>
    <row r="5984" spans="1:9" x14ac:dyDescent="0.3">
      <c r="A5984" t="s">
        <v>7</v>
      </c>
      <c r="B5984" t="s">
        <v>23</v>
      </c>
      <c r="C5984" t="s">
        <v>130</v>
      </c>
      <c r="D5984" s="9" t="s">
        <v>124</v>
      </c>
      <c r="E5984" t="s">
        <v>38</v>
      </c>
      <c r="F5984" t="s">
        <v>73</v>
      </c>
      <c r="G5984">
        <v>12</v>
      </c>
      <c r="H5984" s="9">
        <v>10.09</v>
      </c>
      <c r="I5984"/>
    </row>
    <row r="5985" spans="1:9" x14ac:dyDescent="0.3">
      <c r="A5985" t="s">
        <v>7</v>
      </c>
      <c r="B5985" t="s">
        <v>23</v>
      </c>
      <c r="C5985" t="s">
        <v>131</v>
      </c>
      <c r="D5985" s="9" t="s">
        <v>124</v>
      </c>
      <c r="E5985" t="s">
        <v>39</v>
      </c>
      <c r="F5985" t="s">
        <v>75</v>
      </c>
      <c r="G5985">
        <v>13.3</v>
      </c>
      <c r="H5985" s="9">
        <v>14.66</v>
      </c>
      <c r="I5985"/>
    </row>
    <row r="5986" spans="1:9" x14ac:dyDescent="0.3">
      <c r="A5986" t="s">
        <v>7</v>
      </c>
      <c r="B5986" t="s">
        <v>23</v>
      </c>
      <c r="C5986" t="s">
        <v>132</v>
      </c>
      <c r="D5986" s="9" t="s">
        <v>124</v>
      </c>
      <c r="E5986" t="s">
        <v>40</v>
      </c>
      <c r="F5986" t="s">
        <v>77</v>
      </c>
      <c r="G5986">
        <v>12.8</v>
      </c>
      <c r="H5986" s="9">
        <v>10.34</v>
      </c>
      <c r="I5986"/>
    </row>
    <row r="5987" spans="1:9" x14ac:dyDescent="0.3">
      <c r="A5987" t="s">
        <v>7</v>
      </c>
      <c r="B5987" t="s">
        <v>23</v>
      </c>
      <c r="C5987" t="s">
        <v>133</v>
      </c>
      <c r="D5987" s="9" t="s">
        <v>124</v>
      </c>
      <c r="E5987" t="s">
        <v>41</v>
      </c>
      <c r="F5987" t="s">
        <v>79</v>
      </c>
      <c r="G5987">
        <v>14.7</v>
      </c>
      <c r="H5987" s="9">
        <v>19.510000000000002</v>
      </c>
      <c r="I5987"/>
    </row>
    <row r="5988" spans="1:9" x14ac:dyDescent="0.3">
      <c r="A5988" t="s">
        <v>7</v>
      </c>
      <c r="B5988" t="s">
        <v>23</v>
      </c>
      <c r="C5988" t="s">
        <v>134</v>
      </c>
      <c r="D5988" s="9" t="s">
        <v>124</v>
      </c>
      <c r="E5988" t="s">
        <v>42</v>
      </c>
      <c r="F5988" t="s">
        <v>81</v>
      </c>
      <c r="G5988">
        <v>15.8</v>
      </c>
      <c r="H5988" s="9">
        <v>24.41</v>
      </c>
      <c r="I5988"/>
    </row>
    <row r="5989" spans="1:9" x14ac:dyDescent="0.3">
      <c r="A5989" t="s">
        <v>7</v>
      </c>
      <c r="B5989" t="s">
        <v>23</v>
      </c>
      <c r="C5989" t="s">
        <v>135</v>
      </c>
      <c r="D5989" s="9" t="s">
        <v>124</v>
      </c>
      <c r="E5989" t="s">
        <v>43</v>
      </c>
      <c r="F5989" t="s">
        <v>83</v>
      </c>
      <c r="G5989">
        <v>20.100000000000001</v>
      </c>
      <c r="H5989" s="9">
        <v>26.42</v>
      </c>
      <c r="I5989"/>
    </row>
    <row r="5990" spans="1:9" x14ac:dyDescent="0.3">
      <c r="A5990" t="s">
        <v>7</v>
      </c>
      <c r="B5990" t="s">
        <v>23</v>
      </c>
      <c r="C5990" t="s">
        <v>136</v>
      </c>
      <c r="D5990" s="9" t="s">
        <v>137</v>
      </c>
      <c r="E5990" t="s">
        <v>32</v>
      </c>
      <c r="F5990" t="s">
        <v>61</v>
      </c>
      <c r="G5990">
        <v>18.2</v>
      </c>
      <c r="H5990" s="9">
        <v>34.81</v>
      </c>
      <c r="I5990"/>
    </row>
    <row r="5991" spans="1:9" x14ac:dyDescent="0.3">
      <c r="A5991" t="s">
        <v>7</v>
      </c>
      <c r="B5991" t="s">
        <v>23</v>
      </c>
      <c r="C5991" t="s">
        <v>138</v>
      </c>
      <c r="D5991" s="9" t="s">
        <v>137</v>
      </c>
      <c r="E5991" t="s">
        <v>33</v>
      </c>
      <c r="F5991" t="s">
        <v>63</v>
      </c>
      <c r="G5991">
        <v>16.3</v>
      </c>
      <c r="H5991" s="9">
        <v>28.35</v>
      </c>
      <c r="I5991"/>
    </row>
    <row r="5992" spans="1:9" x14ac:dyDescent="0.3">
      <c r="A5992" t="s">
        <v>7</v>
      </c>
      <c r="B5992" t="s">
        <v>23</v>
      </c>
      <c r="C5992" t="s">
        <v>139</v>
      </c>
      <c r="D5992" s="9" t="s">
        <v>137</v>
      </c>
      <c r="E5992" t="s">
        <v>34</v>
      </c>
      <c r="F5992" t="s">
        <v>65</v>
      </c>
      <c r="G5992">
        <v>17</v>
      </c>
      <c r="H5992" s="9">
        <v>18.059999999999999</v>
      </c>
      <c r="I5992"/>
    </row>
    <row r="5993" spans="1:9" x14ac:dyDescent="0.3">
      <c r="A5993" t="s">
        <v>7</v>
      </c>
      <c r="B5993" t="s">
        <v>23</v>
      </c>
      <c r="C5993" t="s">
        <v>140</v>
      </c>
      <c r="D5993" s="9" t="s">
        <v>137</v>
      </c>
      <c r="E5993" t="s">
        <v>35</v>
      </c>
      <c r="F5993" t="s">
        <v>67</v>
      </c>
      <c r="G5993">
        <v>16.2</v>
      </c>
      <c r="H5993" s="9">
        <v>20</v>
      </c>
      <c r="I5993"/>
    </row>
    <row r="5994" spans="1:9" x14ac:dyDescent="0.3">
      <c r="A5994" t="s">
        <v>7</v>
      </c>
      <c r="B5994" t="s">
        <v>23</v>
      </c>
      <c r="C5994" t="s">
        <v>141</v>
      </c>
      <c r="D5994" s="9" t="s">
        <v>137</v>
      </c>
      <c r="E5994" t="s">
        <v>36</v>
      </c>
      <c r="F5994" t="s">
        <v>69</v>
      </c>
      <c r="G5994">
        <v>16.2</v>
      </c>
      <c r="H5994" s="9">
        <v>27.56</v>
      </c>
      <c r="I5994"/>
    </row>
    <row r="5995" spans="1:9" x14ac:dyDescent="0.3">
      <c r="A5995" t="s">
        <v>7</v>
      </c>
      <c r="B5995" t="s">
        <v>23</v>
      </c>
      <c r="C5995" t="s">
        <v>142</v>
      </c>
      <c r="D5995" s="9" t="s">
        <v>137</v>
      </c>
      <c r="E5995" t="s">
        <v>37</v>
      </c>
      <c r="F5995" t="s">
        <v>71</v>
      </c>
      <c r="G5995">
        <v>14.2</v>
      </c>
      <c r="H5995" s="9">
        <v>16.39</v>
      </c>
      <c r="I5995"/>
    </row>
    <row r="5996" spans="1:9" x14ac:dyDescent="0.3">
      <c r="A5996" t="s">
        <v>7</v>
      </c>
      <c r="B5996" t="s">
        <v>23</v>
      </c>
      <c r="C5996" t="s">
        <v>143</v>
      </c>
      <c r="D5996" s="9" t="s">
        <v>137</v>
      </c>
      <c r="E5996" t="s">
        <v>38</v>
      </c>
      <c r="F5996" t="s">
        <v>73</v>
      </c>
      <c r="G5996">
        <v>15.5</v>
      </c>
      <c r="H5996" s="9">
        <v>29.17</v>
      </c>
      <c r="I5996"/>
    </row>
    <row r="5997" spans="1:9" x14ac:dyDescent="0.3">
      <c r="A5997" t="s">
        <v>7</v>
      </c>
      <c r="B5997" t="s">
        <v>23</v>
      </c>
      <c r="C5997" t="s">
        <v>144</v>
      </c>
      <c r="D5997" s="9" t="s">
        <v>137</v>
      </c>
      <c r="E5997" t="s">
        <v>39</v>
      </c>
      <c r="F5997" t="s">
        <v>75</v>
      </c>
      <c r="G5997">
        <v>15.9</v>
      </c>
      <c r="H5997" s="9">
        <v>19.55</v>
      </c>
      <c r="I5997"/>
    </row>
    <row r="5998" spans="1:9" x14ac:dyDescent="0.3">
      <c r="A5998" t="s">
        <v>7</v>
      </c>
      <c r="B5998" t="s">
        <v>23</v>
      </c>
      <c r="C5998" t="s">
        <v>145</v>
      </c>
      <c r="D5998" s="9" t="s">
        <v>137</v>
      </c>
      <c r="E5998" t="s">
        <v>40</v>
      </c>
      <c r="F5998" t="s">
        <v>77</v>
      </c>
      <c r="G5998">
        <v>16.100000000000001</v>
      </c>
      <c r="H5998" s="9">
        <v>25.78</v>
      </c>
      <c r="I5998"/>
    </row>
    <row r="5999" spans="1:9" x14ac:dyDescent="0.3">
      <c r="A5999" t="s">
        <v>7</v>
      </c>
      <c r="B5999" t="s">
        <v>23</v>
      </c>
      <c r="C5999" t="s">
        <v>146</v>
      </c>
      <c r="D5999" s="9" t="s">
        <v>137</v>
      </c>
      <c r="E5999" t="s">
        <v>41</v>
      </c>
      <c r="F5999" t="s">
        <v>79</v>
      </c>
      <c r="G5999">
        <v>18.5</v>
      </c>
      <c r="H5999" s="9">
        <v>25.85</v>
      </c>
      <c r="I5999"/>
    </row>
    <row r="6000" spans="1:9" x14ac:dyDescent="0.3">
      <c r="A6000" t="s">
        <v>7</v>
      </c>
      <c r="B6000" t="s">
        <v>23</v>
      </c>
      <c r="C6000" t="s">
        <v>147</v>
      </c>
      <c r="D6000" s="9" t="s">
        <v>137</v>
      </c>
      <c r="E6000" t="s">
        <v>42</v>
      </c>
      <c r="F6000" t="s">
        <v>81</v>
      </c>
      <c r="G6000">
        <v>18.5</v>
      </c>
      <c r="H6000" s="9">
        <v>17.09</v>
      </c>
      <c r="I6000"/>
    </row>
    <row r="6001" spans="1:9" x14ac:dyDescent="0.3">
      <c r="A6001" t="s">
        <v>7</v>
      </c>
      <c r="B6001" t="s">
        <v>23</v>
      </c>
      <c r="C6001" t="s">
        <v>148</v>
      </c>
      <c r="D6001" s="9" t="s">
        <v>137</v>
      </c>
      <c r="E6001" t="s">
        <v>43</v>
      </c>
      <c r="F6001" t="s">
        <v>83</v>
      </c>
      <c r="G6001">
        <v>24.6</v>
      </c>
      <c r="H6001" s="9">
        <v>22.39</v>
      </c>
      <c r="I6001"/>
    </row>
    <row r="6002" spans="1:9" x14ac:dyDescent="0.3">
      <c r="A6002" t="s">
        <v>7</v>
      </c>
      <c r="B6002" t="s">
        <v>23</v>
      </c>
      <c r="C6002" t="s">
        <v>149</v>
      </c>
      <c r="D6002" s="9" t="s">
        <v>150</v>
      </c>
      <c r="E6002" t="s">
        <v>32</v>
      </c>
      <c r="F6002" t="s">
        <v>61</v>
      </c>
      <c r="G6002">
        <v>19.7</v>
      </c>
      <c r="H6002" s="9">
        <v>8.24</v>
      </c>
      <c r="I6002"/>
    </row>
    <row r="6003" spans="1:9" x14ac:dyDescent="0.3">
      <c r="A6003" t="s">
        <v>7</v>
      </c>
      <c r="B6003" t="s">
        <v>23</v>
      </c>
      <c r="C6003" t="s">
        <v>151</v>
      </c>
      <c r="D6003" s="9" t="s">
        <v>150</v>
      </c>
      <c r="E6003" t="s">
        <v>33</v>
      </c>
      <c r="F6003" t="s">
        <v>63</v>
      </c>
      <c r="G6003">
        <v>16.399999999999999</v>
      </c>
      <c r="H6003" s="9">
        <v>0.61</v>
      </c>
      <c r="I6003"/>
    </row>
    <row r="6004" spans="1:9" x14ac:dyDescent="0.3">
      <c r="A6004" t="s">
        <v>7</v>
      </c>
      <c r="B6004" t="s">
        <v>23</v>
      </c>
      <c r="C6004" t="s">
        <v>152</v>
      </c>
      <c r="D6004" s="9" t="s">
        <v>150</v>
      </c>
      <c r="E6004" t="s">
        <v>34</v>
      </c>
      <c r="F6004" t="s">
        <v>65</v>
      </c>
      <c r="G6004">
        <v>17.7</v>
      </c>
      <c r="H6004" s="9">
        <v>4.12</v>
      </c>
      <c r="I6004"/>
    </row>
    <row r="6005" spans="1:9" x14ac:dyDescent="0.3">
      <c r="A6005" t="s">
        <v>7</v>
      </c>
      <c r="B6005" t="s">
        <v>23</v>
      </c>
      <c r="C6005" t="s">
        <v>153</v>
      </c>
      <c r="D6005" s="9" t="s">
        <v>150</v>
      </c>
      <c r="E6005" t="s">
        <v>35</v>
      </c>
      <c r="F6005" t="s">
        <v>67</v>
      </c>
      <c r="G6005">
        <v>16.899999999999999</v>
      </c>
      <c r="H6005" s="9">
        <v>4.32</v>
      </c>
      <c r="I6005"/>
    </row>
    <row r="6006" spans="1:9" x14ac:dyDescent="0.3">
      <c r="A6006" t="s">
        <v>7</v>
      </c>
      <c r="B6006" t="s">
        <v>23</v>
      </c>
      <c r="C6006" t="s">
        <v>154</v>
      </c>
      <c r="D6006" s="9" t="s">
        <v>150</v>
      </c>
      <c r="E6006" t="s">
        <v>36</v>
      </c>
      <c r="F6006" t="s">
        <v>69</v>
      </c>
      <c r="G6006">
        <v>15.7</v>
      </c>
      <c r="H6006" s="9">
        <v>-3.09</v>
      </c>
      <c r="I6006"/>
    </row>
    <row r="6007" spans="1:9" x14ac:dyDescent="0.3">
      <c r="A6007" t="s">
        <v>7</v>
      </c>
      <c r="B6007" t="s">
        <v>23</v>
      </c>
      <c r="C6007" t="s">
        <v>155</v>
      </c>
      <c r="D6007" s="9" t="s">
        <v>150</v>
      </c>
      <c r="E6007" t="s">
        <v>37</v>
      </c>
      <c r="F6007" t="s">
        <v>71</v>
      </c>
      <c r="G6007">
        <v>13.9</v>
      </c>
      <c r="H6007" s="9">
        <v>-2.11</v>
      </c>
      <c r="I6007"/>
    </row>
    <row r="6008" spans="1:9" x14ac:dyDescent="0.3">
      <c r="A6008" t="s">
        <v>7</v>
      </c>
      <c r="B6008" t="s">
        <v>17</v>
      </c>
      <c r="C6008" t="s">
        <v>59</v>
      </c>
      <c r="D6008" s="9" t="s">
        <v>60</v>
      </c>
      <c r="E6008" t="s">
        <v>32</v>
      </c>
      <c r="F6008" t="s">
        <v>61</v>
      </c>
      <c r="G6008">
        <v>26.1</v>
      </c>
      <c r="I6008"/>
    </row>
    <row r="6009" spans="1:9" x14ac:dyDescent="0.3">
      <c r="A6009" t="s">
        <v>7</v>
      </c>
      <c r="B6009" t="s">
        <v>17</v>
      </c>
      <c r="C6009" t="s">
        <v>62</v>
      </c>
      <c r="D6009" s="9" t="s">
        <v>60</v>
      </c>
      <c r="E6009" t="s">
        <v>33</v>
      </c>
      <c r="F6009" t="s">
        <v>63</v>
      </c>
      <c r="G6009">
        <v>24.9</v>
      </c>
      <c r="I6009"/>
    </row>
    <row r="6010" spans="1:9" x14ac:dyDescent="0.3">
      <c r="A6010" t="s">
        <v>7</v>
      </c>
      <c r="B6010" t="s">
        <v>17</v>
      </c>
      <c r="C6010" t="s">
        <v>64</v>
      </c>
      <c r="D6010" s="9" t="s">
        <v>60</v>
      </c>
      <c r="E6010" t="s">
        <v>34</v>
      </c>
      <c r="F6010" t="s">
        <v>65</v>
      </c>
      <c r="G6010">
        <v>28.4</v>
      </c>
      <c r="I6010"/>
    </row>
    <row r="6011" spans="1:9" x14ac:dyDescent="0.3">
      <c r="A6011" t="s">
        <v>7</v>
      </c>
      <c r="B6011" t="s">
        <v>17</v>
      </c>
      <c r="C6011" t="s">
        <v>66</v>
      </c>
      <c r="D6011" s="9" t="s">
        <v>60</v>
      </c>
      <c r="E6011" t="s">
        <v>35</v>
      </c>
      <c r="F6011" t="s">
        <v>67</v>
      </c>
      <c r="G6011">
        <v>27.5</v>
      </c>
      <c r="I6011"/>
    </row>
    <row r="6012" spans="1:9" x14ac:dyDescent="0.3">
      <c r="A6012" t="s">
        <v>7</v>
      </c>
      <c r="B6012" t="s">
        <v>17</v>
      </c>
      <c r="C6012" t="s">
        <v>68</v>
      </c>
      <c r="D6012" s="9" t="s">
        <v>60</v>
      </c>
      <c r="E6012" t="s">
        <v>36</v>
      </c>
      <c r="F6012" t="s">
        <v>69</v>
      </c>
      <c r="G6012">
        <v>29.7</v>
      </c>
      <c r="I6012"/>
    </row>
    <row r="6013" spans="1:9" x14ac:dyDescent="0.3">
      <c r="A6013" t="s">
        <v>7</v>
      </c>
      <c r="B6013" t="s">
        <v>17</v>
      </c>
      <c r="C6013" t="s">
        <v>70</v>
      </c>
      <c r="D6013" s="9" t="s">
        <v>60</v>
      </c>
      <c r="E6013" t="s">
        <v>37</v>
      </c>
      <c r="F6013" t="s">
        <v>71</v>
      </c>
      <c r="G6013">
        <v>27.3</v>
      </c>
      <c r="I6013"/>
    </row>
    <row r="6014" spans="1:9" x14ac:dyDescent="0.3">
      <c r="A6014" t="s">
        <v>7</v>
      </c>
      <c r="B6014" t="s">
        <v>17</v>
      </c>
      <c r="C6014" t="s">
        <v>72</v>
      </c>
      <c r="D6014" s="9" t="s">
        <v>60</v>
      </c>
      <c r="E6014" t="s">
        <v>38</v>
      </c>
      <c r="F6014" t="s">
        <v>73</v>
      </c>
      <c r="G6014">
        <v>31.4</v>
      </c>
      <c r="I6014"/>
    </row>
    <row r="6015" spans="1:9" x14ac:dyDescent="0.3">
      <c r="A6015" t="s">
        <v>7</v>
      </c>
      <c r="B6015" t="s">
        <v>17</v>
      </c>
      <c r="C6015" t="s">
        <v>74</v>
      </c>
      <c r="D6015" s="9" t="s">
        <v>60</v>
      </c>
      <c r="E6015" t="s">
        <v>39</v>
      </c>
      <c r="F6015" t="s">
        <v>75</v>
      </c>
      <c r="G6015">
        <v>32.1</v>
      </c>
      <c r="I6015"/>
    </row>
    <row r="6016" spans="1:9" x14ac:dyDescent="0.3">
      <c r="A6016" t="s">
        <v>7</v>
      </c>
      <c r="B6016" t="s">
        <v>17</v>
      </c>
      <c r="C6016" t="s">
        <v>76</v>
      </c>
      <c r="D6016" s="9" t="s">
        <v>60</v>
      </c>
      <c r="E6016" t="s">
        <v>40</v>
      </c>
      <c r="F6016" t="s">
        <v>77</v>
      </c>
      <c r="G6016">
        <v>30.7</v>
      </c>
      <c r="I6016"/>
    </row>
    <row r="6017" spans="1:9" x14ac:dyDescent="0.3">
      <c r="A6017" t="s">
        <v>7</v>
      </c>
      <c r="B6017" t="s">
        <v>17</v>
      </c>
      <c r="C6017" t="s">
        <v>78</v>
      </c>
      <c r="D6017" s="9" t="s">
        <v>60</v>
      </c>
      <c r="E6017" t="s">
        <v>41</v>
      </c>
      <c r="F6017" t="s">
        <v>79</v>
      </c>
      <c r="G6017">
        <v>33.6</v>
      </c>
      <c r="I6017"/>
    </row>
    <row r="6018" spans="1:9" x14ac:dyDescent="0.3">
      <c r="A6018" t="s">
        <v>7</v>
      </c>
      <c r="B6018" t="s">
        <v>17</v>
      </c>
      <c r="C6018" t="s">
        <v>80</v>
      </c>
      <c r="D6018" s="9" t="s">
        <v>60</v>
      </c>
      <c r="E6018" t="s">
        <v>42</v>
      </c>
      <c r="F6018" t="s">
        <v>81</v>
      </c>
      <c r="G6018">
        <v>33.5</v>
      </c>
      <c r="I6018"/>
    </row>
    <row r="6019" spans="1:9" x14ac:dyDescent="0.3">
      <c r="A6019" t="s">
        <v>7</v>
      </c>
      <c r="B6019" t="s">
        <v>17</v>
      </c>
      <c r="C6019" t="s">
        <v>82</v>
      </c>
      <c r="D6019" s="9" t="s">
        <v>60</v>
      </c>
      <c r="E6019" t="s">
        <v>43</v>
      </c>
      <c r="F6019" t="s">
        <v>83</v>
      </c>
      <c r="G6019">
        <v>38</v>
      </c>
      <c r="I6019"/>
    </row>
    <row r="6020" spans="1:9" x14ac:dyDescent="0.3">
      <c r="A6020" t="s">
        <v>7</v>
      </c>
      <c r="B6020" t="s">
        <v>17</v>
      </c>
      <c r="C6020" t="s">
        <v>84</v>
      </c>
      <c r="D6020" s="9" t="s">
        <v>85</v>
      </c>
      <c r="E6020" t="s">
        <v>32</v>
      </c>
      <c r="F6020" t="s">
        <v>61</v>
      </c>
      <c r="G6020">
        <v>29.2</v>
      </c>
      <c r="H6020" s="9">
        <v>11.88</v>
      </c>
      <c r="I6020"/>
    </row>
    <row r="6021" spans="1:9" x14ac:dyDescent="0.3">
      <c r="A6021" t="s">
        <v>7</v>
      </c>
      <c r="B6021" t="s">
        <v>17</v>
      </c>
      <c r="C6021" t="s">
        <v>86</v>
      </c>
      <c r="D6021" s="9" t="s">
        <v>85</v>
      </c>
      <c r="E6021" t="s">
        <v>33</v>
      </c>
      <c r="F6021" t="s">
        <v>63</v>
      </c>
      <c r="G6021">
        <v>27.7</v>
      </c>
      <c r="H6021" s="9">
        <v>11.24</v>
      </c>
      <c r="I6021"/>
    </row>
    <row r="6022" spans="1:9" x14ac:dyDescent="0.3">
      <c r="A6022" t="s">
        <v>7</v>
      </c>
      <c r="B6022" t="s">
        <v>17</v>
      </c>
      <c r="C6022" t="s">
        <v>87</v>
      </c>
      <c r="D6022" s="9" t="s">
        <v>85</v>
      </c>
      <c r="E6022" t="s">
        <v>34</v>
      </c>
      <c r="F6022" t="s">
        <v>65</v>
      </c>
      <c r="G6022">
        <v>37.1</v>
      </c>
      <c r="H6022" s="9">
        <v>30.63</v>
      </c>
      <c r="I6022"/>
    </row>
    <row r="6023" spans="1:9" x14ac:dyDescent="0.3">
      <c r="A6023" t="s">
        <v>7</v>
      </c>
      <c r="B6023" t="s">
        <v>17</v>
      </c>
      <c r="C6023" t="s">
        <v>88</v>
      </c>
      <c r="D6023" s="9" t="s">
        <v>85</v>
      </c>
      <c r="E6023" t="s">
        <v>35</v>
      </c>
      <c r="F6023" t="s">
        <v>67</v>
      </c>
      <c r="G6023">
        <v>25.6</v>
      </c>
      <c r="H6023" s="9">
        <v>-6.91</v>
      </c>
      <c r="I6023"/>
    </row>
    <row r="6024" spans="1:9" x14ac:dyDescent="0.3">
      <c r="A6024" t="s">
        <v>7</v>
      </c>
      <c r="B6024" t="s">
        <v>17</v>
      </c>
      <c r="C6024" t="s">
        <v>89</v>
      </c>
      <c r="D6024" s="9" t="s">
        <v>85</v>
      </c>
      <c r="E6024" t="s">
        <v>36</v>
      </c>
      <c r="F6024" t="s">
        <v>69</v>
      </c>
      <c r="G6024">
        <v>31.7</v>
      </c>
      <c r="H6024" s="9">
        <v>6.73</v>
      </c>
      <c r="I6024"/>
    </row>
    <row r="6025" spans="1:9" x14ac:dyDescent="0.3">
      <c r="A6025" t="s">
        <v>7</v>
      </c>
      <c r="B6025" t="s">
        <v>17</v>
      </c>
      <c r="C6025" t="s">
        <v>90</v>
      </c>
      <c r="D6025" s="9" t="s">
        <v>85</v>
      </c>
      <c r="E6025" t="s">
        <v>37</v>
      </c>
      <c r="F6025" t="s">
        <v>71</v>
      </c>
      <c r="G6025">
        <v>29.4</v>
      </c>
      <c r="H6025" s="9">
        <v>7.69</v>
      </c>
      <c r="I6025"/>
    </row>
    <row r="6026" spans="1:9" x14ac:dyDescent="0.3">
      <c r="A6026" t="s">
        <v>7</v>
      </c>
      <c r="B6026" t="s">
        <v>17</v>
      </c>
      <c r="C6026" t="s">
        <v>91</v>
      </c>
      <c r="D6026" s="9" t="s">
        <v>85</v>
      </c>
      <c r="E6026" t="s">
        <v>38</v>
      </c>
      <c r="F6026" t="s">
        <v>73</v>
      </c>
      <c r="G6026">
        <v>33.799999999999997</v>
      </c>
      <c r="H6026" s="9">
        <v>7.64</v>
      </c>
      <c r="I6026"/>
    </row>
    <row r="6027" spans="1:9" x14ac:dyDescent="0.3">
      <c r="A6027" t="s">
        <v>7</v>
      </c>
      <c r="B6027" t="s">
        <v>17</v>
      </c>
      <c r="C6027" t="s">
        <v>92</v>
      </c>
      <c r="D6027" s="9" t="s">
        <v>85</v>
      </c>
      <c r="E6027" t="s">
        <v>39</v>
      </c>
      <c r="F6027" t="s">
        <v>75</v>
      </c>
      <c r="G6027">
        <v>31.9</v>
      </c>
      <c r="H6027" s="9">
        <v>-0.62</v>
      </c>
      <c r="I6027"/>
    </row>
    <row r="6028" spans="1:9" x14ac:dyDescent="0.3">
      <c r="A6028" t="s">
        <v>7</v>
      </c>
      <c r="B6028" t="s">
        <v>17</v>
      </c>
      <c r="C6028" t="s">
        <v>93</v>
      </c>
      <c r="D6028" s="9" t="s">
        <v>85</v>
      </c>
      <c r="E6028" t="s">
        <v>40</v>
      </c>
      <c r="F6028" t="s">
        <v>77</v>
      </c>
      <c r="G6028">
        <v>33</v>
      </c>
      <c r="H6028" s="9">
        <v>7.49</v>
      </c>
      <c r="I6028"/>
    </row>
    <row r="6029" spans="1:9" x14ac:dyDescent="0.3">
      <c r="A6029" t="s">
        <v>7</v>
      </c>
      <c r="B6029" t="s">
        <v>17</v>
      </c>
      <c r="C6029" t="s">
        <v>94</v>
      </c>
      <c r="D6029" s="9" t="s">
        <v>85</v>
      </c>
      <c r="E6029" t="s">
        <v>41</v>
      </c>
      <c r="F6029" t="s">
        <v>79</v>
      </c>
      <c r="G6029">
        <v>34.1</v>
      </c>
      <c r="H6029" s="9">
        <v>1.49</v>
      </c>
      <c r="I6029"/>
    </row>
    <row r="6030" spans="1:9" x14ac:dyDescent="0.3">
      <c r="A6030" t="s">
        <v>7</v>
      </c>
      <c r="B6030" t="s">
        <v>17</v>
      </c>
      <c r="C6030" t="s">
        <v>95</v>
      </c>
      <c r="D6030" s="9" t="s">
        <v>85</v>
      </c>
      <c r="E6030" t="s">
        <v>42</v>
      </c>
      <c r="F6030" t="s">
        <v>81</v>
      </c>
      <c r="G6030">
        <v>33.5</v>
      </c>
      <c r="H6030" s="9">
        <v>0</v>
      </c>
      <c r="I6030"/>
    </row>
    <row r="6031" spans="1:9" x14ac:dyDescent="0.3">
      <c r="A6031" t="s">
        <v>7</v>
      </c>
      <c r="B6031" t="s">
        <v>17</v>
      </c>
      <c r="C6031" t="s">
        <v>96</v>
      </c>
      <c r="D6031" s="9" t="s">
        <v>85</v>
      </c>
      <c r="E6031" t="s">
        <v>43</v>
      </c>
      <c r="F6031" t="s">
        <v>83</v>
      </c>
      <c r="G6031">
        <v>40.4</v>
      </c>
      <c r="H6031" s="9">
        <v>6.32</v>
      </c>
      <c r="I6031"/>
    </row>
    <row r="6032" spans="1:9" x14ac:dyDescent="0.3">
      <c r="A6032" t="s">
        <v>7</v>
      </c>
      <c r="B6032" t="s">
        <v>17</v>
      </c>
      <c r="C6032" t="s">
        <v>97</v>
      </c>
      <c r="D6032" s="9" t="s">
        <v>98</v>
      </c>
      <c r="E6032" t="s">
        <v>32</v>
      </c>
      <c r="F6032" t="s">
        <v>61</v>
      </c>
      <c r="G6032">
        <v>28.9</v>
      </c>
      <c r="H6032" s="9">
        <v>-1.03</v>
      </c>
      <c r="I6032"/>
    </row>
    <row r="6033" spans="1:9" x14ac:dyDescent="0.3">
      <c r="A6033" t="s">
        <v>7</v>
      </c>
      <c r="B6033" t="s">
        <v>17</v>
      </c>
      <c r="C6033" t="s">
        <v>99</v>
      </c>
      <c r="D6033" s="9" t="s">
        <v>98</v>
      </c>
      <c r="E6033" t="s">
        <v>33</v>
      </c>
      <c r="F6033" t="s">
        <v>63</v>
      </c>
      <c r="G6033">
        <v>29.2</v>
      </c>
      <c r="H6033" s="9">
        <v>5.42</v>
      </c>
      <c r="I6033"/>
    </row>
    <row r="6034" spans="1:9" x14ac:dyDescent="0.3">
      <c r="A6034" t="s">
        <v>7</v>
      </c>
      <c r="B6034" t="s">
        <v>17</v>
      </c>
      <c r="C6034" t="s">
        <v>100</v>
      </c>
      <c r="D6034" s="9" t="s">
        <v>98</v>
      </c>
      <c r="E6034" t="s">
        <v>34</v>
      </c>
      <c r="F6034" t="s">
        <v>65</v>
      </c>
      <c r="G6034">
        <v>32.9</v>
      </c>
      <c r="H6034" s="9">
        <v>-11.32</v>
      </c>
      <c r="I6034"/>
    </row>
    <row r="6035" spans="1:9" x14ac:dyDescent="0.3">
      <c r="A6035" t="s">
        <v>7</v>
      </c>
      <c r="B6035" t="s">
        <v>17</v>
      </c>
      <c r="C6035" t="s">
        <v>101</v>
      </c>
      <c r="D6035" s="9" t="s">
        <v>98</v>
      </c>
      <c r="E6035" t="s">
        <v>35</v>
      </c>
      <c r="F6035" t="s">
        <v>67</v>
      </c>
      <c r="G6035">
        <v>31.6</v>
      </c>
      <c r="H6035" s="9">
        <v>23.44</v>
      </c>
      <c r="I6035"/>
    </row>
    <row r="6036" spans="1:9" x14ac:dyDescent="0.3">
      <c r="A6036" t="s">
        <v>7</v>
      </c>
      <c r="B6036" t="s">
        <v>17</v>
      </c>
      <c r="C6036" t="s">
        <v>102</v>
      </c>
      <c r="D6036" s="9" t="s">
        <v>98</v>
      </c>
      <c r="E6036" t="s">
        <v>36</v>
      </c>
      <c r="F6036" t="s">
        <v>69</v>
      </c>
      <c r="G6036">
        <v>30.5</v>
      </c>
      <c r="H6036" s="9">
        <v>-3.79</v>
      </c>
      <c r="I6036"/>
    </row>
    <row r="6037" spans="1:9" x14ac:dyDescent="0.3">
      <c r="A6037" t="s">
        <v>7</v>
      </c>
      <c r="B6037" t="s">
        <v>17</v>
      </c>
      <c r="C6037" t="s">
        <v>103</v>
      </c>
      <c r="D6037" s="9" t="s">
        <v>98</v>
      </c>
      <c r="E6037" t="s">
        <v>37</v>
      </c>
      <c r="F6037" t="s">
        <v>71</v>
      </c>
      <c r="G6037">
        <v>30.1</v>
      </c>
      <c r="H6037" s="9">
        <v>2.38</v>
      </c>
      <c r="I6037"/>
    </row>
    <row r="6038" spans="1:9" x14ac:dyDescent="0.3">
      <c r="A6038" t="s">
        <v>7</v>
      </c>
      <c r="B6038" t="s">
        <v>17</v>
      </c>
      <c r="C6038" t="s">
        <v>104</v>
      </c>
      <c r="D6038" s="9" t="s">
        <v>98</v>
      </c>
      <c r="E6038" t="s">
        <v>38</v>
      </c>
      <c r="F6038" t="s">
        <v>73</v>
      </c>
      <c r="G6038">
        <v>34.1</v>
      </c>
      <c r="H6038" s="9">
        <v>0.89</v>
      </c>
      <c r="I6038"/>
    </row>
    <row r="6039" spans="1:9" x14ac:dyDescent="0.3">
      <c r="A6039" t="s">
        <v>7</v>
      </c>
      <c r="B6039" t="s">
        <v>17</v>
      </c>
      <c r="C6039" t="s">
        <v>105</v>
      </c>
      <c r="D6039" s="9" t="s">
        <v>98</v>
      </c>
      <c r="E6039" t="s">
        <v>39</v>
      </c>
      <c r="F6039" t="s">
        <v>75</v>
      </c>
      <c r="G6039">
        <v>33.799999999999997</v>
      </c>
      <c r="H6039" s="9">
        <v>5.96</v>
      </c>
      <c r="I6039"/>
    </row>
    <row r="6040" spans="1:9" x14ac:dyDescent="0.3">
      <c r="A6040" t="s">
        <v>7</v>
      </c>
      <c r="B6040" t="s">
        <v>17</v>
      </c>
      <c r="C6040" t="s">
        <v>106</v>
      </c>
      <c r="D6040" s="9" t="s">
        <v>98</v>
      </c>
      <c r="E6040" t="s">
        <v>40</v>
      </c>
      <c r="F6040" t="s">
        <v>77</v>
      </c>
      <c r="G6040">
        <v>33.299999999999997</v>
      </c>
      <c r="H6040" s="9">
        <v>0.91</v>
      </c>
      <c r="I6040"/>
    </row>
    <row r="6041" spans="1:9" x14ac:dyDescent="0.3">
      <c r="A6041" t="s">
        <v>7</v>
      </c>
      <c r="B6041" t="s">
        <v>17</v>
      </c>
      <c r="C6041" t="s">
        <v>107</v>
      </c>
      <c r="D6041" s="9" t="s">
        <v>98</v>
      </c>
      <c r="E6041" t="s">
        <v>41</v>
      </c>
      <c r="F6041" t="s">
        <v>79</v>
      </c>
      <c r="G6041">
        <v>32</v>
      </c>
      <c r="H6041" s="9">
        <v>-6.16</v>
      </c>
      <c r="I6041"/>
    </row>
    <row r="6042" spans="1:9" x14ac:dyDescent="0.3">
      <c r="A6042" t="s">
        <v>7</v>
      </c>
      <c r="B6042" t="s">
        <v>17</v>
      </c>
      <c r="C6042" t="s">
        <v>108</v>
      </c>
      <c r="D6042" s="9" t="s">
        <v>98</v>
      </c>
      <c r="E6042" t="s">
        <v>42</v>
      </c>
      <c r="F6042" t="s">
        <v>81</v>
      </c>
      <c r="G6042">
        <v>32</v>
      </c>
      <c r="H6042" s="9">
        <v>-4.4800000000000004</v>
      </c>
      <c r="I6042"/>
    </row>
    <row r="6043" spans="1:9" x14ac:dyDescent="0.3">
      <c r="A6043" t="s">
        <v>7</v>
      </c>
      <c r="B6043" t="s">
        <v>17</v>
      </c>
      <c r="C6043" t="s">
        <v>109</v>
      </c>
      <c r="D6043" s="9" t="s">
        <v>98</v>
      </c>
      <c r="E6043" t="s">
        <v>43</v>
      </c>
      <c r="F6043" t="s">
        <v>83</v>
      </c>
      <c r="G6043">
        <v>39</v>
      </c>
      <c r="H6043" s="9">
        <v>-3.47</v>
      </c>
      <c r="I6043"/>
    </row>
    <row r="6044" spans="1:9" x14ac:dyDescent="0.3">
      <c r="A6044" t="s">
        <v>7</v>
      </c>
      <c r="B6044" t="s">
        <v>17</v>
      </c>
      <c r="C6044" t="s">
        <v>110</v>
      </c>
      <c r="D6044" s="9" t="s">
        <v>111</v>
      </c>
      <c r="E6044" t="s">
        <v>32</v>
      </c>
      <c r="F6044" t="s">
        <v>61</v>
      </c>
      <c r="G6044">
        <v>27</v>
      </c>
      <c r="H6044" s="9">
        <v>-6.57</v>
      </c>
      <c r="I6044"/>
    </row>
    <row r="6045" spans="1:9" x14ac:dyDescent="0.3">
      <c r="A6045" t="s">
        <v>7</v>
      </c>
      <c r="B6045" t="s">
        <v>17</v>
      </c>
      <c r="C6045" t="s">
        <v>112</v>
      </c>
      <c r="D6045" s="9" t="s">
        <v>111</v>
      </c>
      <c r="E6045" t="s">
        <v>33</v>
      </c>
      <c r="F6045" t="s">
        <v>63</v>
      </c>
      <c r="G6045">
        <v>26</v>
      </c>
      <c r="H6045" s="9">
        <v>-10.96</v>
      </c>
      <c r="I6045"/>
    </row>
    <row r="6046" spans="1:9" x14ac:dyDescent="0.3">
      <c r="A6046" t="s">
        <v>7</v>
      </c>
      <c r="B6046" t="s">
        <v>17</v>
      </c>
      <c r="C6046" t="s">
        <v>113</v>
      </c>
      <c r="D6046" s="9" t="s">
        <v>111</v>
      </c>
      <c r="E6046" t="s">
        <v>34</v>
      </c>
      <c r="F6046" t="s">
        <v>65</v>
      </c>
      <c r="G6046">
        <v>28.7</v>
      </c>
      <c r="H6046" s="9">
        <v>-12.77</v>
      </c>
      <c r="I6046"/>
    </row>
    <row r="6047" spans="1:9" x14ac:dyDescent="0.3">
      <c r="A6047" t="s">
        <v>7</v>
      </c>
      <c r="B6047" t="s">
        <v>17</v>
      </c>
      <c r="C6047" t="s">
        <v>114</v>
      </c>
      <c r="D6047" s="9" t="s">
        <v>111</v>
      </c>
      <c r="E6047" t="s">
        <v>35</v>
      </c>
      <c r="F6047" t="s">
        <v>67</v>
      </c>
      <c r="G6047">
        <v>27.8</v>
      </c>
      <c r="H6047" s="9">
        <v>-12.03</v>
      </c>
      <c r="I6047"/>
    </row>
    <row r="6048" spans="1:9" x14ac:dyDescent="0.3">
      <c r="A6048" t="s">
        <v>7</v>
      </c>
      <c r="B6048" t="s">
        <v>17</v>
      </c>
      <c r="C6048" t="s">
        <v>115</v>
      </c>
      <c r="D6048" s="9" t="s">
        <v>111</v>
      </c>
      <c r="E6048" t="s">
        <v>36</v>
      </c>
      <c r="F6048" t="s">
        <v>69</v>
      </c>
      <c r="G6048">
        <v>31.7</v>
      </c>
      <c r="H6048" s="9">
        <v>3.93</v>
      </c>
      <c r="I6048"/>
    </row>
    <row r="6049" spans="1:9" x14ac:dyDescent="0.3">
      <c r="A6049" t="s">
        <v>7</v>
      </c>
      <c r="B6049" t="s">
        <v>17</v>
      </c>
      <c r="C6049" t="s">
        <v>116</v>
      </c>
      <c r="D6049" s="9" t="s">
        <v>111</v>
      </c>
      <c r="E6049" t="s">
        <v>37</v>
      </c>
      <c r="F6049" t="s">
        <v>71</v>
      </c>
      <c r="G6049">
        <v>30.3</v>
      </c>
      <c r="H6049" s="9">
        <v>0.66</v>
      </c>
      <c r="I6049"/>
    </row>
    <row r="6050" spans="1:9" x14ac:dyDescent="0.3">
      <c r="A6050" t="s">
        <v>7</v>
      </c>
      <c r="B6050" t="s">
        <v>17</v>
      </c>
      <c r="C6050" t="s">
        <v>117</v>
      </c>
      <c r="D6050" s="9" t="s">
        <v>111</v>
      </c>
      <c r="E6050" t="s">
        <v>38</v>
      </c>
      <c r="F6050" t="s">
        <v>73</v>
      </c>
      <c r="G6050">
        <v>30.8</v>
      </c>
      <c r="H6050" s="9">
        <v>-9.68</v>
      </c>
      <c r="I6050"/>
    </row>
    <row r="6051" spans="1:9" x14ac:dyDescent="0.3">
      <c r="A6051" t="s">
        <v>7</v>
      </c>
      <c r="B6051" t="s">
        <v>17</v>
      </c>
      <c r="C6051" t="s">
        <v>118</v>
      </c>
      <c r="D6051" s="9" t="s">
        <v>111</v>
      </c>
      <c r="E6051" t="s">
        <v>39</v>
      </c>
      <c r="F6051" t="s">
        <v>75</v>
      </c>
      <c r="G6051">
        <v>31</v>
      </c>
      <c r="H6051" s="9">
        <v>-8.2799999999999994</v>
      </c>
      <c r="I6051"/>
    </row>
    <row r="6052" spans="1:9" x14ac:dyDescent="0.3">
      <c r="A6052" t="s">
        <v>7</v>
      </c>
      <c r="B6052" t="s">
        <v>17</v>
      </c>
      <c r="C6052" t="s">
        <v>119</v>
      </c>
      <c r="D6052" s="9" t="s">
        <v>111</v>
      </c>
      <c r="E6052" t="s">
        <v>40</v>
      </c>
      <c r="F6052" t="s">
        <v>77</v>
      </c>
      <c r="G6052">
        <v>29.9</v>
      </c>
      <c r="H6052" s="9">
        <v>-10.210000000000001</v>
      </c>
      <c r="I6052"/>
    </row>
    <row r="6053" spans="1:9" x14ac:dyDescent="0.3">
      <c r="A6053" t="s">
        <v>7</v>
      </c>
      <c r="B6053" t="s">
        <v>17</v>
      </c>
      <c r="C6053" t="s">
        <v>120</v>
      </c>
      <c r="D6053" s="9" t="s">
        <v>111</v>
      </c>
      <c r="E6053" t="s">
        <v>41</v>
      </c>
      <c r="F6053" t="s">
        <v>79</v>
      </c>
      <c r="G6053">
        <v>27.7</v>
      </c>
      <c r="H6053" s="9">
        <v>-13.44</v>
      </c>
      <c r="I6053"/>
    </row>
    <row r="6054" spans="1:9" x14ac:dyDescent="0.3">
      <c r="A6054" t="s">
        <v>7</v>
      </c>
      <c r="B6054" t="s">
        <v>17</v>
      </c>
      <c r="C6054" t="s">
        <v>121</v>
      </c>
      <c r="D6054" s="9" t="s">
        <v>111</v>
      </c>
      <c r="E6054" t="s">
        <v>42</v>
      </c>
      <c r="F6054" t="s">
        <v>81</v>
      </c>
      <c r="G6054">
        <v>30</v>
      </c>
      <c r="H6054" s="9">
        <v>-6.25</v>
      </c>
      <c r="I6054"/>
    </row>
    <row r="6055" spans="1:9" x14ac:dyDescent="0.3">
      <c r="A6055" t="s">
        <v>7</v>
      </c>
      <c r="B6055" t="s">
        <v>17</v>
      </c>
      <c r="C6055" t="s">
        <v>122</v>
      </c>
      <c r="D6055" s="9" t="s">
        <v>111</v>
      </c>
      <c r="E6055" t="s">
        <v>43</v>
      </c>
      <c r="F6055" t="s">
        <v>83</v>
      </c>
      <c r="G6055">
        <v>36.4</v>
      </c>
      <c r="H6055" s="9">
        <v>-6.67</v>
      </c>
      <c r="I6055"/>
    </row>
    <row r="6056" spans="1:9" x14ac:dyDescent="0.3">
      <c r="A6056" t="s">
        <v>7</v>
      </c>
      <c r="B6056" t="s">
        <v>17</v>
      </c>
      <c r="C6056" t="s">
        <v>123</v>
      </c>
      <c r="D6056" s="9" t="s">
        <v>124</v>
      </c>
      <c r="E6056" t="s">
        <v>32</v>
      </c>
      <c r="F6056" t="s">
        <v>61</v>
      </c>
      <c r="G6056">
        <v>28.8</v>
      </c>
      <c r="H6056" s="9">
        <v>6.67</v>
      </c>
      <c r="I6056"/>
    </row>
    <row r="6057" spans="1:9" x14ac:dyDescent="0.3">
      <c r="A6057" t="s">
        <v>7</v>
      </c>
      <c r="B6057" t="s">
        <v>17</v>
      </c>
      <c r="C6057" t="s">
        <v>125</v>
      </c>
      <c r="D6057" s="9" t="s">
        <v>124</v>
      </c>
      <c r="E6057" t="s">
        <v>33</v>
      </c>
      <c r="F6057" t="s">
        <v>63</v>
      </c>
      <c r="G6057">
        <v>27.4</v>
      </c>
      <c r="H6057" s="9">
        <v>5.38</v>
      </c>
      <c r="I6057"/>
    </row>
    <row r="6058" spans="1:9" x14ac:dyDescent="0.3">
      <c r="A6058" t="s">
        <v>7</v>
      </c>
      <c r="B6058" t="s">
        <v>17</v>
      </c>
      <c r="C6058" t="s">
        <v>126</v>
      </c>
      <c r="D6058" s="9" t="s">
        <v>124</v>
      </c>
      <c r="E6058" t="s">
        <v>34</v>
      </c>
      <c r="F6058" t="s">
        <v>65</v>
      </c>
      <c r="G6058">
        <v>32.5</v>
      </c>
      <c r="H6058" s="9">
        <v>13.24</v>
      </c>
      <c r="I6058"/>
    </row>
    <row r="6059" spans="1:9" x14ac:dyDescent="0.3">
      <c r="A6059" t="s">
        <v>7</v>
      </c>
      <c r="B6059" t="s">
        <v>17</v>
      </c>
      <c r="C6059" t="s">
        <v>127</v>
      </c>
      <c r="D6059" s="9" t="s">
        <v>124</v>
      </c>
      <c r="E6059" t="s">
        <v>35</v>
      </c>
      <c r="F6059" t="s">
        <v>67</v>
      </c>
      <c r="G6059">
        <v>28.2</v>
      </c>
      <c r="H6059" s="9">
        <v>1.44</v>
      </c>
      <c r="I6059"/>
    </row>
    <row r="6060" spans="1:9" x14ac:dyDescent="0.3">
      <c r="A6060" t="s">
        <v>7</v>
      </c>
      <c r="B6060" t="s">
        <v>17</v>
      </c>
      <c r="C6060" t="s">
        <v>128</v>
      </c>
      <c r="D6060" s="9" t="s">
        <v>124</v>
      </c>
      <c r="E6060" t="s">
        <v>36</v>
      </c>
      <c r="F6060" t="s">
        <v>69</v>
      </c>
      <c r="G6060">
        <v>31.3</v>
      </c>
      <c r="H6060" s="9">
        <v>-1.26</v>
      </c>
      <c r="I6060"/>
    </row>
    <row r="6061" spans="1:9" x14ac:dyDescent="0.3">
      <c r="A6061" t="s">
        <v>7</v>
      </c>
      <c r="B6061" t="s">
        <v>17</v>
      </c>
      <c r="C6061" t="s">
        <v>129</v>
      </c>
      <c r="D6061" s="9" t="s">
        <v>124</v>
      </c>
      <c r="E6061" t="s">
        <v>37</v>
      </c>
      <c r="F6061" t="s">
        <v>71</v>
      </c>
      <c r="G6061">
        <v>30.1</v>
      </c>
      <c r="H6061" s="9">
        <v>-0.66</v>
      </c>
      <c r="I6061"/>
    </row>
    <row r="6062" spans="1:9" x14ac:dyDescent="0.3">
      <c r="A6062" t="s">
        <v>7</v>
      </c>
      <c r="B6062" t="s">
        <v>17</v>
      </c>
      <c r="C6062" t="s">
        <v>130</v>
      </c>
      <c r="D6062" s="9" t="s">
        <v>124</v>
      </c>
      <c r="E6062" t="s">
        <v>38</v>
      </c>
      <c r="F6062" t="s">
        <v>73</v>
      </c>
      <c r="G6062">
        <v>30.9</v>
      </c>
      <c r="H6062" s="9">
        <v>0.32</v>
      </c>
      <c r="I6062"/>
    </row>
    <row r="6063" spans="1:9" x14ac:dyDescent="0.3">
      <c r="A6063" t="s">
        <v>7</v>
      </c>
      <c r="B6063" t="s">
        <v>17</v>
      </c>
      <c r="C6063" t="s">
        <v>131</v>
      </c>
      <c r="D6063" s="9" t="s">
        <v>124</v>
      </c>
      <c r="E6063" t="s">
        <v>39</v>
      </c>
      <c r="F6063" t="s">
        <v>75</v>
      </c>
      <c r="G6063">
        <v>31.1</v>
      </c>
      <c r="H6063" s="9">
        <v>0.32</v>
      </c>
      <c r="I6063"/>
    </row>
    <row r="6064" spans="1:9" x14ac:dyDescent="0.3">
      <c r="A6064" t="s">
        <v>7</v>
      </c>
      <c r="B6064" t="s">
        <v>17</v>
      </c>
      <c r="C6064" t="s">
        <v>132</v>
      </c>
      <c r="D6064" s="9" t="s">
        <v>124</v>
      </c>
      <c r="E6064" t="s">
        <v>40</v>
      </c>
      <c r="F6064" t="s">
        <v>77</v>
      </c>
      <c r="G6064">
        <v>31.5</v>
      </c>
      <c r="H6064" s="9">
        <v>5.35</v>
      </c>
      <c r="I6064"/>
    </row>
    <row r="6065" spans="1:9" x14ac:dyDescent="0.3">
      <c r="A6065" t="s">
        <v>7</v>
      </c>
      <c r="B6065" t="s">
        <v>17</v>
      </c>
      <c r="C6065" t="s">
        <v>133</v>
      </c>
      <c r="D6065" s="9" t="s">
        <v>124</v>
      </c>
      <c r="E6065" t="s">
        <v>41</v>
      </c>
      <c r="F6065" t="s">
        <v>79</v>
      </c>
      <c r="G6065">
        <v>32.6</v>
      </c>
      <c r="H6065" s="9">
        <v>17.690000000000001</v>
      </c>
      <c r="I6065"/>
    </row>
    <row r="6066" spans="1:9" x14ac:dyDescent="0.3">
      <c r="A6066" t="s">
        <v>7</v>
      </c>
      <c r="B6066" t="s">
        <v>17</v>
      </c>
      <c r="C6066" t="s">
        <v>134</v>
      </c>
      <c r="D6066" s="9" t="s">
        <v>124</v>
      </c>
      <c r="E6066" t="s">
        <v>42</v>
      </c>
      <c r="F6066" t="s">
        <v>81</v>
      </c>
      <c r="G6066">
        <v>29.6</v>
      </c>
      <c r="H6066" s="9">
        <v>-1.33</v>
      </c>
      <c r="I6066"/>
    </row>
    <row r="6067" spans="1:9" x14ac:dyDescent="0.3">
      <c r="A6067" t="s">
        <v>7</v>
      </c>
      <c r="B6067" t="s">
        <v>17</v>
      </c>
      <c r="C6067" t="s">
        <v>135</v>
      </c>
      <c r="D6067" s="9" t="s">
        <v>124</v>
      </c>
      <c r="E6067" t="s">
        <v>43</v>
      </c>
      <c r="F6067" t="s">
        <v>83</v>
      </c>
      <c r="G6067">
        <v>37</v>
      </c>
      <c r="H6067" s="9">
        <v>1.65</v>
      </c>
      <c r="I6067"/>
    </row>
    <row r="6068" spans="1:9" x14ac:dyDescent="0.3">
      <c r="A6068" t="s">
        <v>7</v>
      </c>
      <c r="B6068" t="s">
        <v>17</v>
      </c>
      <c r="C6068" t="s">
        <v>136</v>
      </c>
      <c r="D6068" s="9" t="s">
        <v>137</v>
      </c>
      <c r="E6068" t="s">
        <v>32</v>
      </c>
      <c r="F6068" t="s">
        <v>61</v>
      </c>
      <c r="G6068">
        <v>28.2</v>
      </c>
      <c r="H6068" s="9">
        <v>-2.08</v>
      </c>
      <c r="I6068"/>
    </row>
    <row r="6069" spans="1:9" x14ac:dyDescent="0.3">
      <c r="A6069" t="s">
        <v>7</v>
      </c>
      <c r="B6069" t="s">
        <v>17</v>
      </c>
      <c r="C6069" t="s">
        <v>138</v>
      </c>
      <c r="D6069" s="9" t="s">
        <v>137</v>
      </c>
      <c r="E6069" t="s">
        <v>33</v>
      </c>
      <c r="F6069" t="s">
        <v>63</v>
      </c>
      <c r="G6069">
        <v>28.5</v>
      </c>
      <c r="H6069" s="9">
        <v>4.01</v>
      </c>
      <c r="I6069"/>
    </row>
    <row r="6070" spans="1:9" x14ac:dyDescent="0.3">
      <c r="A6070" t="s">
        <v>7</v>
      </c>
      <c r="B6070" t="s">
        <v>17</v>
      </c>
      <c r="C6070" t="s">
        <v>139</v>
      </c>
      <c r="D6070" s="9" t="s">
        <v>137</v>
      </c>
      <c r="E6070" t="s">
        <v>34</v>
      </c>
      <c r="F6070" t="s">
        <v>65</v>
      </c>
      <c r="G6070">
        <v>30.4</v>
      </c>
      <c r="H6070" s="9">
        <v>-6.46</v>
      </c>
      <c r="I6070"/>
    </row>
    <row r="6071" spans="1:9" x14ac:dyDescent="0.3">
      <c r="A6071" t="s">
        <v>7</v>
      </c>
      <c r="B6071" t="s">
        <v>17</v>
      </c>
      <c r="C6071" t="s">
        <v>140</v>
      </c>
      <c r="D6071" s="9" t="s">
        <v>137</v>
      </c>
      <c r="E6071" t="s">
        <v>35</v>
      </c>
      <c r="F6071" t="s">
        <v>67</v>
      </c>
      <c r="G6071">
        <v>29.1</v>
      </c>
      <c r="H6071" s="9">
        <v>3.19</v>
      </c>
      <c r="I6071"/>
    </row>
    <row r="6072" spans="1:9" x14ac:dyDescent="0.3">
      <c r="A6072" t="s">
        <v>7</v>
      </c>
      <c r="B6072" t="s">
        <v>17</v>
      </c>
      <c r="C6072" t="s">
        <v>141</v>
      </c>
      <c r="D6072" s="9" t="s">
        <v>137</v>
      </c>
      <c r="E6072" t="s">
        <v>36</v>
      </c>
      <c r="F6072" t="s">
        <v>69</v>
      </c>
      <c r="G6072">
        <v>33.299999999999997</v>
      </c>
      <c r="H6072" s="9">
        <v>6.39</v>
      </c>
      <c r="I6072"/>
    </row>
    <row r="6073" spans="1:9" x14ac:dyDescent="0.3">
      <c r="A6073" t="s">
        <v>7</v>
      </c>
      <c r="B6073" t="s">
        <v>17</v>
      </c>
      <c r="C6073" t="s">
        <v>142</v>
      </c>
      <c r="D6073" s="9" t="s">
        <v>137</v>
      </c>
      <c r="E6073" t="s">
        <v>37</v>
      </c>
      <c r="F6073" t="s">
        <v>71</v>
      </c>
      <c r="G6073">
        <v>28.5</v>
      </c>
      <c r="H6073" s="9">
        <v>-5.32</v>
      </c>
      <c r="I6073"/>
    </row>
    <row r="6074" spans="1:9" x14ac:dyDescent="0.3">
      <c r="A6074" t="s">
        <v>7</v>
      </c>
      <c r="B6074" t="s">
        <v>17</v>
      </c>
      <c r="C6074" t="s">
        <v>143</v>
      </c>
      <c r="D6074" s="9" t="s">
        <v>137</v>
      </c>
      <c r="E6074" t="s">
        <v>38</v>
      </c>
      <c r="F6074" t="s">
        <v>73</v>
      </c>
      <c r="G6074">
        <v>31.7</v>
      </c>
      <c r="H6074" s="9">
        <v>2.59</v>
      </c>
      <c r="I6074"/>
    </row>
    <row r="6075" spans="1:9" x14ac:dyDescent="0.3">
      <c r="A6075" t="s">
        <v>7</v>
      </c>
      <c r="B6075" t="s">
        <v>17</v>
      </c>
      <c r="C6075" t="s">
        <v>144</v>
      </c>
      <c r="D6075" s="9" t="s">
        <v>137</v>
      </c>
      <c r="E6075" t="s">
        <v>39</v>
      </c>
      <c r="F6075" t="s">
        <v>75</v>
      </c>
      <c r="G6075">
        <v>30.8</v>
      </c>
      <c r="H6075" s="9">
        <v>-0.96</v>
      </c>
      <c r="I6075"/>
    </row>
    <row r="6076" spans="1:9" x14ac:dyDescent="0.3">
      <c r="A6076" t="s">
        <v>7</v>
      </c>
      <c r="B6076" t="s">
        <v>17</v>
      </c>
      <c r="C6076" t="s">
        <v>145</v>
      </c>
      <c r="D6076" s="9" t="s">
        <v>137</v>
      </c>
      <c r="E6076" t="s">
        <v>40</v>
      </c>
      <c r="F6076" t="s">
        <v>77</v>
      </c>
      <c r="G6076">
        <v>29.7</v>
      </c>
      <c r="H6076" s="9">
        <v>-5.71</v>
      </c>
      <c r="I6076"/>
    </row>
    <row r="6077" spans="1:9" x14ac:dyDescent="0.3">
      <c r="A6077" t="s">
        <v>7</v>
      </c>
      <c r="B6077" t="s">
        <v>17</v>
      </c>
      <c r="C6077" t="s">
        <v>146</v>
      </c>
      <c r="D6077" s="9" t="s">
        <v>137</v>
      </c>
      <c r="E6077" t="s">
        <v>41</v>
      </c>
      <c r="F6077" t="s">
        <v>79</v>
      </c>
      <c r="G6077">
        <v>32.6</v>
      </c>
      <c r="H6077" s="9">
        <v>0</v>
      </c>
      <c r="I6077"/>
    </row>
    <row r="6078" spans="1:9" x14ac:dyDescent="0.3">
      <c r="A6078" t="s">
        <v>7</v>
      </c>
      <c r="B6078" t="s">
        <v>17</v>
      </c>
      <c r="C6078" t="s">
        <v>147</v>
      </c>
      <c r="D6078" s="9" t="s">
        <v>137</v>
      </c>
      <c r="E6078" t="s">
        <v>42</v>
      </c>
      <c r="F6078" t="s">
        <v>81</v>
      </c>
      <c r="G6078">
        <v>33.4</v>
      </c>
      <c r="H6078" s="9">
        <v>12.84</v>
      </c>
      <c r="I6078"/>
    </row>
    <row r="6079" spans="1:9" x14ac:dyDescent="0.3">
      <c r="A6079" t="s">
        <v>7</v>
      </c>
      <c r="B6079" t="s">
        <v>17</v>
      </c>
      <c r="C6079" t="s">
        <v>148</v>
      </c>
      <c r="D6079" s="9" t="s">
        <v>137</v>
      </c>
      <c r="E6079" t="s">
        <v>43</v>
      </c>
      <c r="F6079" t="s">
        <v>83</v>
      </c>
      <c r="G6079">
        <v>39</v>
      </c>
      <c r="H6079" s="9">
        <v>5.41</v>
      </c>
      <c r="I6079"/>
    </row>
    <row r="6080" spans="1:9" x14ac:dyDescent="0.3">
      <c r="A6080" t="s">
        <v>7</v>
      </c>
      <c r="B6080" t="s">
        <v>17</v>
      </c>
      <c r="C6080" t="s">
        <v>149</v>
      </c>
      <c r="D6080" s="9" t="s">
        <v>150</v>
      </c>
      <c r="E6080" t="s">
        <v>32</v>
      </c>
      <c r="F6080" t="s">
        <v>61</v>
      </c>
      <c r="G6080">
        <v>32.799999999999997</v>
      </c>
      <c r="H6080" s="9">
        <v>16.309999999999999</v>
      </c>
      <c r="I6080"/>
    </row>
    <row r="6081" spans="1:9" x14ac:dyDescent="0.3">
      <c r="A6081" t="s">
        <v>7</v>
      </c>
      <c r="B6081" t="s">
        <v>17</v>
      </c>
      <c r="C6081" t="s">
        <v>151</v>
      </c>
      <c r="D6081" s="9" t="s">
        <v>150</v>
      </c>
      <c r="E6081" t="s">
        <v>33</v>
      </c>
      <c r="F6081" t="s">
        <v>63</v>
      </c>
      <c r="G6081">
        <v>29.4</v>
      </c>
      <c r="H6081" s="9">
        <v>3.16</v>
      </c>
      <c r="I6081"/>
    </row>
    <row r="6082" spans="1:9" x14ac:dyDescent="0.3">
      <c r="A6082" t="s">
        <v>7</v>
      </c>
      <c r="B6082" t="s">
        <v>17</v>
      </c>
      <c r="C6082" t="s">
        <v>152</v>
      </c>
      <c r="D6082" s="9" t="s">
        <v>150</v>
      </c>
      <c r="E6082" t="s">
        <v>34</v>
      </c>
      <c r="F6082" t="s">
        <v>65</v>
      </c>
      <c r="G6082">
        <v>33.700000000000003</v>
      </c>
      <c r="H6082" s="9">
        <v>10.86</v>
      </c>
      <c r="I6082"/>
    </row>
    <row r="6083" spans="1:9" x14ac:dyDescent="0.3">
      <c r="A6083" t="s">
        <v>7</v>
      </c>
      <c r="B6083" t="s">
        <v>17</v>
      </c>
      <c r="C6083" t="s">
        <v>153</v>
      </c>
      <c r="D6083" s="9" t="s">
        <v>150</v>
      </c>
      <c r="E6083" t="s">
        <v>35</v>
      </c>
      <c r="F6083" t="s">
        <v>67</v>
      </c>
      <c r="G6083">
        <v>32.200000000000003</v>
      </c>
      <c r="H6083" s="9">
        <v>10.65</v>
      </c>
      <c r="I6083"/>
    </row>
    <row r="6084" spans="1:9" x14ac:dyDescent="0.3">
      <c r="A6084" t="s">
        <v>7</v>
      </c>
      <c r="B6084" t="s">
        <v>17</v>
      </c>
      <c r="C6084" t="s">
        <v>154</v>
      </c>
      <c r="D6084" s="9" t="s">
        <v>150</v>
      </c>
      <c r="E6084" t="s">
        <v>36</v>
      </c>
      <c r="F6084" t="s">
        <v>69</v>
      </c>
      <c r="G6084">
        <v>35.6</v>
      </c>
      <c r="H6084" s="9">
        <v>6.91</v>
      </c>
      <c r="I6084"/>
    </row>
    <row r="6085" spans="1:9" x14ac:dyDescent="0.3">
      <c r="A6085" t="s">
        <v>7</v>
      </c>
      <c r="B6085" t="s">
        <v>17</v>
      </c>
      <c r="C6085" t="s">
        <v>155</v>
      </c>
      <c r="D6085" s="9" t="s">
        <v>150</v>
      </c>
      <c r="E6085" t="s">
        <v>37</v>
      </c>
      <c r="F6085" t="s">
        <v>71</v>
      </c>
      <c r="G6085">
        <v>33.1</v>
      </c>
      <c r="H6085" s="9">
        <v>16.14</v>
      </c>
      <c r="I6085"/>
    </row>
    <row r="6086" spans="1:9" x14ac:dyDescent="0.3">
      <c r="A6086" t="s">
        <v>7</v>
      </c>
      <c r="B6086" t="s">
        <v>11</v>
      </c>
      <c r="C6086" t="s">
        <v>59</v>
      </c>
      <c r="D6086" s="9" t="s">
        <v>60</v>
      </c>
      <c r="E6086" t="s">
        <v>32</v>
      </c>
      <c r="F6086" t="s">
        <v>61</v>
      </c>
      <c r="G6086">
        <v>220.6</v>
      </c>
      <c r="I6086"/>
    </row>
    <row r="6087" spans="1:9" x14ac:dyDescent="0.3">
      <c r="A6087" t="s">
        <v>7</v>
      </c>
      <c r="B6087" t="s">
        <v>11</v>
      </c>
      <c r="C6087" t="s">
        <v>62</v>
      </c>
      <c r="D6087" s="9" t="s">
        <v>60</v>
      </c>
      <c r="E6087" t="s">
        <v>33</v>
      </c>
      <c r="F6087" t="s">
        <v>63</v>
      </c>
      <c r="G6087">
        <v>201.2</v>
      </c>
      <c r="I6087"/>
    </row>
    <row r="6088" spans="1:9" x14ac:dyDescent="0.3">
      <c r="A6088" t="s">
        <v>7</v>
      </c>
      <c r="B6088" t="s">
        <v>11</v>
      </c>
      <c r="C6088" t="s">
        <v>64</v>
      </c>
      <c r="D6088" s="9" t="s">
        <v>60</v>
      </c>
      <c r="E6088" t="s">
        <v>34</v>
      </c>
      <c r="F6088" t="s">
        <v>65</v>
      </c>
      <c r="G6088">
        <v>220.1</v>
      </c>
      <c r="I6088"/>
    </row>
    <row r="6089" spans="1:9" x14ac:dyDescent="0.3">
      <c r="A6089" t="s">
        <v>7</v>
      </c>
      <c r="B6089" t="s">
        <v>11</v>
      </c>
      <c r="C6089" t="s">
        <v>66</v>
      </c>
      <c r="D6089" s="9" t="s">
        <v>60</v>
      </c>
      <c r="E6089" t="s">
        <v>35</v>
      </c>
      <c r="F6089" t="s">
        <v>67</v>
      </c>
      <c r="G6089">
        <v>207.8</v>
      </c>
      <c r="I6089"/>
    </row>
    <row r="6090" spans="1:9" x14ac:dyDescent="0.3">
      <c r="A6090" t="s">
        <v>7</v>
      </c>
      <c r="B6090" t="s">
        <v>11</v>
      </c>
      <c r="C6090" t="s">
        <v>68</v>
      </c>
      <c r="D6090" s="9" t="s">
        <v>60</v>
      </c>
      <c r="E6090" t="s">
        <v>36</v>
      </c>
      <c r="F6090" t="s">
        <v>69</v>
      </c>
      <c r="G6090">
        <v>210.5</v>
      </c>
      <c r="I6090"/>
    </row>
    <row r="6091" spans="1:9" x14ac:dyDescent="0.3">
      <c r="A6091" t="s">
        <v>7</v>
      </c>
      <c r="B6091" t="s">
        <v>11</v>
      </c>
      <c r="C6091" t="s">
        <v>70</v>
      </c>
      <c r="D6091" s="9" t="s">
        <v>60</v>
      </c>
      <c r="E6091" t="s">
        <v>37</v>
      </c>
      <c r="F6091" t="s">
        <v>71</v>
      </c>
      <c r="G6091">
        <v>202.5</v>
      </c>
      <c r="I6091"/>
    </row>
    <row r="6092" spans="1:9" x14ac:dyDescent="0.3">
      <c r="A6092" t="s">
        <v>7</v>
      </c>
      <c r="B6092" t="s">
        <v>11</v>
      </c>
      <c r="C6092" t="s">
        <v>72</v>
      </c>
      <c r="D6092" s="9" t="s">
        <v>60</v>
      </c>
      <c r="E6092" t="s">
        <v>38</v>
      </c>
      <c r="F6092" t="s">
        <v>73</v>
      </c>
      <c r="G6092">
        <v>206.8</v>
      </c>
      <c r="I6092"/>
    </row>
    <row r="6093" spans="1:9" x14ac:dyDescent="0.3">
      <c r="A6093" t="s">
        <v>7</v>
      </c>
      <c r="B6093" t="s">
        <v>11</v>
      </c>
      <c r="C6093" t="s">
        <v>74</v>
      </c>
      <c r="D6093" s="9" t="s">
        <v>60</v>
      </c>
      <c r="E6093" t="s">
        <v>39</v>
      </c>
      <c r="F6093" t="s">
        <v>75</v>
      </c>
      <c r="G6093">
        <v>212.1</v>
      </c>
      <c r="I6093"/>
    </row>
    <row r="6094" spans="1:9" x14ac:dyDescent="0.3">
      <c r="A6094" t="s">
        <v>7</v>
      </c>
      <c r="B6094" t="s">
        <v>11</v>
      </c>
      <c r="C6094" t="s">
        <v>76</v>
      </c>
      <c r="D6094" s="9" t="s">
        <v>60</v>
      </c>
      <c r="E6094" t="s">
        <v>40</v>
      </c>
      <c r="F6094" t="s">
        <v>77</v>
      </c>
      <c r="G6094">
        <v>207.8</v>
      </c>
      <c r="I6094"/>
    </row>
    <row r="6095" spans="1:9" x14ac:dyDescent="0.3">
      <c r="A6095" t="s">
        <v>7</v>
      </c>
      <c r="B6095" t="s">
        <v>11</v>
      </c>
      <c r="C6095" t="s">
        <v>78</v>
      </c>
      <c r="D6095" s="9" t="s">
        <v>60</v>
      </c>
      <c r="E6095" t="s">
        <v>41</v>
      </c>
      <c r="F6095" t="s">
        <v>79</v>
      </c>
      <c r="G6095">
        <v>221.9</v>
      </c>
      <c r="I6095"/>
    </row>
    <row r="6096" spans="1:9" x14ac:dyDescent="0.3">
      <c r="A6096" t="s">
        <v>7</v>
      </c>
      <c r="B6096" t="s">
        <v>11</v>
      </c>
      <c r="C6096" t="s">
        <v>80</v>
      </c>
      <c r="D6096" s="9" t="s">
        <v>60</v>
      </c>
      <c r="E6096" t="s">
        <v>42</v>
      </c>
      <c r="F6096" t="s">
        <v>81</v>
      </c>
      <c r="G6096">
        <v>223</v>
      </c>
      <c r="I6096"/>
    </row>
    <row r="6097" spans="1:9" x14ac:dyDescent="0.3">
      <c r="A6097" t="s">
        <v>7</v>
      </c>
      <c r="B6097" t="s">
        <v>11</v>
      </c>
      <c r="C6097" t="s">
        <v>82</v>
      </c>
      <c r="D6097" s="9" t="s">
        <v>60</v>
      </c>
      <c r="E6097" t="s">
        <v>43</v>
      </c>
      <c r="F6097" t="s">
        <v>83</v>
      </c>
      <c r="G6097">
        <v>251.8</v>
      </c>
      <c r="I6097"/>
    </row>
    <row r="6098" spans="1:9" x14ac:dyDescent="0.3">
      <c r="A6098" t="s">
        <v>7</v>
      </c>
      <c r="B6098" t="s">
        <v>11</v>
      </c>
      <c r="C6098" t="s">
        <v>84</v>
      </c>
      <c r="D6098" s="9" t="s">
        <v>85</v>
      </c>
      <c r="E6098" t="s">
        <v>32</v>
      </c>
      <c r="F6098" t="s">
        <v>61</v>
      </c>
      <c r="G6098">
        <v>234.2</v>
      </c>
      <c r="H6098" s="9">
        <v>6.17</v>
      </c>
      <c r="I6098"/>
    </row>
    <row r="6099" spans="1:9" x14ac:dyDescent="0.3">
      <c r="A6099" t="s">
        <v>7</v>
      </c>
      <c r="B6099" t="s">
        <v>11</v>
      </c>
      <c r="C6099" t="s">
        <v>86</v>
      </c>
      <c r="D6099" s="9" t="s">
        <v>85</v>
      </c>
      <c r="E6099" t="s">
        <v>33</v>
      </c>
      <c r="F6099" t="s">
        <v>63</v>
      </c>
      <c r="G6099">
        <v>223</v>
      </c>
      <c r="H6099" s="9">
        <v>10.83</v>
      </c>
      <c r="I6099"/>
    </row>
    <row r="6100" spans="1:9" x14ac:dyDescent="0.3">
      <c r="A6100" t="s">
        <v>7</v>
      </c>
      <c r="B6100" t="s">
        <v>11</v>
      </c>
      <c r="C6100" t="s">
        <v>87</v>
      </c>
      <c r="D6100" s="9" t="s">
        <v>85</v>
      </c>
      <c r="E6100" t="s">
        <v>34</v>
      </c>
      <c r="F6100" t="s">
        <v>65</v>
      </c>
      <c r="G6100">
        <v>273.60000000000002</v>
      </c>
      <c r="H6100" s="9">
        <v>24.31</v>
      </c>
      <c r="I6100"/>
    </row>
    <row r="6101" spans="1:9" x14ac:dyDescent="0.3">
      <c r="A6101" t="s">
        <v>7</v>
      </c>
      <c r="B6101" t="s">
        <v>11</v>
      </c>
      <c r="C6101" t="s">
        <v>88</v>
      </c>
      <c r="D6101" s="9" t="s">
        <v>85</v>
      </c>
      <c r="E6101" t="s">
        <v>35</v>
      </c>
      <c r="F6101" t="s">
        <v>67</v>
      </c>
      <c r="G6101">
        <v>224.8</v>
      </c>
      <c r="H6101" s="9">
        <v>8.18</v>
      </c>
      <c r="I6101"/>
    </row>
    <row r="6102" spans="1:9" x14ac:dyDescent="0.3">
      <c r="A6102" t="s">
        <v>7</v>
      </c>
      <c r="B6102" t="s">
        <v>11</v>
      </c>
      <c r="C6102" t="s">
        <v>89</v>
      </c>
      <c r="D6102" s="9" t="s">
        <v>85</v>
      </c>
      <c r="E6102" t="s">
        <v>36</v>
      </c>
      <c r="F6102" t="s">
        <v>69</v>
      </c>
      <c r="G6102">
        <v>235.5</v>
      </c>
      <c r="H6102" s="9">
        <v>11.88</v>
      </c>
      <c r="I6102"/>
    </row>
    <row r="6103" spans="1:9" x14ac:dyDescent="0.3">
      <c r="A6103" t="s">
        <v>7</v>
      </c>
      <c r="B6103" t="s">
        <v>11</v>
      </c>
      <c r="C6103" t="s">
        <v>90</v>
      </c>
      <c r="D6103" s="9" t="s">
        <v>85</v>
      </c>
      <c r="E6103" t="s">
        <v>37</v>
      </c>
      <c r="F6103" t="s">
        <v>71</v>
      </c>
      <c r="G6103">
        <v>222.9</v>
      </c>
      <c r="H6103" s="9">
        <v>10.07</v>
      </c>
      <c r="I6103"/>
    </row>
    <row r="6104" spans="1:9" x14ac:dyDescent="0.3">
      <c r="A6104" t="s">
        <v>7</v>
      </c>
      <c r="B6104" t="s">
        <v>11</v>
      </c>
      <c r="C6104" t="s">
        <v>91</v>
      </c>
      <c r="D6104" s="9" t="s">
        <v>85</v>
      </c>
      <c r="E6104" t="s">
        <v>38</v>
      </c>
      <c r="F6104" t="s">
        <v>73</v>
      </c>
      <c r="G6104">
        <v>237.6</v>
      </c>
      <c r="H6104" s="9">
        <v>14.89</v>
      </c>
      <c r="I6104"/>
    </row>
    <row r="6105" spans="1:9" x14ac:dyDescent="0.3">
      <c r="A6105" t="s">
        <v>7</v>
      </c>
      <c r="B6105" t="s">
        <v>11</v>
      </c>
      <c r="C6105" t="s">
        <v>92</v>
      </c>
      <c r="D6105" s="9" t="s">
        <v>85</v>
      </c>
      <c r="E6105" t="s">
        <v>39</v>
      </c>
      <c r="F6105" t="s">
        <v>75</v>
      </c>
      <c r="G6105">
        <v>239.1</v>
      </c>
      <c r="H6105" s="9">
        <v>12.73</v>
      </c>
      <c r="I6105"/>
    </row>
    <row r="6106" spans="1:9" x14ac:dyDescent="0.3">
      <c r="A6106" t="s">
        <v>7</v>
      </c>
      <c r="B6106" t="s">
        <v>11</v>
      </c>
      <c r="C6106" t="s">
        <v>93</v>
      </c>
      <c r="D6106" s="9" t="s">
        <v>85</v>
      </c>
      <c r="E6106" t="s">
        <v>40</v>
      </c>
      <c r="F6106" t="s">
        <v>77</v>
      </c>
      <c r="G6106">
        <v>229.2</v>
      </c>
      <c r="H6106" s="9">
        <v>10.3</v>
      </c>
      <c r="I6106"/>
    </row>
    <row r="6107" spans="1:9" x14ac:dyDescent="0.3">
      <c r="A6107" t="s">
        <v>7</v>
      </c>
      <c r="B6107" t="s">
        <v>11</v>
      </c>
      <c r="C6107" t="s">
        <v>94</v>
      </c>
      <c r="D6107" s="9" t="s">
        <v>85</v>
      </c>
      <c r="E6107" t="s">
        <v>41</v>
      </c>
      <c r="F6107" t="s">
        <v>79</v>
      </c>
      <c r="G6107">
        <v>245.1</v>
      </c>
      <c r="H6107" s="9">
        <v>10.46</v>
      </c>
      <c r="I6107"/>
    </row>
    <row r="6108" spans="1:9" x14ac:dyDescent="0.3">
      <c r="A6108" t="s">
        <v>7</v>
      </c>
      <c r="B6108" t="s">
        <v>11</v>
      </c>
      <c r="C6108" t="s">
        <v>95</v>
      </c>
      <c r="D6108" s="9" t="s">
        <v>85</v>
      </c>
      <c r="E6108" t="s">
        <v>42</v>
      </c>
      <c r="F6108" t="s">
        <v>81</v>
      </c>
      <c r="G6108">
        <v>243.8</v>
      </c>
      <c r="H6108" s="9">
        <v>9.33</v>
      </c>
      <c r="I6108"/>
    </row>
    <row r="6109" spans="1:9" x14ac:dyDescent="0.3">
      <c r="A6109" t="s">
        <v>7</v>
      </c>
      <c r="B6109" t="s">
        <v>11</v>
      </c>
      <c r="C6109" t="s">
        <v>96</v>
      </c>
      <c r="D6109" s="9" t="s">
        <v>85</v>
      </c>
      <c r="E6109" t="s">
        <v>43</v>
      </c>
      <c r="F6109" t="s">
        <v>83</v>
      </c>
      <c r="G6109">
        <v>272.7</v>
      </c>
      <c r="H6109" s="9">
        <v>8.3000000000000007</v>
      </c>
      <c r="I6109"/>
    </row>
    <row r="6110" spans="1:9" x14ac:dyDescent="0.3">
      <c r="A6110" t="s">
        <v>7</v>
      </c>
      <c r="B6110" t="s">
        <v>11</v>
      </c>
      <c r="C6110" t="s">
        <v>97</v>
      </c>
      <c r="D6110" s="9" t="s">
        <v>98</v>
      </c>
      <c r="E6110" t="s">
        <v>32</v>
      </c>
      <c r="F6110" t="s">
        <v>61</v>
      </c>
      <c r="G6110">
        <v>252.2</v>
      </c>
      <c r="H6110" s="9">
        <v>7.69</v>
      </c>
      <c r="I6110"/>
    </row>
    <row r="6111" spans="1:9" x14ac:dyDescent="0.3">
      <c r="A6111" t="s">
        <v>7</v>
      </c>
      <c r="B6111" t="s">
        <v>11</v>
      </c>
      <c r="C6111" t="s">
        <v>99</v>
      </c>
      <c r="D6111" s="9" t="s">
        <v>98</v>
      </c>
      <c r="E6111" t="s">
        <v>33</v>
      </c>
      <c r="F6111" t="s">
        <v>63</v>
      </c>
      <c r="G6111">
        <v>226.8</v>
      </c>
      <c r="H6111" s="9">
        <v>1.7</v>
      </c>
      <c r="I6111"/>
    </row>
    <row r="6112" spans="1:9" x14ac:dyDescent="0.3">
      <c r="A6112" t="s">
        <v>7</v>
      </c>
      <c r="B6112" t="s">
        <v>11</v>
      </c>
      <c r="C6112" t="s">
        <v>100</v>
      </c>
      <c r="D6112" s="9" t="s">
        <v>98</v>
      </c>
      <c r="E6112" t="s">
        <v>34</v>
      </c>
      <c r="F6112" t="s">
        <v>65</v>
      </c>
      <c r="G6112">
        <v>253.5</v>
      </c>
      <c r="H6112" s="9">
        <v>-7.35</v>
      </c>
      <c r="I6112"/>
    </row>
    <row r="6113" spans="1:9" x14ac:dyDescent="0.3">
      <c r="A6113" t="s">
        <v>7</v>
      </c>
      <c r="B6113" t="s">
        <v>11</v>
      </c>
      <c r="C6113" t="s">
        <v>101</v>
      </c>
      <c r="D6113" s="9" t="s">
        <v>98</v>
      </c>
      <c r="E6113" t="s">
        <v>35</v>
      </c>
      <c r="F6113" t="s">
        <v>67</v>
      </c>
      <c r="G6113">
        <v>235.7</v>
      </c>
      <c r="H6113" s="9">
        <v>4.8499999999999996</v>
      </c>
      <c r="I6113"/>
    </row>
    <row r="6114" spans="1:9" x14ac:dyDescent="0.3">
      <c r="A6114" t="s">
        <v>7</v>
      </c>
      <c r="B6114" t="s">
        <v>11</v>
      </c>
      <c r="C6114" t="s">
        <v>102</v>
      </c>
      <c r="D6114" s="9" t="s">
        <v>98</v>
      </c>
      <c r="E6114" t="s">
        <v>36</v>
      </c>
      <c r="F6114" t="s">
        <v>69</v>
      </c>
      <c r="G6114">
        <v>244.8</v>
      </c>
      <c r="H6114" s="9">
        <v>3.95</v>
      </c>
      <c r="I6114"/>
    </row>
    <row r="6115" spans="1:9" x14ac:dyDescent="0.3">
      <c r="A6115" t="s">
        <v>7</v>
      </c>
      <c r="B6115" t="s">
        <v>11</v>
      </c>
      <c r="C6115" t="s">
        <v>103</v>
      </c>
      <c r="D6115" s="9" t="s">
        <v>98</v>
      </c>
      <c r="E6115" t="s">
        <v>37</v>
      </c>
      <c r="F6115" t="s">
        <v>71</v>
      </c>
      <c r="G6115">
        <v>231.2</v>
      </c>
      <c r="H6115" s="9">
        <v>3.72</v>
      </c>
      <c r="I6115"/>
    </row>
    <row r="6116" spans="1:9" x14ac:dyDescent="0.3">
      <c r="A6116" t="s">
        <v>7</v>
      </c>
      <c r="B6116" t="s">
        <v>11</v>
      </c>
      <c r="C6116" t="s">
        <v>104</v>
      </c>
      <c r="D6116" s="9" t="s">
        <v>98</v>
      </c>
      <c r="E6116" t="s">
        <v>38</v>
      </c>
      <c r="F6116" t="s">
        <v>73</v>
      </c>
      <c r="G6116">
        <v>243.3</v>
      </c>
      <c r="H6116" s="9">
        <v>2.4</v>
      </c>
      <c r="I6116"/>
    </row>
    <row r="6117" spans="1:9" x14ac:dyDescent="0.3">
      <c r="A6117" t="s">
        <v>7</v>
      </c>
      <c r="B6117" t="s">
        <v>11</v>
      </c>
      <c r="C6117" t="s">
        <v>105</v>
      </c>
      <c r="D6117" s="9" t="s">
        <v>98</v>
      </c>
      <c r="E6117" t="s">
        <v>39</v>
      </c>
      <c r="F6117" t="s">
        <v>75</v>
      </c>
      <c r="G6117">
        <v>240</v>
      </c>
      <c r="H6117" s="9">
        <v>0.38</v>
      </c>
      <c r="I6117"/>
    </row>
    <row r="6118" spans="1:9" x14ac:dyDescent="0.3">
      <c r="A6118" t="s">
        <v>7</v>
      </c>
      <c r="B6118" t="s">
        <v>11</v>
      </c>
      <c r="C6118" t="s">
        <v>106</v>
      </c>
      <c r="D6118" s="9" t="s">
        <v>98</v>
      </c>
      <c r="E6118" t="s">
        <v>40</v>
      </c>
      <c r="F6118" t="s">
        <v>77</v>
      </c>
      <c r="G6118">
        <v>236.7</v>
      </c>
      <c r="H6118" s="9">
        <v>3.27</v>
      </c>
      <c r="I6118"/>
    </row>
    <row r="6119" spans="1:9" x14ac:dyDescent="0.3">
      <c r="A6119" t="s">
        <v>7</v>
      </c>
      <c r="B6119" t="s">
        <v>11</v>
      </c>
      <c r="C6119" t="s">
        <v>107</v>
      </c>
      <c r="D6119" s="9" t="s">
        <v>98</v>
      </c>
      <c r="E6119" t="s">
        <v>41</v>
      </c>
      <c r="F6119" t="s">
        <v>79</v>
      </c>
      <c r="G6119">
        <v>250.7</v>
      </c>
      <c r="H6119" s="9">
        <v>2.2799999999999998</v>
      </c>
      <c r="I6119"/>
    </row>
    <row r="6120" spans="1:9" x14ac:dyDescent="0.3">
      <c r="A6120" t="s">
        <v>7</v>
      </c>
      <c r="B6120" t="s">
        <v>11</v>
      </c>
      <c r="C6120" t="s">
        <v>108</v>
      </c>
      <c r="D6120" s="9" t="s">
        <v>98</v>
      </c>
      <c r="E6120" t="s">
        <v>42</v>
      </c>
      <c r="F6120" t="s">
        <v>81</v>
      </c>
      <c r="G6120">
        <v>251.7</v>
      </c>
      <c r="H6120" s="9">
        <v>3.24</v>
      </c>
      <c r="I6120"/>
    </row>
    <row r="6121" spans="1:9" x14ac:dyDescent="0.3">
      <c r="A6121" t="s">
        <v>7</v>
      </c>
      <c r="B6121" t="s">
        <v>11</v>
      </c>
      <c r="C6121" t="s">
        <v>109</v>
      </c>
      <c r="D6121" s="9" t="s">
        <v>98</v>
      </c>
      <c r="E6121" t="s">
        <v>43</v>
      </c>
      <c r="F6121" t="s">
        <v>83</v>
      </c>
      <c r="G6121">
        <v>288.10000000000002</v>
      </c>
      <c r="H6121" s="9">
        <v>5.65</v>
      </c>
      <c r="I6121"/>
    </row>
    <row r="6122" spans="1:9" x14ac:dyDescent="0.3">
      <c r="A6122" t="s">
        <v>7</v>
      </c>
      <c r="B6122" t="s">
        <v>11</v>
      </c>
      <c r="C6122" t="s">
        <v>110</v>
      </c>
      <c r="D6122" s="9" t="s">
        <v>111</v>
      </c>
      <c r="E6122" t="s">
        <v>32</v>
      </c>
      <c r="F6122" t="s">
        <v>61</v>
      </c>
      <c r="G6122">
        <v>265</v>
      </c>
      <c r="H6122" s="9">
        <v>5.08</v>
      </c>
      <c r="I6122"/>
    </row>
    <row r="6123" spans="1:9" x14ac:dyDescent="0.3">
      <c r="A6123" t="s">
        <v>7</v>
      </c>
      <c r="B6123" t="s">
        <v>11</v>
      </c>
      <c r="C6123" t="s">
        <v>112</v>
      </c>
      <c r="D6123" s="9" t="s">
        <v>111</v>
      </c>
      <c r="E6123" t="s">
        <v>33</v>
      </c>
      <c r="F6123" t="s">
        <v>63</v>
      </c>
      <c r="G6123">
        <v>236.8</v>
      </c>
      <c r="H6123" s="9">
        <v>4.41</v>
      </c>
      <c r="I6123"/>
    </row>
    <row r="6124" spans="1:9" x14ac:dyDescent="0.3">
      <c r="A6124" t="s">
        <v>7</v>
      </c>
      <c r="B6124" t="s">
        <v>11</v>
      </c>
      <c r="C6124" t="s">
        <v>113</v>
      </c>
      <c r="D6124" s="9" t="s">
        <v>111</v>
      </c>
      <c r="E6124" t="s">
        <v>34</v>
      </c>
      <c r="F6124" t="s">
        <v>65</v>
      </c>
      <c r="G6124">
        <v>262</v>
      </c>
      <c r="H6124" s="9">
        <v>3.35</v>
      </c>
      <c r="I6124"/>
    </row>
    <row r="6125" spans="1:9" x14ac:dyDescent="0.3">
      <c r="A6125" t="s">
        <v>7</v>
      </c>
      <c r="B6125" t="s">
        <v>11</v>
      </c>
      <c r="C6125" t="s">
        <v>114</v>
      </c>
      <c r="D6125" s="9" t="s">
        <v>111</v>
      </c>
      <c r="E6125" t="s">
        <v>35</v>
      </c>
      <c r="F6125" t="s">
        <v>67</v>
      </c>
      <c r="G6125">
        <v>256.39999999999998</v>
      </c>
      <c r="H6125" s="9">
        <v>8.7799999999999994</v>
      </c>
      <c r="I6125"/>
    </row>
    <row r="6126" spans="1:9" x14ac:dyDescent="0.3">
      <c r="A6126" t="s">
        <v>7</v>
      </c>
      <c r="B6126" t="s">
        <v>11</v>
      </c>
      <c r="C6126" t="s">
        <v>115</v>
      </c>
      <c r="D6126" s="9" t="s">
        <v>111</v>
      </c>
      <c r="E6126" t="s">
        <v>36</v>
      </c>
      <c r="F6126" t="s">
        <v>69</v>
      </c>
      <c r="G6126">
        <v>253.4</v>
      </c>
      <c r="H6126" s="9">
        <v>3.51</v>
      </c>
      <c r="I6126"/>
    </row>
    <row r="6127" spans="1:9" x14ac:dyDescent="0.3">
      <c r="A6127" t="s">
        <v>7</v>
      </c>
      <c r="B6127" t="s">
        <v>11</v>
      </c>
      <c r="C6127" t="s">
        <v>116</v>
      </c>
      <c r="D6127" s="9" t="s">
        <v>111</v>
      </c>
      <c r="E6127" t="s">
        <v>37</v>
      </c>
      <c r="F6127" t="s">
        <v>71</v>
      </c>
      <c r="G6127">
        <v>244</v>
      </c>
      <c r="H6127" s="9">
        <v>5.54</v>
      </c>
      <c r="I6127"/>
    </row>
    <row r="6128" spans="1:9" x14ac:dyDescent="0.3">
      <c r="A6128" t="s">
        <v>7</v>
      </c>
      <c r="B6128" t="s">
        <v>11</v>
      </c>
      <c r="C6128" t="s">
        <v>117</v>
      </c>
      <c r="D6128" s="9" t="s">
        <v>111</v>
      </c>
      <c r="E6128" t="s">
        <v>38</v>
      </c>
      <c r="F6128" t="s">
        <v>73</v>
      </c>
      <c r="G6128">
        <v>257.3</v>
      </c>
      <c r="H6128" s="9">
        <v>5.75</v>
      </c>
      <c r="I6128"/>
    </row>
    <row r="6129" spans="1:9" x14ac:dyDescent="0.3">
      <c r="A6129" t="s">
        <v>7</v>
      </c>
      <c r="B6129" t="s">
        <v>11</v>
      </c>
      <c r="C6129" t="s">
        <v>118</v>
      </c>
      <c r="D6129" s="9" t="s">
        <v>111</v>
      </c>
      <c r="E6129" t="s">
        <v>39</v>
      </c>
      <c r="F6129" t="s">
        <v>75</v>
      </c>
      <c r="G6129">
        <v>254.8</v>
      </c>
      <c r="H6129" s="9">
        <v>6.17</v>
      </c>
      <c r="I6129"/>
    </row>
    <row r="6130" spans="1:9" x14ac:dyDescent="0.3">
      <c r="A6130" t="s">
        <v>7</v>
      </c>
      <c r="B6130" t="s">
        <v>11</v>
      </c>
      <c r="C6130" t="s">
        <v>119</v>
      </c>
      <c r="D6130" s="9" t="s">
        <v>111</v>
      </c>
      <c r="E6130" t="s">
        <v>40</v>
      </c>
      <c r="F6130" t="s">
        <v>77</v>
      </c>
      <c r="G6130">
        <v>258.8</v>
      </c>
      <c r="H6130" s="9">
        <v>9.34</v>
      </c>
      <c r="I6130"/>
    </row>
    <row r="6131" spans="1:9" x14ac:dyDescent="0.3">
      <c r="A6131" t="s">
        <v>7</v>
      </c>
      <c r="B6131" t="s">
        <v>11</v>
      </c>
      <c r="C6131" t="s">
        <v>120</v>
      </c>
      <c r="D6131" s="9" t="s">
        <v>111</v>
      </c>
      <c r="E6131" t="s">
        <v>41</v>
      </c>
      <c r="F6131" t="s">
        <v>79</v>
      </c>
      <c r="G6131">
        <v>273.39999999999998</v>
      </c>
      <c r="H6131" s="9">
        <v>9.0500000000000007</v>
      </c>
      <c r="I6131"/>
    </row>
    <row r="6132" spans="1:9" x14ac:dyDescent="0.3">
      <c r="A6132" t="s">
        <v>7</v>
      </c>
      <c r="B6132" t="s">
        <v>11</v>
      </c>
      <c r="C6132" t="s">
        <v>121</v>
      </c>
      <c r="D6132" s="9" t="s">
        <v>111</v>
      </c>
      <c r="E6132" t="s">
        <v>42</v>
      </c>
      <c r="F6132" t="s">
        <v>81</v>
      </c>
      <c r="G6132">
        <v>274.8</v>
      </c>
      <c r="H6132" s="9">
        <v>9.18</v>
      </c>
      <c r="I6132"/>
    </row>
    <row r="6133" spans="1:9" x14ac:dyDescent="0.3">
      <c r="A6133" t="s">
        <v>7</v>
      </c>
      <c r="B6133" t="s">
        <v>11</v>
      </c>
      <c r="C6133" t="s">
        <v>122</v>
      </c>
      <c r="D6133" s="9" t="s">
        <v>111</v>
      </c>
      <c r="E6133" t="s">
        <v>43</v>
      </c>
      <c r="F6133" t="s">
        <v>83</v>
      </c>
      <c r="G6133">
        <v>316</v>
      </c>
      <c r="H6133" s="9">
        <v>9.68</v>
      </c>
      <c r="I6133"/>
    </row>
    <row r="6134" spans="1:9" x14ac:dyDescent="0.3">
      <c r="A6134" t="s">
        <v>7</v>
      </c>
      <c r="B6134" t="s">
        <v>11</v>
      </c>
      <c r="C6134" t="s">
        <v>123</v>
      </c>
      <c r="D6134" s="9" t="s">
        <v>124</v>
      </c>
      <c r="E6134" t="s">
        <v>32</v>
      </c>
      <c r="F6134" t="s">
        <v>61</v>
      </c>
      <c r="G6134">
        <v>286.89999999999998</v>
      </c>
      <c r="H6134" s="9">
        <v>8.26</v>
      </c>
      <c r="I6134"/>
    </row>
    <row r="6135" spans="1:9" x14ac:dyDescent="0.3">
      <c r="A6135" t="s">
        <v>7</v>
      </c>
      <c r="B6135" t="s">
        <v>11</v>
      </c>
      <c r="C6135" t="s">
        <v>125</v>
      </c>
      <c r="D6135" s="9" t="s">
        <v>124</v>
      </c>
      <c r="E6135" t="s">
        <v>33</v>
      </c>
      <c r="F6135" t="s">
        <v>63</v>
      </c>
      <c r="G6135">
        <v>261.5</v>
      </c>
      <c r="H6135" s="9">
        <v>10.43</v>
      </c>
      <c r="I6135"/>
    </row>
    <row r="6136" spans="1:9" x14ac:dyDescent="0.3">
      <c r="A6136" t="s">
        <v>7</v>
      </c>
      <c r="B6136" t="s">
        <v>11</v>
      </c>
      <c r="C6136" t="s">
        <v>126</v>
      </c>
      <c r="D6136" s="9" t="s">
        <v>124</v>
      </c>
      <c r="E6136" t="s">
        <v>34</v>
      </c>
      <c r="F6136" t="s">
        <v>65</v>
      </c>
      <c r="G6136">
        <v>282.39999999999998</v>
      </c>
      <c r="H6136" s="9">
        <v>7.79</v>
      </c>
      <c r="I6136"/>
    </row>
    <row r="6137" spans="1:9" x14ac:dyDescent="0.3">
      <c r="A6137" t="s">
        <v>7</v>
      </c>
      <c r="B6137" t="s">
        <v>11</v>
      </c>
      <c r="C6137" t="s">
        <v>127</v>
      </c>
      <c r="D6137" s="9" t="s">
        <v>124</v>
      </c>
      <c r="E6137" t="s">
        <v>35</v>
      </c>
      <c r="F6137" t="s">
        <v>67</v>
      </c>
      <c r="G6137">
        <v>270.5</v>
      </c>
      <c r="H6137" s="9">
        <v>5.5</v>
      </c>
      <c r="I6137"/>
    </row>
    <row r="6138" spans="1:9" x14ac:dyDescent="0.3">
      <c r="A6138" t="s">
        <v>7</v>
      </c>
      <c r="B6138" t="s">
        <v>11</v>
      </c>
      <c r="C6138" t="s">
        <v>128</v>
      </c>
      <c r="D6138" s="9" t="s">
        <v>124</v>
      </c>
      <c r="E6138" t="s">
        <v>36</v>
      </c>
      <c r="F6138" t="s">
        <v>69</v>
      </c>
      <c r="G6138">
        <v>266.10000000000002</v>
      </c>
      <c r="H6138" s="9">
        <v>5.01</v>
      </c>
      <c r="I6138"/>
    </row>
    <row r="6139" spans="1:9" x14ac:dyDescent="0.3">
      <c r="A6139" t="s">
        <v>7</v>
      </c>
      <c r="B6139" t="s">
        <v>11</v>
      </c>
      <c r="C6139" t="s">
        <v>129</v>
      </c>
      <c r="D6139" s="9" t="s">
        <v>124</v>
      </c>
      <c r="E6139" t="s">
        <v>37</v>
      </c>
      <c r="F6139" t="s">
        <v>71</v>
      </c>
      <c r="G6139">
        <v>255.1</v>
      </c>
      <c r="H6139" s="9">
        <v>4.55</v>
      </c>
      <c r="I6139"/>
    </row>
    <row r="6140" spans="1:9" x14ac:dyDescent="0.3">
      <c r="A6140" t="s">
        <v>7</v>
      </c>
      <c r="B6140" t="s">
        <v>11</v>
      </c>
      <c r="C6140" t="s">
        <v>130</v>
      </c>
      <c r="D6140" s="9" t="s">
        <v>124</v>
      </c>
      <c r="E6140" t="s">
        <v>38</v>
      </c>
      <c r="F6140" t="s">
        <v>73</v>
      </c>
      <c r="G6140">
        <v>263</v>
      </c>
      <c r="H6140" s="9">
        <v>2.2200000000000002</v>
      </c>
      <c r="I6140"/>
    </row>
    <row r="6141" spans="1:9" x14ac:dyDescent="0.3">
      <c r="A6141" t="s">
        <v>7</v>
      </c>
      <c r="B6141" t="s">
        <v>11</v>
      </c>
      <c r="C6141" t="s">
        <v>131</v>
      </c>
      <c r="D6141" s="9" t="s">
        <v>124</v>
      </c>
      <c r="E6141" t="s">
        <v>39</v>
      </c>
      <c r="F6141" t="s">
        <v>75</v>
      </c>
      <c r="G6141">
        <v>260.10000000000002</v>
      </c>
      <c r="H6141" s="9">
        <v>2.08</v>
      </c>
      <c r="I6141"/>
    </row>
    <row r="6142" spans="1:9" x14ac:dyDescent="0.3">
      <c r="A6142" t="s">
        <v>7</v>
      </c>
      <c r="B6142" t="s">
        <v>11</v>
      </c>
      <c r="C6142" t="s">
        <v>132</v>
      </c>
      <c r="D6142" s="9" t="s">
        <v>124</v>
      </c>
      <c r="E6142" t="s">
        <v>40</v>
      </c>
      <c r="F6142" t="s">
        <v>77</v>
      </c>
      <c r="G6142">
        <v>263.3</v>
      </c>
      <c r="H6142" s="9">
        <v>1.74</v>
      </c>
      <c r="I6142"/>
    </row>
    <row r="6143" spans="1:9" x14ac:dyDescent="0.3">
      <c r="A6143" t="s">
        <v>7</v>
      </c>
      <c r="B6143" t="s">
        <v>11</v>
      </c>
      <c r="C6143" t="s">
        <v>133</v>
      </c>
      <c r="D6143" s="9" t="s">
        <v>124</v>
      </c>
      <c r="E6143" t="s">
        <v>41</v>
      </c>
      <c r="F6143" t="s">
        <v>79</v>
      </c>
      <c r="G6143">
        <v>272.39999999999998</v>
      </c>
      <c r="H6143" s="9">
        <v>-0.37</v>
      </c>
      <c r="I6143"/>
    </row>
    <row r="6144" spans="1:9" x14ac:dyDescent="0.3">
      <c r="A6144" t="s">
        <v>7</v>
      </c>
      <c r="B6144" t="s">
        <v>11</v>
      </c>
      <c r="C6144" t="s">
        <v>134</v>
      </c>
      <c r="D6144" s="9" t="s">
        <v>124</v>
      </c>
      <c r="E6144" t="s">
        <v>42</v>
      </c>
      <c r="F6144" t="s">
        <v>81</v>
      </c>
      <c r="G6144">
        <v>277</v>
      </c>
      <c r="H6144" s="9">
        <v>0.8</v>
      </c>
      <c r="I6144"/>
    </row>
    <row r="6145" spans="1:9" x14ac:dyDescent="0.3">
      <c r="A6145" t="s">
        <v>7</v>
      </c>
      <c r="B6145" t="s">
        <v>11</v>
      </c>
      <c r="C6145" t="s">
        <v>135</v>
      </c>
      <c r="D6145" s="9" t="s">
        <v>124</v>
      </c>
      <c r="E6145" t="s">
        <v>43</v>
      </c>
      <c r="F6145" t="s">
        <v>83</v>
      </c>
      <c r="G6145">
        <v>314</v>
      </c>
      <c r="H6145" s="9">
        <v>-0.63</v>
      </c>
      <c r="I6145"/>
    </row>
    <row r="6146" spans="1:9" x14ac:dyDescent="0.3">
      <c r="A6146" t="s">
        <v>7</v>
      </c>
      <c r="B6146" t="s">
        <v>11</v>
      </c>
      <c r="C6146" t="s">
        <v>136</v>
      </c>
      <c r="D6146" s="9" t="s">
        <v>137</v>
      </c>
      <c r="E6146" t="s">
        <v>32</v>
      </c>
      <c r="F6146" t="s">
        <v>61</v>
      </c>
      <c r="G6146">
        <v>288.7</v>
      </c>
      <c r="H6146" s="9">
        <v>0.63</v>
      </c>
      <c r="I6146"/>
    </row>
    <row r="6147" spans="1:9" x14ac:dyDescent="0.3">
      <c r="A6147" t="s">
        <v>7</v>
      </c>
      <c r="B6147" t="s">
        <v>11</v>
      </c>
      <c r="C6147" t="s">
        <v>138</v>
      </c>
      <c r="D6147" s="9" t="s">
        <v>137</v>
      </c>
      <c r="E6147" t="s">
        <v>33</v>
      </c>
      <c r="F6147" t="s">
        <v>63</v>
      </c>
      <c r="G6147">
        <v>271</v>
      </c>
      <c r="H6147" s="9">
        <v>3.63</v>
      </c>
      <c r="I6147"/>
    </row>
    <row r="6148" spans="1:9" x14ac:dyDescent="0.3">
      <c r="A6148" t="s">
        <v>7</v>
      </c>
      <c r="B6148" t="s">
        <v>11</v>
      </c>
      <c r="C6148" t="s">
        <v>139</v>
      </c>
      <c r="D6148" s="9" t="s">
        <v>137</v>
      </c>
      <c r="E6148" t="s">
        <v>34</v>
      </c>
      <c r="F6148" t="s">
        <v>65</v>
      </c>
      <c r="G6148">
        <v>293.8</v>
      </c>
      <c r="H6148" s="9">
        <v>4.04</v>
      </c>
      <c r="I6148"/>
    </row>
    <row r="6149" spans="1:9" x14ac:dyDescent="0.3">
      <c r="A6149" t="s">
        <v>7</v>
      </c>
      <c r="B6149" t="s">
        <v>11</v>
      </c>
      <c r="C6149" t="s">
        <v>140</v>
      </c>
      <c r="D6149" s="9" t="s">
        <v>137</v>
      </c>
      <c r="E6149" t="s">
        <v>35</v>
      </c>
      <c r="F6149" t="s">
        <v>67</v>
      </c>
      <c r="G6149">
        <v>266.8</v>
      </c>
      <c r="H6149" s="9">
        <v>-1.37</v>
      </c>
      <c r="I6149"/>
    </row>
    <row r="6150" spans="1:9" x14ac:dyDescent="0.3">
      <c r="A6150" t="s">
        <v>7</v>
      </c>
      <c r="B6150" t="s">
        <v>11</v>
      </c>
      <c r="C6150" t="s">
        <v>141</v>
      </c>
      <c r="D6150" s="9" t="s">
        <v>137</v>
      </c>
      <c r="E6150" t="s">
        <v>36</v>
      </c>
      <c r="F6150" t="s">
        <v>69</v>
      </c>
      <c r="G6150">
        <v>275.2</v>
      </c>
      <c r="H6150" s="9">
        <v>3.42</v>
      </c>
      <c r="I6150"/>
    </row>
    <row r="6151" spans="1:9" x14ac:dyDescent="0.3">
      <c r="A6151" t="s">
        <v>7</v>
      </c>
      <c r="B6151" t="s">
        <v>11</v>
      </c>
      <c r="C6151" t="s">
        <v>142</v>
      </c>
      <c r="D6151" s="9" t="s">
        <v>137</v>
      </c>
      <c r="E6151" t="s">
        <v>37</v>
      </c>
      <c r="F6151" t="s">
        <v>71</v>
      </c>
      <c r="G6151">
        <v>264.89999999999998</v>
      </c>
      <c r="H6151" s="9">
        <v>3.84</v>
      </c>
      <c r="I6151"/>
    </row>
    <row r="6152" spans="1:9" x14ac:dyDescent="0.3">
      <c r="A6152" t="s">
        <v>7</v>
      </c>
      <c r="B6152" t="s">
        <v>11</v>
      </c>
      <c r="C6152" t="s">
        <v>143</v>
      </c>
      <c r="D6152" s="9" t="s">
        <v>137</v>
      </c>
      <c r="E6152" t="s">
        <v>38</v>
      </c>
      <c r="F6152" t="s">
        <v>73</v>
      </c>
      <c r="G6152">
        <v>273.7</v>
      </c>
      <c r="H6152" s="9">
        <v>4.07</v>
      </c>
      <c r="I6152"/>
    </row>
    <row r="6153" spans="1:9" x14ac:dyDescent="0.3">
      <c r="A6153" t="s">
        <v>7</v>
      </c>
      <c r="B6153" t="s">
        <v>11</v>
      </c>
      <c r="C6153" t="s">
        <v>144</v>
      </c>
      <c r="D6153" s="9" t="s">
        <v>137</v>
      </c>
      <c r="E6153" t="s">
        <v>39</v>
      </c>
      <c r="F6153" t="s">
        <v>75</v>
      </c>
      <c r="G6153">
        <v>280.89999999999998</v>
      </c>
      <c r="H6153" s="9">
        <v>8</v>
      </c>
      <c r="I6153"/>
    </row>
    <row r="6154" spans="1:9" x14ac:dyDescent="0.3">
      <c r="A6154" t="s">
        <v>7</v>
      </c>
      <c r="B6154" t="s">
        <v>11</v>
      </c>
      <c r="C6154" t="s">
        <v>145</v>
      </c>
      <c r="D6154" s="9" t="s">
        <v>137</v>
      </c>
      <c r="E6154" t="s">
        <v>40</v>
      </c>
      <c r="F6154" t="s">
        <v>77</v>
      </c>
      <c r="G6154">
        <v>276.39999999999998</v>
      </c>
      <c r="H6154" s="9">
        <v>4.9800000000000004</v>
      </c>
      <c r="I6154"/>
    </row>
    <row r="6155" spans="1:9" x14ac:dyDescent="0.3">
      <c r="A6155" t="s">
        <v>7</v>
      </c>
      <c r="B6155" t="s">
        <v>11</v>
      </c>
      <c r="C6155" t="s">
        <v>146</v>
      </c>
      <c r="D6155" s="9" t="s">
        <v>137</v>
      </c>
      <c r="E6155" t="s">
        <v>41</v>
      </c>
      <c r="F6155" t="s">
        <v>79</v>
      </c>
      <c r="G6155">
        <v>283.2</v>
      </c>
      <c r="H6155" s="9">
        <v>3.96</v>
      </c>
      <c r="I6155"/>
    </row>
    <row r="6156" spans="1:9" x14ac:dyDescent="0.3">
      <c r="A6156" t="s">
        <v>7</v>
      </c>
      <c r="B6156" t="s">
        <v>11</v>
      </c>
      <c r="C6156" t="s">
        <v>147</v>
      </c>
      <c r="D6156" s="9" t="s">
        <v>137</v>
      </c>
      <c r="E6156" t="s">
        <v>42</v>
      </c>
      <c r="F6156" t="s">
        <v>81</v>
      </c>
      <c r="G6156">
        <v>287.8</v>
      </c>
      <c r="H6156" s="9">
        <v>3.9</v>
      </c>
      <c r="I6156"/>
    </row>
    <row r="6157" spans="1:9" x14ac:dyDescent="0.3">
      <c r="A6157" t="s">
        <v>7</v>
      </c>
      <c r="B6157" t="s">
        <v>11</v>
      </c>
      <c r="C6157" t="s">
        <v>148</v>
      </c>
      <c r="D6157" s="9" t="s">
        <v>137</v>
      </c>
      <c r="E6157" t="s">
        <v>43</v>
      </c>
      <c r="F6157" t="s">
        <v>83</v>
      </c>
      <c r="G6157">
        <v>325.5</v>
      </c>
      <c r="H6157" s="9">
        <v>3.66</v>
      </c>
      <c r="I6157"/>
    </row>
    <row r="6158" spans="1:9" x14ac:dyDescent="0.3">
      <c r="A6158" t="s">
        <v>7</v>
      </c>
      <c r="B6158" t="s">
        <v>11</v>
      </c>
      <c r="C6158" t="s">
        <v>149</v>
      </c>
      <c r="D6158" s="9" t="s">
        <v>150</v>
      </c>
      <c r="E6158" t="s">
        <v>32</v>
      </c>
      <c r="F6158" t="s">
        <v>61</v>
      </c>
      <c r="G6158">
        <v>306.2</v>
      </c>
      <c r="H6158" s="9">
        <v>6.06</v>
      </c>
      <c r="I6158"/>
    </row>
    <row r="6159" spans="1:9" x14ac:dyDescent="0.3">
      <c r="A6159" t="s">
        <v>7</v>
      </c>
      <c r="B6159" t="s">
        <v>11</v>
      </c>
      <c r="C6159" t="s">
        <v>151</v>
      </c>
      <c r="D6159" s="9" t="s">
        <v>150</v>
      </c>
      <c r="E6159" t="s">
        <v>33</v>
      </c>
      <c r="F6159" t="s">
        <v>63</v>
      </c>
      <c r="G6159">
        <v>273.7</v>
      </c>
      <c r="H6159" s="9">
        <v>1</v>
      </c>
      <c r="I6159"/>
    </row>
    <row r="6160" spans="1:9" x14ac:dyDescent="0.3">
      <c r="A6160" t="s">
        <v>7</v>
      </c>
      <c r="B6160" t="s">
        <v>11</v>
      </c>
      <c r="C6160" t="s">
        <v>152</v>
      </c>
      <c r="D6160" s="9" t="s">
        <v>150</v>
      </c>
      <c r="E6160" t="s">
        <v>34</v>
      </c>
      <c r="F6160" t="s">
        <v>65</v>
      </c>
      <c r="G6160">
        <v>299.60000000000002</v>
      </c>
      <c r="H6160" s="9">
        <v>1.97</v>
      </c>
      <c r="I6160"/>
    </row>
    <row r="6161" spans="1:9" x14ac:dyDescent="0.3">
      <c r="A6161" t="s">
        <v>7</v>
      </c>
      <c r="B6161" t="s">
        <v>11</v>
      </c>
      <c r="C6161" t="s">
        <v>153</v>
      </c>
      <c r="D6161" s="9" t="s">
        <v>150</v>
      </c>
      <c r="E6161" t="s">
        <v>35</v>
      </c>
      <c r="F6161" t="s">
        <v>67</v>
      </c>
      <c r="G6161">
        <v>278.89999999999998</v>
      </c>
      <c r="H6161" s="9">
        <v>4.54</v>
      </c>
      <c r="I6161"/>
    </row>
    <row r="6162" spans="1:9" x14ac:dyDescent="0.3">
      <c r="A6162" t="s">
        <v>7</v>
      </c>
      <c r="B6162" t="s">
        <v>11</v>
      </c>
      <c r="C6162" t="s">
        <v>154</v>
      </c>
      <c r="D6162" s="9" t="s">
        <v>150</v>
      </c>
      <c r="E6162" t="s">
        <v>36</v>
      </c>
      <c r="F6162" t="s">
        <v>69</v>
      </c>
      <c r="G6162">
        <v>279.3</v>
      </c>
      <c r="H6162" s="9">
        <v>1.49</v>
      </c>
      <c r="I6162"/>
    </row>
    <row r="6163" spans="1:9" x14ac:dyDescent="0.3">
      <c r="A6163" t="s">
        <v>7</v>
      </c>
      <c r="B6163" t="s">
        <v>11</v>
      </c>
      <c r="C6163" t="s">
        <v>155</v>
      </c>
      <c r="D6163" s="9" t="s">
        <v>150</v>
      </c>
      <c r="E6163" t="s">
        <v>37</v>
      </c>
      <c r="F6163" t="s">
        <v>71</v>
      </c>
      <c r="G6163">
        <v>268.5</v>
      </c>
      <c r="H6163" s="9">
        <v>1.36</v>
      </c>
      <c r="I6163"/>
    </row>
    <row r="6164" spans="1:9" x14ac:dyDescent="0.3">
      <c r="A6164" t="s">
        <v>7</v>
      </c>
      <c r="B6164" t="s">
        <v>18</v>
      </c>
      <c r="C6164" t="s">
        <v>59</v>
      </c>
      <c r="D6164" s="9" t="s">
        <v>60</v>
      </c>
      <c r="E6164" t="s">
        <v>32</v>
      </c>
      <c r="F6164" t="s">
        <v>61</v>
      </c>
      <c r="G6164">
        <v>30.4</v>
      </c>
      <c r="I6164"/>
    </row>
    <row r="6165" spans="1:9" x14ac:dyDescent="0.3">
      <c r="A6165" t="s">
        <v>7</v>
      </c>
      <c r="B6165" t="s">
        <v>18</v>
      </c>
      <c r="C6165" t="s">
        <v>62</v>
      </c>
      <c r="D6165" s="9" t="s">
        <v>60</v>
      </c>
      <c r="E6165" t="s">
        <v>33</v>
      </c>
      <c r="F6165" t="s">
        <v>63</v>
      </c>
      <c r="G6165">
        <v>28.3</v>
      </c>
      <c r="I6165"/>
    </row>
    <row r="6166" spans="1:9" x14ac:dyDescent="0.3">
      <c r="A6166" t="s">
        <v>7</v>
      </c>
      <c r="B6166" t="s">
        <v>18</v>
      </c>
      <c r="C6166" t="s">
        <v>64</v>
      </c>
      <c r="D6166" s="9" t="s">
        <v>60</v>
      </c>
      <c r="E6166" t="s">
        <v>34</v>
      </c>
      <c r="F6166" t="s">
        <v>65</v>
      </c>
      <c r="G6166">
        <v>29.5</v>
      </c>
      <c r="I6166"/>
    </row>
    <row r="6167" spans="1:9" x14ac:dyDescent="0.3">
      <c r="A6167" t="s">
        <v>7</v>
      </c>
      <c r="B6167" t="s">
        <v>18</v>
      </c>
      <c r="C6167" t="s">
        <v>66</v>
      </c>
      <c r="D6167" s="9" t="s">
        <v>60</v>
      </c>
      <c r="E6167" t="s">
        <v>35</v>
      </c>
      <c r="F6167" t="s">
        <v>67</v>
      </c>
      <c r="G6167">
        <v>29.7</v>
      </c>
      <c r="I6167"/>
    </row>
    <row r="6168" spans="1:9" x14ac:dyDescent="0.3">
      <c r="A6168" t="s">
        <v>7</v>
      </c>
      <c r="B6168" t="s">
        <v>18</v>
      </c>
      <c r="C6168" t="s">
        <v>68</v>
      </c>
      <c r="D6168" s="9" t="s">
        <v>60</v>
      </c>
      <c r="E6168" t="s">
        <v>36</v>
      </c>
      <c r="F6168" t="s">
        <v>69</v>
      </c>
      <c r="G6168">
        <v>30</v>
      </c>
      <c r="I6168"/>
    </row>
    <row r="6169" spans="1:9" x14ac:dyDescent="0.3">
      <c r="A6169" t="s">
        <v>7</v>
      </c>
      <c r="B6169" t="s">
        <v>18</v>
      </c>
      <c r="C6169" t="s">
        <v>70</v>
      </c>
      <c r="D6169" s="9" t="s">
        <v>60</v>
      </c>
      <c r="E6169" t="s">
        <v>37</v>
      </c>
      <c r="F6169" t="s">
        <v>71</v>
      </c>
      <c r="G6169">
        <v>30</v>
      </c>
      <c r="I6169"/>
    </row>
    <row r="6170" spans="1:9" x14ac:dyDescent="0.3">
      <c r="A6170" t="s">
        <v>7</v>
      </c>
      <c r="B6170" t="s">
        <v>18</v>
      </c>
      <c r="C6170" t="s">
        <v>72</v>
      </c>
      <c r="D6170" s="9" t="s">
        <v>60</v>
      </c>
      <c r="E6170" t="s">
        <v>38</v>
      </c>
      <c r="F6170" t="s">
        <v>73</v>
      </c>
      <c r="G6170">
        <v>33.4</v>
      </c>
      <c r="I6170"/>
    </row>
    <row r="6171" spans="1:9" x14ac:dyDescent="0.3">
      <c r="A6171" t="s">
        <v>7</v>
      </c>
      <c r="B6171" t="s">
        <v>18</v>
      </c>
      <c r="C6171" t="s">
        <v>74</v>
      </c>
      <c r="D6171" s="9" t="s">
        <v>60</v>
      </c>
      <c r="E6171" t="s">
        <v>39</v>
      </c>
      <c r="F6171" t="s">
        <v>75</v>
      </c>
      <c r="G6171">
        <v>32</v>
      </c>
      <c r="I6171"/>
    </row>
    <row r="6172" spans="1:9" x14ac:dyDescent="0.3">
      <c r="A6172" t="s">
        <v>7</v>
      </c>
      <c r="B6172" t="s">
        <v>18</v>
      </c>
      <c r="C6172" t="s">
        <v>76</v>
      </c>
      <c r="D6172" s="9" t="s">
        <v>60</v>
      </c>
      <c r="E6172" t="s">
        <v>40</v>
      </c>
      <c r="F6172" t="s">
        <v>77</v>
      </c>
      <c r="G6172">
        <v>31.3</v>
      </c>
      <c r="I6172"/>
    </row>
    <row r="6173" spans="1:9" x14ac:dyDescent="0.3">
      <c r="A6173" t="s">
        <v>7</v>
      </c>
      <c r="B6173" t="s">
        <v>18</v>
      </c>
      <c r="C6173" t="s">
        <v>78</v>
      </c>
      <c r="D6173" s="9" t="s">
        <v>60</v>
      </c>
      <c r="E6173" t="s">
        <v>41</v>
      </c>
      <c r="F6173" t="s">
        <v>79</v>
      </c>
      <c r="G6173">
        <v>32.200000000000003</v>
      </c>
      <c r="I6173"/>
    </row>
    <row r="6174" spans="1:9" x14ac:dyDescent="0.3">
      <c r="A6174" t="s">
        <v>7</v>
      </c>
      <c r="B6174" t="s">
        <v>18</v>
      </c>
      <c r="C6174" t="s">
        <v>80</v>
      </c>
      <c r="D6174" s="9" t="s">
        <v>60</v>
      </c>
      <c r="E6174" t="s">
        <v>42</v>
      </c>
      <c r="F6174" t="s">
        <v>81</v>
      </c>
      <c r="G6174">
        <v>32.4</v>
      </c>
      <c r="I6174"/>
    </row>
    <row r="6175" spans="1:9" x14ac:dyDescent="0.3">
      <c r="A6175" t="s">
        <v>7</v>
      </c>
      <c r="B6175" t="s">
        <v>18</v>
      </c>
      <c r="C6175" t="s">
        <v>82</v>
      </c>
      <c r="D6175" s="9" t="s">
        <v>60</v>
      </c>
      <c r="E6175" t="s">
        <v>43</v>
      </c>
      <c r="F6175" t="s">
        <v>83</v>
      </c>
      <c r="G6175">
        <v>35.5</v>
      </c>
      <c r="I6175"/>
    </row>
    <row r="6176" spans="1:9" x14ac:dyDescent="0.3">
      <c r="A6176" t="s">
        <v>7</v>
      </c>
      <c r="B6176" t="s">
        <v>18</v>
      </c>
      <c r="C6176" t="s">
        <v>84</v>
      </c>
      <c r="D6176" s="9" t="s">
        <v>85</v>
      </c>
      <c r="E6176" t="s">
        <v>32</v>
      </c>
      <c r="F6176" t="s">
        <v>61</v>
      </c>
      <c r="G6176">
        <v>31.8</v>
      </c>
      <c r="H6176" s="9">
        <v>4.6100000000000003</v>
      </c>
      <c r="I6176"/>
    </row>
    <row r="6177" spans="1:9" x14ac:dyDescent="0.3">
      <c r="A6177" t="s">
        <v>7</v>
      </c>
      <c r="B6177" t="s">
        <v>18</v>
      </c>
      <c r="C6177" t="s">
        <v>86</v>
      </c>
      <c r="D6177" s="9" t="s">
        <v>85</v>
      </c>
      <c r="E6177" t="s">
        <v>33</v>
      </c>
      <c r="F6177" t="s">
        <v>63</v>
      </c>
      <c r="G6177">
        <v>29.9</v>
      </c>
      <c r="H6177" s="9">
        <v>5.65</v>
      </c>
      <c r="I6177"/>
    </row>
    <row r="6178" spans="1:9" x14ac:dyDescent="0.3">
      <c r="A6178" t="s">
        <v>7</v>
      </c>
      <c r="B6178" t="s">
        <v>18</v>
      </c>
      <c r="C6178" t="s">
        <v>87</v>
      </c>
      <c r="D6178" s="9" t="s">
        <v>85</v>
      </c>
      <c r="E6178" t="s">
        <v>34</v>
      </c>
      <c r="F6178" t="s">
        <v>65</v>
      </c>
      <c r="G6178">
        <v>28.7</v>
      </c>
      <c r="H6178" s="9">
        <v>-2.71</v>
      </c>
      <c r="I6178"/>
    </row>
    <row r="6179" spans="1:9" x14ac:dyDescent="0.3">
      <c r="A6179" t="s">
        <v>7</v>
      </c>
      <c r="B6179" t="s">
        <v>18</v>
      </c>
      <c r="C6179" t="s">
        <v>88</v>
      </c>
      <c r="D6179" s="9" t="s">
        <v>85</v>
      </c>
      <c r="E6179" t="s">
        <v>35</v>
      </c>
      <c r="F6179" t="s">
        <v>67</v>
      </c>
      <c r="G6179">
        <v>22.2</v>
      </c>
      <c r="H6179" s="9">
        <v>-25.25</v>
      </c>
      <c r="I6179"/>
    </row>
    <row r="6180" spans="1:9" x14ac:dyDescent="0.3">
      <c r="A6180" t="s">
        <v>7</v>
      </c>
      <c r="B6180" t="s">
        <v>18</v>
      </c>
      <c r="C6180" t="s">
        <v>89</v>
      </c>
      <c r="D6180" s="9" t="s">
        <v>85</v>
      </c>
      <c r="E6180" t="s">
        <v>36</v>
      </c>
      <c r="F6180" t="s">
        <v>69</v>
      </c>
      <c r="G6180">
        <v>29.5</v>
      </c>
      <c r="H6180" s="9">
        <v>-1.67</v>
      </c>
      <c r="I6180"/>
    </row>
    <row r="6181" spans="1:9" x14ac:dyDescent="0.3">
      <c r="A6181" t="s">
        <v>7</v>
      </c>
      <c r="B6181" t="s">
        <v>18</v>
      </c>
      <c r="C6181" t="s">
        <v>90</v>
      </c>
      <c r="D6181" s="9" t="s">
        <v>85</v>
      </c>
      <c r="E6181" t="s">
        <v>37</v>
      </c>
      <c r="F6181" t="s">
        <v>71</v>
      </c>
      <c r="G6181">
        <v>31.7</v>
      </c>
      <c r="H6181" s="9">
        <v>5.67</v>
      </c>
      <c r="I6181"/>
    </row>
    <row r="6182" spans="1:9" x14ac:dyDescent="0.3">
      <c r="A6182" t="s">
        <v>7</v>
      </c>
      <c r="B6182" t="s">
        <v>18</v>
      </c>
      <c r="C6182" t="s">
        <v>91</v>
      </c>
      <c r="D6182" s="9" t="s">
        <v>85</v>
      </c>
      <c r="E6182" t="s">
        <v>38</v>
      </c>
      <c r="F6182" t="s">
        <v>73</v>
      </c>
      <c r="G6182">
        <v>36</v>
      </c>
      <c r="H6182" s="9">
        <v>7.78</v>
      </c>
      <c r="I6182"/>
    </row>
    <row r="6183" spans="1:9" x14ac:dyDescent="0.3">
      <c r="A6183" t="s">
        <v>7</v>
      </c>
      <c r="B6183" t="s">
        <v>18</v>
      </c>
      <c r="C6183" t="s">
        <v>92</v>
      </c>
      <c r="D6183" s="9" t="s">
        <v>85</v>
      </c>
      <c r="E6183" t="s">
        <v>39</v>
      </c>
      <c r="F6183" t="s">
        <v>75</v>
      </c>
      <c r="G6183">
        <v>34.1</v>
      </c>
      <c r="H6183" s="9">
        <v>6.56</v>
      </c>
      <c r="I6183"/>
    </row>
    <row r="6184" spans="1:9" x14ac:dyDescent="0.3">
      <c r="A6184" t="s">
        <v>7</v>
      </c>
      <c r="B6184" t="s">
        <v>18</v>
      </c>
      <c r="C6184" t="s">
        <v>93</v>
      </c>
      <c r="D6184" s="9" t="s">
        <v>85</v>
      </c>
      <c r="E6184" t="s">
        <v>40</v>
      </c>
      <c r="F6184" t="s">
        <v>77</v>
      </c>
      <c r="G6184">
        <v>33.9</v>
      </c>
      <c r="H6184" s="9">
        <v>8.31</v>
      </c>
      <c r="I6184"/>
    </row>
    <row r="6185" spans="1:9" x14ac:dyDescent="0.3">
      <c r="A6185" t="s">
        <v>7</v>
      </c>
      <c r="B6185" t="s">
        <v>18</v>
      </c>
      <c r="C6185" t="s">
        <v>94</v>
      </c>
      <c r="D6185" s="9" t="s">
        <v>85</v>
      </c>
      <c r="E6185" t="s">
        <v>41</v>
      </c>
      <c r="F6185" t="s">
        <v>79</v>
      </c>
      <c r="G6185">
        <v>36.200000000000003</v>
      </c>
      <c r="H6185" s="9">
        <v>12.42</v>
      </c>
      <c r="I6185"/>
    </row>
    <row r="6186" spans="1:9" x14ac:dyDescent="0.3">
      <c r="A6186" t="s">
        <v>7</v>
      </c>
      <c r="B6186" t="s">
        <v>18</v>
      </c>
      <c r="C6186" t="s">
        <v>95</v>
      </c>
      <c r="D6186" s="9" t="s">
        <v>85</v>
      </c>
      <c r="E6186" t="s">
        <v>42</v>
      </c>
      <c r="F6186" t="s">
        <v>81</v>
      </c>
      <c r="G6186">
        <v>34.200000000000003</v>
      </c>
      <c r="H6186" s="9">
        <v>5.56</v>
      </c>
      <c r="I6186"/>
    </row>
    <row r="6187" spans="1:9" x14ac:dyDescent="0.3">
      <c r="A6187" t="s">
        <v>7</v>
      </c>
      <c r="B6187" t="s">
        <v>18</v>
      </c>
      <c r="C6187" t="s">
        <v>96</v>
      </c>
      <c r="D6187" s="9" t="s">
        <v>85</v>
      </c>
      <c r="E6187" t="s">
        <v>43</v>
      </c>
      <c r="F6187" t="s">
        <v>83</v>
      </c>
      <c r="G6187">
        <v>38.200000000000003</v>
      </c>
      <c r="H6187" s="9">
        <v>7.61</v>
      </c>
      <c r="I6187"/>
    </row>
    <row r="6188" spans="1:9" x14ac:dyDescent="0.3">
      <c r="A6188" t="s">
        <v>7</v>
      </c>
      <c r="B6188" t="s">
        <v>18</v>
      </c>
      <c r="C6188" t="s">
        <v>97</v>
      </c>
      <c r="D6188" s="9" t="s">
        <v>98</v>
      </c>
      <c r="E6188" t="s">
        <v>32</v>
      </c>
      <c r="F6188" t="s">
        <v>61</v>
      </c>
      <c r="G6188">
        <v>36.299999999999997</v>
      </c>
      <c r="H6188" s="9">
        <v>14.15</v>
      </c>
      <c r="I6188"/>
    </row>
    <row r="6189" spans="1:9" x14ac:dyDescent="0.3">
      <c r="A6189" t="s">
        <v>7</v>
      </c>
      <c r="B6189" t="s">
        <v>18</v>
      </c>
      <c r="C6189" t="s">
        <v>99</v>
      </c>
      <c r="D6189" s="9" t="s">
        <v>98</v>
      </c>
      <c r="E6189" t="s">
        <v>33</v>
      </c>
      <c r="F6189" t="s">
        <v>63</v>
      </c>
      <c r="G6189">
        <v>32.4</v>
      </c>
      <c r="H6189" s="9">
        <v>8.36</v>
      </c>
      <c r="I6189"/>
    </row>
    <row r="6190" spans="1:9" x14ac:dyDescent="0.3">
      <c r="A6190" t="s">
        <v>7</v>
      </c>
      <c r="B6190" t="s">
        <v>18</v>
      </c>
      <c r="C6190" t="s">
        <v>100</v>
      </c>
      <c r="D6190" s="9" t="s">
        <v>98</v>
      </c>
      <c r="E6190" t="s">
        <v>34</v>
      </c>
      <c r="F6190" t="s">
        <v>65</v>
      </c>
      <c r="G6190">
        <v>37</v>
      </c>
      <c r="H6190" s="9">
        <v>28.92</v>
      </c>
      <c r="I6190"/>
    </row>
    <row r="6191" spans="1:9" x14ac:dyDescent="0.3">
      <c r="A6191" t="s">
        <v>7</v>
      </c>
      <c r="B6191" t="s">
        <v>18</v>
      </c>
      <c r="C6191" t="s">
        <v>101</v>
      </c>
      <c r="D6191" s="9" t="s">
        <v>98</v>
      </c>
      <c r="E6191" t="s">
        <v>35</v>
      </c>
      <c r="F6191" t="s">
        <v>67</v>
      </c>
      <c r="G6191">
        <v>34.6</v>
      </c>
      <c r="H6191" s="9">
        <v>55.86</v>
      </c>
      <c r="I6191"/>
    </row>
    <row r="6192" spans="1:9" x14ac:dyDescent="0.3">
      <c r="A6192" t="s">
        <v>7</v>
      </c>
      <c r="B6192" t="s">
        <v>18</v>
      </c>
      <c r="C6192" t="s">
        <v>102</v>
      </c>
      <c r="D6192" s="9" t="s">
        <v>98</v>
      </c>
      <c r="E6192" t="s">
        <v>36</v>
      </c>
      <c r="F6192" t="s">
        <v>69</v>
      </c>
      <c r="G6192">
        <v>33.5</v>
      </c>
      <c r="H6192" s="9">
        <v>13.56</v>
      </c>
      <c r="I6192"/>
    </row>
    <row r="6193" spans="1:9" x14ac:dyDescent="0.3">
      <c r="A6193" t="s">
        <v>7</v>
      </c>
      <c r="B6193" t="s">
        <v>18</v>
      </c>
      <c r="C6193" t="s">
        <v>103</v>
      </c>
      <c r="D6193" s="9" t="s">
        <v>98</v>
      </c>
      <c r="E6193" t="s">
        <v>37</v>
      </c>
      <c r="F6193" t="s">
        <v>71</v>
      </c>
      <c r="G6193">
        <v>32</v>
      </c>
      <c r="H6193" s="9">
        <v>0.95</v>
      </c>
      <c r="I6193"/>
    </row>
    <row r="6194" spans="1:9" x14ac:dyDescent="0.3">
      <c r="A6194" t="s">
        <v>7</v>
      </c>
      <c r="B6194" t="s">
        <v>18</v>
      </c>
      <c r="C6194" t="s">
        <v>104</v>
      </c>
      <c r="D6194" s="9" t="s">
        <v>98</v>
      </c>
      <c r="E6194" t="s">
        <v>38</v>
      </c>
      <c r="F6194" t="s">
        <v>73</v>
      </c>
      <c r="G6194">
        <v>33.700000000000003</v>
      </c>
      <c r="H6194" s="9">
        <v>-6.39</v>
      </c>
      <c r="I6194"/>
    </row>
    <row r="6195" spans="1:9" x14ac:dyDescent="0.3">
      <c r="A6195" t="s">
        <v>7</v>
      </c>
      <c r="B6195" t="s">
        <v>18</v>
      </c>
      <c r="C6195" t="s">
        <v>105</v>
      </c>
      <c r="D6195" s="9" t="s">
        <v>98</v>
      </c>
      <c r="E6195" t="s">
        <v>39</v>
      </c>
      <c r="F6195" t="s">
        <v>75</v>
      </c>
      <c r="G6195">
        <v>30.7</v>
      </c>
      <c r="H6195" s="9">
        <v>-9.9700000000000006</v>
      </c>
      <c r="I6195"/>
    </row>
    <row r="6196" spans="1:9" x14ac:dyDescent="0.3">
      <c r="A6196" t="s">
        <v>7</v>
      </c>
      <c r="B6196" t="s">
        <v>18</v>
      </c>
      <c r="C6196" t="s">
        <v>106</v>
      </c>
      <c r="D6196" s="9" t="s">
        <v>98</v>
      </c>
      <c r="E6196" t="s">
        <v>40</v>
      </c>
      <c r="F6196" t="s">
        <v>77</v>
      </c>
      <c r="G6196">
        <v>30.5</v>
      </c>
      <c r="H6196" s="9">
        <v>-10.029999999999999</v>
      </c>
      <c r="I6196"/>
    </row>
    <row r="6197" spans="1:9" x14ac:dyDescent="0.3">
      <c r="A6197" t="s">
        <v>7</v>
      </c>
      <c r="B6197" t="s">
        <v>18</v>
      </c>
      <c r="C6197" t="s">
        <v>107</v>
      </c>
      <c r="D6197" s="9" t="s">
        <v>98</v>
      </c>
      <c r="E6197" t="s">
        <v>41</v>
      </c>
      <c r="F6197" t="s">
        <v>79</v>
      </c>
      <c r="G6197">
        <v>29.8</v>
      </c>
      <c r="H6197" s="9">
        <v>-17.68</v>
      </c>
      <c r="I6197"/>
    </row>
    <row r="6198" spans="1:9" x14ac:dyDescent="0.3">
      <c r="A6198" t="s">
        <v>7</v>
      </c>
      <c r="B6198" t="s">
        <v>18</v>
      </c>
      <c r="C6198" t="s">
        <v>108</v>
      </c>
      <c r="D6198" s="9" t="s">
        <v>98</v>
      </c>
      <c r="E6198" t="s">
        <v>42</v>
      </c>
      <c r="F6198" t="s">
        <v>81</v>
      </c>
      <c r="G6198">
        <v>30.5</v>
      </c>
      <c r="H6198" s="9">
        <v>-10.82</v>
      </c>
      <c r="I6198"/>
    </row>
    <row r="6199" spans="1:9" x14ac:dyDescent="0.3">
      <c r="A6199" t="s">
        <v>7</v>
      </c>
      <c r="B6199" t="s">
        <v>18</v>
      </c>
      <c r="C6199" t="s">
        <v>109</v>
      </c>
      <c r="D6199" s="9" t="s">
        <v>98</v>
      </c>
      <c r="E6199" t="s">
        <v>43</v>
      </c>
      <c r="F6199" t="s">
        <v>83</v>
      </c>
      <c r="G6199">
        <v>32.6</v>
      </c>
      <c r="H6199" s="9">
        <v>-14.66</v>
      </c>
      <c r="I6199"/>
    </row>
    <row r="6200" spans="1:9" x14ac:dyDescent="0.3">
      <c r="A6200" t="s">
        <v>7</v>
      </c>
      <c r="B6200" t="s">
        <v>18</v>
      </c>
      <c r="C6200" t="s">
        <v>110</v>
      </c>
      <c r="D6200" s="9" t="s">
        <v>111</v>
      </c>
      <c r="E6200" t="s">
        <v>32</v>
      </c>
      <c r="F6200" t="s">
        <v>61</v>
      </c>
      <c r="G6200">
        <v>31.1</v>
      </c>
      <c r="H6200" s="9">
        <v>-14.33</v>
      </c>
      <c r="I6200"/>
    </row>
    <row r="6201" spans="1:9" x14ac:dyDescent="0.3">
      <c r="A6201" t="s">
        <v>7</v>
      </c>
      <c r="B6201" t="s">
        <v>18</v>
      </c>
      <c r="C6201" t="s">
        <v>112</v>
      </c>
      <c r="D6201" s="9" t="s">
        <v>111</v>
      </c>
      <c r="E6201" t="s">
        <v>33</v>
      </c>
      <c r="F6201" t="s">
        <v>63</v>
      </c>
      <c r="G6201">
        <v>29</v>
      </c>
      <c r="H6201" s="9">
        <v>-10.49</v>
      </c>
      <c r="I6201"/>
    </row>
    <row r="6202" spans="1:9" x14ac:dyDescent="0.3">
      <c r="A6202" t="s">
        <v>7</v>
      </c>
      <c r="B6202" t="s">
        <v>18</v>
      </c>
      <c r="C6202" t="s">
        <v>113</v>
      </c>
      <c r="D6202" s="9" t="s">
        <v>111</v>
      </c>
      <c r="E6202" t="s">
        <v>34</v>
      </c>
      <c r="F6202" t="s">
        <v>65</v>
      </c>
      <c r="G6202">
        <v>30.7</v>
      </c>
      <c r="H6202" s="9">
        <v>-17.03</v>
      </c>
      <c r="I6202"/>
    </row>
    <row r="6203" spans="1:9" x14ac:dyDescent="0.3">
      <c r="A6203" t="s">
        <v>7</v>
      </c>
      <c r="B6203" t="s">
        <v>18</v>
      </c>
      <c r="C6203" t="s">
        <v>114</v>
      </c>
      <c r="D6203" s="9" t="s">
        <v>111</v>
      </c>
      <c r="E6203" t="s">
        <v>35</v>
      </c>
      <c r="F6203" t="s">
        <v>67</v>
      </c>
      <c r="G6203">
        <v>32.700000000000003</v>
      </c>
      <c r="H6203" s="9">
        <v>-5.49</v>
      </c>
      <c r="I6203"/>
    </row>
    <row r="6204" spans="1:9" x14ac:dyDescent="0.3">
      <c r="A6204" t="s">
        <v>7</v>
      </c>
      <c r="B6204" t="s">
        <v>18</v>
      </c>
      <c r="C6204" t="s">
        <v>115</v>
      </c>
      <c r="D6204" s="9" t="s">
        <v>111</v>
      </c>
      <c r="E6204" t="s">
        <v>36</v>
      </c>
      <c r="F6204" t="s">
        <v>69</v>
      </c>
      <c r="G6204">
        <v>34.4</v>
      </c>
      <c r="H6204" s="9">
        <v>2.69</v>
      </c>
      <c r="I6204"/>
    </row>
    <row r="6205" spans="1:9" x14ac:dyDescent="0.3">
      <c r="A6205" t="s">
        <v>7</v>
      </c>
      <c r="B6205" t="s">
        <v>18</v>
      </c>
      <c r="C6205" t="s">
        <v>116</v>
      </c>
      <c r="D6205" s="9" t="s">
        <v>111</v>
      </c>
      <c r="E6205" t="s">
        <v>37</v>
      </c>
      <c r="F6205" t="s">
        <v>71</v>
      </c>
      <c r="G6205">
        <v>33.9</v>
      </c>
      <c r="H6205" s="9">
        <v>5.94</v>
      </c>
      <c r="I6205"/>
    </row>
    <row r="6206" spans="1:9" x14ac:dyDescent="0.3">
      <c r="A6206" t="s">
        <v>7</v>
      </c>
      <c r="B6206" t="s">
        <v>18</v>
      </c>
      <c r="C6206" t="s">
        <v>117</v>
      </c>
      <c r="D6206" s="9" t="s">
        <v>111</v>
      </c>
      <c r="E6206" t="s">
        <v>38</v>
      </c>
      <c r="F6206" t="s">
        <v>73</v>
      </c>
      <c r="G6206">
        <v>38.299999999999997</v>
      </c>
      <c r="H6206" s="9">
        <v>13.65</v>
      </c>
      <c r="I6206"/>
    </row>
    <row r="6207" spans="1:9" x14ac:dyDescent="0.3">
      <c r="A6207" t="s">
        <v>7</v>
      </c>
      <c r="B6207" t="s">
        <v>18</v>
      </c>
      <c r="C6207" t="s">
        <v>118</v>
      </c>
      <c r="D6207" s="9" t="s">
        <v>111</v>
      </c>
      <c r="E6207" t="s">
        <v>39</v>
      </c>
      <c r="F6207" t="s">
        <v>75</v>
      </c>
      <c r="G6207">
        <v>39.799999999999997</v>
      </c>
      <c r="H6207" s="9">
        <v>29.64</v>
      </c>
      <c r="I6207"/>
    </row>
    <row r="6208" spans="1:9" x14ac:dyDescent="0.3">
      <c r="A6208" t="s">
        <v>7</v>
      </c>
      <c r="B6208" t="s">
        <v>18</v>
      </c>
      <c r="C6208" t="s">
        <v>119</v>
      </c>
      <c r="D6208" s="9" t="s">
        <v>111</v>
      </c>
      <c r="E6208" t="s">
        <v>40</v>
      </c>
      <c r="F6208" t="s">
        <v>77</v>
      </c>
      <c r="G6208">
        <v>38.9</v>
      </c>
      <c r="H6208" s="9">
        <v>27.54</v>
      </c>
      <c r="I6208"/>
    </row>
    <row r="6209" spans="1:9" x14ac:dyDescent="0.3">
      <c r="A6209" t="s">
        <v>7</v>
      </c>
      <c r="B6209" t="s">
        <v>18</v>
      </c>
      <c r="C6209" t="s">
        <v>120</v>
      </c>
      <c r="D6209" s="9" t="s">
        <v>111</v>
      </c>
      <c r="E6209" t="s">
        <v>41</v>
      </c>
      <c r="F6209" t="s">
        <v>79</v>
      </c>
      <c r="G6209">
        <v>39.5</v>
      </c>
      <c r="H6209" s="9">
        <v>32.549999999999997</v>
      </c>
      <c r="I6209"/>
    </row>
    <row r="6210" spans="1:9" x14ac:dyDescent="0.3">
      <c r="A6210" t="s">
        <v>7</v>
      </c>
      <c r="B6210" t="s">
        <v>18</v>
      </c>
      <c r="C6210" t="s">
        <v>121</v>
      </c>
      <c r="D6210" s="9" t="s">
        <v>111</v>
      </c>
      <c r="E6210" t="s">
        <v>42</v>
      </c>
      <c r="F6210" t="s">
        <v>81</v>
      </c>
      <c r="G6210">
        <v>39.1</v>
      </c>
      <c r="H6210" s="9">
        <v>28.2</v>
      </c>
      <c r="I6210"/>
    </row>
    <row r="6211" spans="1:9" x14ac:dyDescent="0.3">
      <c r="A6211" t="s">
        <v>7</v>
      </c>
      <c r="B6211" t="s">
        <v>18</v>
      </c>
      <c r="C6211" t="s">
        <v>122</v>
      </c>
      <c r="D6211" s="9" t="s">
        <v>111</v>
      </c>
      <c r="E6211" t="s">
        <v>43</v>
      </c>
      <c r="F6211" t="s">
        <v>83</v>
      </c>
      <c r="G6211">
        <v>44.7</v>
      </c>
      <c r="H6211" s="9">
        <v>37.119999999999997</v>
      </c>
      <c r="I6211"/>
    </row>
    <row r="6212" spans="1:9" x14ac:dyDescent="0.3">
      <c r="A6212" t="s">
        <v>7</v>
      </c>
      <c r="B6212" t="s">
        <v>18</v>
      </c>
      <c r="C6212" t="s">
        <v>123</v>
      </c>
      <c r="D6212" s="9" t="s">
        <v>124</v>
      </c>
      <c r="E6212" t="s">
        <v>32</v>
      </c>
      <c r="F6212" t="s">
        <v>61</v>
      </c>
      <c r="G6212">
        <v>40.700000000000003</v>
      </c>
      <c r="H6212" s="9">
        <v>30.87</v>
      </c>
      <c r="I6212"/>
    </row>
    <row r="6213" spans="1:9" x14ac:dyDescent="0.3">
      <c r="A6213" t="s">
        <v>7</v>
      </c>
      <c r="B6213" t="s">
        <v>18</v>
      </c>
      <c r="C6213" t="s">
        <v>125</v>
      </c>
      <c r="D6213" s="9" t="s">
        <v>124</v>
      </c>
      <c r="E6213" t="s">
        <v>33</v>
      </c>
      <c r="F6213" t="s">
        <v>63</v>
      </c>
      <c r="G6213">
        <v>37.200000000000003</v>
      </c>
      <c r="H6213" s="9">
        <v>28.28</v>
      </c>
      <c r="I6213"/>
    </row>
    <row r="6214" spans="1:9" x14ac:dyDescent="0.3">
      <c r="A6214" t="s">
        <v>7</v>
      </c>
      <c r="B6214" t="s">
        <v>18</v>
      </c>
      <c r="C6214" t="s">
        <v>126</v>
      </c>
      <c r="D6214" s="9" t="s">
        <v>124</v>
      </c>
      <c r="E6214" t="s">
        <v>34</v>
      </c>
      <c r="F6214" t="s">
        <v>65</v>
      </c>
      <c r="G6214">
        <v>41.3</v>
      </c>
      <c r="H6214" s="9">
        <v>34.53</v>
      </c>
      <c r="I6214"/>
    </row>
    <row r="6215" spans="1:9" x14ac:dyDescent="0.3">
      <c r="A6215" t="s">
        <v>7</v>
      </c>
      <c r="B6215" t="s">
        <v>18</v>
      </c>
      <c r="C6215" t="s">
        <v>127</v>
      </c>
      <c r="D6215" s="9" t="s">
        <v>124</v>
      </c>
      <c r="E6215" t="s">
        <v>35</v>
      </c>
      <c r="F6215" t="s">
        <v>67</v>
      </c>
      <c r="G6215">
        <v>37.700000000000003</v>
      </c>
      <c r="H6215" s="9">
        <v>15.29</v>
      </c>
      <c r="I6215"/>
    </row>
    <row r="6216" spans="1:9" x14ac:dyDescent="0.3">
      <c r="A6216" t="s">
        <v>7</v>
      </c>
      <c r="B6216" t="s">
        <v>18</v>
      </c>
      <c r="C6216" t="s">
        <v>128</v>
      </c>
      <c r="D6216" s="9" t="s">
        <v>124</v>
      </c>
      <c r="E6216" t="s">
        <v>36</v>
      </c>
      <c r="F6216" t="s">
        <v>69</v>
      </c>
      <c r="G6216">
        <v>38.700000000000003</v>
      </c>
      <c r="H6216" s="9">
        <v>12.5</v>
      </c>
      <c r="I6216"/>
    </row>
    <row r="6217" spans="1:9" x14ac:dyDescent="0.3">
      <c r="A6217" t="s">
        <v>7</v>
      </c>
      <c r="B6217" t="s">
        <v>18</v>
      </c>
      <c r="C6217" t="s">
        <v>129</v>
      </c>
      <c r="D6217" s="9" t="s">
        <v>124</v>
      </c>
      <c r="E6217" t="s">
        <v>37</v>
      </c>
      <c r="F6217" t="s">
        <v>71</v>
      </c>
      <c r="G6217">
        <v>39.5</v>
      </c>
      <c r="H6217" s="9">
        <v>16.52</v>
      </c>
      <c r="I6217"/>
    </row>
    <row r="6218" spans="1:9" x14ac:dyDescent="0.3">
      <c r="A6218" t="s">
        <v>7</v>
      </c>
      <c r="B6218" t="s">
        <v>18</v>
      </c>
      <c r="C6218" t="s">
        <v>130</v>
      </c>
      <c r="D6218" s="9" t="s">
        <v>124</v>
      </c>
      <c r="E6218" t="s">
        <v>38</v>
      </c>
      <c r="F6218" t="s">
        <v>73</v>
      </c>
      <c r="G6218">
        <v>43.5</v>
      </c>
      <c r="H6218" s="9">
        <v>13.58</v>
      </c>
      <c r="I6218"/>
    </row>
    <row r="6219" spans="1:9" x14ac:dyDescent="0.3">
      <c r="A6219" t="s">
        <v>7</v>
      </c>
      <c r="B6219" t="s">
        <v>18</v>
      </c>
      <c r="C6219" t="s">
        <v>131</v>
      </c>
      <c r="D6219" s="9" t="s">
        <v>124</v>
      </c>
      <c r="E6219" t="s">
        <v>39</v>
      </c>
      <c r="F6219" t="s">
        <v>75</v>
      </c>
      <c r="G6219">
        <v>41.9</v>
      </c>
      <c r="H6219" s="9">
        <v>5.28</v>
      </c>
      <c r="I6219"/>
    </row>
    <row r="6220" spans="1:9" x14ac:dyDescent="0.3">
      <c r="A6220" t="s">
        <v>7</v>
      </c>
      <c r="B6220" t="s">
        <v>18</v>
      </c>
      <c r="C6220" t="s">
        <v>132</v>
      </c>
      <c r="D6220" s="9" t="s">
        <v>124</v>
      </c>
      <c r="E6220" t="s">
        <v>40</v>
      </c>
      <c r="F6220" t="s">
        <v>77</v>
      </c>
      <c r="G6220">
        <v>38.799999999999997</v>
      </c>
      <c r="H6220" s="9">
        <v>-0.26</v>
      </c>
      <c r="I6220"/>
    </row>
    <row r="6221" spans="1:9" x14ac:dyDescent="0.3">
      <c r="A6221" t="s">
        <v>7</v>
      </c>
      <c r="B6221" t="s">
        <v>18</v>
      </c>
      <c r="C6221" t="s">
        <v>133</v>
      </c>
      <c r="D6221" s="9" t="s">
        <v>124</v>
      </c>
      <c r="E6221" t="s">
        <v>41</v>
      </c>
      <c r="F6221" t="s">
        <v>79</v>
      </c>
      <c r="G6221">
        <v>38.200000000000003</v>
      </c>
      <c r="H6221" s="9">
        <v>-3.29</v>
      </c>
      <c r="I6221"/>
    </row>
    <row r="6222" spans="1:9" x14ac:dyDescent="0.3">
      <c r="A6222" t="s">
        <v>7</v>
      </c>
      <c r="B6222" t="s">
        <v>18</v>
      </c>
      <c r="C6222" t="s">
        <v>134</v>
      </c>
      <c r="D6222" s="9" t="s">
        <v>124</v>
      </c>
      <c r="E6222" t="s">
        <v>42</v>
      </c>
      <c r="F6222" t="s">
        <v>81</v>
      </c>
      <c r="G6222">
        <v>38.299999999999997</v>
      </c>
      <c r="H6222" s="9">
        <v>-2.0499999999999998</v>
      </c>
      <c r="I6222"/>
    </row>
    <row r="6223" spans="1:9" x14ac:dyDescent="0.3">
      <c r="A6223" t="s">
        <v>7</v>
      </c>
      <c r="B6223" t="s">
        <v>18</v>
      </c>
      <c r="C6223" t="s">
        <v>135</v>
      </c>
      <c r="D6223" s="9" t="s">
        <v>124</v>
      </c>
      <c r="E6223" t="s">
        <v>43</v>
      </c>
      <c r="F6223" t="s">
        <v>83</v>
      </c>
      <c r="G6223">
        <v>41.1</v>
      </c>
      <c r="H6223" s="9">
        <v>-8.0500000000000007</v>
      </c>
      <c r="I6223"/>
    </row>
    <row r="6224" spans="1:9" x14ac:dyDescent="0.3">
      <c r="A6224" t="s">
        <v>7</v>
      </c>
      <c r="B6224" t="s">
        <v>18</v>
      </c>
      <c r="C6224" t="s">
        <v>136</v>
      </c>
      <c r="D6224" s="9" t="s">
        <v>137</v>
      </c>
      <c r="E6224" t="s">
        <v>32</v>
      </c>
      <c r="F6224" t="s">
        <v>61</v>
      </c>
      <c r="G6224">
        <v>40.299999999999997</v>
      </c>
      <c r="H6224" s="9">
        <v>-0.98</v>
      </c>
      <c r="I6224"/>
    </row>
    <row r="6225" spans="1:9" x14ac:dyDescent="0.3">
      <c r="A6225" t="s">
        <v>7</v>
      </c>
      <c r="B6225" t="s">
        <v>18</v>
      </c>
      <c r="C6225" t="s">
        <v>138</v>
      </c>
      <c r="D6225" s="9" t="s">
        <v>137</v>
      </c>
      <c r="E6225" t="s">
        <v>33</v>
      </c>
      <c r="F6225" t="s">
        <v>63</v>
      </c>
      <c r="G6225">
        <v>38.4</v>
      </c>
      <c r="H6225" s="9">
        <v>3.23</v>
      </c>
      <c r="I6225"/>
    </row>
    <row r="6226" spans="1:9" x14ac:dyDescent="0.3">
      <c r="A6226" t="s">
        <v>7</v>
      </c>
      <c r="B6226" t="s">
        <v>18</v>
      </c>
      <c r="C6226" t="s">
        <v>139</v>
      </c>
      <c r="D6226" s="9" t="s">
        <v>137</v>
      </c>
      <c r="E6226" t="s">
        <v>34</v>
      </c>
      <c r="F6226" t="s">
        <v>65</v>
      </c>
      <c r="G6226">
        <v>37</v>
      </c>
      <c r="H6226" s="9">
        <v>-10.41</v>
      </c>
      <c r="I6226"/>
    </row>
    <row r="6227" spans="1:9" x14ac:dyDescent="0.3">
      <c r="A6227" t="s">
        <v>7</v>
      </c>
      <c r="B6227" t="s">
        <v>18</v>
      </c>
      <c r="C6227" t="s">
        <v>140</v>
      </c>
      <c r="D6227" s="9" t="s">
        <v>137</v>
      </c>
      <c r="E6227" t="s">
        <v>35</v>
      </c>
      <c r="F6227" t="s">
        <v>67</v>
      </c>
      <c r="G6227">
        <v>37.5</v>
      </c>
      <c r="H6227" s="9">
        <v>-0.53</v>
      </c>
      <c r="I6227"/>
    </row>
    <row r="6228" spans="1:9" x14ac:dyDescent="0.3">
      <c r="A6228" t="s">
        <v>7</v>
      </c>
      <c r="B6228" t="s">
        <v>18</v>
      </c>
      <c r="C6228" t="s">
        <v>141</v>
      </c>
      <c r="D6228" s="9" t="s">
        <v>137</v>
      </c>
      <c r="E6228" t="s">
        <v>36</v>
      </c>
      <c r="F6228" t="s">
        <v>69</v>
      </c>
      <c r="G6228">
        <v>38.799999999999997</v>
      </c>
      <c r="H6228" s="9">
        <v>0.26</v>
      </c>
      <c r="I6228"/>
    </row>
    <row r="6229" spans="1:9" x14ac:dyDescent="0.3">
      <c r="A6229" t="s">
        <v>7</v>
      </c>
      <c r="B6229" t="s">
        <v>18</v>
      </c>
      <c r="C6229" t="s">
        <v>142</v>
      </c>
      <c r="D6229" s="9" t="s">
        <v>137</v>
      </c>
      <c r="E6229" t="s">
        <v>37</v>
      </c>
      <c r="F6229" t="s">
        <v>71</v>
      </c>
      <c r="G6229">
        <v>36.1</v>
      </c>
      <c r="H6229" s="9">
        <v>-8.61</v>
      </c>
      <c r="I6229"/>
    </row>
    <row r="6230" spans="1:9" x14ac:dyDescent="0.3">
      <c r="A6230" t="s">
        <v>7</v>
      </c>
      <c r="B6230" t="s">
        <v>18</v>
      </c>
      <c r="C6230" t="s">
        <v>143</v>
      </c>
      <c r="D6230" s="9" t="s">
        <v>137</v>
      </c>
      <c r="E6230" t="s">
        <v>38</v>
      </c>
      <c r="F6230" t="s">
        <v>73</v>
      </c>
      <c r="G6230">
        <v>41.9</v>
      </c>
      <c r="H6230" s="9">
        <v>-3.68</v>
      </c>
      <c r="I6230"/>
    </row>
    <row r="6231" spans="1:9" x14ac:dyDescent="0.3">
      <c r="A6231" t="s">
        <v>7</v>
      </c>
      <c r="B6231" t="s">
        <v>18</v>
      </c>
      <c r="C6231" t="s">
        <v>144</v>
      </c>
      <c r="D6231" s="9" t="s">
        <v>137</v>
      </c>
      <c r="E6231" t="s">
        <v>39</v>
      </c>
      <c r="F6231" t="s">
        <v>75</v>
      </c>
      <c r="G6231">
        <v>39.9</v>
      </c>
      <c r="H6231" s="9">
        <v>-4.7699999999999996</v>
      </c>
      <c r="I6231"/>
    </row>
    <row r="6232" spans="1:9" x14ac:dyDescent="0.3">
      <c r="A6232" t="s">
        <v>7</v>
      </c>
      <c r="B6232" t="s">
        <v>18</v>
      </c>
      <c r="C6232" t="s">
        <v>145</v>
      </c>
      <c r="D6232" s="9" t="s">
        <v>137</v>
      </c>
      <c r="E6232" t="s">
        <v>40</v>
      </c>
      <c r="F6232" t="s">
        <v>77</v>
      </c>
      <c r="G6232">
        <v>38.5</v>
      </c>
      <c r="H6232" s="9">
        <v>-0.77</v>
      </c>
      <c r="I6232"/>
    </row>
    <row r="6233" spans="1:9" x14ac:dyDescent="0.3">
      <c r="A6233" t="s">
        <v>7</v>
      </c>
      <c r="B6233" t="s">
        <v>18</v>
      </c>
      <c r="C6233" t="s">
        <v>146</v>
      </c>
      <c r="D6233" s="9" t="s">
        <v>137</v>
      </c>
      <c r="E6233" t="s">
        <v>41</v>
      </c>
      <c r="F6233" t="s">
        <v>79</v>
      </c>
      <c r="G6233">
        <v>40.1</v>
      </c>
      <c r="H6233" s="9">
        <v>4.97</v>
      </c>
      <c r="I6233"/>
    </row>
    <row r="6234" spans="1:9" x14ac:dyDescent="0.3">
      <c r="A6234" t="s">
        <v>7</v>
      </c>
      <c r="B6234" t="s">
        <v>18</v>
      </c>
      <c r="C6234" t="s">
        <v>147</v>
      </c>
      <c r="D6234" s="9" t="s">
        <v>137</v>
      </c>
      <c r="E6234" t="s">
        <v>42</v>
      </c>
      <c r="F6234" t="s">
        <v>81</v>
      </c>
      <c r="G6234">
        <v>41.4</v>
      </c>
      <c r="H6234" s="9">
        <v>8.09</v>
      </c>
      <c r="I6234"/>
    </row>
    <row r="6235" spans="1:9" x14ac:dyDescent="0.3">
      <c r="A6235" t="s">
        <v>7</v>
      </c>
      <c r="B6235" t="s">
        <v>18</v>
      </c>
      <c r="C6235" t="s">
        <v>148</v>
      </c>
      <c r="D6235" s="9" t="s">
        <v>137</v>
      </c>
      <c r="E6235" t="s">
        <v>43</v>
      </c>
      <c r="F6235" t="s">
        <v>83</v>
      </c>
      <c r="G6235">
        <v>44.4</v>
      </c>
      <c r="H6235" s="9">
        <v>8.0299999999999994</v>
      </c>
      <c r="I6235"/>
    </row>
    <row r="6236" spans="1:9" x14ac:dyDescent="0.3">
      <c r="A6236" t="s">
        <v>7</v>
      </c>
      <c r="B6236" t="s">
        <v>18</v>
      </c>
      <c r="C6236" t="s">
        <v>149</v>
      </c>
      <c r="D6236" s="9" t="s">
        <v>150</v>
      </c>
      <c r="E6236" t="s">
        <v>32</v>
      </c>
      <c r="F6236" t="s">
        <v>61</v>
      </c>
      <c r="G6236">
        <v>42.8</v>
      </c>
      <c r="H6236" s="9">
        <v>6.2</v>
      </c>
      <c r="I6236"/>
    </row>
    <row r="6237" spans="1:9" x14ac:dyDescent="0.3">
      <c r="A6237" t="s">
        <v>7</v>
      </c>
      <c r="B6237" t="s">
        <v>18</v>
      </c>
      <c r="C6237" t="s">
        <v>151</v>
      </c>
      <c r="D6237" s="9" t="s">
        <v>150</v>
      </c>
      <c r="E6237" t="s">
        <v>33</v>
      </c>
      <c r="F6237" t="s">
        <v>63</v>
      </c>
      <c r="G6237">
        <v>38.200000000000003</v>
      </c>
      <c r="H6237" s="9">
        <v>-0.52</v>
      </c>
      <c r="I6237"/>
    </row>
    <row r="6238" spans="1:9" x14ac:dyDescent="0.3">
      <c r="A6238" t="s">
        <v>7</v>
      </c>
      <c r="B6238" t="s">
        <v>18</v>
      </c>
      <c r="C6238" t="s">
        <v>152</v>
      </c>
      <c r="D6238" s="9" t="s">
        <v>150</v>
      </c>
      <c r="E6238" t="s">
        <v>34</v>
      </c>
      <c r="F6238" t="s">
        <v>65</v>
      </c>
      <c r="G6238">
        <v>43.1</v>
      </c>
      <c r="H6238" s="9">
        <v>16.489999999999998</v>
      </c>
      <c r="I6238"/>
    </row>
    <row r="6239" spans="1:9" x14ac:dyDescent="0.3">
      <c r="A6239" t="s">
        <v>7</v>
      </c>
      <c r="B6239" t="s">
        <v>18</v>
      </c>
      <c r="C6239" t="s">
        <v>153</v>
      </c>
      <c r="D6239" s="9" t="s">
        <v>150</v>
      </c>
      <c r="E6239" t="s">
        <v>35</v>
      </c>
      <c r="F6239" t="s">
        <v>67</v>
      </c>
      <c r="G6239">
        <v>42.2</v>
      </c>
      <c r="H6239" s="9">
        <v>12.53</v>
      </c>
      <c r="I6239"/>
    </row>
    <row r="6240" spans="1:9" x14ac:dyDescent="0.3">
      <c r="A6240" t="s">
        <v>7</v>
      </c>
      <c r="B6240" t="s">
        <v>18</v>
      </c>
      <c r="C6240" t="s">
        <v>154</v>
      </c>
      <c r="D6240" s="9" t="s">
        <v>150</v>
      </c>
      <c r="E6240" t="s">
        <v>36</v>
      </c>
      <c r="F6240" t="s">
        <v>69</v>
      </c>
      <c r="G6240">
        <v>45.2</v>
      </c>
      <c r="H6240" s="9">
        <v>16.489999999999998</v>
      </c>
      <c r="I6240"/>
    </row>
    <row r="6241" spans="1:9" x14ac:dyDescent="0.3">
      <c r="A6241" t="s">
        <v>7</v>
      </c>
      <c r="B6241" t="s">
        <v>18</v>
      </c>
      <c r="C6241" t="s">
        <v>155</v>
      </c>
      <c r="D6241" s="9" t="s">
        <v>150</v>
      </c>
      <c r="E6241" t="s">
        <v>37</v>
      </c>
      <c r="F6241" t="s">
        <v>71</v>
      </c>
      <c r="G6241">
        <v>42.8</v>
      </c>
      <c r="H6241" s="9">
        <v>18.559999999999999</v>
      </c>
      <c r="I6241"/>
    </row>
    <row r="6242" spans="1:9" x14ac:dyDescent="0.3">
      <c r="A6242" t="s">
        <v>3</v>
      </c>
      <c r="B6242" t="s">
        <v>12</v>
      </c>
      <c r="C6242" t="s">
        <v>59</v>
      </c>
      <c r="D6242" s="9" t="s">
        <v>60</v>
      </c>
      <c r="E6242" t="s">
        <v>32</v>
      </c>
      <c r="F6242" t="s">
        <v>61</v>
      </c>
      <c r="G6242">
        <v>589.4</v>
      </c>
      <c r="I6242"/>
    </row>
    <row r="6243" spans="1:9" x14ac:dyDescent="0.3">
      <c r="A6243" t="s">
        <v>3</v>
      </c>
      <c r="B6243" t="s">
        <v>12</v>
      </c>
      <c r="C6243" t="s">
        <v>62</v>
      </c>
      <c r="D6243" s="9" t="s">
        <v>60</v>
      </c>
      <c r="E6243" t="s">
        <v>33</v>
      </c>
      <c r="F6243" t="s">
        <v>63</v>
      </c>
      <c r="G6243">
        <v>515.70000000000005</v>
      </c>
      <c r="I6243"/>
    </row>
    <row r="6244" spans="1:9" x14ac:dyDescent="0.3">
      <c r="A6244" t="s">
        <v>3</v>
      </c>
      <c r="B6244" t="s">
        <v>12</v>
      </c>
      <c r="C6244" t="s">
        <v>64</v>
      </c>
      <c r="D6244" s="9" t="s">
        <v>60</v>
      </c>
      <c r="E6244" t="s">
        <v>34</v>
      </c>
      <c r="F6244" t="s">
        <v>65</v>
      </c>
      <c r="G6244">
        <v>594.9</v>
      </c>
      <c r="I6244"/>
    </row>
    <row r="6245" spans="1:9" x14ac:dyDescent="0.3">
      <c r="A6245" t="s">
        <v>3</v>
      </c>
      <c r="B6245" t="s">
        <v>12</v>
      </c>
      <c r="C6245" t="s">
        <v>66</v>
      </c>
      <c r="D6245" s="9" t="s">
        <v>60</v>
      </c>
      <c r="E6245" t="s">
        <v>35</v>
      </c>
      <c r="F6245" t="s">
        <v>67</v>
      </c>
      <c r="G6245">
        <v>579.20000000000005</v>
      </c>
      <c r="I6245"/>
    </row>
    <row r="6246" spans="1:9" x14ac:dyDescent="0.3">
      <c r="A6246" t="s">
        <v>3</v>
      </c>
      <c r="B6246" t="s">
        <v>12</v>
      </c>
      <c r="C6246" t="s">
        <v>68</v>
      </c>
      <c r="D6246" s="9" t="s">
        <v>60</v>
      </c>
      <c r="E6246" t="s">
        <v>36</v>
      </c>
      <c r="F6246" t="s">
        <v>69</v>
      </c>
      <c r="G6246">
        <v>589.5</v>
      </c>
      <c r="I6246"/>
    </row>
    <row r="6247" spans="1:9" x14ac:dyDescent="0.3">
      <c r="A6247" t="s">
        <v>3</v>
      </c>
      <c r="B6247" t="s">
        <v>12</v>
      </c>
      <c r="C6247" t="s">
        <v>70</v>
      </c>
      <c r="D6247" s="9" t="s">
        <v>60</v>
      </c>
      <c r="E6247" t="s">
        <v>37</v>
      </c>
      <c r="F6247" t="s">
        <v>71</v>
      </c>
      <c r="G6247">
        <v>557.20000000000005</v>
      </c>
      <c r="I6247"/>
    </row>
    <row r="6248" spans="1:9" x14ac:dyDescent="0.3">
      <c r="A6248" t="s">
        <v>3</v>
      </c>
      <c r="B6248" t="s">
        <v>12</v>
      </c>
      <c r="C6248" t="s">
        <v>72</v>
      </c>
      <c r="D6248" s="9" t="s">
        <v>60</v>
      </c>
      <c r="E6248" t="s">
        <v>38</v>
      </c>
      <c r="F6248" t="s">
        <v>73</v>
      </c>
      <c r="G6248">
        <v>572.1</v>
      </c>
      <c r="I6248"/>
    </row>
    <row r="6249" spans="1:9" x14ac:dyDescent="0.3">
      <c r="A6249" t="s">
        <v>3</v>
      </c>
      <c r="B6249" t="s">
        <v>12</v>
      </c>
      <c r="C6249" t="s">
        <v>74</v>
      </c>
      <c r="D6249" s="9" t="s">
        <v>60</v>
      </c>
      <c r="E6249" t="s">
        <v>39</v>
      </c>
      <c r="F6249" t="s">
        <v>75</v>
      </c>
      <c r="G6249">
        <v>587.70000000000005</v>
      </c>
      <c r="I6249"/>
    </row>
    <row r="6250" spans="1:9" x14ac:dyDescent="0.3">
      <c r="A6250" t="s">
        <v>3</v>
      </c>
      <c r="B6250" t="s">
        <v>12</v>
      </c>
      <c r="C6250" t="s">
        <v>76</v>
      </c>
      <c r="D6250" s="9" t="s">
        <v>60</v>
      </c>
      <c r="E6250" t="s">
        <v>40</v>
      </c>
      <c r="F6250" t="s">
        <v>77</v>
      </c>
      <c r="G6250">
        <v>581.70000000000005</v>
      </c>
      <c r="I6250"/>
    </row>
    <row r="6251" spans="1:9" x14ac:dyDescent="0.3">
      <c r="A6251" t="s">
        <v>3</v>
      </c>
      <c r="B6251" t="s">
        <v>12</v>
      </c>
      <c r="C6251" t="s">
        <v>78</v>
      </c>
      <c r="D6251" s="9" t="s">
        <v>60</v>
      </c>
      <c r="E6251" t="s">
        <v>41</v>
      </c>
      <c r="F6251" t="s">
        <v>79</v>
      </c>
      <c r="G6251">
        <v>593.9</v>
      </c>
      <c r="I6251"/>
    </row>
    <row r="6252" spans="1:9" x14ac:dyDescent="0.3">
      <c r="A6252" t="s">
        <v>3</v>
      </c>
      <c r="B6252" t="s">
        <v>12</v>
      </c>
      <c r="C6252" t="s">
        <v>80</v>
      </c>
      <c r="D6252" s="9" t="s">
        <v>60</v>
      </c>
      <c r="E6252" t="s">
        <v>42</v>
      </c>
      <c r="F6252" t="s">
        <v>81</v>
      </c>
      <c r="G6252">
        <v>619.29999999999995</v>
      </c>
      <c r="I6252"/>
    </row>
    <row r="6253" spans="1:9" x14ac:dyDescent="0.3">
      <c r="A6253" t="s">
        <v>3</v>
      </c>
      <c r="B6253" t="s">
        <v>12</v>
      </c>
      <c r="C6253" t="s">
        <v>82</v>
      </c>
      <c r="D6253" s="9" t="s">
        <v>60</v>
      </c>
      <c r="E6253" t="s">
        <v>43</v>
      </c>
      <c r="F6253" t="s">
        <v>83</v>
      </c>
      <c r="G6253">
        <v>679</v>
      </c>
      <c r="I6253"/>
    </row>
    <row r="6254" spans="1:9" x14ac:dyDescent="0.3">
      <c r="A6254" t="s">
        <v>3</v>
      </c>
      <c r="B6254" t="s">
        <v>12</v>
      </c>
      <c r="C6254" t="s">
        <v>84</v>
      </c>
      <c r="D6254" s="9" t="s">
        <v>85</v>
      </c>
      <c r="E6254" t="s">
        <v>32</v>
      </c>
      <c r="F6254" t="s">
        <v>61</v>
      </c>
      <c r="G6254">
        <v>602.9</v>
      </c>
      <c r="H6254" s="9">
        <v>2.29</v>
      </c>
      <c r="I6254"/>
    </row>
    <row r="6255" spans="1:9" x14ac:dyDescent="0.3">
      <c r="A6255" t="s">
        <v>3</v>
      </c>
      <c r="B6255" t="s">
        <v>12</v>
      </c>
      <c r="C6255" t="s">
        <v>86</v>
      </c>
      <c r="D6255" s="9" t="s">
        <v>85</v>
      </c>
      <c r="E6255" t="s">
        <v>33</v>
      </c>
      <c r="F6255" t="s">
        <v>63</v>
      </c>
      <c r="G6255">
        <v>561.20000000000005</v>
      </c>
      <c r="H6255" s="9">
        <v>8.82</v>
      </c>
      <c r="I6255"/>
    </row>
    <row r="6256" spans="1:9" x14ac:dyDescent="0.3">
      <c r="A6256" t="s">
        <v>3</v>
      </c>
      <c r="B6256" t="s">
        <v>12</v>
      </c>
      <c r="C6256" t="s">
        <v>87</v>
      </c>
      <c r="D6256" s="9" t="s">
        <v>85</v>
      </c>
      <c r="E6256" t="s">
        <v>34</v>
      </c>
      <c r="F6256" t="s">
        <v>65</v>
      </c>
      <c r="G6256">
        <v>360.8</v>
      </c>
      <c r="H6256" s="9">
        <v>-39.35</v>
      </c>
      <c r="I6256"/>
    </row>
    <row r="6257" spans="1:9" x14ac:dyDescent="0.3">
      <c r="A6257" t="s">
        <v>3</v>
      </c>
      <c r="B6257" t="s">
        <v>12</v>
      </c>
      <c r="C6257" t="s">
        <v>88</v>
      </c>
      <c r="D6257" s="9" t="s">
        <v>85</v>
      </c>
      <c r="E6257" t="s">
        <v>35</v>
      </c>
      <c r="F6257" t="s">
        <v>67</v>
      </c>
      <c r="G6257">
        <v>136</v>
      </c>
      <c r="H6257" s="9">
        <v>-76.52</v>
      </c>
      <c r="I6257"/>
    </row>
    <row r="6258" spans="1:9" x14ac:dyDescent="0.3">
      <c r="A6258" t="s">
        <v>3</v>
      </c>
      <c r="B6258" t="s">
        <v>12</v>
      </c>
      <c r="C6258" t="s">
        <v>89</v>
      </c>
      <c r="D6258" s="9" t="s">
        <v>85</v>
      </c>
      <c r="E6258" t="s">
        <v>36</v>
      </c>
      <c r="F6258" t="s">
        <v>69</v>
      </c>
      <c r="G6258">
        <v>184.8</v>
      </c>
      <c r="H6258" s="9">
        <v>-68.650000000000006</v>
      </c>
      <c r="I6258"/>
    </row>
    <row r="6259" spans="1:9" x14ac:dyDescent="0.3">
      <c r="A6259" t="s">
        <v>3</v>
      </c>
      <c r="B6259" t="s">
        <v>12</v>
      </c>
      <c r="C6259" t="s">
        <v>90</v>
      </c>
      <c r="D6259" s="9" t="s">
        <v>85</v>
      </c>
      <c r="E6259" t="s">
        <v>37</v>
      </c>
      <c r="F6259" t="s">
        <v>71</v>
      </c>
      <c r="G6259">
        <v>307.89999999999998</v>
      </c>
      <c r="H6259" s="9">
        <v>-44.74</v>
      </c>
      <c r="I6259"/>
    </row>
    <row r="6260" spans="1:9" x14ac:dyDescent="0.3">
      <c r="A6260" t="s">
        <v>3</v>
      </c>
      <c r="B6260" t="s">
        <v>12</v>
      </c>
      <c r="C6260" t="s">
        <v>91</v>
      </c>
      <c r="D6260" s="9" t="s">
        <v>85</v>
      </c>
      <c r="E6260" t="s">
        <v>38</v>
      </c>
      <c r="F6260" t="s">
        <v>73</v>
      </c>
      <c r="G6260">
        <v>234</v>
      </c>
      <c r="H6260" s="9">
        <v>-59.1</v>
      </c>
      <c r="I6260"/>
    </row>
    <row r="6261" spans="1:9" x14ac:dyDescent="0.3">
      <c r="A6261" t="s">
        <v>3</v>
      </c>
      <c r="B6261" t="s">
        <v>12</v>
      </c>
      <c r="C6261" t="s">
        <v>92</v>
      </c>
      <c r="D6261" s="9" t="s">
        <v>85</v>
      </c>
      <c r="E6261" t="s">
        <v>39</v>
      </c>
      <c r="F6261" t="s">
        <v>75</v>
      </c>
      <c r="G6261">
        <v>136.6</v>
      </c>
      <c r="H6261" s="9">
        <v>-76.760000000000005</v>
      </c>
      <c r="I6261"/>
    </row>
    <row r="6262" spans="1:9" x14ac:dyDescent="0.3">
      <c r="A6262" t="s">
        <v>3</v>
      </c>
      <c r="B6262" t="s">
        <v>12</v>
      </c>
      <c r="C6262" t="s">
        <v>93</v>
      </c>
      <c r="D6262" s="9" t="s">
        <v>85</v>
      </c>
      <c r="E6262" t="s">
        <v>40</v>
      </c>
      <c r="F6262" t="s">
        <v>77</v>
      </c>
      <c r="G6262">
        <v>162.9</v>
      </c>
      <c r="H6262" s="9">
        <v>-72</v>
      </c>
      <c r="I6262"/>
    </row>
    <row r="6263" spans="1:9" x14ac:dyDescent="0.3">
      <c r="A6263" t="s">
        <v>3</v>
      </c>
      <c r="B6263" t="s">
        <v>12</v>
      </c>
      <c r="C6263" t="s">
        <v>94</v>
      </c>
      <c r="D6263" s="9" t="s">
        <v>85</v>
      </c>
      <c r="E6263" t="s">
        <v>41</v>
      </c>
      <c r="F6263" t="s">
        <v>79</v>
      </c>
      <c r="G6263">
        <v>205.7</v>
      </c>
      <c r="H6263" s="9">
        <v>-65.36</v>
      </c>
      <c r="I6263"/>
    </row>
    <row r="6264" spans="1:9" x14ac:dyDescent="0.3">
      <c r="A6264" t="s">
        <v>3</v>
      </c>
      <c r="B6264" t="s">
        <v>12</v>
      </c>
      <c r="C6264" t="s">
        <v>95</v>
      </c>
      <c r="D6264" s="9" t="s">
        <v>85</v>
      </c>
      <c r="E6264" t="s">
        <v>42</v>
      </c>
      <c r="F6264" t="s">
        <v>81</v>
      </c>
      <c r="G6264">
        <v>457</v>
      </c>
      <c r="H6264" s="9">
        <v>-26.21</v>
      </c>
      <c r="I6264"/>
    </row>
    <row r="6265" spans="1:9" x14ac:dyDescent="0.3">
      <c r="A6265" t="s">
        <v>3</v>
      </c>
      <c r="B6265" t="s">
        <v>12</v>
      </c>
      <c r="C6265" t="s">
        <v>96</v>
      </c>
      <c r="D6265" s="9" t="s">
        <v>85</v>
      </c>
      <c r="E6265" t="s">
        <v>43</v>
      </c>
      <c r="F6265" t="s">
        <v>83</v>
      </c>
      <c r="G6265">
        <v>575</v>
      </c>
      <c r="H6265" s="9">
        <v>-15.32</v>
      </c>
      <c r="I6265"/>
    </row>
    <row r="6266" spans="1:9" x14ac:dyDescent="0.3">
      <c r="A6266" t="s">
        <v>3</v>
      </c>
      <c r="B6266" t="s">
        <v>12</v>
      </c>
      <c r="C6266" t="s">
        <v>97</v>
      </c>
      <c r="D6266" s="9" t="s">
        <v>98</v>
      </c>
      <c r="E6266" t="s">
        <v>32</v>
      </c>
      <c r="F6266" t="s">
        <v>61</v>
      </c>
      <c r="G6266">
        <v>500.2</v>
      </c>
      <c r="H6266" s="9">
        <v>-17.03</v>
      </c>
      <c r="I6266"/>
    </row>
    <row r="6267" spans="1:9" x14ac:dyDescent="0.3">
      <c r="A6267" t="s">
        <v>3</v>
      </c>
      <c r="B6267" t="s">
        <v>12</v>
      </c>
      <c r="C6267" t="s">
        <v>99</v>
      </c>
      <c r="D6267" s="9" t="s">
        <v>98</v>
      </c>
      <c r="E6267" t="s">
        <v>33</v>
      </c>
      <c r="F6267" t="s">
        <v>63</v>
      </c>
      <c r="G6267">
        <v>450.3</v>
      </c>
      <c r="H6267" s="9">
        <v>-19.760000000000002</v>
      </c>
      <c r="I6267"/>
    </row>
    <row r="6268" spans="1:9" x14ac:dyDescent="0.3">
      <c r="A6268" t="s">
        <v>3</v>
      </c>
      <c r="B6268" t="s">
        <v>12</v>
      </c>
      <c r="C6268" t="s">
        <v>100</v>
      </c>
      <c r="D6268" s="9" t="s">
        <v>98</v>
      </c>
      <c r="E6268" t="s">
        <v>34</v>
      </c>
      <c r="F6268" t="s">
        <v>65</v>
      </c>
      <c r="G6268">
        <v>589.9</v>
      </c>
      <c r="H6268" s="9">
        <v>63.5</v>
      </c>
      <c r="I6268"/>
    </row>
    <row r="6269" spans="1:9" x14ac:dyDescent="0.3">
      <c r="A6269" t="s">
        <v>3</v>
      </c>
      <c r="B6269" t="s">
        <v>12</v>
      </c>
      <c r="C6269" t="s">
        <v>101</v>
      </c>
      <c r="D6269" s="9" t="s">
        <v>98</v>
      </c>
      <c r="E6269" t="s">
        <v>35</v>
      </c>
      <c r="F6269" t="s">
        <v>67</v>
      </c>
      <c r="G6269">
        <v>585.29999999999995</v>
      </c>
      <c r="H6269" s="9">
        <v>330.37</v>
      </c>
      <c r="I6269"/>
    </row>
    <row r="6270" spans="1:9" x14ac:dyDescent="0.3">
      <c r="A6270" t="s">
        <v>3</v>
      </c>
      <c r="B6270" t="s">
        <v>12</v>
      </c>
      <c r="C6270" t="s">
        <v>102</v>
      </c>
      <c r="D6270" s="9" t="s">
        <v>98</v>
      </c>
      <c r="E6270" t="s">
        <v>36</v>
      </c>
      <c r="F6270" t="s">
        <v>69</v>
      </c>
      <c r="G6270">
        <v>555.1</v>
      </c>
      <c r="H6270" s="9">
        <v>200.38</v>
      </c>
      <c r="I6270"/>
    </row>
    <row r="6271" spans="1:9" x14ac:dyDescent="0.3">
      <c r="A6271" t="s">
        <v>3</v>
      </c>
      <c r="B6271" t="s">
        <v>12</v>
      </c>
      <c r="C6271" t="s">
        <v>103</v>
      </c>
      <c r="D6271" s="9" t="s">
        <v>98</v>
      </c>
      <c r="E6271" t="s">
        <v>37</v>
      </c>
      <c r="F6271" t="s">
        <v>71</v>
      </c>
      <c r="G6271">
        <v>450.8</v>
      </c>
      <c r="H6271" s="9">
        <v>46.41</v>
      </c>
      <c r="I6271"/>
    </row>
    <row r="6272" spans="1:9" x14ac:dyDescent="0.3">
      <c r="A6272" t="s">
        <v>3</v>
      </c>
      <c r="B6272" t="s">
        <v>12</v>
      </c>
      <c r="C6272" t="s">
        <v>104</v>
      </c>
      <c r="D6272" s="9" t="s">
        <v>98</v>
      </c>
      <c r="E6272" t="s">
        <v>38</v>
      </c>
      <c r="F6272" t="s">
        <v>73</v>
      </c>
      <c r="G6272">
        <v>465.7</v>
      </c>
      <c r="H6272" s="9">
        <v>99.02</v>
      </c>
      <c r="I6272"/>
    </row>
    <row r="6273" spans="1:9" x14ac:dyDescent="0.3">
      <c r="A6273" t="s">
        <v>3</v>
      </c>
      <c r="B6273" t="s">
        <v>12</v>
      </c>
      <c r="C6273" t="s">
        <v>105</v>
      </c>
      <c r="D6273" s="9" t="s">
        <v>98</v>
      </c>
      <c r="E6273" t="s">
        <v>39</v>
      </c>
      <c r="F6273" t="s">
        <v>75</v>
      </c>
      <c r="G6273">
        <v>362.4</v>
      </c>
      <c r="H6273" s="9">
        <v>165.3</v>
      </c>
      <c r="I6273"/>
    </row>
    <row r="6274" spans="1:9" x14ac:dyDescent="0.3">
      <c r="A6274" t="s">
        <v>3</v>
      </c>
      <c r="B6274" t="s">
        <v>12</v>
      </c>
      <c r="C6274" t="s">
        <v>106</v>
      </c>
      <c r="D6274" s="9" t="s">
        <v>98</v>
      </c>
      <c r="E6274" t="s">
        <v>40</v>
      </c>
      <c r="F6274" t="s">
        <v>77</v>
      </c>
      <c r="G6274">
        <v>306.3</v>
      </c>
      <c r="H6274" s="9">
        <v>88.03</v>
      </c>
      <c r="I6274"/>
    </row>
    <row r="6275" spans="1:9" x14ac:dyDescent="0.3">
      <c r="A6275" t="s">
        <v>3</v>
      </c>
      <c r="B6275" t="s">
        <v>12</v>
      </c>
      <c r="C6275" t="s">
        <v>107</v>
      </c>
      <c r="D6275" s="9" t="s">
        <v>98</v>
      </c>
      <c r="E6275" t="s">
        <v>41</v>
      </c>
      <c r="F6275" t="s">
        <v>79</v>
      </c>
      <c r="G6275">
        <v>410.6</v>
      </c>
      <c r="H6275" s="9">
        <v>99.61</v>
      </c>
      <c r="I6275"/>
    </row>
    <row r="6276" spans="1:9" x14ac:dyDescent="0.3">
      <c r="A6276" t="s">
        <v>3</v>
      </c>
      <c r="B6276" t="s">
        <v>12</v>
      </c>
      <c r="C6276" t="s">
        <v>108</v>
      </c>
      <c r="D6276" s="9" t="s">
        <v>98</v>
      </c>
      <c r="E6276" t="s">
        <v>42</v>
      </c>
      <c r="F6276" t="s">
        <v>81</v>
      </c>
      <c r="G6276">
        <v>611.5</v>
      </c>
      <c r="H6276" s="9">
        <v>33.81</v>
      </c>
      <c r="I6276"/>
    </row>
    <row r="6277" spans="1:9" x14ac:dyDescent="0.3">
      <c r="A6277" t="s">
        <v>3</v>
      </c>
      <c r="B6277" t="s">
        <v>12</v>
      </c>
      <c r="C6277" t="s">
        <v>109</v>
      </c>
      <c r="D6277" s="9" t="s">
        <v>98</v>
      </c>
      <c r="E6277" t="s">
        <v>43</v>
      </c>
      <c r="F6277" t="s">
        <v>83</v>
      </c>
      <c r="G6277">
        <v>676</v>
      </c>
      <c r="H6277" s="9">
        <v>17.57</v>
      </c>
      <c r="I6277"/>
    </row>
    <row r="6278" spans="1:9" x14ac:dyDescent="0.3">
      <c r="A6278" t="s">
        <v>3</v>
      </c>
      <c r="B6278" t="s">
        <v>12</v>
      </c>
      <c r="C6278" t="s">
        <v>110</v>
      </c>
      <c r="D6278" s="9" t="s">
        <v>111</v>
      </c>
      <c r="E6278" t="s">
        <v>32</v>
      </c>
      <c r="F6278" t="s">
        <v>61</v>
      </c>
      <c r="G6278">
        <v>561.29999999999995</v>
      </c>
      <c r="H6278" s="9">
        <v>12.22</v>
      </c>
      <c r="I6278"/>
    </row>
    <row r="6279" spans="1:9" x14ac:dyDescent="0.3">
      <c r="A6279" t="s">
        <v>3</v>
      </c>
      <c r="B6279" t="s">
        <v>12</v>
      </c>
      <c r="C6279" t="s">
        <v>112</v>
      </c>
      <c r="D6279" s="9" t="s">
        <v>111</v>
      </c>
      <c r="E6279" t="s">
        <v>33</v>
      </c>
      <c r="F6279" t="s">
        <v>63</v>
      </c>
      <c r="G6279">
        <v>627.6</v>
      </c>
      <c r="H6279" s="9">
        <v>39.369999999999997</v>
      </c>
      <c r="I6279"/>
    </row>
    <row r="6280" spans="1:9" x14ac:dyDescent="0.3">
      <c r="A6280" t="s">
        <v>3</v>
      </c>
      <c r="B6280" t="s">
        <v>12</v>
      </c>
      <c r="C6280" t="s">
        <v>113</v>
      </c>
      <c r="D6280" s="9" t="s">
        <v>111</v>
      </c>
      <c r="E6280" t="s">
        <v>34</v>
      </c>
      <c r="F6280" t="s">
        <v>65</v>
      </c>
      <c r="G6280">
        <v>730.3</v>
      </c>
      <c r="H6280" s="9">
        <v>23.8</v>
      </c>
      <c r="I6280"/>
    </row>
    <row r="6281" spans="1:9" x14ac:dyDescent="0.3">
      <c r="A6281" t="s">
        <v>3</v>
      </c>
      <c r="B6281" t="s">
        <v>12</v>
      </c>
      <c r="C6281" t="s">
        <v>114</v>
      </c>
      <c r="D6281" s="9" t="s">
        <v>111</v>
      </c>
      <c r="E6281" t="s">
        <v>35</v>
      </c>
      <c r="F6281" t="s">
        <v>67</v>
      </c>
      <c r="G6281">
        <v>722.9</v>
      </c>
      <c r="H6281" s="9">
        <v>23.51</v>
      </c>
      <c r="I6281"/>
    </row>
    <row r="6282" spans="1:9" x14ac:dyDescent="0.3">
      <c r="A6282" t="s">
        <v>3</v>
      </c>
      <c r="B6282" t="s">
        <v>12</v>
      </c>
      <c r="C6282" t="s">
        <v>115</v>
      </c>
      <c r="D6282" s="9" t="s">
        <v>111</v>
      </c>
      <c r="E6282" t="s">
        <v>36</v>
      </c>
      <c r="F6282" t="s">
        <v>69</v>
      </c>
      <c r="G6282">
        <v>744.6</v>
      </c>
      <c r="H6282" s="9">
        <v>34.14</v>
      </c>
      <c r="I6282"/>
    </row>
    <row r="6283" spans="1:9" x14ac:dyDescent="0.3">
      <c r="A6283" t="s">
        <v>3</v>
      </c>
      <c r="B6283" t="s">
        <v>12</v>
      </c>
      <c r="C6283" t="s">
        <v>116</v>
      </c>
      <c r="D6283" s="9" t="s">
        <v>111</v>
      </c>
      <c r="E6283" t="s">
        <v>37</v>
      </c>
      <c r="F6283" t="s">
        <v>71</v>
      </c>
      <c r="G6283">
        <v>716.1</v>
      </c>
      <c r="H6283" s="9">
        <v>58.85</v>
      </c>
      <c r="I6283"/>
    </row>
    <row r="6284" spans="1:9" x14ac:dyDescent="0.3">
      <c r="A6284" t="s">
        <v>3</v>
      </c>
      <c r="B6284" t="s">
        <v>12</v>
      </c>
      <c r="C6284" t="s">
        <v>117</v>
      </c>
      <c r="D6284" s="9" t="s">
        <v>111</v>
      </c>
      <c r="E6284" t="s">
        <v>38</v>
      </c>
      <c r="F6284" t="s">
        <v>73</v>
      </c>
      <c r="G6284">
        <v>761.9</v>
      </c>
      <c r="H6284" s="9">
        <v>63.6</v>
      </c>
      <c r="I6284"/>
    </row>
    <row r="6285" spans="1:9" x14ac:dyDescent="0.3">
      <c r="A6285" t="s">
        <v>3</v>
      </c>
      <c r="B6285" t="s">
        <v>12</v>
      </c>
      <c r="C6285" t="s">
        <v>118</v>
      </c>
      <c r="D6285" s="9" t="s">
        <v>111</v>
      </c>
      <c r="E6285" t="s">
        <v>39</v>
      </c>
      <c r="F6285" t="s">
        <v>75</v>
      </c>
      <c r="G6285">
        <v>776.3</v>
      </c>
      <c r="H6285" s="9">
        <v>114.21</v>
      </c>
      <c r="I6285"/>
    </row>
    <row r="6286" spans="1:9" x14ac:dyDescent="0.3">
      <c r="A6286" t="s">
        <v>3</v>
      </c>
      <c r="B6286" t="s">
        <v>12</v>
      </c>
      <c r="C6286" t="s">
        <v>119</v>
      </c>
      <c r="D6286" s="9" t="s">
        <v>111</v>
      </c>
      <c r="E6286" t="s">
        <v>40</v>
      </c>
      <c r="F6286" t="s">
        <v>77</v>
      </c>
      <c r="G6286">
        <v>791.4</v>
      </c>
      <c r="H6286" s="9">
        <v>158.37</v>
      </c>
      <c r="I6286"/>
    </row>
    <row r="6287" spans="1:9" x14ac:dyDescent="0.3">
      <c r="A6287" t="s">
        <v>3</v>
      </c>
      <c r="B6287" t="s">
        <v>12</v>
      </c>
      <c r="C6287" t="s">
        <v>120</v>
      </c>
      <c r="D6287" s="9" t="s">
        <v>111</v>
      </c>
      <c r="E6287" t="s">
        <v>41</v>
      </c>
      <c r="F6287" t="s">
        <v>79</v>
      </c>
      <c r="G6287">
        <v>802.3</v>
      </c>
      <c r="H6287" s="9">
        <v>95.4</v>
      </c>
      <c r="I6287"/>
    </row>
    <row r="6288" spans="1:9" x14ac:dyDescent="0.3">
      <c r="A6288" t="s">
        <v>3</v>
      </c>
      <c r="B6288" t="s">
        <v>12</v>
      </c>
      <c r="C6288" t="s">
        <v>121</v>
      </c>
      <c r="D6288" s="9" t="s">
        <v>111</v>
      </c>
      <c r="E6288" t="s">
        <v>42</v>
      </c>
      <c r="F6288" t="s">
        <v>81</v>
      </c>
      <c r="G6288">
        <v>822.8</v>
      </c>
      <c r="H6288" s="9">
        <v>34.549999999999997</v>
      </c>
      <c r="I6288"/>
    </row>
    <row r="6289" spans="1:9" x14ac:dyDescent="0.3">
      <c r="A6289" t="s">
        <v>3</v>
      </c>
      <c r="B6289" t="s">
        <v>12</v>
      </c>
      <c r="C6289" t="s">
        <v>122</v>
      </c>
      <c r="D6289" s="9" t="s">
        <v>111</v>
      </c>
      <c r="E6289" t="s">
        <v>43</v>
      </c>
      <c r="F6289" t="s">
        <v>83</v>
      </c>
      <c r="G6289">
        <v>928.1</v>
      </c>
      <c r="H6289" s="9">
        <v>37.29</v>
      </c>
      <c r="I6289"/>
    </row>
    <row r="6290" spans="1:9" x14ac:dyDescent="0.3">
      <c r="A6290" t="s">
        <v>3</v>
      </c>
      <c r="B6290" t="s">
        <v>12</v>
      </c>
      <c r="C6290" t="s">
        <v>123</v>
      </c>
      <c r="D6290" s="9" t="s">
        <v>124</v>
      </c>
      <c r="E6290" t="s">
        <v>32</v>
      </c>
      <c r="F6290" t="s">
        <v>61</v>
      </c>
      <c r="G6290">
        <v>833</v>
      </c>
      <c r="H6290" s="9">
        <v>48.41</v>
      </c>
      <c r="I6290"/>
    </row>
    <row r="6291" spans="1:9" x14ac:dyDescent="0.3">
      <c r="A6291" t="s">
        <v>3</v>
      </c>
      <c r="B6291" t="s">
        <v>12</v>
      </c>
      <c r="C6291" t="s">
        <v>125</v>
      </c>
      <c r="D6291" s="9" t="s">
        <v>124</v>
      </c>
      <c r="E6291" t="s">
        <v>33</v>
      </c>
      <c r="F6291" t="s">
        <v>63</v>
      </c>
      <c r="G6291">
        <v>782.2</v>
      </c>
      <c r="H6291" s="9">
        <v>24.63</v>
      </c>
      <c r="I6291"/>
    </row>
    <row r="6292" spans="1:9" x14ac:dyDescent="0.3">
      <c r="A6292" t="s">
        <v>3</v>
      </c>
      <c r="B6292" t="s">
        <v>12</v>
      </c>
      <c r="C6292" t="s">
        <v>126</v>
      </c>
      <c r="D6292" s="9" t="s">
        <v>124</v>
      </c>
      <c r="E6292" t="s">
        <v>34</v>
      </c>
      <c r="F6292" t="s">
        <v>65</v>
      </c>
      <c r="G6292">
        <v>932.4</v>
      </c>
      <c r="H6292" s="9">
        <v>27.67</v>
      </c>
      <c r="I6292"/>
    </row>
    <row r="6293" spans="1:9" x14ac:dyDescent="0.3">
      <c r="A6293" t="s">
        <v>3</v>
      </c>
      <c r="B6293" t="s">
        <v>12</v>
      </c>
      <c r="C6293" t="s">
        <v>127</v>
      </c>
      <c r="D6293" s="9" t="s">
        <v>124</v>
      </c>
      <c r="E6293" t="s">
        <v>35</v>
      </c>
      <c r="F6293" t="s">
        <v>67</v>
      </c>
      <c r="G6293">
        <v>884.5</v>
      </c>
      <c r="H6293" s="9">
        <v>22.35</v>
      </c>
      <c r="I6293"/>
    </row>
    <row r="6294" spans="1:9" x14ac:dyDescent="0.3">
      <c r="A6294" t="s">
        <v>3</v>
      </c>
      <c r="B6294" t="s">
        <v>12</v>
      </c>
      <c r="C6294" t="s">
        <v>128</v>
      </c>
      <c r="D6294" s="9" t="s">
        <v>124</v>
      </c>
      <c r="E6294" t="s">
        <v>36</v>
      </c>
      <c r="F6294" t="s">
        <v>69</v>
      </c>
      <c r="G6294">
        <v>894</v>
      </c>
      <c r="H6294" s="9">
        <v>20.059999999999999</v>
      </c>
      <c r="I6294"/>
    </row>
    <row r="6295" spans="1:9" x14ac:dyDescent="0.3">
      <c r="A6295" t="s">
        <v>3</v>
      </c>
      <c r="B6295" t="s">
        <v>12</v>
      </c>
      <c r="C6295" t="s">
        <v>129</v>
      </c>
      <c r="D6295" s="9" t="s">
        <v>124</v>
      </c>
      <c r="E6295" t="s">
        <v>37</v>
      </c>
      <c r="F6295" t="s">
        <v>71</v>
      </c>
      <c r="G6295">
        <v>851.2</v>
      </c>
      <c r="H6295" s="9">
        <v>18.87</v>
      </c>
      <c r="I6295"/>
    </row>
    <row r="6296" spans="1:9" x14ac:dyDescent="0.3">
      <c r="A6296" t="s">
        <v>3</v>
      </c>
      <c r="B6296" t="s">
        <v>12</v>
      </c>
      <c r="C6296" t="s">
        <v>130</v>
      </c>
      <c r="D6296" s="9" t="s">
        <v>124</v>
      </c>
      <c r="E6296" t="s">
        <v>38</v>
      </c>
      <c r="F6296" t="s">
        <v>73</v>
      </c>
      <c r="G6296">
        <v>866.2</v>
      </c>
      <c r="H6296" s="9">
        <v>13.69</v>
      </c>
      <c r="I6296"/>
    </row>
    <row r="6297" spans="1:9" x14ac:dyDescent="0.3">
      <c r="A6297" t="s">
        <v>3</v>
      </c>
      <c r="B6297" t="s">
        <v>12</v>
      </c>
      <c r="C6297" t="s">
        <v>131</v>
      </c>
      <c r="D6297" s="9" t="s">
        <v>124</v>
      </c>
      <c r="E6297" t="s">
        <v>39</v>
      </c>
      <c r="F6297" t="s">
        <v>75</v>
      </c>
      <c r="G6297">
        <v>911.2</v>
      </c>
      <c r="H6297" s="9">
        <v>17.38</v>
      </c>
      <c r="I6297"/>
    </row>
    <row r="6298" spans="1:9" x14ac:dyDescent="0.3">
      <c r="A6298" t="s">
        <v>3</v>
      </c>
      <c r="B6298" t="s">
        <v>12</v>
      </c>
      <c r="C6298" t="s">
        <v>132</v>
      </c>
      <c r="D6298" s="9" t="s">
        <v>124</v>
      </c>
      <c r="E6298" t="s">
        <v>40</v>
      </c>
      <c r="F6298" t="s">
        <v>77</v>
      </c>
      <c r="G6298">
        <v>899.4</v>
      </c>
      <c r="H6298" s="9">
        <v>13.65</v>
      </c>
      <c r="I6298"/>
    </row>
    <row r="6299" spans="1:9" x14ac:dyDescent="0.3">
      <c r="A6299" t="s">
        <v>3</v>
      </c>
      <c r="B6299" t="s">
        <v>12</v>
      </c>
      <c r="C6299" t="s">
        <v>133</v>
      </c>
      <c r="D6299" s="9" t="s">
        <v>124</v>
      </c>
      <c r="E6299" t="s">
        <v>41</v>
      </c>
      <c r="F6299" t="s">
        <v>79</v>
      </c>
      <c r="G6299">
        <v>919.4</v>
      </c>
      <c r="H6299" s="9">
        <v>14.6</v>
      </c>
      <c r="I6299"/>
    </row>
    <row r="6300" spans="1:9" x14ac:dyDescent="0.3">
      <c r="A6300" t="s">
        <v>3</v>
      </c>
      <c r="B6300" t="s">
        <v>12</v>
      </c>
      <c r="C6300" t="s">
        <v>134</v>
      </c>
      <c r="D6300" s="9" t="s">
        <v>124</v>
      </c>
      <c r="E6300" t="s">
        <v>42</v>
      </c>
      <c r="F6300" t="s">
        <v>81</v>
      </c>
      <c r="G6300">
        <v>929.2</v>
      </c>
      <c r="H6300" s="9">
        <v>12.93</v>
      </c>
      <c r="I6300"/>
    </row>
    <row r="6301" spans="1:9" x14ac:dyDescent="0.3">
      <c r="A6301" t="s">
        <v>3</v>
      </c>
      <c r="B6301" t="s">
        <v>12</v>
      </c>
      <c r="C6301" t="s">
        <v>135</v>
      </c>
      <c r="D6301" s="9" t="s">
        <v>124</v>
      </c>
      <c r="E6301" t="s">
        <v>43</v>
      </c>
      <c r="F6301" t="s">
        <v>83</v>
      </c>
      <c r="G6301">
        <v>1005</v>
      </c>
      <c r="H6301" s="9">
        <v>8.2899999999999991</v>
      </c>
      <c r="I6301"/>
    </row>
    <row r="6302" spans="1:9" x14ac:dyDescent="0.3">
      <c r="A6302" t="s">
        <v>3</v>
      </c>
      <c r="B6302" t="s">
        <v>12</v>
      </c>
      <c r="C6302" t="s">
        <v>136</v>
      </c>
      <c r="D6302" s="9" t="s">
        <v>137</v>
      </c>
      <c r="E6302" t="s">
        <v>32</v>
      </c>
      <c r="F6302" t="s">
        <v>61</v>
      </c>
      <c r="G6302">
        <v>915.6</v>
      </c>
      <c r="H6302" s="9">
        <v>9.92</v>
      </c>
      <c r="I6302"/>
    </row>
    <row r="6303" spans="1:9" x14ac:dyDescent="0.3">
      <c r="A6303" t="s">
        <v>3</v>
      </c>
      <c r="B6303" t="s">
        <v>12</v>
      </c>
      <c r="C6303" t="s">
        <v>138</v>
      </c>
      <c r="D6303" s="9" t="s">
        <v>137</v>
      </c>
      <c r="E6303" t="s">
        <v>33</v>
      </c>
      <c r="F6303" t="s">
        <v>63</v>
      </c>
      <c r="G6303">
        <v>851.2</v>
      </c>
      <c r="H6303" s="9">
        <v>8.82</v>
      </c>
      <c r="I6303"/>
    </row>
    <row r="6304" spans="1:9" x14ac:dyDescent="0.3">
      <c r="A6304" t="s">
        <v>3</v>
      </c>
      <c r="B6304" t="s">
        <v>12</v>
      </c>
      <c r="C6304" t="s">
        <v>139</v>
      </c>
      <c r="D6304" s="9" t="s">
        <v>137</v>
      </c>
      <c r="E6304" t="s">
        <v>34</v>
      </c>
      <c r="F6304" t="s">
        <v>65</v>
      </c>
      <c r="G6304">
        <v>964.1</v>
      </c>
      <c r="H6304" s="9">
        <v>3.4</v>
      </c>
      <c r="I6304"/>
    </row>
    <row r="6305" spans="1:9" x14ac:dyDescent="0.3">
      <c r="A6305" t="s">
        <v>3</v>
      </c>
      <c r="B6305" t="s">
        <v>12</v>
      </c>
      <c r="C6305" t="s">
        <v>140</v>
      </c>
      <c r="D6305" s="9" t="s">
        <v>137</v>
      </c>
      <c r="E6305" t="s">
        <v>35</v>
      </c>
      <c r="F6305" t="s">
        <v>67</v>
      </c>
      <c r="G6305">
        <v>932.7</v>
      </c>
      <c r="H6305" s="9">
        <v>5.45</v>
      </c>
      <c r="I6305"/>
    </row>
    <row r="6306" spans="1:9" x14ac:dyDescent="0.3">
      <c r="A6306" t="s">
        <v>3</v>
      </c>
      <c r="B6306" t="s">
        <v>12</v>
      </c>
      <c r="C6306" t="s">
        <v>141</v>
      </c>
      <c r="D6306" s="9" t="s">
        <v>137</v>
      </c>
      <c r="E6306" t="s">
        <v>36</v>
      </c>
      <c r="F6306" t="s">
        <v>69</v>
      </c>
      <c r="G6306">
        <v>939.2</v>
      </c>
      <c r="H6306" s="9">
        <v>5.0599999999999996</v>
      </c>
      <c r="I6306"/>
    </row>
    <row r="6307" spans="1:9" x14ac:dyDescent="0.3">
      <c r="A6307" t="s">
        <v>3</v>
      </c>
      <c r="B6307" t="s">
        <v>12</v>
      </c>
      <c r="C6307" t="s">
        <v>142</v>
      </c>
      <c r="D6307" s="9" t="s">
        <v>137</v>
      </c>
      <c r="E6307" t="s">
        <v>37</v>
      </c>
      <c r="F6307" t="s">
        <v>71</v>
      </c>
      <c r="G6307">
        <v>887.2</v>
      </c>
      <c r="H6307" s="9">
        <v>4.2300000000000004</v>
      </c>
      <c r="I6307"/>
    </row>
    <row r="6308" spans="1:9" x14ac:dyDescent="0.3">
      <c r="A6308" t="s">
        <v>3</v>
      </c>
      <c r="B6308" t="s">
        <v>12</v>
      </c>
      <c r="C6308" t="s">
        <v>143</v>
      </c>
      <c r="D6308" s="9" t="s">
        <v>137</v>
      </c>
      <c r="E6308" t="s">
        <v>38</v>
      </c>
      <c r="F6308" t="s">
        <v>73</v>
      </c>
      <c r="G6308">
        <v>913.9</v>
      </c>
      <c r="H6308" s="9">
        <v>5.51</v>
      </c>
      <c r="I6308"/>
    </row>
    <row r="6309" spans="1:9" x14ac:dyDescent="0.3">
      <c r="A6309" t="s">
        <v>3</v>
      </c>
      <c r="B6309" t="s">
        <v>12</v>
      </c>
      <c r="C6309" t="s">
        <v>144</v>
      </c>
      <c r="D6309" s="9" t="s">
        <v>137</v>
      </c>
      <c r="E6309" t="s">
        <v>39</v>
      </c>
      <c r="F6309" t="s">
        <v>75</v>
      </c>
      <c r="G6309">
        <v>944.1</v>
      </c>
      <c r="H6309" s="9">
        <v>3.61</v>
      </c>
      <c r="I6309"/>
    </row>
    <row r="6310" spans="1:9" x14ac:dyDescent="0.3">
      <c r="A6310" t="s">
        <v>3</v>
      </c>
      <c r="B6310" t="s">
        <v>12</v>
      </c>
      <c r="C6310" t="s">
        <v>145</v>
      </c>
      <c r="D6310" s="9" t="s">
        <v>137</v>
      </c>
      <c r="E6310" t="s">
        <v>40</v>
      </c>
      <c r="F6310" t="s">
        <v>77</v>
      </c>
      <c r="G6310">
        <v>922</v>
      </c>
      <c r="H6310" s="9">
        <v>2.5099999999999998</v>
      </c>
      <c r="I6310"/>
    </row>
    <row r="6311" spans="1:9" x14ac:dyDescent="0.3">
      <c r="A6311" t="s">
        <v>3</v>
      </c>
      <c r="B6311" t="s">
        <v>12</v>
      </c>
      <c r="C6311" t="s">
        <v>146</v>
      </c>
      <c r="D6311" s="9" t="s">
        <v>137</v>
      </c>
      <c r="E6311" t="s">
        <v>41</v>
      </c>
      <c r="F6311" t="s">
        <v>79</v>
      </c>
      <c r="G6311">
        <v>962.5</v>
      </c>
      <c r="H6311" s="9">
        <v>4.6900000000000004</v>
      </c>
      <c r="I6311"/>
    </row>
    <row r="6312" spans="1:9" x14ac:dyDescent="0.3">
      <c r="A6312" t="s">
        <v>3</v>
      </c>
      <c r="B6312" t="s">
        <v>12</v>
      </c>
      <c r="C6312" t="s">
        <v>147</v>
      </c>
      <c r="D6312" s="9" t="s">
        <v>137</v>
      </c>
      <c r="E6312" t="s">
        <v>42</v>
      </c>
      <c r="F6312" t="s">
        <v>81</v>
      </c>
      <c r="G6312">
        <v>980.8</v>
      </c>
      <c r="H6312" s="9">
        <v>5.55</v>
      </c>
      <c r="I6312"/>
    </row>
    <row r="6313" spans="1:9" x14ac:dyDescent="0.3">
      <c r="A6313" t="s">
        <v>3</v>
      </c>
      <c r="B6313" t="s">
        <v>12</v>
      </c>
      <c r="C6313" t="s">
        <v>148</v>
      </c>
      <c r="D6313" s="9" t="s">
        <v>137</v>
      </c>
      <c r="E6313" t="s">
        <v>43</v>
      </c>
      <c r="F6313" t="s">
        <v>83</v>
      </c>
      <c r="G6313">
        <v>1093.7</v>
      </c>
      <c r="H6313" s="9">
        <v>8.83</v>
      </c>
      <c r="I6313"/>
    </row>
    <row r="6314" spans="1:9" x14ac:dyDescent="0.3">
      <c r="A6314" t="s">
        <v>3</v>
      </c>
      <c r="B6314" t="s">
        <v>12</v>
      </c>
      <c r="C6314" t="s">
        <v>149</v>
      </c>
      <c r="D6314" s="9" t="s">
        <v>150</v>
      </c>
      <c r="E6314" t="s">
        <v>32</v>
      </c>
      <c r="F6314" t="s">
        <v>61</v>
      </c>
      <c r="G6314">
        <v>987.3</v>
      </c>
      <c r="H6314" s="9">
        <v>7.83</v>
      </c>
      <c r="I6314"/>
    </row>
    <row r="6315" spans="1:9" x14ac:dyDescent="0.3">
      <c r="A6315" t="s">
        <v>3</v>
      </c>
      <c r="B6315" t="s">
        <v>12</v>
      </c>
      <c r="C6315" t="s">
        <v>151</v>
      </c>
      <c r="D6315" s="9" t="s">
        <v>150</v>
      </c>
      <c r="E6315" t="s">
        <v>33</v>
      </c>
      <c r="F6315" t="s">
        <v>63</v>
      </c>
      <c r="G6315">
        <v>871.9</v>
      </c>
      <c r="H6315" s="9">
        <v>2.4300000000000002</v>
      </c>
      <c r="I6315"/>
    </row>
    <row r="6316" spans="1:9" x14ac:dyDescent="0.3">
      <c r="A6316" t="s">
        <v>3</v>
      </c>
      <c r="B6316" t="s">
        <v>12</v>
      </c>
      <c r="C6316" t="s">
        <v>152</v>
      </c>
      <c r="D6316" s="9" t="s">
        <v>150</v>
      </c>
      <c r="E6316" t="s">
        <v>34</v>
      </c>
      <c r="F6316" t="s">
        <v>65</v>
      </c>
      <c r="G6316">
        <v>1001.4</v>
      </c>
      <c r="H6316" s="9">
        <v>3.87</v>
      </c>
      <c r="I6316"/>
    </row>
    <row r="6317" spans="1:9" x14ac:dyDescent="0.3">
      <c r="A6317" t="s">
        <v>3</v>
      </c>
      <c r="B6317" t="s">
        <v>12</v>
      </c>
      <c r="C6317" t="s">
        <v>153</v>
      </c>
      <c r="D6317" s="9" t="s">
        <v>150</v>
      </c>
      <c r="E6317" t="s">
        <v>35</v>
      </c>
      <c r="F6317" t="s">
        <v>67</v>
      </c>
      <c r="G6317">
        <v>970.5</v>
      </c>
      <c r="H6317" s="9">
        <v>4.05</v>
      </c>
      <c r="I6317"/>
    </row>
    <row r="6318" spans="1:9" x14ac:dyDescent="0.3">
      <c r="A6318" t="s">
        <v>3</v>
      </c>
      <c r="B6318" t="s">
        <v>12</v>
      </c>
      <c r="C6318" t="s">
        <v>154</v>
      </c>
      <c r="D6318" s="9" t="s">
        <v>150</v>
      </c>
      <c r="E6318" t="s">
        <v>36</v>
      </c>
      <c r="F6318" t="s">
        <v>69</v>
      </c>
      <c r="G6318">
        <v>977.9</v>
      </c>
      <c r="H6318" s="9">
        <v>4.12</v>
      </c>
      <c r="I6318"/>
    </row>
    <row r="6319" spans="1:9" x14ac:dyDescent="0.3">
      <c r="A6319" t="s">
        <v>3</v>
      </c>
      <c r="B6319" t="s">
        <v>12</v>
      </c>
      <c r="C6319" t="s">
        <v>155</v>
      </c>
      <c r="D6319" s="9" t="s">
        <v>150</v>
      </c>
      <c r="E6319" t="s">
        <v>37</v>
      </c>
      <c r="F6319" t="s">
        <v>71</v>
      </c>
      <c r="G6319">
        <v>905</v>
      </c>
      <c r="H6319" s="9">
        <v>2.0099999999999998</v>
      </c>
      <c r="I6319"/>
    </row>
    <row r="6320" spans="1:9" x14ac:dyDescent="0.3">
      <c r="A6320" t="s">
        <v>3</v>
      </c>
      <c r="B6320" t="s">
        <v>19</v>
      </c>
      <c r="C6320" t="s">
        <v>59</v>
      </c>
      <c r="D6320" s="9" t="s">
        <v>60</v>
      </c>
      <c r="E6320" t="s">
        <v>32</v>
      </c>
      <c r="F6320" t="s">
        <v>61</v>
      </c>
      <c r="G6320">
        <v>397.5</v>
      </c>
      <c r="I6320"/>
    </row>
    <row r="6321" spans="1:9" x14ac:dyDescent="0.3">
      <c r="A6321" t="s">
        <v>3</v>
      </c>
      <c r="B6321" t="s">
        <v>19</v>
      </c>
      <c r="C6321" t="s">
        <v>62</v>
      </c>
      <c r="D6321" s="9" t="s">
        <v>60</v>
      </c>
      <c r="E6321" t="s">
        <v>33</v>
      </c>
      <c r="F6321" t="s">
        <v>63</v>
      </c>
      <c r="G6321">
        <v>334.8</v>
      </c>
      <c r="I6321"/>
    </row>
    <row r="6322" spans="1:9" x14ac:dyDescent="0.3">
      <c r="A6322" t="s">
        <v>3</v>
      </c>
      <c r="B6322" t="s">
        <v>19</v>
      </c>
      <c r="C6322" t="s">
        <v>64</v>
      </c>
      <c r="D6322" s="9" t="s">
        <v>60</v>
      </c>
      <c r="E6322" t="s">
        <v>34</v>
      </c>
      <c r="F6322" t="s">
        <v>65</v>
      </c>
      <c r="G6322">
        <v>417.5</v>
      </c>
      <c r="I6322"/>
    </row>
    <row r="6323" spans="1:9" x14ac:dyDescent="0.3">
      <c r="A6323" t="s">
        <v>3</v>
      </c>
      <c r="B6323" t="s">
        <v>19</v>
      </c>
      <c r="C6323" t="s">
        <v>66</v>
      </c>
      <c r="D6323" s="9" t="s">
        <v>60</v>
      </c>
      <c r="E6323" t="s">
        <v>35</v>
      </c>
      <c r="F6323" t="s">
        <v>67</v>
      </c>
      <c r="G6323">
        <v>434.9</v>
      </c>
      <c r="I6323"/>
    </row>
    <row r="6324" spans="1:9" x14ac:dyDescent="0.3">
      <c r="A6324" t="s">
        <v>3</v>
      </c>
      <c r="B6324" t="s">
        <v>19</v>
      </c>
      <c r="C6324" t="s">
        <v>68</v>
      </c>
      <c r="D6324" s="9" t="s">
        <v>60</v>
      </c>
      <c r="E6324" t="s">
        <v>36</v>
      </c>
      <c r="F6324" t="s">
        <v>69</v>
      </c>
      <c r="G6324">
        <v>448.2</v>
      </c>
      <c r="I6324"/>
    </row>
    <row r="6325" spans="1:9" x14ac:dyDescent="0.3">
      <c r="A6325" t="s">
        <v>3</v>
      </c>
      <c r="B6325" t="s">
        <v>19</v>
      </c>
      <c r="C6325" t="s">
        <v>70</v>
      </c>
      <c r="D6325" s="9" t="s">
        <v>60</v>
      </c>
      <c r="E6325" t="s">
        <v>37</v>
      </c>
      <c r="F6325" t="s">
        <v>71</v>
      </c>
      <c r="G6325">
        <v>450.6</v>
      </c>
      <c r="I6325"/>
    </row>
    <row r="6326" spans="1:9" x14ac:dyDescent="0.3">
      <c r="A6326" t="s">
        <v>3</v>
      </c>
      <c r="B6326" t="s">
        <v>19</v>
      </c>
      <c r="C6326" t="s">
        <v>72</v>
      </c>
      <c r="D6326" s="9" t="s">
        <v>60</v>
      </c>
      <c r="E6326" t="s">
        <v>38</v>
      </c>
      <c r="F6326" t="s">
        <v>73</v>
      </c>
      <c r="G6326">
        <v>402.7</v>
      </c>
      <c r="I6326"/>
    </row>
    <row r="6327" spans="1:9" x14ac:dyDescent="0.3">
      <c r="A6327" t="s">
        <v>3</v>
      </c>
      <c r="B6327" t="s">
        <v>19</v>
      </c>
      <c r="C6327" t="s">
        <v>74</v>
      </c>
      <c r="D6327" s="9" t="s">
        <v>60</v>
      </c>
      <c r="E6327" t="s">
        <v>39</v>
      </c>
      <c r="F6327" t="s">
        <v>75</v>
      </c>
      <c r="G6327">
        <v>410.1</v>
      </c>
      <c r="I6327"/>
    </row>
    <row r="6328" spans="1:9" x14ac:dyDescent="0.3">
      <c r="A6328" t="s">
        <v>3</v>
      </c>
      <c r="B6328" t="s">
        <v>19</v>
      </c>
      <c r="C6328" t="s">
        <v>76</v>
      </c>
      <c r="D6328" s="9" t="s">
        <v>60</v>
      </c>
      <c r="E6328" t="s">
        <v>40</v>
      </c>
      <c r="F6328" t="s">
        <v>77</v>
      </c>
      <c r="G6328">
        <v>395.1</v>
      </c>
      <c r="I6328"/>
    </row>
    <row r="6329" spans="1:9" x14ac:dyDescent="0.3">
      <c r="A6329" t="s">
        <v>3</v>
      </c>
      <c r="B6329" t="s">
        <v>19</v>
      </c>
      <c r="C6329" t="s">
        <v>78</v>
      </c>
      <c r="D6329" s="9" t="s">
        <v>60</v>
      </c>
      <c r="E6329" t="s">
        <v>41</v>
      </c>
      <c r="F6329" t="s">
        <v>79</v>
      </c>
      <c r="G6329">
        <v>428.9</v>
      </c>
      <c r="I6329"/>
    </row>
    <row r="6330" spans="1:9" x14ac:dyDescent="0.3">
      <c r="A6330" t="s">
        <v>3</v>
      </c>
      <c r="B6330" t="s">
        <v>19</v>
      </c>
      <c r="C6330" t="s">
        <v>80</v>
      </c>
      <c r="D6330" s="9" t="s">
        <v>60</v>
      </c>
      <c r="E6330" t="s">
        <v>42</v>
      </c>
      <c r="F6330" t="s">
        <v>81</v>
      </c>
      <c r="G6330">
        <v>492.6</v>
      </c>
      <c r="I6330"/>
    </row>
    <row r="6331" spans="1:9" x14ac:dyDescent="0.3">
      <c r="A6331" t="s">
        <v>3</v>
      </c>
      <c r="B6331" t="s">
        <v>19</v>
      </c>
      <c r="C6331" t="s">
        <v>82</v>
      </c>
      <c r="D6331" s="9" t="s">
        <v>60</v>
      </c>
      <c r="E6331" t="s">
        <v>43</v>
      </c>
      <c r="F6331" t="s">
        <v>83</v>
      </c>
      <c r="G6331">
        <v>689.5</v>
      </c>
      <c r="I6331"/>
    </row>
    <row r="6332" spans="1:9" x14ac:dyDescent="0.3">
      <c r="A6332" t="s">
        <v>3</v>
      </c>
      <c r="B6332" t="s">
        <v>19</v>
      </c>
      <c r="C6332" t="s">
        <v>84</v>
      </c>
      <c r="D6332" s="9" t="s">
        <v>85</v>
      </c>
      <c r="E6332" t="s">
        <v>32</v>
      </c>
      <c r="F6332" t="s">
        <v>61</v>
      </c>
      <c r="G6332">
        <v>412.7</v>
      </c>
      <c r="H6332" s="9">
        <v>3.82</v>
      </c>
      <c r="I6332"/>
    </row>
    <row r="6333" spans="1:9" x14ac:dyDescent="0.3">
      <c r="A6333" t="s">
        <v>3</v>
      </c>
      <c r="B6333" t="s">
        <v>19</v>
      </c>
      <c r="C6333" t="s">
        <v>86</v>
      </c>
      <c r="D6333" s="9" t="s">
        <v>85</v>
      </c>
      <c r="E6333" t="s">
        <v>33</v>
      </c>
      <c r="F6333" t="s">
        <v>63</v>
      </c>
      <c r="G6333">
        <v>355.9</v>
      </c>
      <c r="H6333" s="9">
        <v>6.3</v>
      </c>
      <c r="I6333"/>
    </row>
    <row r="6334" spans="1:9" x14ac:dyDescent="0.3">
      <c r="A6334" t="s">
        <v>3</v>
      </c>
      <c r="B6334" t="s">
        <v>19</v>
      </c>
      <c r="C6334" t="s">
        <v>87</v>
      </c>
      <c r="D6334" s="9" t="s">
        <v>85</v>
      </c>
      <c r="E6334" t="s">
        <v>34</v>
      </c>
      <c r="F6334" t="s">
        <v>65</v>
      </c>
      <c r="G6334">
        <v>273.60000000000002</v>
      </c>
      <c r="H6334" s="9">
        <v>-34.47</v>
      </c>
      <c r="I6334"/>
    </row>
    <row r="6335" spans="1:9" x14ac:dyDescent="0.3">
      <c r="A6335" t="s">
        <v>3</v>
      </c>
      <c r="B6335" t="s">
        <v>19</v>
      </c>
      <c r="C6335" t="s">
        <v>88</v>
      </c>
      <c r="D6335" s="9" t="s">
        <v>85</v>
      </c>
      <c r="E6335" t="s">
        <v>35</v>
      </c>
      <c r="F6335" t="s">
        <v>67</v>
      </c>
      <c r="G6335">
        <v>114.9</v>
      </c>
      <c r="H6335" s="9">
        <v>-73.58</v>
      </c>
      <c r="I6335"/>
    </row>
    <row r="6336" spans="1:9" x14ac:dyDescent="0.3">
      <c r="A6336" t="s">
        <v>3</v>
      </c>
      <c r="B6336" t="s">
        <v>19</v>
      </c>
      <c r="C6336" t="s">
        <v>89</v>
      </c>
      <c r="D6336" s="9" t="s">
        <v>85</v>
      </c>
      <c r="E6336" t="s">
        <v>36</v>
      </c>
      <c r="F6336" t="s">
        <v>69</v>
      </c>
      <c r="G6336">
        <v>307.8</v>
      </c>
      <c r="H6336" s="9">
        <v>-31.33</v>
      </c>
      <c r="I6336"/>
    </row>
    <row r="6337" spans="1:9" x14ac:dyDescent="0.3">
      <c r="A6337" t="s">
        <v>3</v>
      </c>
      <c r="B6337" t="s">
        <v>19</v>
      </c>
      <c r="C6337" t="s">
        <v>90</v>
      </c>
      <c r="D6337" s="9" t="s">
        <v>85</v>
      </c>
      <c r="E6337" t="s">
        <v>37</v>
      </c>
      <c r="F6337" t="s">
        <v>71</v>
      </c>
      <c r="G6337">
        <v>367.3</v>
      </c>
      <c r="H6337" s="9">
        <v>-18.489999999999998</v>
      </c>
      <c r="I6337"/>
    </row>
    <row r="6338" spans="1:9" x14ac:dyDescent="0.3">
      <c r="A6338" t="s">
        <v>3</v>
      </c>
      <c r="B6338" t="s">
        <v>19</v>
      </c>
      <c r="C6338" t="s">
        <v>91</v>
      </c>
      <c r="D6338" s="9" t="s">
        <v>85</v>
      </c>
      <c r="E6338" t="s">
        <v>38</v>
      </c>
      <c r="F6338" t="s">
        <v>73</v>
      </c>
      <c r="G6338">
        <v>267.60000000000002</v>
      </c>
      <c r="H6338" s="9">
        <v>-33.549999999999997</v>
      </c>
      <c r="I6338"/>
    </row>
    <row r="6339" spans="1:9" x14ac:dyDescent="0.3">
      <c r="A6339" t="s">
        <v>3</v>
      </c>
      <c r="B6339" t="s">
        <v>19</v>
      </c>
      <c r="C6339" t="s">
        <v>92</v>
      </c>
      <c r="D6339" s="9" t="s">
        <v>85</v>
      </c>
      <c r="E6339" t="s">
        <v>39</v>
      </c>
      <c r="F6339" t="s">
        <v>75</v>
      </c>
      <c r="G6339">
        <v>146.1</v>
      </c>
      <c r="H6339" s="9">
        <v>-64.37</v>
      </c>
      <c r="I6339"/>
    </row>
    <row r="6340" spans="1:9" x14ac:dyDescent="0.3">
      <c r="A6340" t="s">
        <v>3</v>
      </c>
      <c r="B6340" t="s">
        <v>19</v>
      </c>
      <c r="C6340" t="s">
        <v>93</v>
      </c>
      <c r="D6340" s="9" t="s">
        <v>85</v>
      </c>
      <c r="E6340" t="s">
        <v>40</v>
      </c>
      <c r="F6340" t="s">
        <v>77</v>
      </c>
      <c r="G6340">
        <v>142</v>
      </c>
      <c r="H6340" s="9">
        <v>-64.06</v>
      </c>
      <c r="I6340"/>
    </row>
    <row r="6341" spans="1:9" x14ac:dyDescent="0.3">
      <c r="A6341" t="s">
        <v>3</v>
      </c>
      <c r="B6341" t="s">
        <v>19</v>
      </c>
      <c r="C6341" t="s">
        <v>94</v>
      </c>
      <c r="D6341" s="9" t="s">
        <v>85</v>
      </c>
      <c r="E6341" t="s">
        <v>41</v>
      </c>
      <c r="F6341" t="s">
        <v>79</v>
      </c>
      <c r="G6341">
        <v>232.5</v>
      </c>
      <c r="H6341" s="9">
        <v>-45.79</v>
      </c>
      <c r="I6341"/>
    </row>
    <row r="6342" spans="1:9" x14ac:dyDescent="0.3">
      <c r="A6342" t="s">
        <v>3</v>
      </c>
      <c r="B6342" t="s">
        <v>19</v>
      </c>
      <c r="C6342" t="s">
        <v>95</v>
      </c>
      <c r="D6342" s="9" t="s">
        <v>85</v>
      </c>
      <c r="E6342" t="s">
        <v>42</v>
      </c>
      <c r="F6342" t="s">
        <v>81</v>
      </c>
      <c r="G6342">
        <v>563.4</v>
      </c>
      <c r="H6342" s="9">
        <v>14.37</v>
      </c>
      <c r="I6342"/>
    </row>
    <row r="6343" spans="1:9" x14ac:dyDescent="0.3">
      <c r="A6343" t="s">
        <v>3</v>
      </c>
      <c r="B6343" t="s">
        <v>19</v>
      </c>
      <c r="C6343" t="s">
        <v>96</v>
      </c>
      <c r="D6343" s="9" t="s">
        <v>85</v>
      </c>
      <c r="E6343" t="s">
        <v>43</v>
      </c>
      <c r="F6343" t="s">
        <v>83</v>
      </c>
      <c r="G6343">
        <v>739</v>
      </c>
      <c r="H6343" s="9">
        <v>7.18</v>
      </c>
      <c r="I6343"/>
    </row>
    <row r="6344" spans="1:9" x14ac:dyDescent="0.3">
      <c r="A6344" t="s">
        <v>3</v>
      </c>
      <c r="B6344" t="s">
        <v>19</v>
      </c>
      <c r="C6344" t="s">
        <v>97</v>
      </c>
      <c r="D6344" s="9" t="s">
        <v>98</v>
      </c>
      <c r="E6344" t="s">
        <v>32</v>
      </c>
      <c r="F6344" t="s">
        <v>61</v>
      </c>
      <c r="G6344">
        <v>422.7</v>
      </c>
      <c r="H6344" s="9">
        <v>2.42</v>
      </c>
      <c r="I6344"/>
    </row>
    <row r="6345" spans="1:9" x14ac:dyDescent="0.3">
      <c r="A6345" t="s">
        <v>3</v>
      </c>
      <c r="B6345" t="s">
        <v>19</v>
      </c>
      <c r="C6345" t="s">
        <v>99</v>
      </c>
      <c r="D6345" s="9" t="s">
        <v>98</v>
      </c>
      <c r="E6345" t="s">
        <v>33</v>
      </c>
      <c r="F6345" t="s">
        <v>63</v>
      </c>
      <c r="G6345">
        <v>291.8</v>
      </c>
      <c r="H6345" s="9">
        <v>-18.010000000000002</v>
      </c>
      <c r="I6345"/>
    </row>
    <row r="6346" spans="1:9" x14ac:dyDescent="0.3">
      <c r="A6346" t="s">
        <v>3</v>
      </c>
      <c r="B6346" t="s">
        <v>19</v>
      </c>
      <c r="C6346" t="s">
        <v>100</v>
      </c>
      <c r="D6346" s="9" t="s">
        <v>98</v>
      </c>
      <c r="E6346" t="s">
        <v>34</v>
      </c>
      <c r="F6346" t="s">
        <v>65</v>
      </c>
      <c r="G6346">
        <v>438.4</v>
      </c>
      <c r="H6346" s="9">
        <v>60.23</v>
      </c>
      <c r="I6346"/>
    </row>
    <row r="6347" spans="1:9" x14ac:dyDescent="0.3">
      <c r="A6347" t="s">
        <v>3</v>
      </c>
      <c r="B6347" t="s">
        <v>19</v>
      </c>
      <c r="C6347" t="s">
        <v>101</v>
      </c>
      <c r="D6347" s="9" t="s">
        <v>98</v>
      </c>
      <c r="E6347" t="s">
        <v>35</v>
      </c>
      <c r="F6347" t="s">
        <v>67</v>
      </c>
      <c r="G6347">
        <v>486.1</v>
      </c>
      <c r="H6347" s="9">
        <v>323.06</v>
      </c>
      <c r="I6347"/>
    </row>
    <row r="6348" spans="1:9" x14ac:dyDescent="0.3">
      <c r="A6348" t="s">
        <v>3</v>
      </c>
      <c r="B6348" t="s">
        <v>19</v>
      </c>
      <c r="C6348" t="s">
        <v>102</v>
      </c>
      <c r="D6348" s="9" t="s">
        <v>98</v>
      </c>
      <c r="E6348" t="s">
        <v>36</v>
      </c>
      <c r="F6348" t="s">
        <v>69</v>
      </c>
      <c r="G6348">
        <v>441.6</v>
      </c>
      <c r="H6348" s="9">
        <v>43.47</v>
      </c>
      <c r="I6348"/>
    </row>
    <row r="6349" spans="1:9" x14ac:dyDescent="0.3">
      <c r="A6349" t="s">
        <v>3</v>
      </c>
      <c r="B6349" t="s">
        <v>19</v>
      </c>
      <c r="C6349" t="s">
        <v>103</v>
      </c>
      <c r="D6349" s="9" t="s">
        <v>98</v>
      </c>
      <c r="E6349" t="s">
        <v>37</v>
      </c>
      <c r="F6349" t="s">
        <v>71</v>
      </c>
      <c r="G6349">
        <v>359.4</v>
      </c>
      <c r="H6349" s="9">
        <v>-2.15</v>
      </c>
      <c r="I6349"/>
    </row>
    <row r="6350" spans="1:9" x14ac:dyDescent="0.3">
      <c r="A6350" t="s">
        <v>3</v>
      </c>
      <c r="B6350" t="s">
        <v>19</v>
      </c>
      <c r="C6350" t="s">
        <v>104</v>
      </c>
      <c r="D6350" s="9" t="s">
        <v>98</v>
      </c>
      <c r="E6350" t="s">
        <v>38</v>
      </c>
      <c r="F6350" t="s">
        <v>73</v>
      </c>
      <c r="G6350">
        <v>351.8</v>
      </c>
      <c r="H6350" s="9">
        <v>31.46</v>
      </c>
      <c r="I6350"/>
    </row>
    <row r="6351" spans="1:9" x14ac:dyDescent="0.3">
      <c r="A6351" t="s">
        <v>3</v>
      </c>
      <c r="B6351" t="s">
        <v>19</v>
      </c>
      <c r="C6351" t="s">
        <v>105</v>
      </c>
      <c r="D6351" s="9" t="s">
        <v>98</v>
      </c>
      <c r="E6351" t="s">
        <v>39</v>
      </c>
      <c r="F6351" t="s">
        <v>75</v>
      </c>
      <c r="G6351">
        <v>229.2</v>
      </c>
      <c r="H6351" s="9">
        <v>56.88</v>
      </c>
      <c r="I6351"/>
    </row>
    <row r="6352" spans="1:9" x14ac:dyDescent="0.3">
      <c r="A6352" t="s">
        <v>3</v>
      </c>
      <c r="B6352" t="s">
        <v>19</v>
      </c>
      <c r="C6352" t="s">
        <v>106</v>
      </c>
      <c r="D6352" s="9" t="s">
        <v>98</v>
      </c>
      <c r="E6352" t="s">
        <v>40</v>
      </c>
      <c r="F6352" t="s">
        <v>77</v>
      </c>
      <c r="G6352">
        <v>198.4</v>
      </c>
      <c r="H6352" s="9">
        <v>39.72</v>
      </c>
      <c r="I6352"/>
    </row>
    <row r="6353" spans="1:9" x14ac:dyDescent="0.3">
      <c r="A6353" t="s">
        <v>3</v>
      </c>
      <c r="B6353" t="s">
        <v>19</v>
      </c>
      <c r="C6353" t="s">
        <v>107</v>
      </c>
      <c r="D6353" s="9" t="s">
        <v>98</v>
      </c>
      <c r="E6353" t="s">
        <v>41</v>
      </c>
      <c r="F6353" t="s">
        <v>79</v>
      </c>
      <c r="G6353">
        <v>261.8</v>
      </c>
      <c r="H6353" s="9">
        <v>12.6</v>
      </c>
      <c r="I6353"/>
    </row>
    <row r="6354" spans="1:9" x14ac:dyDescent="0.3">
      <c r="A6354" t="s">
        <v>3</v>
      </c>
      <c r="B6354" t="s">
        <v>19</v>
      </c>
      <c r="C6354" t="s">
        <v>108</v>
      </c>
      <c r="D6354" s="9" t="s">
        <v>98</v>
      </c>
      <c r="E6354" t="s">
        <v>42</v>
      </c>
      <c r="F6354" t="s">
        <v>81</v>
      </c>
      <c r="G6354">
        <v>658.4</v>
      </c>
      <c r="H6354" s="9">
        <v>16.86</v>
      </c>
      <c r="I6354"/>
    </row>
    <row r="6355" spans="1:9" x14ac:dyDescent="0.3">
      <c r="A6355" t="s">
        <v>3</v>
      </c>
      <c r="B6355" t="s">
        <v>19</v>
      </c>
      <c r="C6355" t="s">
        <v>109</v>
      </c>
      <c r="D6355" s="9" t="s">
        <v>98</v>
      </c>
      <c r="E6355" t="s">
        <v>43</v>
      </c>
      <c r="F6355" t="s">
        <v>83</v>
      </c>
      <c r="G6355">
        <v>767</v>
      </c>
      <c r="H6355" s="9">
        <v>3.79</v>
      </c>
      <c r="I6355"/>
    </row>
    <row r="6356" spans="1:9" x14ac:dyDescent="0.3">
      <c r="A6356" t="s">
        <v>3</v>
      </c>
      <c r="B6356" t="s">
        <v>19</v>
      </c>
      <c r="C6356" t="s">
        <v>110</v>
      </c>
      <c r="D6356" s="9" t="s">
        <v>111</v>
      </c>
      <c r="E6356" t="s">
        <v>32</v>
      </c>
      <c r="F6356" t="s">
        <v>61</v>
      </c>
      <c r="G6356">
        <v>425.6</v>
      </c>
      <c r="H6356" s="9">
        <v>0.69</v>
      </c>
      <c r="I6356"/>
    </row>
    <row r="6357" spans="1:9" x14ac:dyDescent="0.3">
      <c r="A6357" t="s">
        <v>3</v>
      </c>
      <c r="B6357" t="s">
        <v>19</v>
      </c>
      <c r="C6357" t="s">
        <v>112</v>
      </c>
      <c r="D6357" s="9" t="s">
        <v>111</v>
      </c>
      <c r="E6357" t="s">
        <v>33</v>
      </c>
      <c r="F6357" t="s">
        <v>63</v>
      </c>
      <c r="G6357">
        <v>400.8</v>
      </c>
      <c r="H6357" s="9">
        <v>37.35</v>
      </c>
      <c r="I6357"/>
    </row>
    <row r="6358" spans="1:9" x14ac:dyDescent="0.3">
      <c r="A6358" t="s">
        <v>3</v>
      </c>
      <c r="B6358" t="s">
        <v>19</v>
      </c>
      <c r="C6358" t="s">
        <v>113</v>
      </c>
      <c r="D6358" s="9" t="s">
        <v>111</v>
      </c>
      <c r="E6358" t="s">
        <v>34</v>
      </c>
      <c r="F6358" t="s">
        <v>65</v>
      </c>
      <c r="G6358">
        <v>504.3</v>
      </c>
      <c r="H6358" s="9">
        <v>15.03</v>
      </c>
      <c r="I6358"/>
    </row>
    <row r="6359" spans="1:9" x14ac:dyDescent="0.3">
      <c r="A6359" t="s">
        <v>3</v>
      </c>
      <c r="B6359" t="s">
        <v>19</v>
      </c>
      <c r="C6359" t="s">
        <v>114</v>
      </c>
      <c r="D6359" s="9" t="s">
        <v>111</v>
      </c>
      <c r="E6359" t="s">
        <v>35</v>
      </c>
      <c r="F6359" t="s">
        <v>67</v>
      </c>
      <c r="G6359">
        <v>555.1</v>
      </c>
      <c r="H6359" s="9">
        <v>14.19</v>
      </c>
      <c r="I6359"/>
    </row>
    <row r="6360" spans="1:9" x14ac:dyDescent="0.3">
      <c r="A6360" t="s">
        <v>3</v>
      </c>
      <c r="B6360" t="s">
        <v>19</v>
      </c>
      <c r="C6360" t="s">
        <v>115</v>
      </c>
      <c r="D6360" s="9" t="s">
        <v>111</v>
      </c>
      <c r="E6360" t="s">
        <v>36</v>
      </c>
      <c r="F6360" t="s">
        <v>69</v>
      </c>
      <c r="G6360">
        <v>562.4</v>
      </c>
      <c r="H6360" s="9">
        <v>27.36</v>
      </c>
      <c r="I6360"/>
    </row>
    <row r="6361" spans="1:9" x14ac:dyDescent="0.3">
      <c r="A6361" t="s">
        <v>3</v>
      </c>
      <c r="B6361" t="s">
        <v>19</v>
      </c>
      <c r="C6361" t="s">
        <v>116</v>
      </c>
      <c r="D6361" s="9" t="s">
        <v>111</v>
      </c>
      <c r="E6361" t="s">
        <v>37</v>
      </c>
      <c r="F6361" t="s">
        <v>71</v>
      </c>
      <c r="G6361">
        <v>560</v>
      </c>
      <c r="H6361" s="9">
        <v>55.82</v>
      </c>
      <c r="I6361"/>
    </row>
    <row r="6362" spans="1:9" x14ac:dyDescent="0.3">
      <c r="A6362" t="s">
        <v>3</v>
      </c>
      <c r="B6362" t="s">
        <v>19</v>
      </c>
      <c r="C6362" t="s">
        <v>117</v>
      </c>
      <c r="D6362" s="9" t="s">
        <v>111</v>
      </c>
      <c r="E6362" t="s">
        <v>38</v>
      </c>
      <c r="F6362" t="s">
        <v>73</v>
      </c>
      <c r="G6362">
        <v>522.9</v>
      </c>
      <c r="H6362" s="9">
        <v>48.64</v>
      </c>
      <c r="I6362"/>
    </row>
    <row r="6363" spans="1:9" x14ac:dyDescent="0.3">
      <c r="A6363" t="s">
        <v>3</v>
      </c>
      <c r="B6363" t="s">
        <v>19</v>
      </c>
      <c r="C6363" t="s">
        <v>118</v>
      </c>
      <c r="D6363" s="9" t="s">
        <v>111</v>
      </c>
      <c r="E6363" t="s">
        <v>39</v>
      </c>
      <c r="F6363" t="s">
        <v>75</v>
      </c>
      <c r="G6363">
        <v>495.5</v>
      </c>
      <c r="H6363" s="9">
        <v>116.19</v>
      </c>
      <c r="I6363"/>
    </row>
    <row r="6364" spans="1:9" x14ac:dyDescent="0.3">
      <c r="A6364" t="s">
        <v>3</v>
      </c>
      <c r="B6364" t="s">
        <v>19</v>
      </c>
      <c r="C6364" t="s">
        <v>119</v>
      </c>
      <c r="D6364" s="9" t="s">
        <v>111</v>
      </c>
      <c r="E6364" t="s">
        <v>40</v>
      </c>
      <c r="F6364" t="s">
        <v>77</v>
      </c>
      <c r="G6364">
        <v>507</v>
      </c>
      <c r="H6364" s="9">
        <v>155.54</v>
      </c>
      <c r="I6364"/>
    </row>
    <row r="6365" spans="1:9" x14ac:dyDescent="0.3">
      <c r="A6365" t="s">
        <v>3</v>
      </c>
      <c r="B6365" t="s">
        <v>19</v>
      </c>
      <c r="C6365" t="s">
        <v>120</v>
      </c>
      <c r="D6365" s="9" t="s">
        <v>111</v>
      </c>
      <c r="E6365" t="s">
        <v>41</v>
      </c>
      <c r="F6365" t="s">
        <v>79</v>
      </c>
      <c r="G6365">
        <v>530.29999999999995</v>
      </c>
      <c r="H6365" s="9">
        <v>102.56</v>
      </c>
      <c r="I6365"/>
    </row>
    <row r="6366" spans="1:9" x14ac:dyDescent="0.3">
      <c r="A6366" t="s">
        <v>3</v>
      </c>
      <c r="B6366" t="s">
        <v>19</v>
      </c>
      <c r="C6366" t="s">
        <v>121</v>
      </c>
      <c r="D6366" s="9" t="s">
        <v>111</v>
      </c>
      <c r="E6366" t="s">
        <v>42</v>
      </c>
      <c r="F6366" t="s">
        <v>81</v>
      </c>
      <c r="G6366">
        <v>647.29999999999995</v>
      </c>
      <c r="H6366" s="9">
        <v>-1.69</v>
      </c>
      <c r="I6366"/>
    </row>
    <row r="6367" spans="1:9" x14ac:dyDescent="0.3">
      <c r="A6367" t="s">
        <v>3</v>
      </c>
      <c r="B6367" t="s">
        <v>19</v>
      </c>
      <c r="C6367" t="s">
        <v>122</v>
      </c>
      <c r="D6367" s="9" t="s">
        <v>111</v>
      </c>
      <c r="E6367" t="s">
        <v>43</v>
      </c>
      <c r="F6367" t="s">
        <v>83</v>
      </c>
      <c r="G6367">
        <v>807.6</v>
      </c>
      <c r="H6367" s="9">
        <v>5.29</v>
      </c>
      <c r="I6367"/>
    </row>
    <row r="6368" spans="1:9" x14ac:dyDescent="0.3">
      <c r="A6368" t="s">
        <v>3</v>
      </c>
      <c r="B6368" t="s">
        <v>19</v>
      </c>
      <c r="C6368" t="s">
        <v>123</v>
      </c>
      <c r="D6368" s="9" t="s">
        <v>124</v>
      </c>
      <c r="E6368" t="s">
        <v>32</v>
      </c>
      <c r="F6368" t="s">
        <v>61</v>
      </c>
      <c r="G6368">
        <v>521.9</v>
      </c>
      <c r="H6368" s="9">
        <v>22.63</v>
      </c>
      <c r="I6368"/>
    </row>
    <row r="6369" spans="1:9" x14ac:dyDescent="0.3">
      <c r="A6369" t="s">
        <v>3</v>
      </c>
      <c r="B6369" t="s">
        <v>19</v>
      </c>
      <c r="C6369" t="s">
        <v>125</v>
      </c>
      <c r="D6369" s="9" t="s">
        <v>124</v>
      </c>
      <c r="E6369" t="s">
        <v>33</v>
      </c>
      <c r="F6369" t="s">
        <v>63</v>
      </c>
      <c r="G6369">
        <v>429.7</v>
      </c>
      <c r="H6369" s="9">
        <v>7.21</v>
      </c>
      <c r="I6369"/>
    </row>
    <row r="6370" spans="1:9" x14ac:dyDescent="0.3">
      <c r="A6370" t="s">
        <v>3</v>
      </c>
      <c r="B6370" t="s">
        <v>19</v>
      </c>
      <c r="C6370" t="s">
        <v>126</v>
      </c>
      <c r="D6370" s="9" t="s">
        <v>124</v>
      </c>
      <c r="E6370" t="s">
        <v>34</v>
      </c>
      <c r="F6370" t="s">
        <v>65</v>
      </c>
      <c r="G6370">
        <v>542.5</v>
      </c>
      <c r="H6370" s="9">
        <v>7.57</v>
      </c>
      <c r="I6370"/>
    </row>
    <row r="6371" spans="1:9" x14ac:dyDescent="0.3">
      <c r="A6371" t="s">
        <v>3</v>
      </c>
      <c r="B6371" t="s">
        <v>19</v>
      </c>
      <c r="C6371" t="s">
        <v>127</v>
      </c>
      <c r="D6371" s="9" t="s">
        <v>124</v>
      </c>
      <c r="E6371" t="s">
        <v>35</v>
      </c>
      <c r="F6371" t="s">
        <v>67</v>
      </c>
      <c r="G6371">
        <v>581.79999999999995</v>
      </c>
      <c r="H6371" s="9">
        <v>4.8099999999999996</v>
      </c>
      <c r="I6371"/>
    </row>
    <row r="6372" spans="1:9" x14ac:dyDescent="0.3">
      <c r="A6372" t="s">
        <v>3</v>
      </c>
      <c r="B6372" t="s">
        <v>19</v>
      </c>
      <c r="C6372" t="s">
        <v>128</v>
      </c>
      <c r="D6372" s="9" t="s">
        <v>124</v>
      </c>
      <c r="E6372" t="s">
        <v>36</v>
      </c>
      <c r="F6372" t="s">
        <v>69</v>
      </c>
      <c r="G6372">
        <v>576.29999999999995</v>
      </c>
      <c r="H6372" s="9">
        <v>2.4700000000000002</v>
      </c>
      <c r="I6372"/>
    </row>
    <row r="6373" spans="1:9" x14ac:dyDescent="0.3">
      <c r="A6373" t="s">
        <v>3</v>
      </c>
      <c r="B6373" t="s">
        <v>19</v>
      </c>
      <c r="C6373" t="s">
        <v>129</v>
      </c>
      <c r="D6373" s="9" t="s">
        <v>124</v>
      </c>
      <c r="E6373" t="s">
        <v>37</v>
      </c>
      <c r="F6373" t="s">
        <v>71</v>
      </c>
      <c r="G6373">
        <v>566.79999999999995</v>
      </c>
      <c r="H6373" s="9">
        <v>1.21</v>
      </c>
      <c r="I6373"/>
    </row>
    <row r="6374" spans="1:9" x14ac:dyDescent="0.3">
      <c r="A6374" t="s">
        <v>3</v>
      </c>
      <c r="B6374" t="s">
        <v>19</v>
      </c>
      <c r="C6374" t="s">
        <v>130</v>
      </c>
      <c r="D6374" s="9" t="s">
        <v>124</v>
      </c>
      <c r="E6374" t="s">
        <v>38</v>
      </c>
      <c r="F6374" t="s">
        <v>73</v>
      </c>
      <c r="G6374">
        <v>512.5</v>
      </c>
      <c r="H6374" s="9">
        <v>-1.99</v>
      </c>
      <c r="I6374"/>
    </row>
    <row r="6375" spans="1:9" x14ac:dyDescent="0.3">
      <c r="A6375" t="s">
        <v>3</v>
      </c>
      <c r="B6375" t="s">
        <v>19</v>
      </c>
      <c r="C6375" t="s">
        <v>131</v>
      </c>
      <c r="D6375" s="9" t="s">
        <v>124</v>
      </c>
      <c r="E6375" t="s">
        <v>39</v>
      </c>
      <c r="F6375" t="s">
        <v>75</v>
      </c>
      <c r="G6375">
        <v>496.9</v>
      </c>
      <c r="H6375" s="9">
        <v>0.28000000000000003</v>
      </c>
      <c r="I6375"/>
    </row>
    <row r="6376" spans="1:9" x14ac:dyDescent="0.3">
      <c r="A6376" t="s">
        <v>3</v>
      </c>
      <c r="B6376" t="s">
        <v>19</v>
      </c>
      <c r="C6376" t="s">
        <v>132</v>
      </c>
      <c r="D6376" s="9" t="s">
        <v>124</v>
      </c>
      <c r="E6376" t="s">
        <v>40</v>
      </c>
      <c r="F6376" t="s">
        <v>77</v>
      </c>
      <c r="G6376">
        <v>516.79999999999995</v>
      </c>
      <c r="H6376" s="9">
        <v>1.93</v>
      </c>
      <c r="I6376"/>
    </row>
    <row r="6377" spans="1:9" x14ac:dyDescent="0.3">
      <c r="A6377" t="s">
        <v>3</v>
      </c>
      <c r="B6377" t="s">
        <v>19</v>
      </c>
      <c r="C6377" t="s">
        <v>133</v>
      </c>
      <c r="D6377" s="9" t="s">
        <v>124</v>
      </c>
      <c r="E6377" t="s">
        <v>41</v>
      </c>
      <c r="F6377" t="s">
        <v>79</v>
      </c>
      <c r="G6377">
        <v>500.3</v>
      </c>
      <c r="H6377" s="9">
        <v>-5.66</v>
      </c>
      <c r="I6377"/>
    </row>
    <row r="6378" spans="1:9" x14ac:dyDescent="0.3">
      <c r="A6378" t="s">
        <v>3</v>
      </c>
      <c r="B6378" t="s">
        <v>19</v>
      </c>
      <c r="C6378" t="s">
        <v>134</v>
      </c>
      <c r="D6378" s="9" t="s">
        <v>124</v>
      </c>
      <c r="E6378" t="s">
        <v>42</v>
      </c>
      <c r="F6378" t="s">
        <v>81</v>
      </c>
      <c r="G6378">
        <v>649.5</v>
      </c>
      <c r="H6378" s="9">
        <v>0.34</v>
      </c>
      <c r="I6378"/>
    </row>
    <row r="6379" spans="1:9" x14ac:dyDescent="0.3">
      <c r="A6379" t="s">
        <v>3</v>
      </c>
      <c r="B6379" t="s">
        <v>19</v>
      </c>
      <c r="C6379" t="s">
        <v>135</v>
      </c>
      <c r="D6379" s="9" t="s">
        <v>124</v>
      </c>
      <c r="E6379" t="s">
        <v>43</v>
      </c>
      <c r="F6379" t="s">
        <v>83</v>
      </c>
      <c r="G6379">
        <v>829.4</v>
      </c>
      <c r="H6379" s="9">
        <v>2.7</v>
      </c>
      <c r="I6379"/>
    </row>
    <row r="6380" spans="1:9" x14ac:dyDescent="0.3">
      <c r="A6380" t="s">
        <v>3</v>
      </c>
      <c r="B6380" t="s">
        <v>19</v>
      </c>
      <c r="C6380" t="s">
        <v>136</v>
      </c>
      <c r="D6380" s="9" t="s">
        <v>137</v>
      </c>
      <c r="E6380" t="s">
        <v>32</v>
      </c>
      <c r="F6380" t="s">
        <v>61</v>
      </c>
      <c r="G6380">
        <v>524.4</v>
      </c>
      <c r="H6380" s="9">
        <v>0.48</v>
      </c>
      <c r="I6380"/>
    </row>
    <row r="6381" spans="1:9" x14ac:dyDescent="0.3">
      <c r="A6381" t="s">
        <v>3</v>
      </c>
      <c r="B6381" t="s">
        <v>19</v>
      </c>
      <c r="C6381" t="s">
        <v>138</v>
      </c>
      <c r="D6381" s="9" t="s">
        <v>137</v>
      </c>
      <c r="E6381" t="s">
        <v>33</v>
      </c>
      <c r="F6381" t="s">
        <v>63</v>
      </c>
      <c r="G6381">
        <v>492.7</v>
      </c>
      <c r="H6381" s="9">
        <v>14.66</v>
      </c>
      <c r="I6381"/>
    </row>
    <row r="6382" spans="1:9" x14ac:dyDescent="0.3">
      <c r="A6382" t="s">
        <v>3</v>
      </c>
      <c r="B6382" t="s">
        <v>19</v>
      </c>
      <c r="C6382" t="s">
        <v>139</v>
      </c>
      <c r="D6382" s="9" t="s">
        <v>137</v>
      </c>
      <c r="E6382" t="s">
        <v>34</v>
      </c>
      <c r="F6382" t="s">
        <v>65</v>
      </c>
      <c r="G6382">
        <v>497.4</v>
      </c>
      <c r="H6382" s="9">
        <v>-8.31</v>
      </c>
      <c r="I6382"/>
    </row>
    <row r="6383" spans="1:9" x14ac:dyDescent="0.3">
      <c r="A6383" t="s">
        <v>3</v>
      </c>
      <c r="B6383" t="s">
        <v>19</v>
      </c>
      <c r="C6383" t="s">
        <v>140</v>
      </c>
      <c r="D6383" s="9" t="s">
        <v>137</v>
      </c>
      <c r="E6383" t="s">
        <v>35</v>
      </c>
      <c r="F6383" t="s">
        <v>67</v>
      </c>
      <c r="G6383">
        <v>571.6</v>
      </c>
      <c r="H6383" s="9">
        <v>-1.75</v>
      </c>
      <c r="I6383"/>
    </row>
    <row r="6384" spans="1:9" x14ac:dyDescent="0.3">
      <c r="A6384" t="s">
        <v>3</v>
      </c>
      <c r="B6384" t="s">
        <v>19</v>
      </c>
      <c r="C6384" t="s">
        <v>141</v>
      </c>
      <c r="D6384" s="9" t="s">
        <v>137</v>
      </c>
      <c r="E6384" t="s">
        <v>36</v>
      </c>
      <c r="F6384" t="s">
        <v>69</v>
      </c>
      <c r="G6384">
        <v>593.1</v>
      </c>
      <c r="H6384" s="9">
        <v>2.92</v>
      </c>
      <c r="I6384"/>
    </row>
    <row r="6385" spans="1:9" x14ac:dyDescent="0.3">
      <c r="A6385" t="s">
        <v>3</v>
      </c>
      <c r="B6385" t="s">
        <v>19</v>
      </c>
      <c r="C6385" t="s">
        <v>142</v>
      </c>
      <c r="D6385" s="9" t="s">
        <v>137</v>
      </c>
      <c r="E6385" t="s">
        <v>37</v>
      </c>
      <c r="F6385" t="s">
        <v>71</v>
      </c>
      <c r="G6385">
        <v>576.70000000000005</v>
      </c>
      <c r="H6385" s="9">
        <v>1.75</v>
      </c>
      <c r="I6385"/>
    </row>
    <row r="6386" spans="1:9" x14ac:dyDescent="0.3">
      <c r="A6386" t="s">
        <v>3</v>
      </c>
      <c r="B6386" t="s">
        <v>19</v>
      </c>
      <c r="C6386" t="s">
        <v>143</v>
      </c>
      <c r="D6386" s="9" t="s">
        <v>137</v>
      </c>
      <c r="E6386" t="s">
        <v>38</v>
      </c>
      <c r="F6386" t="s">
        <v>73</v>
      </c>
      <c r="G6386">
        <v>528.1</v>
      </c>
      <c r="H6386" s="9">
        <v>3.04</v>
      </c>
      <c r="I6386"/>
    </row>
    <row r="6387" spans="1:9" x14ac:dyDescent="0.3">
      <c r="A6387" t="s">
        <v>3</v>
      </c>
      <c r="B6387" t="s">
        <v>19</v>
      </c>
      <c r="C6387" t="s">
        <v>144</v>
      </c>
      <c r="D6387" s="9" t="s">
        <v>137</v>
      </c>
      <c r="E6387" t="s">
        <v>39</v>
      </c>
      <c r="F6387" t="s">
        <v>75</v>
      </c>
      <c r="G6387">
        <v>527.9</v>
      </c>
      <c r="H6387" s="9">
        <v>6.24</v>
      </c>
      <c r="I6387"/>
    </row>
    <row r="6388" spans="1:9" x14ac:dyDescent="0.3">
      <c r="A6388" t="s">
        <v>3</v>
      </c>
      <c r="B6388" t="s">
        <v>19</v>
      </c>
      <c r="C6388" t="s">
        <v>145</v>
      </c>
      <c r="D6388" s="9" t="s">
        <v>137</v>
      </c>
      <c r="E6388" t="s">
        <v>40</v>
      </c>
      <c r="F6388" t="s">
        <v>77</v>
      </c>
      <c r="G6388">
        <v>503.2</v>
      </c>
      <c r="H6388" s="9">
        <v>-2.63</v>
      </c>
      <c r="I6388"/>
    </row>
    <row r="6389" spans="1:9" x14ac:dyDescent="0.3">
      <c r="A6389" t="s">
        <v>3</v>
      </c>
      <c r="B6389" t="s">
        <v>19</v>
      </c>
      <c r="C6389" t="s">
        <v>146</v>
      </c>
      <c r="D6389" s="9" t="s">
        <v>137</v>
      </c>
      <c r="E6389" t="s">
        <v>41</v>
      </c>
      <c r="F6389" t="s">
        <v>79</v>
      </c>
      <c r="G6389">
        <v>550.79999999999995</v>
      </c>
      <c r="H6389" s="9">
        <v>10.09</v>
      </c>
      <c r="I6389"/>
    </row>
    <row r="6390" spans="1:9" x14ac:dyDescent="0.3">
      <c r="A6390" t="s">
        <v>3</v>
      </c>
      <c r="B6390" t="s">
        <v>19</v>
      </c>
      <c r="C6390" t="s">
        <v>147</v>
      </c>
      <c r="D6390" s="9" t="s">
        <v>137</v>
      </c>
      <c r="E6390" t="s">
        <v>42</v>
      </c>
      <c r="F6390" t="s">
        <v>81</v>
      </c>
      <c r="G6390">
        <v>698.9</v>
      </c>
      <c r="H6390" s="9">
        <v>7.61</v>
      </c>
      <c r="I6390"/>
    </row>
    <row r="6391" spans="1:9" x14ac:dyDescent="0.3">
      <c r="A6391" t="s">
        <v>3</v>
      </c>
      <c r="B6391" t="s">
        <v>19</v>
      </c>
      <c r="C6391" t="s">
        <v>148</v>
      </c>
      <c r="D6391" s="9" t="s">
        <v>137</v>
      </c>
      <c r="E6391" t="s">
        <v>43</v>
      </c>
      <c r="F6391" t="s">
        <v>83</v>
      </c>
      <c r="G6391">
        <v>860.6</v>
      </c>
      <c r="H6391" s="9">
        <v>3.76</v>
      </c>
      <c r="I6391"/>
    </row>
    <row r="6392" spans="1:9" x14ac:dyDescent="0.3">
      <c r="A6392" t="s">
        <v>3</v>
      </c>
      <c r="B6392" t="s">
        <v>19</v>
      </c>
      <c r="C6392" t="s">
        <v>149</v>
      </c>
      <c r="D6392" s="9" t="s">
        <v>150</v>
      </c>
      <c r="E6392" t="s">
        <v>32</v>
      </c>
      <c r="F6392" t="s">
        <v>61</v>
      </c>
      <c r="G6392">
        <v>546.70000000000005</v>
      </c>
      <c r="H6392" s="9">
        <v>4.25</v>
      </c>
      <c r="I6392"/>
    </row>
    <row r="6393" spans="1:9" x14ac:dyDescent="0.3">
      <c r="A6393" t="s">
        <v>3</v>
      </c>
      <c r="B6393" t="s">
        <v>19</v>
      </c>
      <c r="C6393" t="s">
        <v>151</v>
      </c>
      <c r="D6393" s="9" t="s">
        <v>150</v>
      </c>
      <c r="E6393" t="s">
        <v>33</v>
      </c>
      <c r="F6393" t="s">
        <v>63</v>
      </c>
      <c r="G6393">
        <v>444.7</v>
      </c>
      <c r="H6393" s="9">
        <v>-9.74</v>
      </c>
      <c r="I6393"/>
    </row>
    <row r="6394" spans="1:9" x14ac:dyDescent="0.3">
      <c r="A6394" t="s">
        <v>3</v>
      </c>
      <c r="B6394" t="s">
        <v>19</v>
      </c>
      <c r="C6394" t="s">
        <v>152</v>
      </c>
      <c r="D6394" s="9" t="s">
        <v>150</v>
      </c>
      <c r="E6394" t="s">
        <v>34</v>
      </c>
      <c r="F6394" t="s">
        <v>65</v>
      </c>
      <c r="G6394">
        <v>555.1</v>
      </c>
      <c r="H6394" s="9">
        <v>11.6</v>
      </c>
      <c r="I6394"/>
    </row>
    <row r="6395" spans="1:9" x14ac:dyDescent="0.3">
      <c r="A6395" t="s">
        <v>3</v>
      </c>
      <c r="B6395" t="s">
        <v>19</v>
      </c>
      <c r="C6395" t="s">
        <v>153</v>
      </c>
      <c r="D6395" s="9" t="s">
        <v>150</v>
      </c>
      <c r="E6395" t="s">
        <v>35</v>
      </c>
      <c r="F6395" t="s">
        <v>67</v>
      </c>
      <c r="G6395">
        <v>558.79999999999995</v>
      </c>
      <c r="H6395" s="9">
        <v>-2.2400000000000002</v>
      </c>
      <c r="I6395"/>
    </row>
    <row r="6396" spans="1:9" x14ac:dyDescent="0.3">
      <c r="A6396" t="s">
        <v>3</v>
      </c>
      <c r="B6396" t="s">
        <v>19</v>
      </c>
      <c r="C6396" t="s">
        <v>154</v>
      </c>
      <c r="D6396" s="9" t="s">
        <v>150</v>
      </c>
      <c r="E6396" t="s">
        <v>36</v>
      </c>
      <c r="F6396" t="s">
        <v>69</v>
      </c>
      <c r="G6396">
        <v>639.79999999999995</v>
      </c>
      <c r="H6396" s="9">
        <v>7.87</v>
      </c>
      <c r="I6396"/>
    </row>
    <row r="6397" spans="1:9" x14ac:dyDescent="0.3">
      <c r="A6397" t="s">
        <v>3</v>
      </c>
      <c r="B6397" t="s">
        <v>19</v>
      </c>
      <c r="C6397" t="s">
        <v>155</v>
      </c>
      <c r="D6397" s="9" t="s">
        <v>150</v>
      </c>
      <c r="E6397" t="s">
        <v>37</v>
      </c>
      <c r="F6397" t="s">
        <v>71</v>
      </c>
      <c r="G6397">
        <v>611</v>
      </c>
      <c r="H6397" s="9">
        <v>5.95</v>
      </c>
      <c r="I6397"/>
    </row>
    <row r="6398" spans="1:9" x14ac:dyDescent="0.3">
      <c r="A6398" t="s">
        <v>3</v>
      </c>
      <c r="B6398" t="s">
        <v>16</v>
      </c>
      <c r="C6398" t="s">
        <v>59</v>
      </c>
      <c r="D6398" s="9" t="s">
        <v>60</v>
      </c>
      <c r="E6398" t="s">
        <v>32</v>
      </c>
      <c r="F6398" t="s">
        <v>61</v>
      </c>
      <c r="G6398">
        <v>358.4</v>
      </c>
      <c r="I6398"/>
    </row>
    <row r="6399" spans="1:9" x14ac:dyDescent="0.3">
      <c r="A6399" t="s">
        <v>3</v>
      </c>
      <c r="B6399" t="s">
        <v>16</v>
      </c>
      <c r="C6399" t="s">
        <v>62</v>
      </c>
      <c r="D6399" s="9" t="s">
        <v>60</v>
      </c>
      <c r="E6399" t="s">
        <v>33</v>
      </c>
      <c r="F6399" t="s">
        <v>63</v>
      </c>
      <c r="G6399">
        <v>286.89999999999998</v>
      </c>
      <c r="I6399"/>
    </row>
    <row r="6400" spans="1:9" x14ac:dyDescent="0.3">
      <c r="A6400" t="s">
        <v>3</v>
      </c>
      <c r="B6400" t="s">
        <v>16</v>
      </c>
      <c r="C6400" t="s">
        <v>64</v>
      </c>
      <c r="D6400" s="9" t="s">
        <v>60</v>
      </c>
      <c r="E6400" t="s">
        <v>34</v>
      </c>
      <c r="F6400" t="s">
        <v>65</v>
      </c>
      <c r="G6400">
        <v>351.1</v>
      </c>
      <c r="I6400"/>
    </row>
    <row r="6401" spans="1:9" x14ac:dyDescent="0.3">
      <c r="A6401" t="s">
        <v>3</v>
      </c>
      <c r="B6401" t="s">
        <v>16</v>
      </c>
      <c r="C6401" t="s">
        <v>66</v>
      </c>
      <c r="D6401" s="9" t="s">
        <v>60</v>
      </c>
      <c r="E6401" t="s">
        <v>35</v>
      </c>
      <c r="F6401" t="s">
        <v>67</v>
      </c>
      <c r="G6401">
        <v>384.9</v>
      </c>
      <c r="I6401"/>
    </row>
    <row r="6402" spans="1:9" x14ac:dyDescent="0.3">
      <c r="A6402" t="s">
        <v>3</v>
      </c>
      <c r="B6402" t="s">
        <v>16</v>
      </c>
      <c r="C6402" t="s">
        <v>68</v>
      </c>
      <c r="D6402" s="9" t="s">
        <v>60</v>
      </c>
      <c r="E6402" t="s">
        <v>36</v>
      </c>
      <c r="F6402" t="s">
        <v>69</v>
      </c>
      <c r="G6402">
        <v>390.5</v>
      </c>
      <c r="I6402"/>
    </row>
    <row r="6403" spans="1:9" x14ac:dyDescent="0.3">
      <c r="A6403" t="s">
        <v>3</v>
      </c>
      <c r="B6403" t="s">
        <v>16</v>
      </c>
      <c r="C6403" t="s">
        <v>70</v>
      </c>
      <c r="D6403" s="9" t="s">
        <v>60</v>
      </c>
      <c r="E6403" t="s">
        <v>37</v>
      </c>
      <c r="F6403" t="s">
        <v>71</v>
      </c>
      <c r="G6403">
        <v>394.9</v>
      </c>
      <c r="I6403"/>
    </row>
    <row r="6404" spans="1:9" x14ac:dyDescent="0.3">
      <c r="A6404" t="s">
        <v>3</v>
      </c>
      <c r="B6404" t="s">
        <v>16</v>
      </c>
      <c r="C6404" t="s">
        <v>72</v>
      </c>
      <c r="D6404" s="9" t="s">
        <v>60</v>
      </c>
      <c r="E6404" t="s">
        <v>38</v>
      </c>
      <c r="F6404" t="s">
        <v>73</v>
      </c>
      <c r="G6404">
        <v>364.8</v>
      </c>
      <c r="I6404"/>
    </row>
    <row r="6405" spans="1:9" x14ac:dyDescent="0.3">
      <c r="A6405" t="s">
        <v>3</v>
      </c>
      <c r="B6405" t="s">
        <v>16</v>
      </c>
      <c r="C6405" t="s">
        <v>74</v>
      </c>
      <c r="D6405" s="9" t="s">
        <v>60</v>
      </c>
      <c r="E6405" t="s">
        <v>39</v>
      </c>
      <c r="F6405" t="s">
        <v>75</v>
      </c>
      <c r="G6405">
        <v>344.9</v>
      </c>
      <c r="I6405"/>
    </row>
    <row r="6406" spans="1:9" x14ac:dyDescent="0.3">
      <c r="A6406" t="s">
        <v>3</v>
      </c>
      <c r="B6406" t="s">
        <v>16</v>
      </c>
      <c r="C6406" t="s">
        <v>76</v>
      </c>
      <c r="D6406" s="9" t="s">
        <v>60</v>
      </c>
      <c r="E6406" t="s">
        <v>40</v>
      </c>
      <c r="F6406" t="s">
        <v>77</v>
      </c>
      <c r="G6406">
        <v>342.9</v>
      </c>
      <c r="I6406"/>
    </row>
    <row r="6407" spans="1:9" x14ac:dyDescent="0.3">
      <c r="A6407" t="s">
        <v>3</v>
      </c>
      <c r="B6407" t="s">
        <v>16</v>
      </c>
      <c r="C6407" t="s">
        <v>78</v>
      </c>
      <c r="D6407" s="9" t="s">
        <v>60</v>
      </c>
      <c r="E6407" t="s">
        <v>41</v>
      </c>
      <c r="F6407" t="s">
        <v>79</v>
      </c>
      <c r="G6407">
        <v>388.7</v>
      </c>
      <c r="I6407"/>
    </row>
    <row r="6408" spans="1:9" x14ac:dyDescent="0.3">
      <c r="A6408" t="s">
        <v>3</v>
      </c>
      <c r="B6408" t="s">
        <v>16</v>
      </c>
      <c r="C6408" t="s">
        <v>80</v>
      </c>
      <c r="D6408" s="9" t="s">
        <v>60</v>
      </c>
      <c r="E6408" t="s">
        <v>42</v>
      </c>
      <c r="F6408" t="s">
        <v>81</v>
      </c>
      <c r="G6408">
        <v>458.3</v>
      </c>
      <c r="I6408"/>
    </row>
    <row r="6409" spans="1:9" x14ac:dyDescent="0.3">
      <c r="A6409" t="s">
        <v>3</v>
      </c>
      <c r="B6409" t="s">
        <v>16</v>
      </c>
      <c r="C6409" t="s">
        <v>82</v>
      </c>
      <c r="D6409" s="9" t="s">
        <v>60</v>
      </c>
      <c r="E6409" t="s">
        <v>43</v>
      </c>
      <c r="F6409" t="s">
        <v>83</v>
      </c>
      <c r="G6409">
        <v>737</v>
      </c>
      <c r="I6409"/>
    </row>
    <row r="6410" spans="1:9" x14ac:dyDescent="0.3">
      <c r="A6410" t="s">
        <v>3</v>
      </c>
      <c r="B6410" t="s">
        <v>16</v>
      </c>
      <c r="C6410" t="s">
        <v>84</v>
      </c>
      <c r="D6410" s="9" t="s">
        <v>85</v>
      </c>
      <c r="E6410" t="s">
        <v>32</v>
      </c>
      <c r="F6410" t="s">
        <v>61</v>
      </c>
      <c r="G6410">
        <v>353.9</v>
      </c>
      <c r="H6410" s="9">
        <v>-1.26</v>
      </c>
      <c r="I6410"/>
    </row>
    <row r="6411" spans="1:9" x14ac:dyDescent="0.3">
      <c r="A6411" t="s">
        <v>3</v>
      </c>
      <c r="B6411" t="s">
        <v>16</v>
      </c>
      <c r="C6411" t="s">
        <v>86</v>
      </c>
      <c r="D6411" s="9" t="s">
        <v>85</v>
      </c>
      <c r="E6411" t="s">
        <v>33</v>
      </c>
      <c r="F6411" t="s">
        <v>63</v>
      </c>
      <c r="G6411">
        <v>301.7</v>
      </c>
      <c r="H6411" s="9">
        <v>5.16</v>
      </c>
      <c r="I6411"/>
    </row>
    <row r="6412" spans="1:9" x14ac:dyDescent="0.3">
      <c r="A6412" t="s">
        <v>3</v>
      </c>
      <c r="B6412" t="s">
        <v>16</v>
      </c>
      <c r="C6412" t="s">
        <v>87</v>
      </c>
      <c r="D6412" s="9" t="s">
        <v>85</v>
      </c>
      <c r="E6412" t="s">
        <v>34</v>
      </c>
      <c r="F6412" t="s">
        <v>65</v>
      </c>
      <c r="G6412">
        <v>312.2</v>
      </c>
      <c r="H6412" s="9">
        <v>-11.08</v>
      </c>
      <c r="I6412"/>
    </row>
    <row r="6413" spans="1:9" x14ac:dyDescent="0.3">
      <c r="A6413" t="s">
        <v>3</v>
      </c>
      <c r="B6413" t="s">
        <v>16</v>
      </c>
      <c r="C6413" t="s">
        <v>88</v>
      </c>
      <c r="D6413" s="9" t="s">
        <v>85</v>
      </c>
      <c r="E6413" t="s">
        <v>35</v>
      </c>
      <c r="F6413" t="s">
        <v>67</v>
      </c>
      <c r="G6413">
        <v>280.8</v>
      </c>
      <c r="H6413" s="9">
        <v>-27.05</v>
      </c>
      <c r="I6413"/>
    </row>
    <row r="6414" spans="1:9" x14ac:dyDescent="0.3">
      <c r="A6414" t="s">
        <v>3</v>
      </c>
      <c r="B6414" t="s">
        <v>16</v>
      </c>
      <c r="C6414" t="s">
        <v>89</v>
      </c>
      <c r="D6414" s="9" t="s">
        <v>85</v>
      </c>
      <c r="E6414" t="s">
        <v>36</v>
      </c>
      <c r="F6414" t="s">
        <v>69</v>
      </c>
      <c r="G6414">
        <v>392.8</v>
      </c>
      <c r="H6414" s="9">
        <v>0.59</v>
      </c>
      <c r="I6414"/>
    </row>
    <row r="6415" spans="1:9" x14ac:dyDescent="0.3">
      <c r="A6415" t="s">
        <v>3</v>
      </c>
      <c r="B6415" t="s">
        <v>16</v>
      </c>
      <c r="C6415" t="s">
        <v>90</v>
      </c>
      <c r="D6415" s="9" t="s">
        <v>85</v>
      </c>
      <c r="E6415" t="s">
        <v>37</v>
      </c>
      <c r="F6415" t="s">
        <v>71</v>
      </c>
      <c r="G6415">
        <v>374.9</v>
      </c>
      <c r="H6415" s="9">
        <v>-5.0599999999999996</v>
      </c>
      <c r="I6415"/>
    </row>
    <row r="6416" spans="1:9" x14ac:dyDescent="0.3">
      <c r="A6416" t="s">
        <v>3</v>
      </c>
      <c r="B6416" t="s">
        <v>16</v>
      </c>
      <c r="C6416" t="s">
        <v>91</v>
      </c>
      <c r="D6416" s="9" t="s">
        <v>85</v>
      </c>
      <c r="E6416" t="s">
        <v>38</v>
      </c>
      <c r="F6416" t="s">
        <v>73</v>
      </c>
      <c r="G6416">
        <v>300.39999999999998</v>
      </c>
      <c r="H6416" s="9">
        <v>-17.649999999999999</v>
      </c>
      <c r="I6416"/>
    </row>
    <row r="6417" spans="1:9" x14ac:dyDescent="0.3">
      <c r="A6417" t="s">
        <v>3</v>
      </c>
      <c r="B6417" t="s">
        <v>16</v>
      </c>
      <c r="C6417" t="s">
        <v>92</v>
      </c>
      <c r="D6417" s="9" t="s">
        <v>85</v>
      </c>
      <c r="E6417" t="s">
        <v>39</v>
      </c>
      <c r="F6417" t="s">
        <v>75</v>
      </c>
      <c r="G6417">
        <v>169.7</v>
      </c>
      <c r="H6417" s="9">
        <v>-50.8</v>
      </c>
      <c r="I6417"/>
    </row>
    <row r="6418" spans="1:9" x14ac:dyDescent="0.3">
      <c r="A6418" t="s">
        <v>3</v>
      </c>
      <c r="B6418" t="s">
        <v>16</v>
      </c>
      <c r="C6418" t="s">
        <v>93</v>
      </c>
      <c r="D6418" s="9" t="s">
        <v>85</v>
      </c>
      <c r="E6418" t="s">
        <v>40</v>
      </c>
      <c r="F6418" t="s">
        <v>77</v>
      </c>
      <c r="G6418">
        <v>192.3</v>
      </c>
      <c r="H6418" s="9">
        <v>-43.92</v>
      </c>
      <c r="I6418"/>
    </row>
    <row r="6419" spans="1:9" x14ac:dyDescent="0.3">
      <c r="A6419" t="s">
        <v>3</v>
      </c>
      <c r="B6419" t="s">
        <v>16</v>
      </c>
      <c r="C6419" t="s">
        <v>94</v>
      </c>
      <c r="D6419" s="9" t="s">
        <v>85</v>
      </c>
      <c r="E6419" t="s">
        <v>41</v>
      </c>
      <c r="F6419" t="s">
        <v>79</v>
      </c>
      <c r="G6419">
        <v>272.3</v>
      </c>
      <c r="H6419" s="9">
        <v>-29.95</v>
      </c>
      <c r="I6419"/>
    </row>
    <row r="6420" spans="1:9" x14ac:dyDescent="0.3">
      <c r="A6420" t="s">
        <v>3</v>
      </c>
      <c r="B6420" t="s">
        <v>16</v>
      </c>
      <c r="C6420" t="s">
        <v>95</v>
      </c>
      <c r="D6420" s="9" t="s">
        <v>85</v>
      </c>
      <c r="E6420" t="s">
        <v>42</v>
      </c>
      <c r="F6420" t="s">
        <v>81</v>
      </c>
      <c r="G6420">
        <v>543.20000000000005</v>
      </c>
      <c r="H6420" s="9">
        <v>18.52</v>
      </c>
      <c r="I6420"/>
    </row>
    <row r="6421" spans="1:9" x14ac:dyDescent="0.3">
      <c r="A6421" t="s">
        <v>3</v>
      </c>
      <c r="B6421" t="s">
        <v>16</v>
      </c>
      <c r="C6421" t="s">
        <v>96</v>
      </c>
      <c r="D6421" s="9" t="s">
        <v>85</v>
      </c>
      <c r="E6421" t="s">
        <v>43</v>
      </c>
      <c r="F6421" t="s">
        <v>83</v>
      </c>
      <c r="G6421">
        <v>762.6</v>
      </c>
      <c r="H6421" s="9">
        <v>3.47</v>
      </c>
      <c r="I6421"/>
    </row>
    <row r="6422" spans="1:9" x14ac:dyDescent="0.3">
      <c r="A6422" t="s">
        <v>3</v>
      </c>
      <c r="B6422" t="s">
        <v>16</v>
      </c>
      <c r="C6422" t="s">
        <v>97</v>
      </c>
      <c r="D6422" s="9" t="s">
        <v>98</v>
      </c>
      <c r="E6422" t="s">
        <v>32</v>
      </c>
      <c r="F6422" t="s">
        <v>61</v>
      </c>
      <c r="G6422">
        <v>396</v>
      </c>
      <c r="H6422" s="9">
        <v>11.9</v>
      </c>
      <c r="I6422"/>
    </row>
    <row r="6423" spans="1:9" x14ac:dyDescent="0.3">
      <c r="A6423" t="s">
        <v>3</v>
      </c>
      <c r="B6423" t="s">
        <v>16</v>
      </c>
      <c r="C6423" t="s">
        <v>99</v>
      </c>
      <c r="D6423" s="9" t="s">
        <v>98</v>
      </c>
      <c r="E6423" t="s">
        <v>33</v>
      </c>
      <c r="F6423" t="s">
        <v>63</v>
      </c>
      <c r="G6423">
        <v>273.39999999999998</v>
      </c>
      <c r="H6423" s="9">
        <v>-9.3800000000000008</v>
      </c>
      <c r="I6423"/>
    </row>
    <row r="6424" spans="1:9" x14ac:dyDescent="0.3">
      <c r="A6424" t="s">
        <v>3</v>
      </c>
      <c r="B6424" t="s">
        <v>16</v>
      </c>
      <c r="C6424" t="s">
        <v>100</v>
      </c>
      <c r="D6424" s="9" t="s">
        <v>98</v>
      </c>
      <c r="E6424" t="s">
        <v>34</v>
      </c>
      <c r="F6424" t="s">
        <v>65</v>
      </c>
      <c r="G6424">
        <v>410.5</v>
      </c>
      <c r="H6424" s="9">
        <v>31.49</v>
      </c>
      <c r="I6424"/>
    </row>
    <row r="6425" spans="1:9" x14ac:dyDescent="0.3">
      <c r="A6425" t="s">
        <v>3</v>
      </c>
      <c r="B6425" t="s">
        <v>16</v>
      </c>
      <c r="C6425" t="s">
        <v>101</v>
      </c>
      <c r="D6425" s="9" t="s">
        <v>98</v>
      </c>
      <c r="E6425" t="s">
        <v>35</v>
      </c>
      <c r="F6425" t="s">
        <v>67</v>
      </c>
      <c r="G6425">
        <v>411.9</v>
      </c>
      <c r="H6425" s="9">
        <v>46.69</v>
      </c>
      <c r="I6425"/>
    </row>
    <row r="6426" spans="1:9" x14ac:dyDescent="0.3">
      <c r="A6426" t="s">
        <v>3</v>
      </c>
      <c r="B6426" t="s">
        <v>16</v>
      </c>
      <c r="C6426" t="s">
        <v>102</v>
      </c>
      <c r="D6426" s="9" t="s">
        <v>98</v>
      </c>
      <c r="E6426" t="s">
        <v>36</v>
      </c>
      <c r="F6426" t="s">
        <v>69</v>
      </c>
      <c r="G6426">
        <v>370.6</v>
      </c>
      <c r="H6426" s="9">
        <v>-5.65</v>
      </c>
      <c r="I6426"/>
    </row>
    <row r="6427" spans="1:9" x14ac:dyDescent="0.3">
      <c r="A6427" t="s">
        <v>3</v>
      </c>
      <c r="B6427" t="s">
        <v>16</v>
      </c>
      <c r="C6427" t="s">
        <v>103</v>
      </c>
      <c r="D6427" s="9" t="s">
        <v>98</v>
      </c>
      <c r="E6427" t="s">
        <v>37</v>
      </c>
      <c r="F6427" t="s">
        <v>71</v>
      </c>
      <c r="G6427">
        <v>340.9</v>
      </c>
      <c r="H6427" s="9">
        <v>-9.07</v>
      </c>
      <c r="I6427"/>
    </row>
    <row r="6428" spans="1:9" x14ac:dyDescent="0.3">
      <c r="A6428" t="s">
        <v>3</v>
      </c>
      <c r="B6428" t="s">
        <v>16</v>
      </c>
      <c r="C6428" t="s">
        <v>104</v>
      </c>
      <c r="D6428" s="9" t="s">
        <v>98</v>
      </c>
      <c r="E6428" t="s">
        <v>38</v>
      </c>
      <c r="F6428" t="s">
        <v>73</v>
      </c>
      <c r="G6428">
        <v>321.3</v>
      </c>
      <c r="H6428" s="9">
        <v>6.96</v>
      </c>
      <c r="I6428"/>
    </row>
    <row r="6429" spans="1:9" x14ac:dyDescent="0.3">
      <c r="A6429" t="s">
        <v>3</v>
      </c>
      <c r="B6429" t="s">
        <v>16</v>
      </c>
      <c r="C6429" t="s">
        <v>105</v>
      </c>
      <c r="D6429" s="9" t="s">
        <v>98</v>
      </c>
      <c r="E6429" t="s">
        <v>39</v>
      </c>
      <c r="F6429" t="s">
        <v>75</v>
      </c>
      <c r="G6429">
        <v>208.9</v>
      </c>
      <c r="H6429" s="9">
        <v>23.1</v>
      </c>
      <c r="I6429"/>
    </row>
    <row r="6430" spans="1:9" x14ac:dyDescent="0.3">
      <c r="A6430" t="s">
        <v>3</v>
      </c>
      <c r="B6430" t="s">
        <v>16</v>
      </c>
      <c r="C6430" t="s">
        <v>106</v>
      </c>
      <c r="D6430" s="9" t="s">
        <v>98</v>
      </c>
      <c r="E6430" t="s">
        <v>40</v>
      </c>
      <c r="F6430" t="s">
        <v>77</v>
      </c>
      <c r="G6430">
        <v>222.3</v>
      </c>
      <c r="H6430" s="9">
        <v>15.6</v>
      </c>
      <c r="I6430"/>
    </row>
    <row r="6431" spans="1:9" x14ac:dyDescent="0.3">
      <c r="A6431" t="s">
        <v>3</v>
      </c>
      <c r="B6431" t="s">
        <v>16</v>
      </c>
      <c r="C6431" t="s">
        <v>107</v>
      </c>
      <c r="D6431" s="9" t="s">
        <v>98</v>
      </c>
      <c r="E6431" t="s">
        <v>41</v>
      </c>
      <c r="F6431" t="s">
        <v>79</v>
      </c>
      <c r="G6431">
        <v>260</v>
      </c>
      <c r="H6431" s="9">
        <v>-4.5199999999999996</v>
      </c>
      <c r="I6431"/>
    </row>
    <row r="6432" spans="1:9" x14ac:dyDescent="0.3">
      <c r="A6432" t="s">
        <v>3</v>
      </c>
      <c r="B6432" t="s">
        <v>16</v>
      </c>
      <c r="C6432" t="s">
        <v>108</v>
      </c>
      <c r="D6432" s="9" t="s">
        <v>98</v>
      </c>
      <c r="E6432" t="s">
        <v>42</v>
      </c>
      <c r="F6432" t="s">
        <v>81</v>
      </c>
      <c r="G6432">
        <v>572.20000000000005</v>
      </c>
      <c r="H6432" s="9">
        <v>5.34</v>
      </c>
      <c r="I6432"/>
    </row>
    <row r="6433" spans="1:9" x14ac:dyDescent="0.3">
      <c r="A6433" t="s">
        <v>3</v>
      </c>
      <c r="B6433" t="s">
        <v>16</v>
      </c>
      <c r="C6433" t="s">
        <v>109</v>
      </c>
      <c r="D6433" s="9" t="s">
        <v>98</v>
      </c>
      <c r="E6433" t="s">
        <v>43</v>
      </c>
      <c r="F6433" t="s">
        <v>83</v>
      </c>
      <c r="G6433">
        <v>679.8</v>
      </c>
      <c r="H6433" s="9">
        <v>-10.86</v>
      </c>
      <c r="I6433"/>
    </row>
    <row r="6434" spans="1:9" x14ac:dyDescent="0.3">
      <c r="A6434" t="s">
        <v>3</v>
      </c>
      <c r="B6434" t="s">
        <v>16</v>
      </c>
      <c r="C6434" t="s">
        <v>110</v>
      </c>
      <c r="D6434" s="9" t="s">
        <v>111</v>
      </c>
      <c r="E6434" t="s">
        <v>32</v>
      </c>
      <c r="F6434" t="s">
        <v>61</v>
      </c>
      <c r="G6434">
        <v>358.9</v>
      </c>
      <c r="H6434" s="9">
        <v>-9.3699999999999992</v>
      </c>
      <c r="I6434"/>
    </row>
    <row r="6435" spans="1:9" x14ac:dyDescent="0.3">
      <c r="A6435" t="s">
        <v>3</v>
      </c>
      <c r="B6435" t="s">
        <v>16</v>
      </c>
      <c r="C6435" t="s">
        <v>112</v>
      </c>
      <c r="D6435" s="9" t="s">
        <v>111</v>
      </c>
      <c r="E6435" t="s">
        <v>33</v>
      </c>
      <c r="F6435" t="s">
        <v>63</v>
      </c>
      <c r="G6435">
        <v>307.8</v>
      </c>
      <c r="H6435" s="9">
        <v>12.58</v>
      </c>
      <c r="I6435"/>
    </row>
    <row r="6436" spans="1:9" x14ac:dyDescent="0.3">
      <c r="A6436" t="s">
        <v>3</v>
      </c>
      <c r="B6436" t="s">
        <v>16</v>
      </c>
      <c r="C6436" t="s">
        <v>113</v>
      </c>
      <c r="D6436" s="9" t="s">
        <v>111</v>
      </c>
      <c r="E6436" t="s">
        <v>34</v>
      </c>
      <c r="F6436" t="s">
        <v>65</v>
      </c>
      <c r="G6436">
        <v>391.1</v>
      </c>
      <c r="H6436" s="9">
        <v>-4.7300000000000004</v>
      </c>
      <c r="I6436"/>
    </row>
    <row r="6437" spans="1:9" x14ac:dyDescent="0.3">
      <c r="A6437" t="s">
        <v>3</v>
      </c>
      <c r="B6437" t="s">
        <v>16</v>
      </c>
      <c r="C6437" t="s">
        <v>114</v>
      </c>
      <c r="D6437" s="9" t="s">
        <v>111</v>
      </c>
      <c r="E6437" t="s">
        <v>35</v>
      </c>
      <c r="F6437" t="s">
        <v>67</v>
      </c>
      <c r="G6437">
        <v>430.8</v>
      </c>
      <c r="H6437" s="9">
        <v>4.59</v>
      </c>
      <c r="I6437"/>
    </row>
    <row r="6438" spans="1:9" x14ac:dyDescent="0.3">
      <c r="A6438" t="s">
        <v>3</v>
      </c>
      <c r="B6438" t="s">
        <v>16</v>
      </c>
      <c r="C6438" t="s">
        <v>115</v>
      </c>
      <c r="D6438" s="9" t="s">
        <v>111</v>
      </c>
      <c r="E6438" t="s">
        <v>36</v>
      </c>
      <c r="F6438" t="s">
        <v>69</v>
      </c>
      <c r="G6438">
        <v>432.1</v>
      </c>
      <c r="H6438" s="9">
        <v>16.59</v>
      </c>
      <c r="I6438"/>
    </row>
    <row r="6439" spans="1:9" x14ac:dyDescent="0.3">
      <c r="A6439" t="s">
        <v>3</v>
      </c>
      <c r="B6439" t="s">
        <v>16</v>
      </c>
      <c r="C6439" t="s">
        <v>116</v>
      </c>
      <c r="D6439" s="9" t="s">
        <v>111</v>
      </c>
      <c r="E6439" t="s">
        <v>37</v>
      </c>
      <c r="F6439" t="s">
        <v>71</v>
      </c>
      <c r="G6439">
        <v>431.6</v>
      </c>
      <c r="H6439" s="9">
        <v>26.61</v>
      </c>
      <c r="I6439"/>
    </row>
    <row r="6440" spans="1:9" x14ac:dyDescent="0.3">
      <c r="A6440" t="s">
        <v>3</v>
      </c>
      <c r="B6440" t="s">
        <v>16</v>
      </c>
      <c r="C6440" t="s">
        <v>117</v>
      </c>
      <c r="D6440" s="9" t="s">
        <v>111</v>
      </c>
      <c r="E6440" t="s">
        <v>38</v>
      </c>
      <c r="F6440" t="s">
        <v>73</v>
      </c>
      <c r="G6440">
        <v>413.2</v>
      </c>
      <c r="H6440" s="9">
        <v>28.6</v>
      </c>
      <c r="I6440"/>
    </row>
    <row r="6441" spans="1:9" x14ac:dyDescent="0.3">
      <c r="A6441" t="s">
        <v>3</v>
      </c>
      <c r="B6441" t="s">
        <v>16</v>
      </c>
      <c r="C6441" t="s">
        <v>118</v>
      </c>
      <c r="D6441" s="9" t="s">
        <v>111</v>
      </c>
      <c r="E6441" t="s">
        <v>39</v>
      </c>
      <c r="F6441" t="s">
        <v>75</v>
      </c>
      <c r="G6441">
        <v>386.2</v>
      </c>
      <c r="H6441" s="9">
        <v>84.87</v>
      </c>
      <c r="I6441"/>
    </row>
    <row r="6442" spans="1:9" x14ac:dyDescent="0.3">
      <c r="A6442" t="s">
        <v>3</v>
      </c>
      <c r="B6442" t="s">
        <v>16</v>
      </c>
      <c r="C6442" t="s">
        <v>119</v>
      </c>
      <c r="D6442" s="9" t="s">
        <v>111</v>
      </c>
      <c r="E6442" t="s">
        <v>40</v>
      </c>
      <c r="F6442" t="s">
        <v>77</v>
      </c>
      <c r="G6442">
        <v>412.5</v>
      </c>
      <c r="H6442" s="9">
        <v>85.56</v>
      </c>
      <c r="I6442"/>
    </row>
    <row r="6443" spans="1:9" x14ac:dyDescent="0.3">
      <c r="A6443" t="s">
        <v>3</v>
      </c>
      <c r="B6443" t="s">
        <v>16</v>
      </c>
      <c r="C6443" t="s">
        <v>120</v>
      </c>
      <c r="D6443" s="9" t="s">
        <v>111</v>
      </c>
      <c r="E6443" t="s">
        <v>41</v>
      </c>
      <c r="F6443" t="s">
        <v>79</v>
      </c>
      <c r="G6443">
        <v>431.9</v>
      </c>
      <c r="H6443" s="9">
        <v>66.12</v>
      </c>
      <c r="I6443"/>
    </row>
    <row r="6444" spans="1:9" x14ac:dyDescent="0.3">
      <c r="A6444" t="s">
        <v>3</v>
      </c>
      <c r="B6444" t="s">
        <v>16</v>
      </c>
      <c r="C6444" t="s">
        <v>121</v>
      </c>
      <c r="D6444" s="9" t="s">
        <v>111</v>
      </c>
      <c r="E6444" t="s">
        <v>42</v>
      </c>
      <c r="F6444" t="s">
        <v>81</v>
      </c>
      <c r="G6444">
        <v>545</v>
      </c>
      <c r="H6444" s="9">
        <v>-4.75</v>
      </c>
      <c r="I6444"/>
    </row>
    <row r="6445" spans="1:9" x14ac:dyDescent="0.3">
      <c r="A6445" t="s">
        <v>3</v>
      </c>
      <c r="B6445" t="s">
        <v>16</v>
      </c>
      <c r="C6445" t="s">
        <v>122</v>
      </c>
      <c r="D6445" s="9" t="s">
        <v>111</v>
      </c>
      <c r="E6445" t="s">
        <v>43</v>
      </c>
      <c r="F6445" t="s">
        <v>83</v>
      </c>
      <c r="G6445">
        <v>738.8</v>
      </c>
      <c r="H6445" s="9">
        <v>8.68</v>
      </c>
      <c r="I6445"/>
    </row>
    <row r="6446" spans="1:9" x14ac:dyDescent="0.3">
      <c r="A6446" t="s">
        <v>3</v>
      </c>
      <c r="B6446" t="s">
        <v>16</v>
      </c>
      <c r="C6446" t="s">
        <v>123</v>
      </c>
      <c r="D6446" s="9" t="s">
        <v>124</v>
      </c>
      <c r="E6446" t="s">
        <v>32</v>
      </c>
      <c r="F6446" t="s">
        <v>61</v>
      </c>
      <c r="G6446">
        <v>407.3</v>
      </c>
      <c r="H6446" s="9">
        <v>13.49</v>
      </c>
      <c r="I6446"/>
    </row>
    <row r="6447" spans="1:9" x14ac:dyDescent="0.3">
      <c r="A6447" t="s">
        <v>3</v>
      </c>
      <c r="B6447" t="s">
        <v>16</v>
      </c>
      <c r="C6447" t="s">
        <v>125</v>
      </c>
      <c r="D6447" s="9" t="s">
        <v>124</v>
      </c>
      <c r="E6447" t="s">
        <v>33</v>
      </c>
      <c r="F6447" t="s">
        <v>63</v>
      </c>
      <c r="G6447">
        <v>324.60000000000002</v>
      </c>
      <c r="H6447" s="9">
        <v>5.46</v>
      </c>
      <c r="I6447"/>
    </row>
    <row r="6448" spans="1:9" x14ac:dyDescent="0.3">
      <c r="A6448" t="s">
        <v>3</v>
      </c>
      <c r="B6448" t="s">
        <v>16</v>
      </c>
      <c r="C6448" t="s">
        <v>126</v>
      </c>
      <c r="D6448" s="9" t="s">
        <v>124</v>
      </c>
      <c r="E6448" t="s">
        <v>34</v>
      </c>
      <c r="F6448" t="s">
        <v>65</v>
      </c>
      <c r="G6448">
        <v>411.9</v>
      </c>
      <c r="H6448" s="9">
        <v>5.32</v>
      </c>
      <c r="I6448"/>
    </row>
    <row r="6449" spans="1:9" x14ac:dyDescent="0.3">
      <c r="A6449" t="s">
        <v>3</v>
      </c>
      <c r="B6449" t="s">
        <v>16</v>
      </c>
      <c r="C6449" t="s">
        <v>127</v>
      </c>
      <c r="D6449" s="9" t="s">
        <v>124</v>
      </c>
      <c r="E6449" t="s">
        <v>35</v>
      </c>
      <c r="F6449" t="s">
        <v>67</v>
      </c>
      <c r="G6449">
        <v>451.2</v>
      </c>
      <c r="H6449" s="9">
        <v>4.74</v>
      </c>
      <c r="I6449"/>
    </row>
    <row r="6450" spans="1:9" x14ac:dyDescent="0.3">
      <c r="A6450" t="s">
        <v>3</v>
      </c>
      <c r="B6450" t="s">
        <v>16</v>
      </c>
      <c r="C6450" t="s">
        <v>128</v>
      </c>
      <c r="D6450" s="9" t="s">
        <v>124</v>
      </c>
      <c r="E6450" t="s">
        <v>36</v>
      </c>
      <c r="F6450" t="s">
        <v>69</v>
      </c>
      <c r="G6450">
        <v>440.4</v>
      </c>
      <c r="H6450" s="9">
        <v>1.92</v>
      </c>
      <c r="I6450"/>
    </row>
    <row r="6451" spans="1:9" x14ac:dyDescent="0.3">
      <c r="A6451" t="s">
        <v>3</v>
      </c>
      <c r="B6451" t="s">
        <v>16</v>
      </c>
      <c r="C6451" t="s">
        <v>129</v>
      </c>
      <c r="D6451" s="9" t="s">
        <v>124</v>
      </c>
      <c r="E6451" t="s">
        <v>37</v>
      </c>
      <c r="F6451" t="s">
        <v>71</v>
      </c>
      <c r="G6451">
        <v>428.8</v>
      </c>
      <c r="H6451" s="9">
        <v>-0.65</v>
      </c>
      <c r="I6451"/>
    </row>
    <row r="6452" spans="1:9" x14ac:dyDescent="0.3">
      <c r="A6452" t="s">
        <v>3</v>
      </c>
      <c r="B6452" t="s">
        <v>16</v>
      </c>
      <c r="C6452" t="s">
        <v>130</v>
      </c>
      <c r="D6452" s="9" t="s">
        <v>124</v>
      </c>
      <c r="E6452" t="s">
        <v>38</v>
      </c>
      <c r="F6452" t="s">
        <v>73</v>
      </c>
      <c r="G6452">
        <v>413.1</v>
      </c>
      <c r="H6452" s="9">
        <v>-0.02</v>
      </c>
      <c r="I6452"/>
    </row>
    <row r="6453" spans="1:9" x14ac:dyDescent="0.3">
      <c r="A6453" t="s">
        <v>3</v>
      </c>
      <c r="B6453" t="s">
        <v>16</v>
      </c>
      <c r="C6453" t="s">
        <v>131</v>
      </c>
      <c r="D6453" s="9" t="s">
        <v>124</v>
      </c>
      <c r="E6453" t="s">
        <v>39</v>
      </c>
      <c r="F6453" t="s">
        <v>75</v>
      </c>
      <c r="G6453">
        <v>388.7</v>
      </c>
      <c r="H6453" s="9">
        <v>0.65</v>
      </c>
      <c r="I6453"/>
    </row>
    <row r="6454" spans="1:9" x14ac:dyDescent="0.3">
      <c r="A6454" t="s">
        <v>3</v>
      </c>
      <c r="B6454" t="s">
        <v>16</v>
      </c>
      <c r="C6454" t="s">
        <v>132</v>
      </c>
      <c r="D6454" s="9" t="s">
        <v>124</v>
      </c>
      <c r="E6454" t="s">
        <v>40</v>
      </c>
      <c r="F6454" t="s">
        <v>77</v>
      </c>
      <c r="G6454">
        <v>422.2</v>
      </c>
      <c r="H6454" s="9">
        <v>2.35</v>
      </c>
      <c r="I6454"/>
    </row>
    <row r="6455" spans="1:9" x14ac:dyDescent="0.3">
      <c r="A6455" t="s">
        <v>3</v>
      </c>
      <c r="B6455" t="s">
        <v>16</v>
      </c>
      <c r="C6455" t="s">
        <v>133</v>
      </c>
      <c r="D6455" s="9" t="s">
        <v>124</v>
      </c>
      <c r="E6455" t="s">
        <v>41</v>
      </c>
      <c r="F6455" t="s">
        <v>79</v>
      </c>
      <c r="G6455">
        <v>432.5</v>
      </c>
      <c r="H6455" s="9">
        <v>0.14000000000000001</v>
      </c>
      <c r="I6455"/>
    </row>
    <row r="6456" spans="1:9" x14ac:dyDescent="0.3">
      <c r="A6456" t="s">
        <v>3</v>
      </c>
      <c r="B6456" t="s">
        <v>16</v>
      </c>
      <c r="C6456" t="s">
        <v>134</v>
      </c>
      <c r="D6456" s="9" t="s">
        <v>124</v>
      </c>
      <c r="E6456" t="s">
        <v>42</v>
      </c>
      <c r="F6456" t="s">
        <v>81</v>
      </c>
      <c r="G6456">
        <v>568.79999999999995</v>
      </c>
      <c r="H6456" s="9">
        <v>4.37</v>
      </c>
      <c r="I6456"/>
    </row>
    <row r="6457" spans="1:9" x14ac:dyDescent="0.3">
      <c r="A6457" t="s">
        <v>3</v>
      </c>
      <c r="B6457" t="s">
        <v>16</v>
      </c>
      <c r="C6457" t="s">
        <v>135</v>
      </c>
      <c r="D6457" s="9" t="s">
        <v>124</v>
      </c>
      <c r="E6457" t="s">
        <v>43</v>
      </c>
      <c r="F6457" t="s">
        <v>83</v>
      </c>
      <c r="G6457">
        <v>767.8</v>
      </c>
      <c r="H6457" s="9">
        <v>3.93</v>
      </c>
      <c r="I6457"/>
    </row>
    <row r="6458" spans="1:9" x14ac:dyDescent="0.3">
      <c r="A6458" t="s">
        <v>3</v>
      </c>
      <c r="B6458" t="s">
        <v>16</v>
      </c>
      <c r="C6458" t="s">
        <v>136</v>
      </c>
      <c r="D6458" s="9" t="s">
        <v>137</v>
      </c>
      <c r="E6458" t="s">
        <v>32</v>
      </c>
      <c r="F6458" t="s">
        <v>61</v>
      </c>
      <c r="G6458">
        <v>407.3</v>
      </c>
      <c r="H6458" s="9">
        <v>0</v>
      </c>
      <c r="I6458"/>
    </row>
    <row r="6459" spans="1:9" x14ac:dyDescent="0.3">
      <c r="A6459" t="s">
        <v>3</v>
      </c>
      <c r="B6459" t="s">
        <v>16</v>
      </c>
      <c r="C6459" t="s">
        <v>138</v>
      </c>
      <c r="D6459" s="9" t="s">
        <v>137</v>
      </c>
      <c r="E6459" t="s">
        <v>33</v>
      </c>
      <c r="F6459" t="s">
        <v>63</v>
      </c>
      <c r="G6459">
        <v>352.3</v>
      </c>
      <c r="H6459" s="9">
        <v>8.5299999999999994</v>
      </c>
      <c r="I6459"/>
    </row>
    <row r="6460" spans="1:9" x14ac:dyDescent="0.3">
      <c r="A6460" t="s">
        <v>3</v>
      </c>
      <c r="B6460" t="s">
        <v>16</v>
      </c>
      <c r="C6460" t="s">
        <v>139</v>
      </c>
      <c r="D6460" s="9" t="s">
        <v>137</v>
      </c>
      <c r="E6460" t="s">
        <v>34</v>
      </c>
      <c r="F6460" t="s">
        <v>65</v>
      </c>
      <c r="G6460">
        <v>421.5</v>
      </c>
      <c r="H6460" s="9">
        <v>2.33</v>
      </c>
      <c r="I6460"/>
    </row>
    <row r="6461" spans="1:9" x14ac:dyDescent="0.3">
      <c r="A6461" t="s">
        <v>3</v>
      </c>
      <c r="B6461" t="s">
        <v>16</v>
      </c>
      <c r="C6461" t="s">
        <v>140</v>
      </c>
      <c r="D6461" s="9" t="s">
        <v>137</v>
      </c>
      <c r="E6461" t="s">
        <v>35</v>
      </c>
      <c r="F6461" t="s">
        <v>67</v>
      </c>
      <c r="G6461">
        <v>441.1</v>
      </c>
      <c r="H6461" s="9">
        <v>-2.2400000000000002</v>
      </c>
      <c r="I6461"/>
    </row>
    <row r="6462" spans="1:9" x14ac:dyDescent="0.3">
      <c r="A6462" t="s">
        <v>3</v>
      </c>
      <c r="B6462" t="s">
        <v>16</v>
      </c>
      <c r="C6462" t="s">
        <v>141</v>
      </c>
      <c r="D6462" s="9" t="s">
        <v>137</v>
      </c>
      <c r="E6462" t="s">
        <v>36</v>
      </c>
      <c r="F6462" t="s">
        <v>69</v>
      </c>
      <c r="G6462">
        <v>431.4</v>
      </c>
      <c r="H6462" s="9">
        <v>-2.04</v>
      </c>
      <c r="I6462"/>
    </row>
    <row r="6463" spans="1:9" x14ac:dyDescent="0.3">
      <c r="A6463" t="s">
        <v>3</v>
      </c>
      <c r="B6463" t="s">
        <v>16</v>
      </c>
      <c r="C6463" t="s">
        <v>142</v>
      </c>
      <c r="D6463" s="9" t="s">
        <v>137</v>
      </c>
      <c r="E6463" t="s">
        <v>37</v>
      </c>
      <c r="F6463" t="s">
        <v>71</v>
      </c>
      <c r="G6463">
        <v>438.1</v>
      </c>
      <c r="H6463" s="9">
        <v>2.17</v>
      </c>
      <c r="I6463"/>
    </row>
    <row r="6464" spans="1:9" x14ac:dyDescent="0.3">
      <c r="A6464" t="s">
        <v>3</v>
      </c>
      <c r="B6464" t="s">
        <v>16</v>
      </c>
      <c r="C6464" t="s">
        <v>143</v>
      </c>
      <c r="D6464" s="9" t="s">
        <v>137</v>
      </c>
      <c r="E6464" t="s">
        <v>38</v>
      </c>
      <c r="F6464" t="s">
        <v>73</v>
      </c>
      <c r="G6464">
        <v>414.5</v>
      </c>
      <c r="H6464" s="9">
        <v>0.34</v>
      </c>
      <c r="I6464"/>
    </row>
    <row r="6465" spans="1:9" x14ac:dyDescent="0.3">
      <c r="A6465" t="s">
        <v>3</v>
      </c>
      <c r="B6465" t="s">
        <v>16</v>
      </c>
      <c r="C6465" t="s">
        <v>144</v>
      </c>
      <c r="D6465" s="9" t="s">
        <v>137</v>
      </c>
      <c r="E6465" t="s">
        <v>39</v>
      </c>
      <c r="F6465" t="s">
        <v>75</v>
      </c>
      <c r="G6465">
        <v>397.9</v>
      </c>
      <c r="H6465" s="9">
        <v>2.37</v>
      </c>
      <c r="I6465"/>
    </row>
    <row r="6466" spans="1:9" x14ac:dyDescent="0.3">
      <c r="A6466" t="s">
        <v>3</v>
      </c>
      <c r="B6466" t="s">
        <v>16</v>
      </c>
      <c r="C6466" t="s">
        <v>145</v>
      </c>
      <c r="D6466" s="9" t="s">
        <v>137</v>
      </c>
      <c r="E6466" t="s">
        <v>40</v>
      </c>
      <c r="F6466" t="s">
        <v>77</v>
      </c>
      <c r="G6466">
        <v>400.4</v>
      </c>
      <c r="H6466" s="9">
        <v>-5.16</v>
      </c>
      <c r="I6466"/>
    </row>
    <row r="6467" spans="1:9" x14ac:dyDescent="0.3">
      <c r="A6467" t="s">
        <v>3</v>
      </c>
      <c r="B6467" t="s">
        <v>16</v>
      </c>
      <c r="C6467" t="s">
        <v>146</v>
      </c>
      <c r="D6467" s="9" t="s">
        <v>137</v>
      </c>
      <c r="E6467" t="s">
        <v>41</v>
      </c>
      <c r="F6467" t="s">
        <v>79</v>
      </c>
      <c r="G6467">
        <v>441</v>
      </c>
      <c r="H6467" s="9">
        <v>1.97</v>
      </c>
      <c r="I6467"/>
    </row>
    <row r="6468" spans="1:9" x14ac:dyDescent="0.3">
      <c r="A6468" t="s">
        <v>3</v>
      </c>
      <c r="B6468" t="s">
        <v>16</v>
      </c>
      <c r="C6468" t="s">
        <v>147</v>
      </c>
      <c r="D6468" s="9" t="s">
        <v>137</v>
      </c>
      <c r="E6468" t="s">
        <v>42</v>
      </c>
      <c r="F6468" t="s">
        <v>81</v>
      </c>
      <c r="G6468">
        <v>568.79999999999995</v>
      </c>
      <c r="H6468" s="9">
        <v>0</v>
      </c>
      <c r="I6468"/>
    </row>
    <row r="6469" spans="1:9" x14ac:dyDescent="0.3">
      <c r="A6469" t="s">
        <v>3</v>
      </c>
      <c r="B6469" t="s">
        <v>16</v>
      </c>
      <c r="C6469" t="s">
        <v>148</v>
      </c>
      <c r="D6469" s="9" t="s">
        <v>137</v>
      </c>
      <c r="E6469" t="s">
        <v>43</v>
      </c>
      <c r="F6469" t="s">
        <v>83</v>
      </c>
      <c r="G6469">
        <v>774.5</v>
      </c>
      <c r="H6469" s="9">
        <v>0.87</v>
      </c>
      <c r="I6469"/>
    </row>
    <row r="6470" spans="1:9" x14ac:dyDescent="0.3">
      <c r="A6470" t="s">
        <v>3</v>
      </c>
      <c r="B6470" t="s">
        <v>16</v>
      </c>
      <c r="C6470" t="s">
        <v>149</v>
      </c>
      <c r="D6470" s="9" t="s">
        <v>150</v>
      </c>
      <c r="E6470" t="s">
        <v>32</v>
      </c>
      <c r="F6470" t="s">
        <v>61</v>
      </c>
      <c r="G6470">
        <v>415.8</v>
      </c>
      <c r="H6470" s="9">
        <v>2.09</v>
      </c>
      <c r="I6470"/>
    </row>
    <row r="6471" spans="1:9" x14ac:dyDescent="0.3">
      <c r="A6471" t="s">
        <v>3</v>
      </c>
      <c r="B6471" t="s">
        <v>16</v>
      </c>
      <c r="C6471" t="s">
        <v>151</v>
      </c>
      <c r="D6471" s="9" t="s">
        <v>150</v>
      </c>
      <c r="E6471" t="s">
        <v>33</v>
      </c>
      <c r="F6471" t="s">
        <v>63</v>
      </c>
      <c r="G6471">
        <v>345.3</v>
      </c>
      <c r="H6471" s="9">
        <v>-1.99</v>
      </c>
      <c r="I6471"/>
    </row>
    <row r="6472" spans="1:9" x14ac:dyDescent="0.3">
      <c r="A6472" t="s">
        <v>3</v>
      </c>
      <c r="B6472" t="s">
        <v>16</v>
      </c>
      <c r="C6472" t="s">
        <v>152</v>
      </c>
      <c r="D6472" s="9" t="s">
        <v>150</v>
      </c>
      <c r="E6472" t="s">
        <v>34</v>
      </c>
      <c r="F6472" t="s">
        <v>65</v>
      </c>
      <c r="G6472">
        <v>425</v>
      </c>
      <c r="H6472" s="9">
        <v>0.83</v>
      </c>
      <c r="I6472"/>
    </row>
    <row r="6473" spans="1:9" x14ac:dyDescent="0.3">
      <c r="A6473" t="s">
        <v>3</v>
      </c>
      <c r="B6473" t="s">
        <v>16</v>
      </c>
      <c r="C6473" t="s">
        <v>153</v>
      </c>
      <c r="D6473" s="9" t="s">
        <v>150</v>
      </c>
      <c r="E6473" t="s">
        <v>35</v>
      </c>
      <c r="F6473" t="s">
        <v>67</v>
      </c>
      <c r="G6473">
        <v>433</v>
      </c>
      <c r="H6473" s="9">
        <v>-1.84</v>
      </c>
      <c r="I6473"/>
    </row>
    <row r="6474" spans="1:9" x14ac:dyDescent="0.3">
      <c r="A6474" t="s">
        <v>3</v>
      </c>
      <c r="B6474" t="s">
        <v>16</v>
      </c>
      <c r="C6474" t="s">
        <v>154</v>
      </c>
      <c r="D6474" s="9" t="s">
        <v>150</v>
      </c>
      <c r="E6474" t="s">
        <v>36</v>
      </c>
      <c r="F6474" t="s">
        <v>69</v>
      </c>
      <c r="G6474">
        <v>456.9</v>
      </c>
      <c r="H6474" s="9">
        <v>5.91</v>
      </c>
      <c r="I6474"/>
    </row>
    <row r="6475" spans="1:9" x14ac:dyDescent="0.3">
      <c r="A6475" t="s">
        <v>3</v>
      </c>
      <c r="B6475" t="s">
        <v>16</v>
      </c>
      <c r="C6475" t="s">
        <v>155</v>
      </c>
      <c r="D6475" s="9" t="s">
        <v>150</v>
      </c>
      <c r="E6475" t="s">
        <v>37</v>
      </c>
      <c r="F6475" t="s">
        <v>71</v>
      </c>
      <c r="G6475">
        <v>463.1</v>
      </c>
      <c r="H6475" s="9">
        <v>5.71</v>
      </c>
      <c r="I6475"/>
    </row>
    <row r="6476" spans="1:9" x14ac:dyDescent="0.3">
      <c r="A6476" t="s">
        <v>3</v>
      </c>
      <c r="B6476" t="s">
        <v>13</v>
      </c>
      <c r="C6476" t="s">
        <v>59</v>
      </c>
      <c r="D6476" s="9" t="s">
        <v>60</v>
      </c>
      <c r="E6476" t="s">
        <v>32</v>
      </c>
      <c r="F6476" t="s">
        <v>61</v>
      </c>
      <c r="G6476">
        <v>466.5</v>
      </c>
      <c r="I6476"/>
    </row>
    <row r="6477" spans="1:9" x14ac:dyDescent="0.3">
      <c r="A6477" t="s">
        <v>3</v>
      </c>
      <c r="B6477" t="s">
        <v>13</v>
      </c>
      <c r="C6477" t="s">
        <v>62</v>
      </c>
      <c r="D6477" s="9" t="s">
        <v>60</v>
      </c>
      <c r="E6477" t="s">
        <v>33</v>
      </c>
      <c r="F6477" t="s">
        <v>63</v>
      </c>
      <c r="G6477">
        <v>408.5</v>
      </c>
      <c r="I6477"/>
    </row>
    <row r="6478" spans="1:9" x14ac:dyDescent="0.3">
      <c r="A6478" t="s">
        <v>3</v>
      </c>
      <c r="B6478" t="s">
        <v>13</v>
      </c>
      <c r="C6478" t="s">
        <v>64</v>
      </c>
      <c r="D6478" s="9" t="s">
        <v>60</v>
      </c>
      <c r="E6478" t="s">
        <v>34</v>
      </c>
      <c r="F6478" t="s">
        <v>65</v>
      </c>
      <c r="G6478">
        <v>436.4</v>
      </c>
      <c r="I6478"/>
    </row>
    <row r="6479" spans="1:9" x14ac:dyDescent="0.3">
      <c r="A6479" t="s">
        <v>3</v>
      </c>
      <c r="B6479" t="s">
        <v>13</v>
      </c>
      <c r="C6479" t="s">
        <v>66</v>
      </c>
      <c r="D6479" s="9" t="s">
        <v>60</v>
      </c>
      <c r="E6479" t="s">
        <v>35</v>
      </c>
      <c r="F6479" t="s">
        <v>67</v>
      </c>
      <c r="G6479">
        <v>405.7</v>
      </c>
      <c r="I6479"/>
    </row>
    <row r="6480" spans="1:9" x14ac:dyDescent="0.3">
      <c r="A6480" t="s">
        <v>3</v>
      </c>
      <c r="B6480" t="s">
        <v>13</v>
      </c>
      <c r="C6480" t="s">
        <v>68</v>
      </c>
      <c r="D6480" s="9" t="s">
        <v>60</v>
      </c>
      <c r="E6480" t="s">
        <v>36</v>
      </c>
      <c r="F6480" t="s">
        <v>69</v>
      </c>
      <c r="G6480">
        <v>453.8</v>
      </c>
      <c r="I6480"/>
    </row>
    <row r="6481" spans="1:9" x14ac:dyDescent="0.3">
      <c r="A6481" t="s">
        <v>3</v>
      </c>
      <c r="B6481" t="s">
        <v>13</v>
      </c>
      <c r="C6481" t="s">
        <v>70</v>
      </c>
      <c r="D6481" s="9" t="s">
        <v>60</v>
      </c>
      <c r="E6481" t="s">
        <v>37</v>
      </c>
      <c r="F6481" t="s">
        <v>71</v>
      </c>
      <c r="G6481">
        <v>533.1</v>
      </c>
      <c r="I6481"/>
    </row>
    <row r="6482" spans="1:9" x14ac:dyDescent="0.3">
      <c r="A6482" t="s">
        <v>3</v>
      </c>
      <c r="B6482" t="s">
        <v>13</v>
      </c>
      <c r="C6482" t="s">
        <v>72</v>
      </c>
      <c r="D6482" s="9" t="s">
        <v>60</v>
      </c>
      <c r="E6482" t="s">
        <v>38</v>
      </c>
      <c r="F6482" t="s">
        <v>73</v>
      </c>
      <c r="G6482">
        <v>463.6</v>
      </c>
      <c r="I6482"/>
    </row>
    <row r="6483" spans="1:9" x14ac:dyDescent="0.3">
      <c r="A6483" t="s">
        <v>3</v>
      </c>
      <c r="B6483" t="s">
        <v>13</v>
      </c>
      <c r="C6483" t="s">
        <v>74</v>
      </c>
      <c r="D6483" s="9" t="s">
        <v>60</v>
      </c>
      <c r="E6483" t="s">
        <v>39</v>
      </c>
      <c r="F6483" t="s">
        <v>75</v>
      </c>
      <c r="G6483">
        <v>457.9</v>
      </c>
      <c r="I6483"/>
    </row>
    <row r="6484" spans="1:9" x14ac:dyDescent="0.3">
      <c r="A6484" t="s">
        <v>3</v>
      </c>
      <c r="B6484" t="s">
        <v>13</v>
      </c>
      <c r="C6484" t="s">
        <v>76</v>
      </c>
      <c r="D6484" s="9" t="s">
        <v>60</v>
      </c>
      <c r="E6484" t="s">
        <v>40</v>
      </c>
      <c r="F6484" t="s">
        <v>77</v>
      </c>
      <c r="G6484">
        <v>443.9</v>
      </c>
      <c r="I6484"/>
    </row>
    <row r="6485" spans="1:9" x14ac:dyDescent="0.3">
      <c r="A6485" t="s">
        <v>3</v>
      </c>
      <c r="B6485" t="s">
        <v>13</v>
      </c>
      <c r="C6485" t="s">
        <v>78</v>
      </c>
      <c r="D6485" s="9" t="s">
        <v>60</v>
      </c>
      <c r="E6485" t="s">
        <v>41</v>
      </c>
      <c r="F6485" t="s">
        <v>79</v>
      </c>
      <c r="G6485">
        <v>455.7</v>
      </c>
      <c r="I6485"/>
    </row>
    <row r="6486" spans="1:9" x14ac:dyDescent="0.3">
      <c r="A6486" t="s">
        <v>3</v>
      </c>
      <c r="B6486" t="s">
        <v>13</v>
      </c>
      <c r="C6486" t="s">
        <v>80</v>
      </c>
      <c r="D6486" s="9" t="s">
        <v>60</v>
      </c>
      <c r="E6486" t="s">
        <v>42</v>
      </c>
      <c r="F6486" t="s">
        <v>81</v>
      </c>
      <c r="G6486">
        <v>561.9</v>
      </c>
      <c r="I6486"/>
    </row>
    <row r="6487" spans="1:9" x14ac:dyDescent="0.3">
      <c r="A6487" t="s">
        <v>3</v>
      </c>
      <c r="B6487" t="s">
        <v>13</v>
      </c>
      <c r="C6487" t="s">
        <v>82</v>
      </c>
      <c r="D6487" s="9" t="s">
        <v>60</v>
      </c>
      <c r="E6487" t="s">
        <v>43</v>
      </c>
      <c r="F6487" t="s">
        <v>83</v>
      </c>
      <c r="G6487">
        <v>761.8</v>
      </c>
      <c r="I6487"/>
    </row>
    <row r="6488" spans="1:9" x14ac:dyDescent="0.3">
      <c r="A6488" t="s">
        <v>3</v>
      </c>
      <c r="B6488" t="s">
        <v>13</v>
      </c>
      <c r="C6488" t="s">
        <v>84</v>
      </c>
      <c r="D6488" s="9" t="s">
        <v>85</v>
      </c>
      <c r="E6488" t="s">
        <v>32</v>
      </c>
      <c r="F6488" t="s">
        <v>61</v>
      </c>
      <c r="G6488">
        <v>478.2</v>
      </c>
      <c r="H6488" s="9">
        <v>2.5099999999999998</v>
      </c>
      <c r="I6488"/>
    </row>
    <row r="6489" spans="1:9" x14ac:dyDescent="0.3">
      <c r="A6489" t="s">
        <v>3</v>
      </c>
      <c r="B6489" t="s">
        <v>13</v>
      </c>
      <c r="C6489" t="s">
        <v>86</v>
      </c>
      <c r="D6489" s="9" t="s">
        <v>85</v>
      </c>
      <c r="E6489" t="s">
        <v>33</v>
      </c>
      <c r="F6489" t="s">
        <v>63</v>
      </c>
      <c r="G6489">
        <v>426.9</v>
      </c>
      <c r="H6489" s="9">
        <v>4.5</v>
      </c>
      <c r="I6489"/>
    </row>
    <row r="6490" spans="1:9" x14ac:dyDescent="0.3">
      <c r="A6490" t="s">
        <v>3</v>
      </c>
      <c r="B6490" t="s">
        <v>13</v>
      </c>
      <c r="C6490" t="s">
        <v>87</v>
      </c>
      <c r="D6490" s="9" t="s">
        <v>85</v>
      </c>
      <c r="E6490" t="s">
        <v>34</v>
      </c>
      <c r="F6490" t="s">
        <v>65</v>
      </c>
      <c r="G6490">
        <v>492.7</v>
      </c>
      <c r="H6490" s="9">
        <v>12.9</v>
      </c>
      <c r="I6490"/>
    </row>
    <row r="6491" spans="1:9" x14ac:dyDescent="0.3">
      <c r="A6491" t="s">
        <v>3</v>
      </c>
      <c r="B6491" t="s">
        <v>13</v>
      </c>
      <c r="C6491" t="s">
        <v>88</v>
      </c>
      <c r="D6491" s="9" t="s">
        <v>85</v>
      </c>
      <c r="E6491" t="s">
        <v>35</v>
      </c>
      <c r="F6491" t="s">
        <v>67</v>
      </c>
      <c r="G6491">
        <v>454.2</v>
      </c>
      <c r="H6491" s="9">
        <v>11.95</v>
      </c>
      <c r="I6491"/>
    </row>
    <row r="6492" spans="1:9" x14ac:dyDescent="0.3">
      <c r="A6492" t="s">
        <v>3</v>
      </c>
      <c r="B6492" t="s">
        <v>13</v>
      </c>
      <c r="C6492" t="s">
        <v>89</v>
      </c>
      <c r="D6492" s="9" t="s">
        <v>85</v>
      </c>
      <c r="E6492" t="s">
        <v>36</v>
      </c>
      <c r="F6492" t="s">
        <v>69</v>
      </c>
      <c r="G6492">
        <v>571.1</v>
      </c>
      <c r="H6492" s="9">
        <v>25.85</v>
      </c>
      <c r="I6492"/>
    </row>
    <row r="6493" spans="1:9" x14ac:dyDescent="0.3">
      <c r="A6493" t="s">
        <v>3</v>
      </c>
      <c r="B6493" t="s">
        <v>13</v>
      </c>
      <c r="C6493" t="s">
        <v>90</v>
      </c>
      <c r="D6493" s="9" t="s">
        <v>85</v>
      </c>
      <c r="E6493" t="s">
        <v>37</v>
      </c>
      <c r="F6493" t="s">
        <v>71</v>
      </c>
      <c r="G6493">
        <v>621.9</v>
      </c>
      <c r="H6493" s="9">
        <v>16.66</v>
      </c>
      <c r="I6493"/>
    </row>
    <row r="6494" spans="1:9" x14ac:dyDescent="0.3">
      <c r="A6494" t="s">
        <v>3</v>
      </c>
      <c r="B6494" t="s">
        <v>13</v>
      </c>
      <c r="C6494" t="s">
        <v>91</v>
      </c>
      <c r="D6494" s="9" t="s">
        <v>85</v>
      </c>
      <c r="E6494" t="s">
        <v>38</v>
      </c>
      <c r="F6494" t="s">
        <v>73</v>
      </c>
      <c r="G6494">
        <v>589.70000000000005</v>
      </c>
      <c r="H6494" s="9">
        <v>27.2</v>
      </c>
      <c r="I6494"/>
    </row>
    <row r="6495" spans="1:9" x14ac:dyDescent="0.3">
      <c r="A6495" t="s">
        <v>3</v>
      </c>
      <c r="B6495" t="s">
        <v>13</v>
      </c>
      <c r="C6495" t="s">
        <v>92</v>
      </c>
      <c r="D6495" s="9" t="s">
        <v>85</v>
      </c>
      <c r="E6495" t="s">
        <v>39</v>
      </c>
      <c r="F6495" t="s">
        <v>75</v>
      </c>
      <c r="G6495">
        <v>393.1</v>
      </c>
      <c r="H6495" s="9">
        <v>-14.15</v>
      </c>
      <c r="I6495"/>
    </row>
    <row r="6496" spans="1:9" x14ac:dyDescent="0.3">
      <c r="A6496" t="s">
        <v>3</v>
      </c>
      <c r="B6496" t="s">
        <v>13</v>
      </c>
      <c r="C6496" t="s">
        <v>93</v>
      </c>
      <c r="D6496" s="9" t="s">
        <v>85</v>
      </c>
      <c r="E6496" t="s">
        <v>40</v>
      </c>
      <c r="F6496" t="s">
        <v>77</v>
      </c>
      <c r="G6496">
        <v>396.1</v>
      </c>
      <c r="H6496" s="9">
        <v>-10.77</v>
      </c>
      <c r="I6496"/>
    </row>
    <row r="6497" spans="1:9" x14ac:dyDescent="0.3">
      <c r="A6497" t="s">
        <v>3</v>
      </c>
      <c r="B6497" t="s">
        <v>13</v>
      </c>
      <c r="C6497" t="s">
        <v>94</v>
      </c>
      <c r="D6497" s="9" t="s">
        <v>85</v>
      </c>
      <c r="E6497" t="s">
        <v>41</v>
      </c>
      <c r="F6497" t="s">
        <v>79</v>
      </c>
      <c r="G6497">
        <v>416.3</v>
      </c>
      <c r="H6497" s="9">
        <v>-8.65</v>
      </c>
      <c r="I6497"/>
    </row>
    <row r="6498" spans="1:9" x14ac:dyDescent="0.3">
      <c r="A6498" t="s">
        <v>3</v>
      </c>
      <c r="B6498" t="s">
        <v>13</v>
      </c>
      <c r="C6498" t="s">
        <v>95</v>
      </c>
      <c r="D6498" s="9" t="s">
        <v>85</v>
      </c>
      <c r="E6498" t="s">
        <v>42</v>
      </c>
      <c r="F6498" t="s">
        <v>81</v>
      </c>
      <c r="G6498">
        <v>781.4</v>
      </c>
      <c r="H6498" s="9">
        <v>39.06</v>
      </c>
      <c r="I6498"/>
    </row>
    <row r="6499" spans="1:9" x14ac:dyDescent="0.3">
      <c r="A6499" t="s">
        <v>3</v>
      </c>
      <c r="B6499" t="s">
        <v>13</v>
      </c>
      <c r="C6499" t="s">
        <v>96</v>
      </c>
      <c r="D6499" s="9" t="s">
        <v>85</v>
      </c>
      <c r="E6499" t="s">
        <v>43</v>
      </c>
      <c r="F6499" t="s">
        <v>83</v>
      </c>
      <c r="G6499">
        <v>817.7</v>
      </c>
      <c r="H6499" s="9">
        <v>7.34</v>
      </c>
      <c r="I6499"/>
    </row>
    <row r="6500" spans="1:9" x14ac:dyDescent="0.3">
      <c r="A6500" t="s">
        <v>3</v>
      </c>
      <c r="B6500" t="s">
        <v>13</v>
      </c>
      <c r="C6500" t="s">
        <v>97</v>
      </c>
      <c r="D6500" s="9" t="s">
        <v>98</v>
      </c>
      <c r="E6500" t="s">
        <v>32</v>
      </c>
      <c r="F6500" t="s">
        <v>61</v>
      </c>
      <c r="G6500">
        <v>545.5</v>
      </c>
      <c r="H6500" s="9">
        <v>14.07</v>
      </c>
      <c r="I6500"/>
    </row>
    <row r="6501" spans="1:9" x14ac:dyDescent="0.3">
      <c r="A6501" t="s">
        <v>3</v>
      </c>
      <c r="B6501" t="s">
        <v>13</v>
      </c>
      <c r="C6501" t="s">
        <v>99</v>
      </c>
      <c r="D6501" s="9" t="s">
        <v>98</v>
      </c>
      <c r="E6501" t="s">
        <v>33</v>
      </c>
      <c r="F6501" t="s">
        <v>63</v>
      </c>
      <c r="G6501">
        <v>482</v>
      </c>
      <c r="H6501" s="9">
        <v>12.91</v>
      </c>
      <c r="I6501"/>
    </row>
    <row r="6502" spans="1:9" x14ac:dyDescent="0.3">
      <c r="A6502" t="s">
        <v>3</v>
      </c>
      <c r="B6502" t="s">
        <v>13</v>
      </c>
      <c r="C6502" t="s">
        <v>100</v>
      </c>
      <c r="D6502" s="9" t="s">
        <v>98</v>
      </c>
      <c r="E6502" t="s">
        <v>34</v>
      </c>
      <c r="F6502" t="s">
        <v>65</v>
      </c>
      <c r="G6502">
        <v>528.9</v>
      </c>
      <c r="H6502" s="9">
        <v>7.35</v>
      </c>
      <c r="I6502"/>
    </row>
    <row r="6503" spans="1:9" x14ac:dyDescent="0.3">
      <c r="A6503" t="s">
        <v>3</v>
      </c>
      <c r="B6503" t="s">
        <v>13</v>
      </c>
      <c r="C6503" t="s">
        <v>101</v>
      </c>
      <c r="D6503" s="9" t="s">
        <v>98</v>
      </c>
      <c r="E6503" t="s">
        <v>35</v>
      </c>
      <c r="F6503" t="s">
        <v>67</v>
      </c>
      <c r="G6503">
        <v>501.3</v>
      </c>
      <c r="H6503" s="9">
        <v>10.37</v>
      </c>
      <c r="I6503"/>
    </row>
    <row r="6504" spans="1:9" x14ac:dyDescent="0.3">
      <c r="A6504" t="s">
        <v>3</v>
      </c>
      <c r="B6504" t="s">
        <v>13</v>
      </c>
      <c r="C6504" t="s">
        <v>102</v>
      </c>
      <c r="D6504" s="9" t="s">
        <v>98</v>
      </c>
      <c r="E6504" t="s">
        <v>36</v>
      </c>
      <c r="F6504" t="s">
        <v>69</v>
      </c>
      <c r="G6504">
        <v>509</v>
      </c>
      <c r="H6504" s="9">
        <v>-10.87</v>
      </c>
      <c r="I6504"/>
    </row>
    <row r="6505" spans="1:9" x14ac:dyDescent="0.3">
      <c r="A6505" t="s">
        <v>3</v>
      </c>
      <c r="B6505" t="s">
        <v>13</v>
      </c>
      <c r="C6505" t="s">
        <v>103</v>
      </c>
      <c r="D6505" s="9" t="s">
        <v>98</v>
      </c>
      <c r="E6505" t="s">
        <v>37</v>
      </c>
      <c r="F6505" t="s">
        <v>71</v>
      </c>
      <c r="G6505">
        <v>591</v>
      </c>
      <c r="H6505" s="9">
        <v>-4.97</v>
      </c>
      <c r="I6505"/>
    </row>
    <row r="6506" spans="1:9" x14ac:dyDescent="0.3">
      <c r="A6506" t="s">
        <v>3</v>
      </c>
      <c r="B6506" t="s">
        <v>13</v>
      </c>
      <c r="C6506" t="s">
        <v>104</v>
      </c>
      <c r="D6506" s="9" t="s">
        <v>98</v>
      </c>
      <c r="E6506" t="s">
        <v>38</v>
      </c>
      <c r="F6506" t="s">
        <v>73</v>
      </c>
      <c r="G6506">
        <v>538.1</v>
      </c>
      <c r="H6506" s="9">
        <v>-8.75</v>
      </c>
      <c r="I6506"/>
    </row>
    <row r="6507" spans="1:9" x14ac:dyDescent="0.3">
      <c r="A6507" t="s">
        <v>3</v>
      </c>
      <c r="B6507" t="s">
        <v>13</v>
      </c>
      <c r="C6507" t="s">
        <v>105</v>
      </c>
      <c r="D6507" s="9" t="s">
        <v>98</v>
      </c>
      <c r="E6507" t="s">
        <v>39</v>
      </c>
      <c r="F6507" t="s">
        <v>75</v>
      </c>
      <c r="G6507">
        <v>512.29999999999995</v>
      </c>
      <c r="H6507" s="9">
        <v>30.32</v>
      </c>
      <c r="I6507"/>
    </row>
    <row r="6508" spans="1:9" x14ac:dyDescent="0.3">
      <c r="A6508" t="s">
        <v>3</v>
      </c>
      <c r="B6508" t="s">
        <v>13</v>
      </c>
      <c r="C6508" t="s">
        <v>106</v>
      </c>
      <c r="D6508" s="9" t="s">
        <v>98</v>
      </c>
      <c r="E6508" t="s">
        <v>40</v>
      </c>
      <c r="F6508" t="s">
        <v>77</v>
      </c>
      <c r="G6508">
        <v>518.20000000000005</v>
      </c>
      <c r="H6508" s="9">
        <v>30.83</v>
      </c>
      <c r="I6508"/>
    </row>
    <row r="6509" spans="1:9" x14ac:dyDescent="0.3">
      <c r="A6509" t="s">
        <v>3</v>
      </c>
      <c r="B6509" t="s">
        <v>13</v>
      </c>
      <c r="C6509" t="s">
        <v>107</v>
      </c>
      <c r="D6509" s="9" t="s">
        <v>98</v>
      </c>
      <c r="E6509" t="s">
        <v>41</v>
      </c>
      <c r="F6509" t="s">
        <v>79</v>
      </c>
      <c r="G6509">
        <v>510</v>
      </c>
      <c r="H6509" s="9">
        <v>22.51</v>
      </c>
      <c r="I6509"/>
    </row>
    <row r="6510" spans="1:9" x14ac:dyDescent="0.3">
      <c r="A6510" t="s">
        <v>3</v>
      </c>
      <c r="B6510" t="s">
        <v>13</v>
      </c>
      <c r="C6510" t="s">
        <v>108</v>
      </c>
      <c r="D6510" s="9" t="s">
        <v>98</v>
      </c>
      <c r="E6510" t="s">
        <v>42</v>
      </c>
      <c r="F6510" t="s">
        <v>81</v>
      </c>
      <c r="G6510">
        <v>899.6</v>
      </c>
      <c r="H6510" s="9">
        <v>15.13</v>
      </c>
      <c r="I6510"/>
    </row>
    <row r="6511" spans="1:9" x14ac:dyDescent="0.3">
      <c r="A6511" t="s">
        <v>3</v>
      </c>
      <c r="B6511" t="s">
        <v>13</v>
      </c>
      <c r="C6511" t="s">
        <v>109</v>
      </c>
      <c r="D6511" s="9" t="s">
        <v>98</v>
      </c>
      <c r="E6511" t="s">
        <v>43</v>
      </c>
      <c r="F6511" t="s">
        <v>83</v>
      </c>
      <c r="G6511">
        <v>954.3</v>
      </c>
      <c r="H6511" s="9">
        <v>16.71</v>
      </c>
      <c r="I6511"/>
    </row>
    <row r="6512" spans="1:9" x14ac:dyDescent="0.3">
      <c r="A6512" t="s">
        <v>3</v>
      </c>
      <c r="B6512" t="s">
        <v>13</v>
      </c>
      <c r="C6512" t="s">
        <v>110</v>
      </c>
      <c r="D6512" s="9" t="s">
        <v>111</v>
      </c>
      <c r="E6512" t="s">
        <v>32</v>
      </c>
      <c r="F6512" t="s">
        <v>61</v>
      </c>
      <c r="G6512">
        <v>631.6</v>
      </c>
      <c r="H6512" s="9">
        <v>15.78</v>
      </c>
      <c r="I6512"/>
    </row>
    <row r="6513" spans="1:9" x14ac:dyDescent="0.3">
      <c r="A6513" t="s">
        <v>3</v>
      </c>
      <c r="B6513" t="s">
        <v>13</v>
      </c>
      <c r="C6513" t="s">
        <v>112</v>
      </c>
      <c r="D6513" s="9" t="s">
        <v>111</v>
      </c>
      <c r="E6513" t="s">
        <v>33</v>
      </c>
      <c r="F6513" t="s">
        <v>63</v>
      </c>
      <c r="G6513">
        <v>572.20000000000005</v>
      </c>
      <c r="H6513" s="9">
        <v>18.71</v>
      </c>
      <c r="I6513"/>
    </row>
    <row r="6514" spans="1:9" x14ac:dyDescent="0.3">
      <c r="A6514" t="s">
        <v>3</v>
      </c>
      <c r="B6514" t="s">
        <v>13</v>
      </c>
      <c r="C6514" t="s">
        <v>113</v>
      </c>
      <c r="D6514" s="9" t="s">
        <v>111</v>
      </c>
      <c r="E6514" t="s">
        <v>34</v>
      </c>
      <c r="F6514" t="s">
        <v>65</v>
      </c>
      <c r="G6514">
        <v>627.79999999999995</v>
      </c>
      <c r="H6514" s="9">
        <v>18.7</v>
      </c>
      <c r="I6514"/>
    </row>
    <row r="6515" spans="1:9" x14ac:dyDescent="0.3">
      <c r="A6515" t="s">
        <v>3</v>
      </c>
      <c r="B6515" t="s">
        <v>13</v>
      </c>
      <c r="C6515" t="s">
        <v>114</v>
      </c>
      <c r="D6515" s="9" t="s">
        <v>111</v>
      </c>
      <c r="E6515" t="s">
        <v>35</v>
      </c>
      <c r="F6515" t="s">
        <v>67</v>
      </c>
      <c r="G6515">
        <v>565.6</v>
      </c>
      <c r="H6515" s="9">
        <v>12.83</v>
      </c>
      <c r="I6515"/>
    </row>
    <row r="6516" spans="1:9" x14ac:dyDescent="0.3">
      <c r="A6516" t="s">
        <v>3</v>
      </c>
      <c r="B6516" t="s">
        <v>13</v>
      </c>
      <c r="C6516" t="s">
        <v>115</v>
      </c>
      <c r="D6516" s="9" t="s">
        <v>111</v>
      </c>
      <c r="E6516" t="s">
        <v>36</v>
      </c>
      <c r="F6516" t="s">
        <v>69</v>
      </c>
      <c r="G6516">
        <v>590</v>
      </c>
      <c r="H6516" s="9">
        <v>15.91</v>
      </c>
      <c r="I6516"/>
    </row>
    <row r="6517" spans="1:9" x14ac:dyDescent="0.3">
      <c r="A6517" t="s">
        <v>3</v>
      </c>
      <c r="B6517" t="s">
        <v>13</v>
      </c>
      <c r="C6517" t="s">
        <v>116</v>
      </c>
      <c r="D6517" s="9" t="s">
        <v>111</v>
      </c>
      <c r="E6517" t="s">
        <v>37</v>
      </c>
      <c r="F6517" t="s">
        <v>71</v>
      </c>
      <c r="G6517">
        <v>653.70000000000005</v>
      </c>
      <c r="H6517" s="9">
        <v>10.61</v>
      </c>
      <c r="I6517"/>
    </row>
    <row r="6518" spans="1:9" x14ac:dyDescent="0.3">
      <c r="A6518" t="s">
        <v>3</v>
      </c>
      <c r="B6518" t="s">
        <v>13</v>
      </c>
      <c r="C6518" t="s">
        <v>117</v>
      </c>
      <c r="D6518" s="9" t="s">
        <v>111</v>
      </c>
      <c r="E6518" t="s">
        <v>38</v>
      </c>
      <c r="F6518" t="s">
        <v>73</v>
      </c>
      <c r="G6518">
        <v>604</v>
      </c>
      <c r="H6518" s="9">
        <v>12.25</v>
      </c>
      <c r="I6518"/>
    </row>
    <row r="6519" spans="1:9" x14ac:dyDescent="0.3">
      <c r="A6519" t="s">
        <v>3</v>
      </c>
      <c r="B6519" t="s">
        <v>13</v>
      </c>
      <c r="C6519" t="s">
        <v>118</v>
      </c>
      <c r="D6519" s="9" t="s">
        <v>111</v>
      </c>
      <c r="E6519" t="s">
        <v>39</v>
      </c>
      <c r="F6519" t="s">
        <v>75</v>
      </c>
      <c r="G6519">
        <v>590.1</v>
      </c>
      <c r="H6519" s="9">
        <v>15.19</v>
      </c>
      <c r="I6519"/>
    </row>
    <row r="6520" spans="1:9" x14ac:dyDescent="0.3">
      <c r="A6520" t="s">
        <v>3</v>
      </c>
      <c r="B6520" t="s">
        <v>13</v>
      </c>
      <c r="C6520" t="s">
        <v>119</v>
      </c>
      <c r="D6520" s="9" t="s">
        <v>111</v>
      </c>
      <c r="E6520" t="s">
        <v>40</v>
      </c>
      <c r="F6520" t="s">
        <v>77</v>
      </c>
      <c r="G6520">
        <v>606.70000000000005</v>
      </c>
      <c r="H6520" s="9">
        <v>17.079999999999998</v>
      </c>
      <c r="I6520"/>
    </row>
    <row r="6521" spans="1:9" x14ac:dyDescent="0.3">
      <c r="A6521" t="s">
        <v>3</v>
      </c>
      <c r="B6521" t="s">
        <v>13</v>
      </c>
      <c r="C6521" t="s">
        <v>120</v>
      </c>
      <c r="D6521" s="9" t="s">
        <v>111</v>
      </c>
      <c r="E6521" t="s">
        <v>41</v>
      </c>
      <c r="F6521" t="s">
        <v>79</v>
      </c>
      <c r="G6521">
        <v>610.20000000000005</v>
      </c>
      <c r="H6521" s="9">
        <v>19.649999999999999</v>
      </c>
      <c r="I6521"/>
    </row>
    <row r="6522" spans="1:9" x14ac:dyDescent="0.3">
      <c r="A6522" t="s">
        <v>3</v>
      </c>
      <c r="B6522" t="s">
        <v>13</v>
      </c>
      <c r="C6522" t="s">
        <v>121</v>
      </c>
      <c r="D6522" s="9" t="s">
        <v>111</v>
      </c>
      <c r="E6522" t="s">
        <v>42</v>
      </c>
      <c r="F6522" t="s">
        <v>81</v>
      </c>
      <c r="G6522">
        <v>747.6</v>
      </c>
      <c r="H6522" s="9">
        <v>-16.899999999999999</v>
      </c>
      <c r="I6522"/>
    </row>
    <row r="6523" spans="1:9" x14ac:dyDescent="0.3">
      <c r="A6523" t="s">
        <v>3</v>
      </c>
      <c r="B6523" t="s">
        <v>13</v>
      </c>
      <c r="C6523" t="s">
        <v>122</v>
      </c>
      <c r="D6523" s="9" t="s">
        <v>111</v>
      </c>
      <c r="E6523" t="s">
        <v>43</v>
      </c>
      <c r="F6523" t="s">
        <v>83</v>
      </c>
      <c r="G6523">
        <v>843.6</v>
      </c>
      <c r="H6523" s="9">
        <v>-11.6</v>
      </c>
      <c r="I6523"/>
    </row>
    <row r="6524" spans="1:9" x14ac:dyDescent="0.3">
      <c r="A6524" t="s">
        <v>3</v>
      </c>
      <c r="B6524" t="s">
        <v>13</v>
      </c>
      <c r="C6524" t="s">
        <v>123</v>
      </c>
      <c r="D6524" s="9" t="s">
        <v>124</v>
      </c>
      <c r="E6524" t="s">
        <v>32</v>
      </c>
      <c r="F6524" t="s">
        <v>61</v>
      </c>
      <c r="G6524">
        <v>585.4</v>
      </c>
      <c r="H6524" s="9">
        <v>-7.31</v>
      </c>
      <c r="I6524"/>
    </row>
    <row r="6525" spans="1:9" x14ac:dyDescent="0.3">
      <c r="A6525" t="s">
        <v>3</v>
      </c>
      <c r="B6525" t="s">
        <v>13</v>
      </c>
      <c r="C6525" t="s">
        <v>125</v>
      </c>
      <c r="D6525" s="9" t="s">
        <v>124</v>
      </c>
      <c r="E6525" t="s">
        <v>33</v>
      </c>
      <c r="F6525" t="s">
        <v>63</v>
      </c>
      <c r="G6525">
        <v>518.1</v>
      </c>
      <c r="H6525" s="9">
        <v>-9.4499999999999993</v>
      </c>
      <c r="I6525"/>
    </row>
    <row r="6526" spans="1:9" x14ac:dyDescent="0.3">
      <c r="A6526" t="s">
        <v>3</v>
      </c>
      <c r="B6526" t="s">
        <v>13</v>
      </c>
      <c r="C6526" t="s">
        <v>126</v>
      </c>
      <c r="D6526" s="9" t="s">
        <v>124</v>
      </c>
      <c r="E6526" t="s">
        <v>34</v>
      </c>
      <c r="F6526" t="s">
        <v>65</v>
      </c>
      <c r="G6526">
        <v>556.20000000000005</v>
      </c>
      <c r="H6526" s="9">
        <v>-11.4</v>
      </c>
      <c r="I6526"/>
    </row>
    <row r="6527" spans="1:9" x14ac:dyDescent="0.3">
      <c r="A6527" t="s">
        <v>3</v>
      </c>
      <c r="B6527" t="s">
        <v>13</v>
      </c>
      <c r="C6527" t="s">
        <v>127</v>
      </c>
      <c r="D6527" s="9" t="s">
        <v>124</v>
      </c>
      <c r="E6527" t="s">
        <v>35</v>
      </c>
      <c r="F6527" t="s">
        <v>67</v>
      </c>
      <c r="G6527">
        <v>502.4</v>
      </c>
      <c r="H6527" s="9">
        <v>-11.17</v>
      </c>
      <c r="I6527"/>
    </row>
    <row r="6528" spans="1:9" x14ac:dyDescent="0.3">
      <c r="A6528" t="s">
        <v>3</v>
      </c>
      <c r="B6528" t="s">
        <v>13</v>
      </c>
      <c r="C6528" t="s">
        <v>128</v>
      </c>
      <c r="D6528" s="9" t="s">
        <v>124</v>
      </c>
      <c r="E6528" t="s">
        <v>36</v>
      </c>
      <c r="F6528" t="s">
        <v>69</v>
      </c>
      <c r="G6528">
        <v>561.79999999999995</v>
      </c>
      <c r="H6528" s="9">
        <v>-4.78</v>
      </c>
      <c r="I6528"/>
    </row>
    <row r="6529" spans="1:9" x14ac:dyDescent="0.3">
      <c r="A6529" t="s">
        <v>3</v>
      </c>
      <c r="B6529" t="s">
        <v>13</v>
      </c>
      <c r="C6529" t="s">
        <v>129</v>
      </c>
      <c r="D6529" s="9" t="s">
        <v>124</v>
      </c>
      <c r="E6529" t="s">
        <v>37</v>
      </c>
      <c r="F6529" t="s">
        <v>71</v>
      </c>
      <c r="G6529">
        <v>651.6</v>
      </c>
      <c r="H6529" s="9">
        <v>-0.32</v>
      </c>
      <c r="I6529"/>
    </row>
    <row r="6530" spans="1:9" x14ac:dyDescent="0.3">
      <c r="A6530" t="s">
        <v>3</v>
      </c>
      <c r="B6530" t="s">
        <v>13</v>
      </c>
      <c r="C6530" t="s">
        <v>130</v>
      </c>
      <c r="D6530" s="9" t="s">
        <v>124</v>
      </c>
      <c r="E6530" t="s">
        <v>38</v>
      </c>
      <c r="F6530" t="s">
        <v>73</v>
      </c>
      <c r="G6530">
        <v>559.1</v>
      </c>
      <c r="H6530" s="9">
        <v>-7.43</v>
      </c>
      <c r="I6530"/>
    </row>
    <row r="6531" spans="1:9" x14ac:dyDescent="0.3">
      <c r="A6531" t="s">
        <v>3</v>
      </c>
      <c r="B6531" t="s">
        <v>13</v>
      </c>
      <c r="C6531" t="s">
        <v>131</v>
      </c>
      <c r="D6531" s="9" t="s">
        <v>124</v>
      </c>
      <c r="E6531" t="s">
        <v>39</v>
      </c>
      <c r="F6531" t="s">
        <v>75</v>
      </c>
      <c r="G6531">
        <v>547.5</v>
      </c>
      <c r="H6531" s="9">
        <v>-7.22</v>
      </c>
      <c r="I6531"/>
    </row>
    <row r="6532" spans="1:9" x14ac:dyDescent="0.3">
      <c r="A6532" t="s">
        <v>3</v>
      </c>
      <c r="B6532" t="s">
        <v>13</v>
      </c>
      <c r="C6532" t="s">
        <v>132</v>
      </c>
      <c r="D6532" s="9" t="s">
        <v>124</v>
      </c>
      <c r="E6532" t="s">
        <v>40</v>
      </c>
      <c r="F6532" t="s">
        <v>77</v>
      </c>
      <c r="G6532">
        <v>560.6</v>
      </c>
      <c r="H6532" s="9">
        <v>-7.6</v>
      </c>
      <c r="I6532"/>
    </row>
    <row r="6533" spans="1:9" x14ac:dyDescent="0.3">
      <c r="A6533" t="s">
        <v>3</v>
      </c>
      <c r="B6533" t="s">
        <v>13</v>
      </c>
      <c r="C6533" t="s">
        <v>133</v>
      </c>
      <c r="D6533" s="9" t="s">
        <v>124</v>
      </c>
      <c r="E6533" t="s">
        <v>41</v>
      </c>
      <c r="F6533" t="s">
        <v>79</v>
      </c>
      <c r="G6533">
        <v>575.9</v>
      </c>
      <c r="H6533" s="9">
        <v>-5.62</v>
      </c>
      <c r="I6533"/>
    </row>
    <row r="6534" spans="1:9" x14ac:dyDescent="0.3">
      <c r="A6534" t="s">
        <v>3</v>
      </c>
      <c r="B6534" t="s">
        <v>13</v>
      </c>
      <c r="C6534" t="s">
        <v>134</v>
      </c>
      <c r="D6534" s="9" t="s">
        <v>124</v>
      </c>
      <c r="E6534" t="s">
        <v>42</v>
      </c>
      <c r="F6534" t="s">
        <v>81</v>
      </c>
      <c r="G6534">
        <v>737.6</v>
      </c>
      <c r="H6534" s="9">
        <v>-1.34</v>
      </c>
      <c r="I6534"/>
    </row>
    <row r="6535" spans="1:9" x14ac:dyDescent="0.3">
      <c r="A6535" t="s">
        <v>3</v>
      </c>
      <c r="B6535" t="s">
        <v>13</v>
      </c>
      <c r="C6535" t="s">
        <v>135</v>
      </c>
      <c r="D6535" s="9" t="s">
        <v>124</v>
      </c>
      <c r="E6535" t="s">
        <v>43</v>
      </c>
      <c r="F6535" t="s">
        <v>83</v>
      </c>
      <c r="G6535">
        <v>812.9</v>
      </c>
      <c r="H6535" s="9">
        <v>-3.64</v>
      </c>
      <c r="I6535"/>
    </row>
    <row r="6536" spans="1:9" x14ac:dyDescent="0.3">
      <c r="A6536" t="s">
        <v>3</v>
      </c>
      <c r="B6536" t="s">
        <v>13</v>
      </c>
      <c r="C6536" t="s">
        <v>136</v>
      </c>
      <c r="D6536" s="9" t="s">
        <v>137</v>
      </c>
      <c r="E6536" t="s">
        <v>32</v>
      </c>
      <c r="F6536" t="s">
        <v>61</v>
      </c>
      <c r="G6536">
        <v>539.70000000000005</v>
      </c>
      <c r="H6536" s="9">
        <v>-7.81</v>
      </c>
      <c r="I6536"/>
    </row>
    <row r="6537" spans="1:9" x14ac:dyDescent="0.3">
      <c r="A6537" t="s">
        <v>3</v>
      </c>
      <c r="B6537" t="s">
        <v>13</v>
      </c>
      <c r="C6537" t="s">
        <v>138</v>
      </c>
      <c r="D6537" s="9" t="s">
        <v>137</v>
      </c>
      <c r="E6537" t="s">
        <v>33</v>
      </c>
      <c r="F6537" t="s">
        <v>63</v>
      </c>
      <c r="G6537">
        <v>509.5</v>
      </c>
      <c r="H6537" s="9">
        <v>-1.66</v>
      </c>
      <c r="I6537"/>
    </row>
    <row r="6538" spans="1:9" x14ac:dyDescent="0.3">
      <c r="A6538" t="s">
        <v>3</v>
      </c>
      <c r="B6538" t="s">
        <v>13</v>
      </c>
      <c r="C6538" t="s">
        <v>139</v>
      </c>
      <c r="D6538" s="9" t="s">
        <v>137</v>
      </c>
      <c r="E6538" t="s">
        <v>34</v>
      </c>
      <c r="F6538" t="s">
        <v>65</v>
      </c>
      <c r="G6538">
        <v>510.2</v>
      </c>
      <c r="H6538" s="9">
        <v>-8.27</v>
      </c>
      <c r="I6538"/>
    </row>
    <row r="6539" spans="1:9" x14ac:dyDescent="0.3">
      <c r="A6539" t="s">
        <v>3</v>
      </c>
      <c r="B6539" t="s">
        <v>13</v>
      </c>
      <c r="C6539" t="s">
        <v>140</v>
      </c>
      <c r="D6539" s="9" t="s">
        <v>137</v>
      </c>
      <c r="E6539" t="s">
        <v>35</v>
      </c>
      <c r="F6539" t="s">
        <v>67</v>
      </c>
      <c r="G6539">
        <v>489.9</v>
      </c>
      <c r="H6539" s="9">
        <v>-2.4900000000000002</v>
      </c>
      <c r="I6539"/>
    </row>
    <row r="6540" spans="1:9" x14ac:dyDescent="0.3">
      <c r="A6540" t="s">
        <v>3</v>
      </c>
      <c r="B6540" t="s">
        <v>13</v>
      </c>
      <c r="C6540" t="s">
        <v>141</v>
      </c>
      <c r="D6540" s="9" t="s">
        <v>137</v>
      </c>
      <c r="E6540" t="s">
        <v>36</v>
      </c>
      <c r="F6540" t="s">
        <v>69</v>
      </c>
      <c r="G6540">
        <v>526</v>
      </c>
      <c r="H6540" s="9">
        <v>-6.37</v>
      </c>
      <c r="I6540"/>
    </row>
    <row r="6541" spans="1:9" x14ac:dyDescent="0.3">
      <c r="A6541" t="s">
        <v>3</v>
      </c>
      <c r="B6541" t="s">
        <v>13</v>
      </c>
      <c r="C6541" t="s">
        <v>142</v>
      </c>
      <c r="D6541" s="9" t="s">
        <v>137</v>
      </c>
      <c r="E6541" t="s">
        <v>37</v>
      </c>
      <c r="F6541" t="s">
        <v>71</v>
      </c>
      <c r="G6541">
        <v>623.6</v>
      </c>
      <c r="H6541" s="9">
        <v>-4.3</v>
      </c>
      <c r="I6541"/>
    </row>
    <row r="6542" spans="1:9" x14ac:dyDescent="0.3">
      <c r="A6542" t="s">
        <v>3</v>
      </c>
      <c r="B6542" t="s">
        <v>13</v>
      </c>
      <c r="C6542" t="s">
        <v>143</v>
      </c>
      <c r="D6542" s="9" t="s">
        <v>137</v>
      </c>
      <c r="E6542" t="s">
        <v>38</v>
      </c>
      <c r="F6542" t="s">
        <v>73</v>
      </c>
      <c r="G6542">
        <v>555.70000000000005</v>
      </c>
      <c r="H6542" s="9">
        <v>-0.61</v>
      </c>
      <c r="I6542"/>
    </row>
    <row r="6543" spans="1:9" x14ac:dyDescent="0.3">
      <c r="A6543" t="s">
        <v>3</v>
      </c>
      <c r="B6543" t="s">
        <v>13</v>
      </c>
      <c r="C6543" t="s">
        <v>144</v>
      </c>
      <c r="D6543" s="9" t="s">
        <v>137</v>
      </c>
      <c r="E6543" t="s">
        <v>39</v>
      </c>
      <c r="F6543" t="s">
        <v>75</v>
      </c>
      <c r="G6543">
        <v>539.9</v>
      </c>
      <c r="H6543" s="9">
        <v>-1.39</v>
      </c>
      <c r="I6543"/>
    </row>
    <row r="6544" spans="1:9" x14ac:dyDescent="0.3">
      <c r="A6544" t="s">
        <v>3</v>
      </c>
      <c r="B6544" t="s">
        <v>13</v>
      </c>
      <c r="C6544" t="s">
        <v>145</v>
      </c>
      <c r="D6544" s="9" t="s">
        <v>137</v>
      </c>
      <c r="E6544" t="s">
        <v>40</v>
      </c>
      <c r="F6544" t="s">
        <v>77</v>
      </c>
      <c r="G6544">
        <v>542.9</v>
      </c>
      <c r="H6544" s="9">
        <v>-3.16</v>
      </c>
      <c r="I6544"/>
    </row>
    <row r="6545" spans="1:9" x14ac:dyDescent="0.3">
      <c r="A6545" t="s">
        <v>3</v>
      </c>
      <c r="B6545" t="s">
        <v>13</v>
      </c>
      <c r="C6545" t="s">
        <v>146</v>
      </c>
      <c r="D6545" s="9" t="s">
        <v>137</v>
      </c>
      <c r="E6545" t="s">
        <v>41</v>
      </c>
      <c r="F6545" t="s">
        <v>79</v>
      </c>
      <c r="G6545">
        <v>599.9</v>
      </c>
      <c r="H6545" s="9">
        <v>4.17</v>
      </c>
      <c r="I6545"/>
    </row>
    <row r="6546" spans="1:9" x14ac:dyDescent="0.3">
      <c r="A6546" t="s">
        <v>3</v>
      </c>
      <c r="B6546" t="s">
        <v>13</v>
      </c>
      <c r="C6546" t="s">
        <v>147</v>
      </c>
      <c r="D6546" s="9" t="s">
        <v>137</v>
      </c>
      <c r="E6546" t="s">
        <v>42</v>
      </c>
      <c r="F6546" t="s">
        <v>81</v>
      </c>
      <c r="G6546">
        <v>796.1</v>
      </c>
      <c r="H6546" s="9">
        <v>7.93</v>
      </c>
      <c r="I6546"/>
    </row>
    <row r="6547" spans="1:9" x14ac:dyDescent="0.3">
      <c r="A6547" t="s">
        <v>3</v>
      </c>
      <c r="B6547" t="s">
        <v>13</v>
      </c>
      <c r="C6547" t="s">
        <v>148</v>
      </c>
      <c r="D6547" s="9" t="s">
        <v>137</v>
      </c>
      <c r="E6547" t="s">
        <v>43</v>
      </c>
      <c r="F6547" t="s">
        <v>83</v>
      </c>
      <c r="G6547">
        <v>922.3</v>
      </c>
      <c r="H6547" s="9">
        <v>13.46</v>
      </c>
      <c r="I6547"/>
    </row>
    <row r="6548" spans="1:9" x14ac:dyDescent="0.3">
      <c r="A6548" t="s">
        <v>3</v>
      </c>
      <c r="B6548" t="s">
        <v>13</v>
      </c>
      <c r="C6548" t="s">
        <v>149</v>
      </c>
      <c r="D6548" s="9" t="s">
        <v>150</v>
      </c>
      <c r="E6548" t="s">
        <v>32</v>
      </c>
      <c r="F6548" t="s">
        <v>61</v>
      </c>
      <c r="G6548">
        <v>573.9</v>
      </c>
      <c r="H6548" s="9">
        <v>6.34</v>
      </c>
      <c r="I6548"/>
    </row>
    <row r="6549" spans="1:9" x14ac:dyDescent="0.3">
      <c r="A6549" t="s">
        <v>3</v>
      </c>
      <c r="B6549" t="s">
        <v>13</v>
      </c>
      <c r="C6549" t="s">
        <v>151</v>
      </c>
      <c r="D6549" s="9" t="s">
        <v>150</v>
      </c>
      <c r="E6549" t="s">
        <v>33</v>
      </c>
      <c r="F6549" t="s">
        <v>63</v>
      </c>
      <c r="G6549">
        <v>527.1</v>
      </c>
      <c r="H6549" s="9">
        <v>3.45</v>
      </c>
      <c r="I6549"/>
    </row>
    <row r="6550" spans="1:9" x14ac:dyDescent="0.3">
      <c r="A6550" t="s">
        <v>3</v>
      </c>
      <c r="B6550" t="s">
        <v>13</v>
      </c>
      <c r="C6550" t="s">
        <v>152</v>
      </c>
      <c r="D6550" s="9" t="s">
        <v>150</v>
      </c>
      <c r="E6550" t="s">
        <v>34</v>
      </c>
      <c r="F6550" t="s">
        <v>65</v>
      </c>
      <c r="G6550">
        <v>551.29999999999995</v>
      </c>
      <c r="H6550" s="9">
        <v>8.06</v>
      </c>
      <c r="I6550"/>
    </row>
    <row r="6551" spans="1:9" x14ac:dyDescent="0.3">
      <c r="A6551" t="s">
        <v>3</v>
      </c>
      <c r="B6551" t="s">
        <v>13</v>
      </c>
      <c r="C6551" t="s">
        <v>153</v>
      </c>
      <c r="D6551" s="9" t="s">
        <v>150</v>
      </c>
      <c r="E6551" t="s">
        <v>35</v>
      </c>
      <c r="F6551" t="s">
        <v>67</v>
      </c>
      <c r="G6551">
        <v>526.70000000000005</v>
      </c>
      <c r="H6551" s="9">
        <v>7.51</v>
      </c>
      <c r="I6551"/>
    </row>
    <row r="6552" spans="1:9" x14ac:dyDescent="0.3">
      <c r="A6552" t="s">
        <v>3</v>
      </c>
      <c r="B6552" t="s">
        <v>13</v>
      </c>
      <c r="C6552" t="s">
        <v>154</v>
      </c>
      <c r="D6552" s="9" t="s">
        <v>150</v>
      </c>
      <c r="E6552" t="s">
        <v>36</v>
      </c>
      <c r="F6552" t="s">
        <v>69</v>
      </c>
      <c r="G6552">
        <v>577.79999999999995</v>
      </c>
      <c r="H6552" s="9">
        <v>9.85</v>
      </c>
      <c r="I6552"/>
    </row>
    <row r="6553" spans="1:9" x14ac:dyDescent="0.3">
      <c r="A6553" t="s">
        <v>3</v>
      </c>
      <c r="B6553" t="s">
        <v>13</v>
      </c>
      <c r="C6553" t="s">
        <v>155</v>
      </c>
      <c r="D6553" s="9" t="s">
        <v>150</v>
      </c>
      <c r="E6553" t="s">
        <v>37</v>
      </c>
      <c r="F6553" t="s">
        <v>71</v>
      </c>
      <c r="G6553">
        <v>703.8</v>
      </c>
      <c r="H6553" s="9">
        <v>12.86</v>
      </c>
      <c r="I6553"/>
    </row>
    <row r="6554" spans="1:9" x14ac:dyDescent="0.3">
      <c r="A6554" t="s">
        <v>3</v>
      </c>
      <c r="B6554" t="s">
        <v>22</v>
      </c>
      <c r="C6554" t="s">
        <v>59</v>
      </c>
      <c r="D6554" s="9" t="s">
        <v>60</v>
      </c>
      <c r="E6554" t="s">
        <v>32</v>
      </c>
      <c r="F6554" t="s">
        <v>61</v>
      </c>
      <c r="G6554">
        <v>169.7</v>
      </c>
      <c r="I6554"/>
    </row>
    <row r="6555" spans="1:9" x14ac:dyDescent="0.3">
      <c r="A6555" t="s">
        <v>3</v>
      </c>
      <c r="B6555" t="s">
        <v>22</v>
      </c>
      <c r="C6555" t="s">
        <v>62</v>
      </c>
      <c r="D6555" s="9" t="s">
        <v>60</v>
      </c>
      <c r="E6555" t="s">
        <v>33</v>
      </c>
      <c r="F6555" t="s">
        <v>63</v>
      </c>
      <c r="G6555">
        <v>159.69999999999999</v>
      </c>
      <c r="I6555"/>
    </row>
    <row r="6556" spans="1:9" x14ac:dyDescent="0.3">
      <c r="A6556" t="s">
        <v>3</v>
      </c>
      <c r="B6556" t="s">
        <v>22</v>
      </c>
      <c r="C6556" t="s">
        <v>64</v>
      </c>
      <c r="D6556" s="9" t="s">
        <v>60</v>
      </c>
      <c r="E6556" t="s">
        <v>34</v>
      </c>
      <c r="F6556" t="s">
        <v>65</v>
      </c>
      <c r="G6556">
        <v>169.4</v>
      </c>
      <c r="I6556"/>
    </row>
    <row r="6557" spans="1:9" x14ac:dyDescent="0.3">
      <c r="A6557" t="s">
        <v>3</v>
      </c>
      <c r="B6557" t="s">
        <v>22</v>
      </c>
      <c r="C6557" t="s">
        <v>66</v>
      </c>
      <c r="D6557" s="9" t="s">
        <v>60</v>
      </c>
      <c r="E6557" t="s">
        <v>35</v>
      </c>
      <c r="F6557" t="s">
        <v>67</v>
      </c>
      <c r="G6557">
        <v>171.2</v>
      </c>
      <c r="I6557"/>
    </row>
    <row r="6558" spans="1:9" x14ac:dyDescent="0.3">
      <c r="A6558" t="s">
        <v>3</v>
      </c>
      <c r="B6558" t="s">
        <v>22</v>
      </c>
      <c r="C6558" t="s">
        <v>68</v>
      </c>
      <c r="D6558" s="9" t="s">
        <v>60</v>
      </c>
      <c r="E6558" t="s">
        <v>36</v>
      </c>
      <c r="F6558" t="s">
        <v>69</v>
      </c>
      <c r="G6558">
        <v>190.6</v>
      </c>
      <c r="I6558"/>
    </row>
    <row r="6559" spans="1:9" x14ac:dyDescent="0.3">
      <c r="A6559" t="s">
        <v>3</v>
      </c>
      <c r="B6559" t="s">
        <v>22</v>
      </c>
      <c r="C6559" t="s">
        <v>70</v>
      </c>
      <c r="D6559" s="9" t="s">
        <v>60</v>
      </c>
      <c r="E6559" t="s">
        <v>37</v>
      </c>
      <c r="F6559" t="s">
        <v>71</v>
      </c>
      <c r="G6559">
        <v>176.2</v>
      </c>
      <c r="I6559"/>
    </row>
    <row r="6560" spans="1:9" x14ac:dyDescent="0.3">
      <c r="A6560" t="s">
        <v>3</v>
      </c>
      <c r="B6560" t="s">
        <v>22</v>
      </c>
      <c r="C6560" t="s">
        <v>72</v>
      </c>
      <c r="D6560" s="9" t="s">
        <v>60</v>
      </c>
      <c r="E6560" t="s">
        <v>38</v>
      </c>
      <c r="F6560" t="s">
        <v>73</v>
      </c>
      <c r="G6560">
        <v>164.8</v>
      </c>
      <c r="I6560"/>
    </row>
    <row r="6561" spans="1:9" x14ac:dyDescent="0.3">
      <c r="A6561" t="s">
        <v>3</v>
      </c>
      <c r="B6561" t="s">
        <v>22</v>
      </c>
      <c r="C6561" t="s">
        <v>74</v>
      </c>
      <c r="D6561" s="9" t="s">
        <v>60</v>
      </c>
      <c r="E6561" t="s">
        <v>39</v>
      </c>
      <c r="F6561" t="s">
        <v>75</v>
      </c>
      <c r="G6561">
        <v>174.1</v>
      </c>
      <c r="I6561"/>
    </row>
    <row r="6562" spans="1:9" x14ac:dyDescent="0.3">
      <c r="A6562" t="s">
        <v>3</v>
      </c>
      <c r="B6562" t="s">
        <v>22</v>
      </c>
      <c r="C6562" t="s">
        <v>76</v>
      </c>
      <c r="D6562" s="9" t="s">
        <v>60</v>
      </c>
      <c r="E6562" t="s">
        <v>40</v>
      </c>
      <c r="F6562" t="s">
        <v>77</v>
      </c>
      <c r="G6562">
        <v>158.9</v>
      </c>
      <c r="I6562"/>
    </row>
    <row r="6563" spans="1:9" x14ac:dyDescent="0.3">
      <c r="A6563" t="s">
        <v>3</v>
      </c>
      <c r="B6563" t="s">
        <v>22</v>
      </c>
      <c r="C6563" t="s">
        <v>78</v>
      </c>
      <c r="D6563" s="9" t="s">
        <v>60</v>
      </c>
      <c r="E6563" t="s">
        <v>41</v>
      </c>
      <c r="F6563" t="s">
        <v>79</v>
      </c>
      <c r="G6563">
        <v>180.7</v>
      </c>
      <c r="I6563"/>
    </row>
    <row r="6564" spans="1:9" x14ac:dyDescent="0.3">
      <c r="A6564" t="s">
        <v>3</v>
      </c>
      <c r="B6564" t="s">
        <v>22</v>
      </c>
      <c r="C6564" t="s">
        <v>80</v>
      </c>
      <c r="D6564" s="9" t="s">
        <v>60</v>
      </c>
      <c r="E6564" t="s">
        <v>42</v>
      </c>
      <c r="F6564" t="s">
        <v>81</v>
      </c>
      <c r="G6564">
        <v>204.8</v>
      </c>
      <c r="I6564"/>
    </row>
    <row r="6565" spans="1:9" x14ac:dyDescent="0.3">
      <c r="A6565" t="s">
        <v>3</v>
      </c>
      <c r="B6565" t="s">
        <v>22</v>
      </c>
      <c r="C6565" t="s">
        <v>82</v>
      </c>
      <c r="D6565" s="9" t="s">
        <v>60</v>
      </c>
      <c r="E6565" t="s">
        <v>43</v>
      </c>
      <c r="F6565" t="s">
        <v>83</v>
      </c>
      <c r="G6565">
        <v>322.2</v>
      </c>
      <c r="I6565"/>
    </row>
    <row r="6566" spans="1:9" x14ac:dyDescent="0.3">
      <c r="A6566" t="s">
        <v>3</v>
      </c>
      <c r="B6566" t="s">
        <v>22</v>
      </c>
      <c r="C6566" t="s">
        <v>84</v>
      </c>
      <c r="D6566" s="9" t="s">
        <v>85</v>
      </c>
      <c r="E6566" t="s">
        <v>32</v>
      </c>
      <c r="F6566" t="s">
        <v>61</v>
      </c>
      <c r="G6566">
        <v>178.8</v>
      </c>
      <c r="H6566" s="9">
        <v>5.36</v>
      </c>
      <c r="I6566"/>
    </row>
    <row r="6567" spans="1:9" x14ac:dyDescent="0.3">
      <c r="A6567" t="s">
        <v>3</v>
      </c>
      <c r="B6567" t="s">
        <v>22</v>
      </c>
      <c r="C6567" t="s">
        <v>86</v>
      </c>
      <c r="D6567" s="9" t="s">
        <v>85</v>
      </c>
      <c r="E6567" t="s">
        <v>33</v>
      </c>
      <c r="F6567" t="s">
        <v>63</v>
      </c>
      <c r="G6567">
        <v>150</v>
      </c>
      <c r="H6567" s="9">
        <v>-6.07</v>
      </c>
      <c r="I6567"/>
    </row>
    <row r="6568" spans="1:9" x14ac:dyDescent="0.3">
      <c r="A6568" t="s">
        <v>3</v>
      </c>
      <c r="B6568" t="s">
        <v>22</v>
      </c>
      <c r="C6568" t="s">
        <v>87</v>
      </c>
      <c r="D6568" s="9" t="s">
        <v>85</v>
      </c>
      <c r="E6568" t="s">
        <v>34</v>
      </c>
      <c r="F6568" t="s">
        <v>65</v>
      </c>
      <c r="G6568">
        <v>123.9</v>
      </c>
      <c r="H6568" s="9">
        <v>-26.86</v>
      </c>
      <c r="I6568"/>
    </row>
    <row r="6569" spans="1:9" x14ac:dyDescent="0.3">
      <c r="A6569" t="s">
        <v>3</v>
      </c>
      <c r="B6569" t="s">
        <v>22</v>
      </c>
      <c r="C6569" t="s">
        <v>88</v>
      </c>
      <c r="D6569" s="9" t="s">
        <v>85</v>
      </c>
      <c r="E6569" t="s">
        <v>35</v>
      </c>
      <c r="F6569" t="s">
        <v>67</v>
      </c>
      <c r="G6569">
        <v>61.6</v>
      </c>
      <c r="H6569" s="9">
        <v>-64.02</v>
      </c>
      <c r="I6569"/>
    </row>
    <row r="6570" spans="1:9" x14ac:dyDescent="0.3">
      <c r="A6570" t="s">
        <v>3</v>
      </c>
      <c r="B6570" t="s">
        <v>22</v>
      </c>
      <c r="C6570" t="s">
        <v>89</v>
      </c>
      <c r="D6570" s="9" t="s">
        <v>85</v>
      </c>
      <c r="E6570" t="s">
        <v>36</v>
      </c>
      <c r="F6570" t="s">
        <v>69</v>
      </c>
      <c r="G6570">
        <v>126.9</v>
      </c>
      <c r="H6570" s="9">
        <v>-33.42</v>
      </c>
      <c r="I6570"/>
    </row>
    <row r="6571" spans="1:9" x14ac:dyDescent="0.3">
      <c r="A6571" t="s">
        <v>3</v>
      </c>
      <c r="B6571" t="s">
        <v>22</v>
      </c>
      <c r="C6571" t="s">
        <v>90</v>
      </c>
      <c r="D6571" s="9" t="s">
        <v>85</v>
      </c>
      <c r="E6571" t="s">
        <v>37</v>
      </c>
      <c r="F6571" t="s">
        <v>71</v>
      </c>
      <c r="G6571">
        <v>155.1</v>
      </c>
      <c r="H6571" s="9">
        <v>-11.98</v>
      </c>
      <c r="I6571"/>
    </row>
    <row r="6572" spans="1:9" x14ac:dyDescent="0.3">
      <c r="A6572" t="s">
        <v>3</v>
      </c>
      <c r="B6572" t="s">
        <v>22</v>
      </c>
      <c r="C6572" t="s">
        <v>91</v>
      </c>
      <c r="D6572" s="9" t="s">
        <v>85</v>
      </c>
      <c r="E6572" t="s">
        <v>38</v>
      </c>
      <c r="F6572" t="s">
        <v>73</v>
      </c>
      <c r="G6572">
        <v>109.4</v>
      </c>
      <c r="H6572" s="9">
        <v>-33.619999999999997</v>
      </c>
      <c r="I6572"/>
    </row>
    <row r="6573" spans="1:9" x14ac:dyDescent="0.3">
      <c r="A6573" t="s">
        <v>3</v>
      </c>
      <c r="B6573" t="s">
        <v>22</v>
      </c>
      <c r="C6573" t="s">
        <v>92</v>
      </c>
      <c r="D6573" s="9" t="s">
        <v>85</v>
      </c>
      <c r="E6573" t="s">
        <v>39</v>
      </c>
      <c r="F6573" t="s">
        <v>75</v>
      </c>
      <c r="G6573">
        <v>78.400000000000006</v>
      </c>
      <c r="H6573" s="9">
        <v>-54.97</v>
      </c>
      <c r="I6573"/>
    </row>
    <row r="6574" spans="1:9" x14ac:dyDescent="0.3">
      <c r="A6574" t="s">
        <v>3</v>
      </c>
      <c r="B6574" t="s">
        <v>22</v>
      </c>
      <c r="C6574" t="s">
        <v>93</v>
      </c>
      <c r="D6574" s="9" t="s">
        <v>85</v>
      </c>
      <c r="E6574" t="s">
        <v>40</v>
      </c>
      <c r="F6574" t="s">
        <v>77</v>
      </c>
      <c r="G6574">
        <v>69.7</v>
      </c>
      <c r="H6574" s="9">
        <v>-56.14</v>
      </c>
      <c r="I6574"/>
    </row>
    <row r="6575" spans="1:9" x14ac:dyDescent="0.3">
      <c r="A6575" t="s">
        <v>3</v>
      </c>
      <c r="B6575" t="s">
        <v>22</v>
      </c>
      <c r="C6575" t="s">
        <v>94</v>
      </c>
      <c r="D6575" s="9" t="s">
        <v>85</v>
      </c>
      <c r="E6575" t="s">
        <v>41</v>
      </c>
      <c r="F6575" t="s">
        <v>79</v>
      </c>
      <c r="G6575">
        <v>102.3</v>
      </c>
      <c r="H6575" s="9">
        <v>-43.39</v>
      </c>
      <c r="I6575"/>
    </row>
    <row r="6576" spans="1:9" x14ac:dyDescent="0.3">
      <c r="A6576" t="s">
        <v>3</v>
      </c>
      <c r="B6576" t="s">
        <v>22</v>
      </c>
      <c r="C6576" t="s">
        <v>95</v>
      </c>
      <c r="D6576" s="9" t="s">
        <v>85</v>
      </c>
      <c r="E6576" t="s">
        <v>42</v>
      </c>
      <c r="F6576" t="s">
        <v>81</v>
      </c>
      <c r="G6576">
        <v>229.7</v>
      </c>
      <c r="H6576" s="9">
        <v>12.16</v>
      </c>
      <c r="I6576"/>
    </row>
    <row r="6577" spans="1:9" x14ac:dyDescent="0.3">
      <c r="A6577" t="s">
        <v>3</v>
      </c>
      <c r="B6577" t="s">
        <v>22</v>
      </c>
      <c r="C6577" t="s">
        <v>96</v>
      </c>
      <c r="D6577" s="9" t="s">
        <v>85</v>
      </c>
      <c r="E6577" t="s">
        <v>43</v>
      </c>
      <c r="F6577" t="s">
        <v>83</v>
      </c>
      <c r="G6577">
        <v>331.5</v>
      </c>
      <c r="H6577" s="9">
        <v>2.89</v>
      </c>
      <c r="I6577"/>
    </row>
    <row r="6578" spans="1:9" x14ac:dyDescent="0.3">
      <c r="A6578" t="s">
        <v>3</v>
      </c>
      <c r="B6578" t="s">
        <v>22</v>
      </c>
      <c r="C6578" t="s">
        <v>97</v>
      </c>
      <c r="D6578" s="9" t="s">
        <v>98</v>
      </c>
      <c r="E6578" t="s">
        <v>32</v>
      </c>
      <c r="F6578" t="s">
        <v>61</v>
      </c>
      <c r="G6578">
        <v>190.7</v>
      </c>
      <c r="H6578" s="9">
        <v>6.66</v>
      </c>
      <c r="I6578"/>
    </row>
    <row r="6579" spans="1:9" x14ac:dyDescent="0.3">
      <c r="A6579" t="s">
        <v>3</v>
      </c>
      <c r="B6579" t="s">
        <v>22</v>
      </c>
      <c r="C6579" t="s">
        <v>99</v>
      </c>
      <c r="D6579" s="9" t="s">
        <v>98</v>
      </c>
      <c r="E6579" t="s">
        <v>33</v>
      </c>
      <c r="F6579" t="s">
        <v>63</v>
      </c>
      <c r="G6579">
        <v>154.9</v>
      </c>
      <c r="H6579" s="9">
        <v>3.27</v>
      </c>
      <c r="I6579"/>
    </row>
    <row r="6580" spans="1:9" x14ac:dyDescent="0.3">
      <c r="A6580" t="s">
        <v>3</v>
      </c>
      <c r="B6580" t="s">
        <v>22</v>
      </c>
      <c r="C6580" t="s">
        <v>100</v>
      </c>
      <c r="D6580" s="9" t="s">
        <v>98</v>
      </c>
      <c r="E6580" t="s">
        <v>34</v>
      </c>
      <c r="F6580" t="s">
        <v>65</v>
      </c>
      <c r="G6580">
        <v>197.5</v>
      </c>
      <c r="H6580" s="9">
        <v>59.4</v>
      </c>
      <c r="I6580"/>
    </row>
    <row r="6581" spans="1:9" x14ac:dyDescent="0.3">
      <c r="A6581" t="s">
        <v>3</v>
      </c>
      <c r="B6581" t="s">
        <v>22</v>
      </c>
      <c r="C6581" t="s">
        <v>101</v>
      </c>
      <c r="D6581" s="9" t="s">
        <v>98</v>
      </c>
      <c r="E6581" t="s">
        <v>35</v>
      </c>
      <c r="F6581" t="s">
        <v>67</v>
      </c>
      <c r="G6581">
        <v>193.9</v>
      </c>
      <c r="H6581" s="9">
        <v>214.77</v>
      </c>
      <c r="I6581"/>
    </row>
    <row r="6582" spans="1:9" x14ac:dyDescent="0.3">
      <c r="A6582" t="s">
        <v>3</v>
      </c>
      <c r="B6582" t="s">
        <v>22</v>
      </c>
      <c r="C6582" t="s">
        <v>102</v>
      </c>
      <c r="D6582" s="9" t="s">
        <v>98</v>
      </c>
      <c r="E6582" t="s">
        <v>36</v>
      </c>
      <c r="F6582" t="s">
        <v>69</v>
      </c>
      <c r="G6582">
        <v>199.2</v>
      </c>
      <c r="H6582" s="9">
        <v>56.97</v>
      </c>
      <c r="I6582"/>
    </row>
    <row r="6583" spans="1:9" x14ac:dyDescent="0.3">
      <c r="A6583" t="s">
        <v>3</v>
      </c>
      <c r="B6583" t="s">
        <v>22</v>
      </c>
      <c r="C6583" t="s">
        <v>103</v>
      </c>
      <c r="D6583" s="9" t="s">
        <v>98</v>
      </c>
      <c r="E6583" t="s">
        <v>37</v>
      </c>
      <c r="F6583" t="s">
        <v>71</v>
      </c>
      <c r="G6583">
        <v>158.30000000000001</v>
      </c>
      <c r="H6583" s="9">
        <v>2.06</v>
      </c>
      <c r="I6583"/>
    </row>
    <row r="6584" spans="1:9" x14ac:dyDescent="0.3">
      <c r="A6584" t="s">
        <v>3</v>
      </c>
      <c r="B6584" t="s">
        <v>22</v>
      </c>
      <c r="C6584" t="s">
        <v>104</v>
      </c>
      <c r="D6584" s="9" t="s">
        <v>98</v>
      </c>
      <c r="E6584" t="s">
        <v>38</v>
      </c>
      <c r="F6584" t="s">
        <v>73</v>
      </c>
      <c r="G6584">
        <v>176.4</v>
      </c>
      <c r="H6584" s="9">
        <v>61.24</v>
      </c>
      <c r="I6584"/>
    </row>
    <row r="6585" spans="1:9" x14ac:dyDescent="0.3">
      <c r="A6585" t="s">
        <v>3</v>
      </c>
      <c r="B6585" t="s">
        <v>22</v>
      </c>
      <c r="C6585" t="s">
        <v>105</v>
      </c>
      <c r="D6585" s="9" t="s">
        <v>98</v>
      </c>
      <c r="E6585" t="s">
        <v>39</v>
      </c>
      <c r="F6585" t="s">
        <v>75</v>
      </c>
      <c r="G6585">
        <v>123.5</v>
      </c>
      <c r="H6585" s="9">
        <v>57.53</v>
      </c>
      <c r="I6585"/>
    </row>
    <row r="6586" spans="1:9" x14ac:dyDescent="0.3">
      <c r="A6586" t="s">
        <v>3</v>
      </c>
      <c r="B6586" t="s">
        <v>22</v>
      </c>
      <c r="C6586" t="s">
        <v>106</v>
      </c>
      <c r="D6586" s="9" t="s">
        <v>98</v>
      </c>
      <c r="E6586" t="s">
        <v>40</v>
      </c>
      <c r="F6586" t="s">
        <v>77</v>
      </c>
      <c r="G6586">
        <v>115.6</v>
      </c>
      <c r="H6586" s="9">
        <v>65.849999999999994</v>
      </c>
      <c r="I6586"/>
    </row>
    <row r="6587" spans="1:9" x14ac:dyDescent="0.3">
      <c r="A6587" t="s">
        <v>3</v>
      </c>
      <c r="B6587" t="s">
        <v>22</v>
      </c>
      <c r="C6587" t="s">
        <v>107</v>
      </c>
      <c r="D6587" s="9" t="s">
        <v>98</v>
      </c>
      <c r="E6587" t="s">
        <v>41</v>
      </c>
      <c r="F6587" t="s">
        <v>79</v>
      </c>
      <c r="G6587">
        <v>133.19999999999999</v>
      </c>
      <c r="H6587" s="9">
        <v>30.21</v>
      </c>
      <c r="I6587"/>
    </row>
    <row r="6588" spans="1:9" x14ac:dyDescent="0.3">
      <c r="A6588" t="s">
        <v>3</v>
      </c>
      <c r="B6588" t="s">
        <v>22</v>
      </c>
      <c r="C6588" t="s">
        <v>108</v>
      </c>
      <c r="D6588" s="9" t="s">
        <v>98</v>
      </c>
      <c r="E6588" t="s">
        <v>42</v>
      </c>
      <c r="F6588" t="s">
        <v>81</v>
      </c>
      <c r="G6588">
        <v>307.60000000000002</v>
      </c>
      <c r="H6588" s="9">
        <v>33.909999999999997</v>
      </c>
      <c r="I6588"/>
    </row>
    <row r="6589" spans="1:9" x14ac:dyDescent="0.3">
      <c r="A6589" t="s">
        <v>3</v>
      </c>
      <c r="B6589" t="s">
        <v>22</v>
      </c>
      <c r="C6589" t="s">
        <v>109</v>
      </c>
      <c r="D6589" s="9" t="s">
        <v>98</v>
      </c>
      <c r="E6589" t="s">
        <v>43</v>
      </c>
      <c r="F6589" t="s">
        <v>83</v>
      </c>
      <c r="G6589">
        <v>377.9</v>
      </c>
      <c r="H6589" s="9">
        <v>14</v>
      </c>
      <c r="I6589"/>
    </row>
    <row r="6590" spans="1:9" x14ac:dyDescent="0.3">
      <c r="A6590" t="s">
        <v>3</v>
      </c>
      <c r="B6590" t="s">
        <v>22</v>
      </c>
      <c r="C6590" t="s">
        <v>110</v>
      </c>
      <c r="D6590" s="9" t="s">
        <v>111</v>
      </c>
      <c r="E6590" t="s">
        <v>32</v>
      </c>
      <c r="F6590" t="s">
        <v>61</v>
      </c>
      <c r="G6590">
        <v>225.6</v>
      </c>
      <c r="H6590" s="9">
        <v>18.3</v>
      </c>
      <c r="I6590"/>
    </row>
    <row r="6591" spans="1:9" x14ac:dyDescent="0.3">
      <c r="A6591" t="s">
        <v>3</v>
      </c>
      <c r="B6591" t="s">
        <v>22</v>
      </c>
      <c r="C6591" t="s">
        <v>112</v>
      </c>
      <c r="D6591" s="9" t="s">
        <v>111</v>
      </c>
      <c r="E6591" t="s">
        <v>33</v>
      </c>
      <c r="F6591" t="s">
        <v>63</v>
      </c>
      <c r="G6591">
        <v>204.8</v>
      </c>
      <c r="H6591" s="9">
        <v>32.21</v>
      </c>
      <c r="I6591"/>
    </row>
    <row r="6592" spans="1:9" x14ac:dyDescent="0.3">
      <c r="A6592" t="s">
        <v>3</v>
      </c>
      <c r="B6592" t="s">
        <v>22</v>
      </c>
      <c r="C6592" t="s">
        <v>113</v>
      </c>
      <c r="D6592" s="9" t="s">
        <v>111</v>
      </c>
      <c r="E6592" t="s">
        <v>34</v>
      </c>
      <c r="F6592" t="s">
        <v>65</v>
      </c>
      <c r="G6592">
        <v>229.8</v>
      </c>
      <c r="H6592" s="9">
        <v>16.350000000000001</v>
      </c>
      <c r="I6592"/>
    </row>
    <row r="6593" spans="1:9" x14ac:dyDescent="0.3">
      <c r="A6593" t="s">
        <v>3</v>
      </c>
      <c r="B6593" t="s">
        <v>22</v>
      </c>
      <c r="C6593" t="s">
        <v>114</v>
      </c>
      <c r="D6593" s="9" t="s">
        <v>111</v>
      </c>
      <c r="E6593" t="s">
        <v>35</v>
      </c>
      <c r="F6593" t="s">
        <v>67</v>
      </c>
      <c r="G6593">
        <v>240.4</v>
      </c>
      <c r="H6593" s="9">
        <v>23.98</v>
      </c>
      <c r="I6593"/>
    </row>
    <row r="6594" spans="1:9" x14ac:dyDescent="0.3">
      <c r="A6594" t="s">
        <v>3</v>
      </c>
      <c r="B6594" t="s">
        <v>22</v>
      </c>
      <c r="C6594" t="s">
        <v>115</v>
      </c>
      <c r="D6594" s="9" t="s">
        <v>111</v>
      </c>
      <c r="E6594" t="s">
        <v>36</v>
      </c>
      <c r="F6594" t="s">
        <v>69</v>
      </c>
      <c r="G6594">
        <v>241.1</v>
      </c>
      <c r="H6594" s="9">
        <v>21.03</v>
      </c>
      <c r="I6594"/>
    </row>
    <row r="6595" spans="1:9" x14ac:dyDescent="0.3">
      <c r="A6595" t="s">
        <v>3</v>
      </c>
      <c r="B6595" t="s">
        <v>22</v>
      </c>
      <c r="C6595" t="s">
        <v>116</v>
      </c>
      <c r="D6595" s="9" t="s">
        <v>111</v>
      </c>
      <c r="E6595" t="s">
        <v>37</v>
      </c>
      <c r="F6595" t="s">
        <v>71</v>
      </c>
      <c r="G6595">
        <v>220.7</v>
      </c>
      <c r="H6595" s="9">
        <v>39.42</v>
      </c>
      <c r="I6595"/>
    </row>
    <row r="6596" spans="1:9" x14ac:dyDescent="0.3">
      <c r="A6596" t="s">
        <v>3</v>
      </c>
      <c r="B6596" t="s">
        <v>22</v>
      </c>
      <c r="C6596" t="s">
        <v>117</v>
      </c>
      <c r="D6596" s="9" t="s">
        <v>111</v>
      </c>
      <c r="E6596" t="s">
        <v>38</v>
      </c>
      <c r="F6596" t="s">
        <v>73</v>
      </c>
      <c r="G6596">
        <v>225.3</v>
      </c>
      <c r="H6596" s="9">
        <v>27.72</v>
      </c>
      <c r="I6596"/>
    </row>
    <row r="6597" spans="1:9" x14ac:dyDescent="0.3">
      <c r="A6597" t="s">
        <v>3</v>
      </c>
      <c r="B6597" t="s">
        <v>22</v>
      </c>
      <c r="C6597" t="s">
        <v>118</v>
      </c>
      <c r="D6597" s="9" t="s">
        <v>111</v>
      </c>
      <c r="E6597" t="s">
        <v>39</v>
      </c>
      <c r="F6597" t="s">
        <v>75</v>
      </c>
      <c r="G6597">
        <v>231.3</v>
      </c>
      <c r="H6597" s="9">
        <v>87.29</v>
      </c>
      <c r="I6597"/>
    </row>
    <row r="6598" spans="1:9" x14ac:dyDescent="0.3">
      <c r="A6598" t="s">
        <v>3</v>
      </c>
      <c r="B6598" t="s">
        <v>22</v>
      </c>
      <c r="C6598" t="s">
        <v>119</v>
      </c>
      <c r="D6598" s="9" t="s">
        <v>111</v>
      </c>
      <c r="E6598" t="s">
        <v>40</v>
      </c>
      <c r="F6598" t="s">
        <v>77</v>
      </c>
      <c r="G6598">
        <v>236.1</v>
      </c>
      <c r="H6598" s="9">
        <v>104.24</v>
      </c>
      <c r="I6598"/>
    </row>
    <row r="6599" spans="1:9" x14ac:dyDescent="0.3">
      <c r="A6599" t="s">
        <v>3</v>
      </c>
      <c r="B6599" t="s">
        <v>22</v>
      </c>
      <c r="C6599" t="s">
        <v>120</v>
      </c>
      <c r="D6599" s="9" t="s">
        <v>111</v>
      </c>
      <c r="E6599" t="s">
        <v>41</v>
      </c>
      <c r="F6599" t="s">
        <v>79</v>
      </c>
      <c r="G6599">
        <v>244.5</v>
      </c>
      <c r="H6599" s="9">
        <v>83.56</v>
      </c>
      <c r="I6599"/>
    </row>
    <row r="6600" spans="1:9" x14ac:dyDescent="0.3">
      <c r="A6600" t="s">
        <v>3</v>
      </c>
      <c r="B6600" t="s">
        <v>22</v>
      </c>
      <c r="C6600" t="s">
        <v>121</v>
      </c>
      <c r="D6600" s="9" t="s">
        <v>111</v>
      </c>
      <c r="E6600" t="s">
        <v>42</v>
      </c>
      <c r="F6600" t="s">
        <v>81</v>
      </c>
      <c r="G6600">
        <v>310.89999999999998</v>
      </c>
      <c r="H6600" s="9">
        <v>1.07</v>
      </c>
      <c r="I6600"/>
    </row>
    <row r="6601" spans="1:9" x14ac:dyDescent="0.3">
      <c r="A6601" t="s">
        <v>3</v>
      </c>
      <c r="B6601" t="s">
        <v>22</v>
      </c>
      <c r="C6601" t="s">
        <v>122</v>
      </c>
      <c r="D6601" s="9" t="s">
        <v>111</v>
      </c>
      <c r="E6601" t="s">
        <v>43</v>
      </c>
      <c r="F6601" t="s">
        <v>83</v>
      </c>
      <c r="G6601">
        <v>429.9</v>
      </c>
      <c r="H6601" s="9">
        <v>13.76</v>
      </c>
      <c r="I6601"/>
    </row>
    <row r="6602" spans="1:9" x14ac:dyDescent="0.3">
      <c r="A6602" t="s">
        <v>3</v>
      </c>
      <c r="B6602" t="s">
        <v>22</v>
      </c>
      <c r="C6602" t="s">
        <v>123</v>
      </c>
      <c r="D6602" s="9" t="s">
        <v>124</v>
      </c>
      <c r="E6602" t="s">
        <v>32</v>
      </c>
      <c r="F6602" t="s">
        <v>61</v>
      </c>
      <c r="G6602">
        <v>242.2</v>
      </c>
      <c r="H6602" s="9">
        <v>7.36</v>
      </c>
      <c r="I6602"/>
    </row>
    <row r="6603" spans="1:9" x14ac:dyDescent="0.3">
      <c r="A6603" t="s">
        <v>3</v>
      </c>
      <c r="B6603" t="s">
        <v>22</v>
      </c>
      <c r="C6603" t="s">
        <v>125</v>
      </c>
      <c r="D6603" s="9" t="s">
        <v>124</v>
      </c>
      <c r="E6603" t="s">
        <v>33</v>
      </c>
      <c r="F6603" t="s">
        <v>63</v>
      </c>
      <c r="G6603">
        <v>220.2</v>
      </c>
      <c r="H6603" s="9">
        <v>7.52</v>
      </c>
      <c r="I6603"/>
    </row>
    <row r="6604" spans="1:9" x14ac:dyDescent="0.3">
      <c r="A6604" t="s">
        <v>3</v>
      </c>
      <c r="B6604" t="s">
        <v>22</v>
      </c>
      <c r="C6604" t="s">
        <v>126</v>
      </c>
      <c r="D6604" s="9" t="s">
        <v>124</v>
      </c>
      <c r="E6604" t="s">
        <v>34</v>
      </c>
      <c r="F6604" t="s">
        <v>65</v>
      </c>
      <c r="G6604">
        <v>223</v>
      </c>
      <c r="H6604" s="9">
        <v>-2.96</v>
      </c>
      <c r="I6604"/>
    </row>
    <row r="6605" spans="1:9" x14ac:dyDescent="0.3">
      <c r="A6605" t="s">
        <v>3</v>
      </c>
      <c r="B6605" t="s">
        <v>22</v>
      </c>
      <c r="C6605" t="s">
        <v>127</v>
      </c>
      <c r="D6605" s="9" t="s">
        <v>124</v>
      </c>
      <c r="E6605" t="s">
        <v>35</v>
      </c>
      <c r="F6605" t="s">
        <v>67</v>
      </c>
      <c r="G6605">
        <v>217.8</v>
      </c>
      <c r="H6605" s="9">
        <v>-9.4</v>
      </c>
      <c r="I6605"/>
    </row>
    <row r="6606" spans="1:9" x14ac:dyDescent="0.3">
      <c r="A6606" t="s">
        <v>3</v>
      </c>
      <c r="B6606" t="s">
        <v>22</v>
      </c>
      <c r="C6606" t="s">
        <v>128</v>
      </c>
      <c r="D6606" s="9" t="s">
        <v>124</v>
      </c>
      <c r="E6606" t="s">
        <v>36</v>
      </c>
      <c r="F6606" t="s">
        <v>69</v>
      </c>
      <c r="G6606">
        <v>244.5</v>
      </c>
      <c r="H6606" s="9">
        <v>1.41</v>
      </c>
      <c r="I6606"/>
    </row>
    <row r="6607" spans="1:9" x14ac:dyDescent="0.3">
      <c r="A6607" t="s">
        <v>3</v>
      </c>
      <c r="B6607" t="s">
        <v>22</v>
      </c>
      <c r="C6607" t="s">
        <v>129</v>
      </c>
      <c r="D6607" s="9" t="s">
        <v>124</v>
      </c>
      <c r="E6607" t="s">
        <v>37</v>
      </c>
      <c r="F6607" t="s">
        <v>71</v>
      </c>
      <c r="G6607">
        <v>224</v>
      </c>
      <c r="H6607" s="9">
        <v>1.5</v>
      </c>
      <c r="I6607"/>
    </row>
    <row r="6608" spans="1:9" x14ac:dyDescent="0.3">
      <c r="A6608" t="s">
        <v>3</v>
      </c>
      <c r="B6608" t="s">
        <v>22</v>
      </c>
      <c r="C6608" t="s">
        <v>130</v>
      </c>
      <c r="D6608" s="9" t="s">
        <v>124</v>
      </c>
      <c r="E6608" t="s">
        <v>38</v>
      </c>
      <c r="F6608" t="s">
        <v>73</v>
      </c>
      <c r="G6608">
        <v>209.2</v>
      </c>
      <c r="H6608" s="9">
        <v>-7.15</v>
      </c>
      <c r="I6608"/>
    </row>
    <row r="6609" spans="1:9" x14ac:dyDescent="0.3">
      <c r="A6609" t="s">
        <v>3</v>
      </c>
      <c r="B6609" t="s">
        <v>22</v>
      </c>
      <c r="C6609" t="s">
        <v>131</v>
      </c>
      <c r="D6609" s="9" t="s">
        <v>124</v>
      </c>
      <c r="E6609" t="s">
        <v>39</v>
      </c>
      <c r="F6609" t="s">
        <v>75</v>
      </c>
      <c r="G6609">
        <v>230.4</v>
      </c>
      <c r="H6609" s="9">
        <v>-0.39</v>
      </c>
      <c r="I6609"/>
    </row>
    <row r="6610" spans="1:9" x14ac:dyDescent="0.3">
      <c r="A6610" t="s">
        <v>3</v>
      </c>
      <c r="B6610" t="s">
        <v>22</v>
      </c>
      <c r="C6610" t="s">
        <v>132</v>
      </c>
      <c r="D6610" s="9" t="s">
        <v>124</v>
      </c>
      <c r="E6610" t="s">
        <v>40</v>
      </c>
      <c r="F6610" t="s">
        <v>77</v>
      </c>
      <c r="G6610">
        <v>221</v>
      </c>
      <c r="H6610" s="9">
        <v>-6.4</v>
      </c>
      <c r="I6610"/>
    </row>
    <row r="6611" spans="1:9" x14ac:dyDescent="0.3">
      <c r="A6611" t="s">
        <v>3</v>
      </c>
      <c r="B6611" t="s">
        <v>22</v>
      </c>
      <c r="C6611" t="s">
        <v>133</v>
      </c>
      <c r="D6611" s="9" t="s">
        <v>124</v>
      </c>
      <c r="E6611" t="s">
        <v>41</v>
      </c>
      <c r="F6611" t="s">
        <v>79</v>
      </c>
      <c r="G6611">
        <v>244.5</v>
      </c>
      <c r="H6611" s="9">
        <v>0</v>
      </c>
      <c r="I6611"/>
    </row>
    <row r="6612" spans="1:9" x14ac:dyDescent="0.3">
      <c r="A6612" t="s">
        <v>3</v>
      </c>
      <c r="B6612" t="s">
        <v>22</v>
      </c>
      <c r="C6612" t="s">
        <v>134</v>
      </c>
      <c r="D6612" s="9" t="s">
        <v>124</v>
      </c>
      <c r="E6612" t="s">
        <v>42</v>
      </c>
      <c r="F6612" t="s">
        <v>81</v>
      </c>
      <c r="G6612">
        <v>291.8</v>
      </c>
      <c r="H6612" s="9">
        <v>-6.14</v>
      </c>
      <c r="I6612"/>
    </row>
    <row r="6613" spans="1:9" x14ac:dyDescent="0.3">
      <c r="A6613" t="s">
        <v>3</v>
      </c>
      <c r="B6613" t="s">
        <v>22</v>
      </c>
      <c r="C6613" t="s">
        <v>135</v>
      </c>
      <c r="D6613" s="9" t="s">
        <v>124</v>
      </c>
      <c r="E6613" t="s">
        <v>43</v>
      </c>
      <c r="F6613" t="s">
        <v>83</v>
      </c>
      <c r="G6613">
        <v>411.5</v>
      </c>
      <c r="H6613" s="9">
        <v>-4.28</v>
      </c>
      <c r="I6613"/>
    </row>
    <row r="6614" spans="1:9" x14ac:dyDescent="0.3">
      <c r="A6614" t="s">
        <v>3</v>
      </c>
      <c r="B6614" t="s">
        <v>22</v>
      </c>
      <c r="C6614" t="s">
        <v>136</v>
      </c>
      <c r="D6614" s="9" t="s">
        <v>137</v>
      </c>
      <c r="E6614" t="s">
        <v>32</v>
      </c>
      <c r="F6614" t="s">
        <v>61</v>
      </c>
      <c r="G6614">
        <v>231.1</v>
      </c>
      <c r="H6614" s="9">
        <v>-4.58</v>
      </c>
      <c r="I6614"/>
    </row>
    <row r="6615" spans="1:9" x14ac:dyDescent="0.3">
      <c r="A6615" t="s">
        <v>3</v>
      </c>
      <c r="B6615" t="s">
        <v>22</v>
      </c>
      <c r="C6615" t="s">
        <v>138</v>
      </c>
      <c r="D6615" s="9" t="s">
        <v>137</v>
      </c>
      <c r="E6615" t="s">
        <v>33</v>
      </c>
      <c r="F6615" t="s">
        <v>63</v>
      </c>
      <c r="G6615">
        <v>230.3</v>
      </c>
      <c r="H6615" s="9">
        <v>4.59</v>
      </c>
      <c r="I6615"/>
    </row>
    <row r="6616" spans="1:9" x14ac:dyDescent="0.3">
      <c r="A6616" t="s">
        <v>3</v>
      </c>
      <c r="B6616" t="s">
        <v>22</v>
      </c>
      <c r="C6616" t="s">
        <v>139</v>
      </c>
      <c r="D6616" s="9" t="s">
        <v>137</v>
      </c>
      <c r="E6616" t="s">
        <v>34</v>
      </c>
      <c r="F6616" t="s">
        <v>65</v>
      </c>
      <c r="G6616">
        <v>245.2</v>
      </c>
      <c r="H6616" s="9">
        <v>9.9600000000000009</v>
      </c>
      <c r="I6616"/>
    </row>
    <row r="6617" spans="1:9" x14ac:dyDescent="0.3">
      <c r="A6617" t="s">
        <v>3</v>
      </c>
      <c r="B6617" t="s">
        <v>22</v>
      </c>
      <c r="C6617" t="s">
        <v>140</v>
      </c>
      <c r="D6617" s="9" t="s">
        <v>137</v>
      </c>
      <c r="E6617" t="s">
        <v>35</v>
      </c>
      <c r="F6617" t="s">
        <v>67</v>
      </c>
      <c r="G6617">
        <v>234.7</v>
      </c>
      <c r="H6617" s="9">
        <v>7.76</v>
      </c>
      <c r="I6617"/>
    </row>
    <row r="6618" spans="1:9" x14ac:dyDescent="0.3">
      <c r="A6618" t="s">
        <v>3</v>
      </c>
      <c r="B6618" t="s">
        <v>22</v>
      </c>
      <c r="C6618" t="s">
        <v>141</v>
      </c>
      <c r="D6618" s="9" t="s">
        <v>137</v>
      </c>
      <c r="E6618" t="s">
        <v>36</v>
      </c>
      <c r="F6618" t="s">
        <v>69</v>
      </c>
      <c r="G6618">
        <v>256.5</v>
      </c>
      <c r="H6618" s="9">
        <v>4.91</v>
      </c>
      <c r="I6618"/>
    </row>
    <row r="6619" spans="1:9" x14ac:dyDescent="0.3">
      <c r="A6619" t="s">
        <v>3</v>
      </c>
      <c r="B6619" t="s">
        <v>22</v>
      </c>
      <c r="C6619" t="s">
        <v>142</v>
      </c>
      <c r="D6619" s="9" t="s">
        <v>137</v>
      </c>
      <c r="E6619" t="s">
        <v>37</v>
      </c>
      <c r="F6619" t="s">
        <v>71</v>
      </c>
      <c r="G6619">
        <v>230.4</v>
      </c>
      <c r="H6619" s="9">
        <v>2.86</v>
      </c>
      <c r="I6619"/>
    </row>
    <row r="6620" spans="1:9" x14ac:dyDescent="0.3">
      <c r="A6620" t="s">
        <v>3</v>
      </c>
      <c r="B6620" t="s">
        <v>22</v>
      </c>
      <c r="C6620" t="s">
        <v>143</v>
      </c>
      <c r="D6620" s="9" t="s">
        <v>137</v>
      </c>
      <c r="E6620" t="s">
        <v>38</v>
      </c>
      <c r="F6620" t="s">
        <v>73</v>
      </c>
      <c r="G6620">
        <v>219.4</v>
      </c>
      <c r="H6620" s="9">
        <v>4.88</v>
      </c>
      <c r="I6620"/>
    </row>
    <row r="6621" spans="1:9" x14ac:dyDescent="0.3">
      <c r="A6621" t="s">
        <v>3</v>
      </c>
      <c r="B6621" t="s">
        <v>22</v>
      </c>
      <c r="C6621" t="s">
        <v>144</v>
      </c>
      <c r="D6621" s="9" t="s">
        <v>137</v>
      </c>
      <c r="E6621" t="s">
        <v>39</v>
      </c>
      <c r="F6621" t="s">
        <v>75</v>
      </c>
      <c r="G6621">
        <v>235.7</v>
      </c>
      <c r="H6621" s="9">
        <v>2.2999999999999998</v>
      </c>
      <c r="I6621"/>
    </row>
    <row r="6622" spans="1:9" x14ac:dyDescent="0.3">
      <c r="A6622" t="s">
        <v>3</v>
      </c>
      <c r="B6622" t="s">
        <v>22</v>
      </c>
      <c r="C6622" t="s">
        <v>145</v>
      </c>
      <c r="D6622" s="9" t="s">
        <v>137</v>
      </c>
      <c r="E6622" t="s">
        <v>40</v>
      </c>
      <c r="F6622" t="s">
        <v>77</v>
      </c>
      <c r="G6622">
        <v>225.1</v>
      </c>
      <c r="H6622" s="9">
        <v>1.86</v>
      </c>
      <c r="I6622"/>
    </row>
    <row r="6623" spans="1:9" x14ac:dyDescent="0.3">
      <c r="A6623" t="s">
        <v>3</v>
      </c>
      <c r="B6623" t="s">
        <v>22</v>
      </c>
      <c r="C6623" t="s">
        <v>146</v>
      </c>
      <c r="D6623" s="9" t="s">
        <v>137</v>
      </c>
      <c r="E6623" t="s">
        <v>41</v>
      </c>
      <c r="F6623" t="s">
        <v>79</v>
      </c>
      <c r="G6623">
        <v>244.1</v>
      </c>
      <c r="H6623" s="9">
        <v>-0.16</v>
      </c>
      <c r="I6623"/>
    </row>
    <row r="6624" spans="1:9" x14ac:dyDescent="0.3">
      <c r="A6624" t="s">
        <v>3</v>
      </c>
      <c r="B6624" t="s">
        <v>22</v>
      </c>
      <c r="C6624" t="s">
        <v>147</v>
      </c>
      <c r="D6624" s="9" t="s">
        <v>137</v>
      </c>
      <c r="E6624" t="s">
        <v>42</v>
      </c>
      <c r="F6624" t="s">
        <v>81</v>
      </c>
      <c r="G6624">
        <v>295</v>
      </c>
      <c r="H6624" s="9">
        <v>1.1000000000000001</v>
      </c>
      <c r="I6624"/>
    </row>
    <row r="6625" spans="1:9" x14ac:dyDescent="0.3">
      <c r="A6625" t="s">
        <v>3</v>
      </c>
      <c r="B6625" t="s">
        <v>22</v>
      </c>
      <c r="C6625" t="s">
        <v>148</v>
      </c>
      <c r="D6625" s="9" t="s">
        <v>137</v>
      </c>
      <c r="E6625" t="s">
        <v>43</v>
      </c>
      <c r="F6625" t="s">
        <v>83</v>
      </c>
      <c r="G6625">
        <v>406.4</v>
      </c>
      <c r="H6625" s="9">
        <v>-1.24</v>
      </c>
      <c r="I6625"/>
    </row>
    <row r="6626" spans="1:9" x14ac:dyDescent="0.3">
      <c r="A6626" t="s">
        <v>3</v>
      </c>
      <c r="B6626" t="s">
        <v>22</v>
      </c>
      <c r="C6626" t="s">
        <v>149</v>
      </c>
      <c r="D6626" s="9" t="s">
        <v>150</v>
      </c>
      <c r="E6626" t="s">
        <v>32</v>
      </c>
      <c r="F6626" t="s">
        <v>61</v>
      </c>
      <c r="G6626">
        <v>239.8</v>
      </c>
      <c r="H6626" s="9">
        <v>3.76</v>
      </c>
      <c r="I6626"/>
    </row>
    <row r="6627" spans="1:9" x14ac:dyDescent="0.3">
      <c r="A6627" t="s">
        <v>3</v>
      </c>
      <c r="B6627" t="s">
        <v>22</v>
      </c>
      <c r="C6627" t="s">
        <v>151</v>
      </c>
      <c r="D6627" s="9" t="s">
        <v>150</v>
      </c>
      <c r="E6627" t="s">
        <v>33</v>
      </c>
      <c r="F6627" t="s">
        <v>63</v>
      </c>
      <c r="G6627">
        <v>212.3</v>
      </c>
      <c r="H6627" s="9">
        <v>-7.82</v>
      </c>
      <c r="I6627"/>
    </row>
    <row r="6628" spans="1:9" x14ac:dyDescent="0.3">
      <c r="A6628" t="s">
        <v>3</v>
      </c>
      <c r="B6628" t="s">
        <v>22</v>
      </c>
      <c r="C6628" t="s">
        <v>152</v>
      </c>
      <c r="D6628" s="9" t="s">
        <v>150</v>
      </c>
      <c r="E6628" t="s">
        <v>34</v>
      </c>
      <c r="F6628" t="s">
        <v>65</v>
      </c>
      <c r="G6628">
        <v>235.7</v>
      </c>
      <c r="H6628" s="9">
        <v>-3.87</v>
      </c>
      <c r="I6628"/>
    </row>
    <row r="6629" spans="1:9" x14ac:dyDescent="0.3">
      <c r="A6629" t="s">
        <v>3</v>
      </c>
      <c r="B6629" t="s">
        <v>22</v>
      </c>
      <c r="C6629" t="s">
        <v>153</v>
      </c>
      <c r="D6629" s="9" t="s">
        <v>150</v>
      </c>
      <c r="E6629" t="s">
        <v>35</v>
      </c>
      <c r="F6629" t="s">
        <v>67</v>
      </c>
      <c r="G6629">
        <v>213.7</v>
      </c>
      <c r="H6629" s="9">
        <v>-8.9499999999999993</v>
      </c>
      <c r="I6629"/>
    </row>
    <row r="6630" spans="1:9" x14ac:dyDescent="0.3">
      <c r="A6630" t="s">
        <v>3</v>
      </c>
      <c r="B6630" t="s">
        <v>22</v>
      </c>
      <c r="C6630" t="s">
        <v>154</v>
      </c>
      <c r="D6630" s="9" t="s">
        <v>150</v>
      </c>
      <c r="E6630" t="s">
        <v>36</v>
      </c>
      <c r="F6630" t="s">
        <v>69</v>
      </c>
      <c r="G6630">
        <v>245.7</v>
      </c>
      <c r="H6630" s="9">
        <v>-4.21</v>
      </c>
      <c r="I6630"/>
    </row>
    <row r="6631" spans="1:9" x14ac:dyDescent="0.3">
      <c r="A6631" t="s">
        <v>3</v>
      </c>
      <c r="B6631" t="s">
        <v>22</v>
      </c>
      <c r="C6631" t="s">
        <v>155</v>
      </c>
      <c r="D6631" s="9" t="s">
        <v>150</v>
      </c>
      <c r="E6631" t="s">
        <v>37</v>
      </c>
      <c r="F6631" t="s">
        <v>71</v>
      </c>
      <c r="G6631">
        <v>216.9</v>
      </c>
      <c r="H6631" s="9">
        <v>-5.86</v>
      </c>
      <c r="I6631"/>
    </row>
    <row r="6632" spans="1:9" x14ac:dyDescent="0.3">
      <c r="A6632" t="s">
        <v>3</v>
      </c>
      <c r="B6632" t="s">
        <v>20</v>
      </c>
      <c r="C6632" t="s">
        <v>59</v>
      </c>
      <c r="D6632" s="9" t="s">
        <v>60</v>
      </c>
      <c r="E6632" t="s">
        <v>32</v>
      </c>
      <c r="F6632" t="s">
        <v>61</v>
      </c>
      <c r="G6632">
        <v>308.8</v>
      </c>
      <c r="I6632"/>
    </row>
    <row r="6633" spans="1:9" x14ac:dyDescent="0.3">
      <c r="A6633" t="s">
        <v>3</v>
      </c>
      <c r="B6633" t="s">
        <v>20</v>
      </c>
      <c r="C6633" t="s">
        <v>62</v>
      </c>
      <c r="D6633" s="9" t="s">
        <v>60</v>
      </c>
      <c r="E6633" t="s">
        <v>33</v>
      </c>
      <c r="F6633" t="s">
        <v>63</v>
      </c>
      <c r="G6633">
        <v>275.10000000000002</v>
      </c>
      <c r="I6633"/>
    </row>
    <row r="6634" spans="1:9" x14ac:dyDescent="0.3">
      <c r="A6634" t="s">
        <v>3</v>
      </c>
      <c r="B6634" t="s">
        <v>20</v>
      </c>
      <c r="C6634" t="s">
        <v>64</v>
      </c>
      <c r="D6634" s="9" t="s">
        <v>60</v>
      </c>
      <c r="E6634" t="s">
        <v>34</v>
      </c>
      <c r="F6634" t="s">
        <v>65</v>
      </c>
      <c r="G6634">
        <v>311.2</v>
      </c>
      <c r="I6634"/>
    </row>
    <row r="6635" spans="1:9" x14ac:dyDescent="0.3">
      <c r="A6635" t="s">
        <v>3</v>
      </c>
      <c r="B6635" t="s">
        <v>20</v>
      </c>
      <c r="C6635" t="s">
        <v>66</v>
      </c>
      <c r="D6635" s="9" t="s">
        <v>60</v>
      </c>
      <c r="E6635" t="s">
        <v>35</v>
      </c>
      <c r="F6635" t="s">
        <v>67</v>
      </c>
      <c r="G6635">
        <v>286.60000000000002</v>
      </c>
      <c r="I6635"/>
    </row>
    <row r="6636" spans="1:9" x14ac:dyDescent="0.3">
      <c r="A6636" t="s">
        <v>3</v>
      </c>
      <c r="B6636" t="s">
        <v>20</v>
      </c>
      <c r="C6636" t="s">
        <v>68</v>
      </c>
      <c r="D6636" s="9" t="s">
        <v>60</v>
      </c>
      <c r="E6636" t="s">
        <v>36</v>
      </c>
      <c r="F6636" t="s">
        <v>69</v>
      </c>
      <c r="G6636">
        <v>321</v>
      </c>
      <c r="I6636"/>
    </row>
    <row r="6637" spans="1:9" x14ac:dyDescent="0.3">
      <c r="A6637" t="s">
        <v>3</v>
      </c>
      <c r="B6637" t="s">
        <v>20</v>
      </c>
      <c r="C6637" t="s">
        <v>70</v>
      </c>
      <c r="D6637" s="9" t="s">
        <v>60</v>
      </c>
      <c r="E6637" t="s">
        <v>37</v>
      </c>
      <c r="F6637" t="s">
        <v>71</v>
      </c>
      <c r="G6637">
        <v>336.3</v>
      </c>
      <c r="I6637"/>
    </row>
    <row r="6638" spans="1:9" x14ac:dyDescent="0.3">
      <c r="A6638" t="s">
        <v>3</v>
      </c>
      <c r="B6638" t="s">
        <v>20</v>
      </c>
      <c r="C6638" t="s">
        <v>72</v>
      </c>
      <c r="D6638" s="9" t="s">
        <v>60</v>
      </c>
      <c r="E6638" t="s">
        <v>38</v>
      </c>
      <c r="F6638" t="s">
        <v>73</v>
      </c>
      <c r="G6638">
        <v>314.3</v>
      </c>
      <c r="I6638"/>
    </row>
    <row r="6639" spans="1:9" x14ac:dyDescent="0.3">
      <c r="A6639" t="s">
        <v>3</v>
      </c>
      <c r="B6639" t="s">
        <v>20</v>
      </c>
      <c r="C6639" t="s">
        <v>74</v>
      </c>
      <c r="D6639" s="9" t="s">
        <v>60</v>
      </c>
      <c r="E6639" t="s">
        <v>39</v>
      </c>
      <c r="F6639" t="s">
        <v>75</v>
      </c>
      <c r="G6639">
        <v>308.8</v>
      </c>
      <c r="I6639"/>
    </row>
    <row r="6640" spans="1:9" x14ac:dyDescent="0.3">
      <c r="A6640" t="s">
        <v>3</v>
      </c>
      <c r="B6640" t="s">
        <v>20</v>
      </c>
      <c r="C6640" t="s">
        <v>76</v>
      </c>
      <c r="D6640" s="9" t="s">
        <v>60</v>
      </c>
      <c r="E6640" t="s">
        <v>40</v>
      </c>
      <c r="F6640" t="s">
        <v>77</v>
      </c>
      <c r="G6640">
        <v>299.8</v>
      </c>
      <c r="I6640"/>
    </row>
    <row r="6641" spans="1:9" x14ac:dyDescent="0.3">
      <c r="A6641" t="s">
        <v>3</v>
      </c>
      <c r="B6641" t="s">
        <v>20</v>
      </c>
      <c r="C6641" t="s">
        <v>78</v>
      </c>
      <c r="D6641" s="9" t="s">
        <v>60</v>
      </c>
      <c r="E6641" t="s">
        <v>41</v>
      </c>
      <c r="F6641" t="s">
        <v>79</v>
      </c>
      <c r="G6641">
        <v>320.5</v>
      </c>
      <c r="I6641"/>
    </row>
    <row r="6642" spans="1:9" x14ac:dyDescent="0.3">
      <c r="A6642" t="s">
        <v>3</v>
      </c>
      <c r="B6642" t="s">
        <v>20</v>
      </c>
      <c r="C6642" t="s">
        <v>80</v>
      </c>
      <c r="D6642" s="9" t="s">
        <v>60</v>
      </c>
      <c r="E6642" t="s">
        <v>42</v>
      </c>
      <c r="F6642" t="s">
        <v>81</v>
      </c>
      <c r="G6642">
        <v>359.1</v>
      </c>
      <c r="I6642"/>
    </row>
    <row r="6643" spans="1:9" x14ac:dyDescent="0.3">
      <c r="A6643" t="s">
        <v>3</v>
      </c>
      <c r="B6643" t="s">
        <v>20</v>
      </c>
      <c r="C6643" t="s">
        <v>82</v>
      </c>
      <c r="D6643" s="9" t="s">
        <v>60</v>
      </c>
      <c r="E6643" t="s">
        <v>43</v>
      </c>
      <c r="F6643" t="s">
        <v>83</v>
      </c>
      <c r="G6643">
        <v>408.6</v>
      </c>
      <c r="I6643"/>
    </row>
    <row r="6644" spans="1:9" x14ac:dyDescent="0.3">
      <c r="A6644" t="s">
        <v>3</v>
      </c>
      <c r="B6644" t="s">
        <v>20</v>
      </c>
      <c r="C6644" t="s">
        <v>84</v>
      </c>
      <c r="D6644" s="9" t="s">
        <v>85</v>
      </c>
      <c r="E6644" t="s">
        <v>32</v>
      </c>
      <c r="F6644" t="s">
        <v>61</v>
      </c>
      <c r="G6644">
        <v>319.8</v>
      </c>
      <c r="H6644" s="9">
        <v>3.56</v>
      </c>
      <c r="I6644"/>
    </row>
    <row r="6645" spans="1:9" x14ac:dyDescent="0.3">
      <c r="A6645" t="s">
        <v>3</v>
      </c>
      <c r="B6645" t="s">
        <v>20</v>
      </c>
      <c r="C6645" t="s">
        <v>86</v>
      </c>
      <c r="D6645" s="9" t="s">
        <v>85</v>
      </c>
      <c r="E6645" t="s">
        <v>33</v>
      </c>
      <c r="F6645" t="s">
        <v>63</v>
      </c>
      <c r="G6645">
        <v>297.2</v>
      </c>
      <c r="H6645" s="9">
        <v>8.0299999999999994</v>
      </c>
      <c r="I6645"/>
    </row>
    <row r="6646" spans="1:9" x14ac:dyDescent="0.3">
      <c r="A6646" t="s">
        <v>3</v>
      </c>
      <c r="B6646" t="s">
        <v>20</v>
      </c>
      <c r="C6646" t="s">
        <v>87</v>
      </c>
      <c r="D6646" s="9" t="s">
        <v>85</v>
      </c>
      <c r="E6646" t="s">
        <v>34</v>
      </c>
      <c r="F6646" t="s">
        <v>65</v>
      </c>
      <c r="G6646">
        <v>286.5</v>
      </c>
      <c r="H6646" s="9">
        <v>-7.94</v>
      </c>
      <c r="I6646"/>
    </row>
    <row r="6647" spans="1:9" x14ac:dyDescent="0.3">
      <c r="A6647" t="s">
        <v>3</v>
      </c>
      <c r="B6647" t="s">
        <v>20</v>
      </c>
      <c r="C6647" t="s">
        <v>88</v>
      </c>
      <c r="D6647" s="9" t="s">
        <v>85</v>
      </c>
      <c r="E6647" t="s">
        <v>35</v>
      </c>
      <c r="F6647" t="s">
        <v>67</v>
      </c>
      <c r="G6647">
        <v>228.8</v>
      </c>
      <c r="H6647" s="9">
        <v>-20.170000000000002</v>
      </c>
      <c r="I6647"/>
    </row>
    <row r="6648" spans="1:9" x14ac:dyDescent="0.3">
      <c r="A6648" t="s">
        <v>3</v>
      </c>
      <c r="B6648" t="s">
        <v>20</v>
      </c>
      <c r="C6648" t="s">
        <v>89</v>
      </c>
      <c r="D6648" s="9" t="s">
        <v>85</v>
      </c>
      <c r="E6648" t="s">
        <v>36</v>
      </c>
      <c r="F6648" t="s">
        <v>69</v>
      </c>
      <c r="G6648">
        <v>342.2</v>
      </c>
      <c r="H6648" s="9">
        <v>6.6</v>
      </c>
      <c r="I6648"/>
    </row>
    <row r="6649" spans="1:9" x14ac:dyDescent="0.3">
      <c r="A6649" t="s">
        <v>3</v>
      </c>
      <c r="B6649" t="s">
        <v>20</v>
      </c>
      <c r="C6649" t="s">
        <v>90</v>
      </c>
      <c r="D6649" s="9" t="s">
        <v>85</v>
      </c>
      <c r="E6649" t="s">
        <v>37</v>
      </c>
      <c r="F6649" t="s">
        <v>71</v>
      </c>
      <c r="G6649">
        <v>387.1</v>
      </c>
      <c r="H6649" s="9">
        <v>15.11</v>
      </c>
      <c r="I6649"/>
    </row>
    <row r="6650" spans="1:9" x14ac:dyDescent="0.3">
      <c r="A6650" t="s">
        <v>3</v>
      </c>
      <c r="B6650" t="s">
        <v>20</v>
      </c>
      <c r="C6650" t="s">
        <v>91</v>
      </c>
      <c r="D6650" s="9" t="s">
        <v>85</v>
      </c>
      <c r="E6650" t="s">
        <v>38</v>
      </c>
      <c r="F6650" t="s">
        <v>73</v>
      </c>
      <c r="G6650">
        <v>356.5</v>
      </c>
      <c r="H6650" s="9">
        <v>13.43</v>
      </c>
      <c r="I6650"/>
    </row>
    <row r="6651" spans="1:9" x14ac:dyDescent="0.3">
      <c r="A6651" t="s">
        <v>3</v>
      </c>
      <c r="B6651" t="s">
        <v>20</v>
      </c>
      <c r="C6651" t="s">
        <v>92</v>
      </c>
      <c r="D6651" s="9" t="s">
        <v>85</v>
      </c>
      <c r="E6651" t="s">
        <v>39</v>
      </c>
      <c r="F6651" t="s">
        <v>75</v>
      </c>
      <c r="G6651">
        <v>260.10000000000002</v>
      </c>
      <c r="H6651" s="9">
        <v>-15.77</v>
      </c>
      <c r="I6651"/>
    </row>
    <row r="6652" spans="1:9" x14ac:dyDescent="0.3">
      <c r="A6652" t="s">
        <v>3</v>
      </c>
      <c r="B6652" t="s">
        <v>20</v>
      </c>
      <c r="C6652" t="s">
        <v>93</v>
      </c>
      <c r="D6652" s="9" t="s">
        <v>85</v>
      </c>
      <c r="E6652" t="s">
        <v>40</v>
      </c>
      <c r="F6652" t="s">
        <v>77</v>
      </c>
      <c r="G6652">
        <v>240</v>
      </c>
      <c r="H6652" s="9">
        <v>-19.95</v>
      </c>
      <c r="I6652"/>
    </row>
    <row r="6653" spans="1:9" x14ac:dyDescent="0.3">
      <c r="A6653" t="s">
        <v>3</v>
      </c>
      <c r="B6653" t="s">
        <v>20</v>
      </c>
      <c r="C6653" t="s">
        <v>94</v>
      </c>
      <c r="D6653" s="9" t="s">
        <v>85</v>
      </c>
      <c r="E6653" t="s">
        <v>41</v>
      </c>
      <c r="F6653" t="s">
        <v>79</v>
      </c>
      <c r="G6653">
        <v>294.89999999999998</v>
      </c>
      <c r="H6653" s="9">
        <v>-7.99</v>
      </c>
      <c r="I6653"/>
    </row>
    <row r="6654" spans="1:9" x14ac:dyDescent="0.3">
      <c r="A6654" t="s">
        <v>3</v>
      </c>
      <c r="B6654" t="s">
        <v>20</v>
      </c>
      <c r="C6654" t="s">
        <v>95</v>
      </c>
      <c r="D6654" s="9" t="s">
        <v>85</v>
      </c>
      <c r="E6654" t="s">
        <v>42</v>
      </c>
      <c r="F6654" t="s">
        <v>81</v>
      </c>
      <c r="G6654">
        <v>457.8</v>
      </c>
      <c r="H6654" s="9">
        <v>27.49</v>
      </c>
      <c r="I6654"/>
    </row>
    <row r="6655" spans="1:9" x14ac:dyDescent="0.3">
      <c r="A6655" t="s">
        <v>3</v>
      </c>
      <c r="B6655" t="s">
        <v>20</v>
      </c>
      <c r="C6655" t="s">
        <v>96</v>
      </c>
      <c r="D6655" s="9" t="s">
        <v>85</v>
      </c>
      <c r="E6655" t="s">
        <v>43</v>
      </c>
      <c r="F6655" t="s">
        <v>83</v>
      </c>
      <c r="G6655">
        <v>440.9</v>
      </c>
      <c r="H6655" s="9">
        <v>7.91</v>
      </c>
      <c r="I6655"/>
    </row>
    <row r="6656" spans="1:9" x14ac:dyDescent="0.3">
      <c r="A6656" t="s">
        <v>3</v>
      </c>
      <c r="B6656" t="s">
        <v>20</v>
      </c>
      <c r="C6656" t="s">
        <v>97</v>
      </c>
      <c r="D6656" s="9" t="s">
        <v>98</v>
      </c>
      <c r="E6656" t="s">
        <v>32</v>
      </c>
      <c r="F6656" t="s">
        <v>61</v>
      </c>
      <c r="G6656">
        <v>362</v>
      </c>
      <c r="H6656" s="9">
        <v>13.2</v>
      </c>
      <c r="I6656"/>
    </row>
    <row r="6657" spans="1:9" x14ac:dyDescent="0.3">
      <c r="A6657" t="s">
        <v>3</v>
      </c>
      <c r="B6657" t="s">
        <v>20</v>
      </c>
      <c r="C6657" t="s">
        <v>99</v>
      </c>
      <c r="D6657" s="9" t="s">
        <v>98</v>
      </c>
      <c r="E6657" t="s">
        <v>33</v>
      </c>
      <c r="F6657" t="s">
        <v>63</v>
      </c>
      <c r="G6657">
        <v>301.60000000000002</v>
      </c>
      <c r="H6657" s="9">
        <v>1.48</v>
      </c>
      <c r="I6657"/>
    </row>
    <row r="6658" spans="1:9" x14ac:dyDescent="0.3">
      <c r="A6658" t="s">
        <v>3</v>
      </c>
      <c r="B6658" t="s">
        <v>20</v>
      </c>
      <c r="C6658" t="s">
        <v>100</v>
      </c>
      <c r="D6658" s="9" t="s">
        <v>98</v>
      </c>
      <c r="E6658" t="s">
        <v>34</v>
      </c>
      <c r="F6658" t="s">
        <v>65</v>
      </c>
      <c r="G6658">
        <v>354.9</v>
      </c>
      <c r="H6658" s="9">
        <v>23.87</v>
      </c>
      <c r="I6658"/>
    </row>
    <row r="6659" spans="1:9" x14ac:dyDescent="0.3">
      <c r="A6659" t="s">
        <v>3</v>
      </c>
      <c r="B6659" t="s">
        <v>20</v>
      </c>
      <c r="C6659" t="s">
        <v>101</v>
      </c>
      <c r="D6659" s="9" t="s">
        <v>98</v>
      </c>
      <c r="E6659" t="s">
        <v>35</v>
      </c>
      <c r="F6659" t="s">
        <v>67</v>
      </c>
      <c r="G6659">
        <v>324.39999999999998</v>
      </c>
      <c r="H6659" s="9">
        <v>41.78</v>
      </c>
      <c r="I6659"/>
    </row>
    <row r="6660" spans="1:9" x14ac:dyDescent="0.3">
      <c r="A6660" t="s">
        <v>3</v>
      </c>
      <c r="B6660" t="s">
        <v>20</v>
      </c>
      <c r="C6660" t="s">
        <v>102</v>
      </c>
      <c r="D6660" s="9" t="s">
        <v>98</v>
      </c>
      <c r="E6660" t="s">
        <v>36</v>
      </c>
      <c r="F6660" t="s">
        <v>69</v>
      </c>
      <c r="G6660">
        <v>316.39999999999998</v>
      </c>
      <c r="H6660" s="9">
        <v>-7.54</v>
      </c>
      <c r="I6660"/>
    </row>
    <row r="6661" spans="1:9" x14ac:dyDescent="0.3">
      <c r="A6661" t="s">
        <v>3</v>
      </c>
      <c r="B6661" t="s">
        <v>20</v>
      </c>
      <c r="C6661" t="s">
        <v>103</v>
      </c>
      <c r="D6661" s="9" t="s">
        <v>98</v>
      </c>
      <c r="E6661" t="s">
        <v>37</v>
      </c>
      <c r="F6661" t="s">
        <v>71</v>
      </c>
      <c r="G6661">
        <v>346.5</v>
      </c>
      <c r="H6661" s="9">
        <v>-10.49</v>
      </c>
      <c r="I6661"/>
    </row>
    <row r="6662" spans="1:9" x14ac:dyDescent="0.3">
      <c r="A6662" t="s">
        <v>3</v>
      </c>
      <c r="B6662" t="s">
        <v>20</v>
      </c>
      <c r="C6662" t="s">
        <v>104</v>
      </c>
      <c r="D6662" s="9" t="s">
        <v>98</v>
      </c>
      <c r="E6662" t="s">
        <v>38</v>
      </c>
      <c r="F6662" t="s">
        <v>73</v>
      </c>
      <c r="G6662">
        <v>323.39999999999998</v>
      </c>
      <c r="H6662" s="9">
        <v>-9.2799999999999994</v>
      </c>
      <c r="I6662"/>
    </row>
    <row r="6663" spans="1:9" x14ac:dyDescent="0.3">
      <c r="A6663" t="s">
        <v>3</v>
      </c>
      <c r="B6663" t="s">
        <v>20</v>
      </c>
      <c r="C6663" t="s">
        <v>105</v>
      </c>
      <c r="D6663" s="9" t="s">
        <v>98</v>
      </c>
      <c r="E6663" t="s">
        <v>39</v>
      </c>
      <c r="F6663" t="s">
        <v>75</v>
      </c>
      <c r="G6663">
        <v>284.5</v>
      </c>
      <c r="H6663" s="9">
        <v>9.3800000000000008</v>
      </c>
      <c r="I6663"/>
    </row>
    <row r="6664" spans="1:9" x14ac:dyDescent="0.3">
      <c r="A6664" t="s">
        <v>3</v>
      </c>
      <c r="B6664" t="s">
        <v>20</v>
      </c>
      <c r="C6664" t="s">
        <v>106</v>
      </c>
      <c r="D6664" s="9" t="s">
        <v>98</v>
      </c>
      <c r="E6664" t="s">
        <v>40</v>
      </c>
      <c r="F6664" t="s">
        <v>77</v>
      </c>
      <c r="G6664">
        <v>267</v>
      </c>
      <c r="H6664" s="9">
        <v>11.25</v>
      </c>
      <c r="I6664"/>
    </row>
    <row r="6665" spans="1:9" x14ac:dyDescent="0.3">
      <c r="A6665" t="s">
        <v>3</v>
      </c>
      <c r="B6665" t="s">
        <v>20</v>
      </c>
      <c r="C6665" t="s">
        <v>107</v>
      </c>
      <c r="D6665" s="9" t="s">
        <v>98</v>
      </c>
      <c r="E6665" t="s">
        <v>41</v>
      </c>
      <c r="F6665" t="s">
        <v>79</v>
      </c>
      <c r="G6665">
        <v>312.3</v>
      </c>
      <c r="H6665" s="9">
        <v>5.9</v>
      </c>
      <c r="I6665"/>
    </row>
    <row r="6666" spans="1:9" x14ac:dyDescent="0.3">
      <c r="A6666" t="s">
        <v>3</v>
      </c>
      <c r="B6666" t="s">
        <v>20</v>
      </c>
      <c r="C6666" t="s">
        <v>108</v>
      </c>
      <c r="D6666" s="9" t="s">
        <v>98</v>
      </c>
      <c r="E6666" t="s">
        <v>42</v>
      </c>
      <c r="F6666" t="s">
        <v>81</v>
      </c>
      <c r="G6666">
        <v>523.79999999999995</v>
      </c>
      <c r="H6666" s="9">
        <v>14.42</v>
      </c>
      <c r="I6666"/>
    </row>
    <row r="6667" spans="1:9" x14ac:dyDescent="0.3">
      <c r="A6667" t="s">
        <v>3</v>
      </c>
      <c r="B6667" t="s">
        <v>20</v>
      </c>
      <c r="C6667" t="s">
        <v>109</v>
      </c>
      <c r="D6667" s="9" t="s">
        <v>98</v>
      </c>
      <c r="E6667" t="s">
        <v>43</v>
      </c>
      <c r="F6667" t="s">
        <v>83</v>
      </c>
      <c r="G6667">
        <v>482.7</v>
      </c>
      <c r="H6667" s="9">
        <v>9.48</v>
      </c>
      <c r="I6667"/>
    </row>
    <row r="6668" spans="1:9" x14ac:dyDescent="0.3">
      <c r="A6668" t="s">
        <v>3</v>
      </c>
      <c r="B6668" t="s">
        <v>20</v>
      </c>
      <c r="C6668" t="s">
        <v>110</v>
      </c>
      <c r="D6668" s="9" t="s">
        <v>111</v>
      </c>
      <c r="E6668" t="s">
        <v>32</v>
      </c>
      <c r="F6668" t="s">
        <v>61</v>
      </c>
      <c r="G6668">
        <v>402</v>
      </c>
      <c r="H6668" s="9">
        <v>11.05</v>
      </c>
      <c r="I6668"/>
    </row>
    <row r="6669" spans="1:9" x14ac:dyDescent="0.3">
      <c r="A6669" t="s">
        <v>3</v>
      </c>
      <c r="B6669" t="s">
        <v>20</v>
      </c>
      <c r="C6669" t="s">
        <v>112</v>
      </c>
      <c r="D6669" s="9" t="s">
        <v>111</v>
      </c>
      <c r="E6669" t="s">
        <v>33</v>
      </c>
      <c r="F6669" t="s">
        <v>63</v>
      </c>
      <c r="G6669">
        <v>350.3</v>
      </c>
      <c r="H6669" s="9">
        <v>16.149999999999999</v>
      </c>
      <c r="I6669"/>
    </row>
    <row r="6670" spans="1:9" x14ac:dyDescent="0.3">
      <c r="A6670" t="s">
        <v>3</v>
      </c>
      <c r="B6670" t="s">
        <v>20</v>
      </c>
      <c r="C6670" t="s">
        <v>113</v>
      </c>
      <c r="D6670" s="9" t="s">
        <v>111</v>
      </c>
      <c r="E6670" t="s">
        <v>34</v>
      </c>
      <c r="F6670" t="s">
        <v>65</v>
      </c>
      <c r="G6670">
        <v>398</v>
      </c>
      <c r="H6670" s="9">
        <v>12.14</v>
      </c>
      <c r="I6670"/>
    </row>
    <row r="6671" spans="1:9" x14ac:dyDescent="0.3">
      <c r="A6671" t="s">
        <v>3</v>
      </c>
      <c r="B6671" t="s">
        <v>20</v>
      </c>
      <c r="C6671" t="s">
        <v>114</v>
      </c>
      <c r="D6671" s="9" t="s">
        <v>111</v>
      </c>
      <c r="E6671" t="s">
        <v>35</v>
      </c>
      <c r="F6671" t="s">
        <v>67</v>
      </c>
      <c r="G6671">
        <v>371.1</v>
      </c>
      <c r="H6671" s="9">
        <v>14.4</v>
      </c>
      <c r="I6671"/>
    </row>
    <row r="6672" spans="1:9" x14ac:dyDescent="0.3">
      <c r="A6672" t="s">
        <v>3</v>
      </c>
      <c r="B6672" t="s">
        <v>20</v>
      </c>
      <c r="C6672" t="s">
        <v>115</v>
      </c>
      <c r="D6672" s="9" t="s">
        <v>111</v>
      </c>
      <c r="E6672" t="s">
        <v>36</v>
      </c>
      <c r="F6672" t="s">
        <v>69</v>
      </c>
      <c r="G6672">
        <v>394.2</v>
      </c>
      <c r="H6672" s="9">
        <v>24.59</v>
      </c>
      <c r="I6672"/>
    </row>
    <row r="6673" spans="1:9" x14ac:dyDescent="0.3">
      <c r="A6673" t="s">
        <v>3</v>
      </c>
      <c r="B6673" t="s">
        <v>20</v>
      </c>
      <c r="C6673" t="s">
        <v>116</v>
      </c>
      <c r="D6673" s="9" t="s">
        <v>111</v>
      </c>
      <c r="E6673" t="s">
        <v>37</v>
      </c>
      <c r="F6673" t="s">
        <v>71</v>
      </c>
      <c r="G6673">
        <v>444.1</v>
      </c>
      <c r="H6673" s="9">
        <v>28.17</v>
      </c>
      <c r="I6673"/>
    </row>
    <row r="6674" spans="1:9" x14ac:dyDescent="0.3">
      <c r="A6674" t="s">
        <v>3</v>
      </c>
      <c r="B6674" t="s">
        <v>20</v>
      </c>
      <c r="C6674" t="s">
        <v>117</v>
      </c>
      <c r="D6674" s="9" t="s">
        <v>111</v>
      </c>
      <c r="E6674" t="s">
        <v>38</v>
      </c>
      <c r="F6674" t="s">
        <v>73</v>
      </c>
      <c r="G6674">
        <v>406.2</v>
      </c>
      <c r="H6674" s="9">
        <v>25.6</v>
      </c>
      <c r="I6674"/>
    </row>
    <row r="6675" spans="1:9" x14ac:dyDescent="0.3">
      <c r="A6675" t="s">
        <v>3</v>
      </c>
      <c r="B6675" t="s">
        <v>20</v>
      </c>
      <c r="C6675" t="s">
        <v>118</v>
      </c>
      <c r="D6675" s="9" t="s">
        <v>111</v>
      </c>
      <c r="E6675" t="s">
        <v>39</v>
      </c>
      <c r="F6675" t="s">
        <v>75</v>
      </c>
      <c r="G6675">
        <v>432.2</v>
      </c>
      <c r="H6675" s="9">
        <v>51.92</v>
      </c>
      <c r="I6675"/>
    </row>
    <row r="6676" spans="1:9" x14ac:dyDescent="0.3">
      <c r="A6676" t="s">
        <v>3</v>
      </c>
      <c r="B6676" t="s">
        <v>20</v>
      </c>
      <c r="C6676" t="s">
        <v>119</v>
      </c>
      <c r="D6676" s="9" t="s">
        <v>111</v>
      </c>
      <c r="E6676" t="s">
        <v>40</v>
      </c>
      <c r="F6676" t="s">
        <v>77</v>
      </c>
      <c r="G6676">
        <v>403.5</v>
      </c>
      <c r="H6676" s="9">
        <v>51.12</v>
      </c>
      <c r="I6676"/>
    </row>
    <row r="6677" spans="1:9" x14ac:dyDescent="0.3">
      <c r="A6677" t="s">
        <v>3</v>
      </c>
      <c r="B6677" t="s">
        <v>20</v>
      </c>
      <c r="C6677" t="s">
        <v>120</v>
      </c>
      <c r="D6677" s="9" t="s">
        <v>111</v>
      </c>
      <c r="E6677" t="s">
        <v>41</v>
      </c>
      <c r="F6677" t="s">
        <v>79</v>
      </c>
      <c r="G6677">
        <v>433</v>
      </c>
      <c r="H6677" s="9">
        <v>38.65</v>
      </c>
      <c r="I6677"/>
    </row>
    <row r="6678" spans="1:9" x14ac:dyDescent="0.3">
      <c r="A6678" t="s">
        <v>3</v>
      </c>
      <c r="B6678" t="s">
        <v>20</v>
      </c>
      <c r="C6678" t="s">
        <v>121</v>
      </c>
      <c r="D6678" s="9" t="s">
        <v>111</v>
      </c>
      <c r="E6678" t="s">
        <v>42</v>
      </c>
      <c r="F6678" t="s">
        <v>81</v>
      </c>
      <c r="G6678">
        <v>498.7</v>
      </c>
      <c r="H6678" s="9">
        <v>-4.79</v>
      </c>
      <c r="I6678"/>
    </row>
    <row r="6679" spans="1:9" x14ac:dyDescent="0.3">
      <c r="A6679" t="s">
        <v>3</v>
      </c>
      <c r="B6679" t="s">
        <v>20</v>
      </c>
      <c r="C6679" t="s">
        <v>122</v>
      </c>
      <c r="D6679" s="9" t="s">
        <v>111</v>
      </c>
      <c r="E6679" t="s">
        <v>43</v>
      </c>
      <c r="F6679" t="s">
        <v>83</v>
      </c>
      <c r="G6679">
        <v>523.5</v>
      </c>
      <c r="H6679" s="9">
        <v>8.4499999999999993</v>
      </c>
      <c r="I6679"/>
    </row>
    <row r="6680" spans="1:9" x14ac:dyDescent="0.3">
      <c r="A6680" t="s">
        <v>3</v>
      </c>
      <c r="B6680" t="s">
        <v>20</v>
      </c>
      <c r="C6680" t="s">
        <v>123</v>
      </c>
      <c r="D6680" s="9" t="s">
        <v>124</v>
      </c>
      <c r="E6680" t="s">
        <v>32</v>
      </c>
      <c r="F6680" t="s">
        <v>61</v>
      </c>
      <c r="G6680">
        <v>435.7</v>
      </c>
      <c r="H6680" s="9">
        <v>8.3800000000000008</v>
      </c>
      <c r="I6680"/>
    </row>
    <row r="6681" spans="1:9" x14ac:dyDescent="0.3">
      <c r="A6681" t="s">
        <v>3</v>
      </c>
      <c r="B6681" t="s">
        <v>20</v>
      </c>
      <c r="C6681" t="s">
        <v>125</v>
      </c>
      <c r="D6681" s="9" t="s">
        <v>124</v>
      </c>
      <c r="E6681" t="s">
        <v>33</v>
      </c>
      <c r="F6681" t="s">
        <v>63</v>
      </c>
      <c r="G6681">
        <v>372.1</v>
      </c>
      <c r="H6681" s="9">
        <v>6.22</v>
      </c>
      <c r="I6681"/>
    </row>
    <row r="6682" spans="1:9" x14ac:dyDescent="0.3">
      <c r="A6682" t="s">
        <v>3</v>
      </c>
      <c r="B6682" t="s">
        <v>20</v>
      </c>
      <c r="C6682" t="s">
        <v>126</v>
      </c>
      <c r="D6682" s="9" t="s">
        <v>124</v>
      </c>
      <c r="E6682" t="s">
        <v>34</v>
      </c>
      <c r="F6682" t="s">
        <v>65</v>
      </c>
      <c r="G6682">
        <v>388.7</v>
      </c>
      <c r="H6682" s="9">
        <v>-2.34</v>
      </c>
      <c r="I6682"/>
    </row>
    <row r="6683" spans="1:9" x14ac:dyDescent="0.3">
      <c r="A6683" t="s">
        <v>3</v>
      </c>
      <c r="B6683" t="s">
        <v>20</v>
      </c>
      <c r="C6683" t="s">
        <v>127</v>
      </c>
      <c r="D6683" s="9" t="s">
        <v>124</v>
      </c>
      <c r="E6683" t="s">
        <v>35</v>
      </c>
      <c r="F6683" t="s">
        <v>67</v>
      </c>
      <c r="G6683">
        <v>368.8</v>
      </c>
      <c r="H6683" s="9">
        <v>-0.62</v>
      </c>
      <c r="I6683"/>
    </row>
    <row r="6684" spans="1:9" x14ac:dyDescent="0.3">
      <c r="A6684" t="s">
        <v>3</v>
      </c>
      <c r="B6684" t="s">
        <v>20</v>
      </c>
      <c r="C6684" t="s">
        <v>128</v>
      </c>
      <c r="D6684" s="9" t="s">
        <v>124</v>
      </c>
      <c r="E6684" t="s">
        <v>36</v>
      </c>
      <c r="F6684" t="s">
        <v>69</v>
      </c>
      <c r="G6684">
        <v>390.5</v>
      </c>
      <c r="H6684" s="9">
        <v>-0.94</v>
      </c>
      <c r="I6684"/>
    </row>
    <row r="6685" spans="1:9" x14ac:dyDescent="0.3">
      <c r="A6685" t="s">
        <v>3</v>
      </c>
      <c r="B6685" t="s">
        <v>20</v>
      </c>
      <c r="C6685" t="s">
        <v>129</v>
      </c>
      <c r="D6685" s="9" t="s">
        <v>124</v>
      </c>
      <c r="E6685" t="s">
        <v>37</v>
      </c>
      <c r="F6685" t="s">
        <v>71</v>
      </c>
      <c r="G6685">
        <v>419.6</v>
      </c>
      <c r="H6685" s="9">
        <v>-5.52</v>
      </c>
      <c r="I6685"/>
    </row>
    <row r="6686" spans="1:9" x14ac:dyDescent="0.3">
      <c r="A6686" t="s">
        <v>3</v>
      </c>
      <c r="B6686" t="s">
        <v>20</v>
      </c>
      <c r="C6686" t="s">
        <v>130</v>
      </c>
      <c r="D6686" s="9" t="s">
        <v>124</v>
      </c>
      <c r="E6686" t="s">
        <v>38</v>
      </c>
      <c r="F6686" t="s">
        <v>73</v>
      </c>
      <c r="G6686">
        <v>389.4</v>
      </c>
      <c r="H6686" s="9">
        <v>-4.1399999999999997</v>
      </c>
      <c r="I6686"/>
    </row>
    <row r="6687" spans="1:9" x14ac:dyDescent="0.3">
      <c r="A6687" t="s">
        <v>3</v>
      </c>
      <c r="B6687" t="s">
        <v>20</v>
      </c>
      <c r="C6687" t="s">
        <v>131</v>
      </c>
      <c r="D6687" s="9" t="s">
        <v>124</v>
      </c>
      <c r="E6687" t="s">
        <v>39</v>
      </c>
      <c r="F6687" t="s">
        <v>75</v>
      </c>
      <c r="G6687">
        <v>383.8</v>
      </c>
      <c r="H6687" s="9">
        <v>-11.2</v>
      </c>
      <c r="I6687"/>
    </row>
    <row r="6688" spans="1:9" x14ac:dyDescent="0.3">
      <c r="A6688" t="s">
        <v>3</v>
      </c>
      <c r="B6688" t="s">
        <v>20</v>
      </c>
      <c r="C6688" t="s">
        <v>132</v>
      </c>
      <c r="D6688" s="9" t="s">
        <v>124</v>
      </c>
      <c r="E6688" t="s">
        <v>40</v>
      </c>
      <c r="F6688" t="s">
        <v>77</v>
      </c>
      <c r="G6688">
        <v>371.2</v>
      </c>
      <c r="H6688" s="9">
        <v>-8</v>
      </c>
      <c r="I6688"/>
    </row>
    <row r="6689" spans="1:9" x14ac:dyDescent="0.3">
      <c r="A6689" t="s">
        <v>3</v>
      </c>
      <c r="B6689" t="s">
        <v>20</v>
      </c>
      <c r="C6689" t="s">
        <v>133</v>
      </c>
      <c r="D6689" s="9" t="s">
        <v>124</v>
      </c>
      <c r="E6689" t="s">
        <v>41</v>
      </c>
      <c r="F6689" t="s">
        <v>79</v>
      </c>
      <c r="G6689">
        <v>414.4</v>
      </c>
      <c r="H6689" s="9">
        <v>-4.3</v>
      </c>
      <c r="I6689"/>
    </row>
    <row r="6690" spans="1:9" x14ac:dyDescent="0.3">
      <c r="A6690" t="s">
        <v>3</v>
      </c>
      <c r="B6690" t="s">
        <v>20</v>
      </c>
      <c r="C6690" t="s">
        <v>134</v>
      </c>
      <c r="D6690" s="9" t="s">
        <v>124</v>
      </c>
      <c r="E6690" t="s">
        <v>42</v>
      </c>
      <c r="F6690" t="s">
        <v>81</v>
      </c>
      <c r="G6690">
        <v>500.7</v>
      </c>
      <c r="H6690" s="9">
        <v>0.4</v>
      </c>
      <c r="I6690"/>
    </row>
    <row r="6691" spans="1:9" x14ac:dyDescent="0.3">
      <c r="A6691" t="s">
        <v>3</v>
      </c>
      <c r="B6691" t="s">
        <v>20</v>
      </c>
      <c r="C6691" t="s">
        <v>135</v>
      </c>
      <c r="D6691" s="9" t="s">
        <v>124</v>
      </c>
      <c r="E6691" t="s">
        <v>43</v>
      </c>
      <c r="F6691" t="s">
        <v>83</v>
      </c>
      <c r="G6691">
        <v>517.20000000000005</v>
      </c>
      <c r="H6691" s="9">
        <v>-1.2</v>
      </c>
      <c r="I6691"/>
    </row>
    <row r="6692" spans="1:9" x14ac:dyDescent="0.3">
      <c r="A6692" t="s">
        <v>3</v>
      </c>
      <c r="B6692" t="s">
        <v>20</v>
      </c>
      <c r="C6692" t="s">
        <v>136</v>
      </c>
      <c r="D6692" s="9" t="s">
        <v>137</v>
      </c>
      <c r="E6692" t="s">
        <v>32</v>
      </c>
      <c r="F6692" t="s">
        <v>61</v>
      </c>
      <c r="G6692">
        <v>392.8</v>
      </c>
      <c r="H6692" s="9">
        <v>-9.85</v>
      </c>
      <c r="I6692"/>
    </row>
    <row r="6693" spans="1:9" x14ac:dyDescent="0.3">
      <c r="A6693" t="s">
        <v>3</v>
      </c>
      <c r="B6693" t="s">
        <v>20</v>
      </c>
      <c r="C6693" t="s">
        <v>138</v>
      </c>
      <c r="D6693" s="9" t="s">
        <v>137</v>
      </c>
      <c r="E6693" t="s">
        <v>33</v>
      </c>
      <c r="F6693" t="s">
        <v>63</v>
      </c>
      <c r="G6693">
        <v>353.6</v>
      </c>
      <c r="H6693" s="9">
        <v>-4.97</v>
      </c>
      <c r="I6693"/>
    </row>
    <row r="6694" spans="1:9" x14ac:dyDescent="0.3">
      <c r="A6694" t="s">
        <v>3</v>
      </c>
      <c r="B6694" t="s">
        <v>20</v>
      </c>
      <c r="C6694" t="s">
        <v>139</v>
      </c>
      <c r="D6694" s="9" t="s">
        <v>137</v>
      </c>
      <c r="E6694" t="s">
        <v>34</v>
      </c>
      <c r="F6694" t="s">
        <v>65</v>
      </c>
      <c r="G6694">
        <v>350.2</v>
      </c>
      <c r="H6694" s="9">
        <v>-9.9</v>
      </c>
      <c r="I6694"/>
    </row>
    <row r="6695" spans="1:9" x14ac:dyDescent="0.3">
      <c r="A6695" t="s">
        <v>3</v>
      </c>
      <c r="B6695" t="s">
        <v>20</v>
      </c>
      <c r="C6695" t="s">
        <v>140</v>
      </c>
      <c r="D6695" s="9" t="s">
        <v>137</v>
      </c>
      <c r="E6695" t="s">
        <v>35</v>
      </c>
      <c r="F6695" t="s">
        <v>67</v>
      </c>
      <c r="G6695">
        <v>359.9</v>
      </c>
      <c r="H6695" s="9">
        <v>-2.41</v>
      </c>
      <c r="I6695"/>
    </row>
    <row r="6696" spans="1:9" x14ac:dyDescent="0.3">
      <c r="A6696" t="s">
        <v>3</v>
      </c>
      <c r="B6696" t="s">
        <v>20</v>
      </c>
      <c r="C6696" t="s">
        <v>141</v>
      </c>
      <c r="D6696" s="9" t="s">
        <v>137</v>
      </c>
      <c r="E6696" t="s">
        <v>36</v>
      </c>
      <c r="F6696" t="s">
        <v>69</v>
      </c>
      <c r="G6696">
        <v>391.6</v>
      </c>
      <c r="H6696" s="9">
        <v>0.28000000000000003</v>
      </c>
      <c r="I6696"/>
    </row>
    <row r="6697" spans="1:9" x14ac:dyDescent="0.3">
      <c r="A6697" t="s">
        <v>3</v>
      </c>
      <c r="B6697" t="s">
        <v>20</v>
      </c>
      <c r="C6697" t="s">
        <v>142</v>
      </c>
      <c r="D6697" s="9" t="s">
        <v>137</v>
      </c>
      <c r="E6697" t="s">
        <v>37</v>
      </c>
      <c r="F6697" t="s">
        <v>71</v>
      </c>
      <c r="G6697">
        <v>422.9</v>
      </c>
      <c r="H6697" s="9">
        <v>0.79</v>
      </c>
      <c r="I6697"/>
    </row>
    <row r="6698" spans="1:9" x14ac:dyDescent="0.3">
      <c r="A6698" t="s">
        <v>3</v>
      </c>
      <c r="B6698" t="s">
        <v>20</v>
      </c>
      <c r="C6698" t="s">
        <v>143</v>
      </c>
      <c r="D6698" s="9" t="s">
        <v>137</v>
      </c>
      <c r="E6698" t="s">
        <v>38</v>
      </c>
      <c r="F6698" t="s">
        <v>73</v>
      </c>
      <c r="G6698">
        <v>413.9</v>
      </c>
      <c r="H6698" s="9">
        <v>6.29</v>
      </c>
      <c r="I6698"/>
    </row>
    <row r="6699" spans="1:9" x14ac:dyDescent="0.3">
      <c r="A6699" t="s">
        <v>3</v>
      </c>
      <c r="B6699" t="s">
        <v>20</v>
      </c>
      <c r="C6699" t="s">
        <v>144</v>
      </c>
      <c r="D6699" s="9" t="s">
        <v>137</v>
      </c>
      <c r="E6699" t="s">
        <v>39</v>
      </c>
      <c r="F6699" t="s">
        <v>75</v>
      </c>
      <c r="G6699">
        <v>392.8</v>
      </c>
      <c r="H6699" s="9">
        <v>2.34</v>
      </c>
      <c r="I6699"/>
    </row>
    <row r="6700" spans="1:9" x14ac:dyDescent="0.3">
      <c r="A6700" t="s">
        <v>3</v>
      </c>
      <c r="B6700" t="s">
        <v>20</v>
      </c>
      <c r="C6700" t="s">
        <v>145</v>
      </c>
      <c r="D6700" s="9" t="s">
        <v>137</v>
      </c>
      <c r="E6700" t="s">
        <v>40</v>
      </c>
      <c r="F6700" t="s">
        <v>77</v>
      </c>
      <c r="G6700">
        <v>368.6</v>
      </c>
      <c r="H6700" s="9">
        <v>-0.7</v>
      </c>
      <c r="I6700"/>
    </row>
    <row r="6701" spans="1:9" x14ac:dyDescent="0.3">
      <c r="A6701" t="s">
        <v>3</v>
      </c>
      <c r="B6701" t="s">
        <v>20</v>
      </c>
      <c r="C6701" t="s">
        <v>146</v>
      </c>
      <c r="D6701" s="9" t="s">
        <v>137</v>
      </c>
      <c r="E6701" t="s">
        <v>41</v>
      </c>
      <c r="F6701" t="s">
        <v>79</v>
      </c>
      <c r="G6701">
        <v>394.8</v>
      </c>
      <c r="H6701" s="9">
        <v>-4.7300000000000004</v>
      </c>
      <c r="I6701"/>
    </row>
    <row r="6702" spans="1:9" x14ac:dyDescent="0.3">
      <c r="A6702" t="s">
        <v>3</v>
      </c>
      <c r="B6702" t="s">
        <v>20</v>
      </c>
      <c r="C6702" t="s">
        <v>147</v>
      </c>
      <c r="D6702" s="9" t="s">
        <v>137</v>
      </c>
      <c r="E6702" t="s">
        <v>42</v>
      </c>
      <c r="F6702" t="s">
        <v>81</v>
      </c>
      <c r="G6702">
        <v>484.9</v>
      </c>
      <c r="H6702" s="9">
        <v>-3.16</v>
      </c>
      <c r="I6702"/>
    </row>
    <row r="6703" spans="1:9" x14ac:dyDescent="0.3">
      <c r="A6703" t="s">
        <v>3</v>
      </c>
      <c r="B6703" t="s">
        <v>20</v>
      </c>
      <c r="C6703" t="s">
        <v>148</v>
      </c>
      <c r="D6703" s="9" t="s">
        <v>137</v>
      </c>
      <c r="E6703" t="s">
        <v>43</v>
      </c>
      <c r="F6703" t="s">
        <v>83</v>
      </c>
      <c r="G6703">
        <v>525.20000000000005</v>
      </c>
      <c r="H6703" s="9">
        <v>1.55</v>
      </c>
      <c r="I6703"/>
    </row>
    <row r="6704" spans="1:9" x14ac:dyDescent="0.3">
      <c r="A6704" t="s">
        <v>3</v>
      </c>
      <c r="B6704" t="s">
        <v>20</v>
      </c>
      <c r="C6704" t="s">
        <v>149</v>
      </c>
      <c r="D6704" s="9" t="s">
        <v>150</v>
      </c>
      <c r="E6704" t="s">
        <v>32</v>
      </c>
      <c r="F6704" t="s">
        <v>61</v>
      </c>
      <c r="G6704">
        <v>408.4</v>
      </c>
      <c r="H6704" s="9">
        <v>3.97</v>
      </c>
      <c r="I6704"/>
    </row>
    <row r="6705" spans="1:9" x14ac:dyDescent="0.3">
      <c r="A6705" t="s">
        <v>3</v>
      </c>
      <c r="B6705" t="s">
        <v>20</v>
      </c>
      <c r="C6705" t="s">
        <v>151</v>
      </c>
      <c r="D6705" s="9" t="s">
        <v>150</v>
      </c>
      <c r="E6705" t="s">
        <v>33</v>
      </c>
      <c r="F6705" t="s">
        <v>63</v>
      </c>
      <c r="G6705">
        <v>358.6</v>
      </c>
      <c r="H6705" s="9">
        <v>1.41</v>
      </c>
      <c r="I6705"/>
    </row>
    <row r="6706" spans="1:9" x14ac:dyDescent="0.3">
      <c r="A6706" t="s">
        <v>3</v>
      </c>
      <c r="B6706" t="s">
        <v>20</v>
      </c>
      <c r="C6706" t="s">
        <v>152</v>
      </c>
      <c r="D6706" s="9" t="s">
        <v>150</v>
      </c>
      <c r="E6706" t="s">
        <v>34</v>
      </c>
      <c r="F6706" t="s">
        <v>65</v>
      </c>
      <c r="G6706">
        <v>386.2</v>
      </c>
      <c r="H6706" s="9">
        <v>10.28</v>
      </c>
      <c r="I6706"/>
    </row>
    <row r="6707" spans="1:9" x14ac:dyDescent="0.3">
      <c r="A6707" t="s">
        <v>3</v>
      </c>
      <c r="B6707" t="s">
        <v>20</v>
      </c>
      <c r="C6707" t="s">
        <v>153</v>
      </c>
      <c r="D6707" s="9" t="s">
        <v>150</v>
      </c>
      <c r="E6707" t="s">
        <v>35</v>
      </c>
      <c r="F6707" t="s">
        <v>67</v>
      </c>
      <c r="G6707">
        <v>353.5</v>
      </c>
      <c r="H6707" s="9">
        <v>-1.78</v>
      </c>
      <c r="I6707"/>
    </row>
    <row r="6708" spans="1:9" x14ac:dyDescent="0.3">
      <c r="A6708" t="s">
        <v>3</v>
      </c>
      <c r="B6708" t="s">
        <v>20</v>
      </c>
      <c r="C6708" t="s">
        <v>154</v>
      </c>
      <c r="D6708" s="9" t="s">
        <v>150</v>
      </c>
      <c r="E6708" t="s">
        <v>36</v>
      </c>
      <c r="F6708" t="s">
        <v>69</v>
      </c>
      <c r="G6708">
        <v>402.1</v>
      </c>
      <c r="H6708" s="9">
        <v>2.68</v>
      </c>
      <c r="I6708"/>
    </row>
    <row r="6709" spans="1:9" x14ac:dyDescent="0.3">
      <c r="A6709" t="s">
        <v>3</v>
      </c>
      <c r="B6709" t="s">
        <v>20</v>
      </c>
      <c r="C6709" t="s">
        <v>155</v>
      </c>
      <c r="D6709" s="9" t="s">
        <v>150</v>
      </c>
      <c r="E6709" t="s">
        <v>37</v>
      </c>
      <c r="F6709" t="s">
        <v>71</v>
      </c>
      <c r="G6709">
        <v>441</v>
      </c>
      <c r="H6709" s="9">
        <v>4.28</v>
      </c>
      <c r="I6709"/>
    </row>
    <row r="6710" spans="1:9" x14ac:dyDescent="0.3">
      <c r="A6710" t="s">
        <v>3</v>
      </c>
      <c r="B6710" t="s">
        <v>15</v>
      </c>
      <c r="C6710" t="s">
        <v>59</v>
      </c>
      <c r="D6710" s="9" t="s">
        <v>60</v>
      </c>
      <c r="E6710" t="s">
        <v>32</v>
      </c>
      <c r="F6710" t="s">
        <v>61</v>
      </c>
      <c r="G6710">
        <v>455</v>
      </c>
      <c r="I6710"/>
    </row>
    <row r="6711" spans="1:9" x14ac:dyDescent="0.3">
      <c r="A6711" t="s">
        <v>3</v>
      </c>
      <c r="B6711" t="s">
        <v>15</v>
      </c>
      <c r="C6711" t="s">
        <v>62</v>
      </c>
      <c r="D6711" s="9" t="s">
        <v>60</v>
      </c>
      <c r="E6711" t="s">
        <v>33</v>
      </c>
      <c r="F6711" t="s">
        <v>63</v>
      </c>
      <c r="G6711">
        <v>431.6</v>
      </c>
      <c r="I6711"/>
    </row>
    <row r="6712" spans="1:9" x14ac:dyDescent="0.3">
      <c r="A6712" t="s">
        <v>3</v>
      </c>
      <c r="B6712" t="s">
        <v>15</v>
      </c>
      <c r="C6712" t="s">
        <v>64</v>
      </c>
      <c r="D6712" s="9" t="s">
        <v>60</v>
      </c>
      <c r="E6712" t="s">
        <v>34</v>
      </c>
      <c r="F6712" t="s">
        <v>65</v>
      </c>
      <c r="G6712">
        <v>461.3</v>
      </c>
      <c r="I6712"/>
    </row>
    <row r="6713" spans="1:9" x14ac:dyDescent="0.3">
      <c r="A6713" t="s">
        <v>3</v>
      </c>
      <c r="B6713" t="s">
        <v>15</v>
      </c>
      <c r="C6713" t="s">
        <v>66</v>
      </c>
      <c r="D6713" s="9" t="s">
        <v>60</v>
      </c>
      <c r="E6713" t="s">
        <v>35</v>
      </c>
      <c r="F6713" t="s">
        <v>67</v>
      </c>
      <c r="G6713">
        <v>455.1</v>
      </c>
      <c r="I6713"/>
    </row>
    <row r="6714" spans="1:9" x14ac:dyDescent="0.3">
      <c r="A6714" t="s">
        <v>3</v>
      </c>
      <c r="B6714" t="s">
        <v>15</v>
      </c>
      <c r="C6714" t="s">
        <v>68</v>
      </c>
      <c r="D6714" s="9" t="s">
        <v>60</v>
      </c>
      <c r="E6714" t="s">
        <v>36</v>
      </c>
      <c r="F6714" t="s">
        <v>69</v>
      </c>
      <c r="G6714">
        <v>444.7</v>
      </c>
      <c r="I6714"/>
    </row>
    <row r="6715" spans="1:9" x14ac:dyDescent="0.3">
      <c r="A6715" t="s">
        <v>3</v>
      </c>
      <c r="B6715" t="s">
        <v>15</v>
      </c>
      <c r="C6715" t="s">
        <v>70</v>
      </c>
      <c r="D6715" s="9" t="s">
        <v>60</v>
      </c>
      <c r="E6715" t="s">
        <v>37</v>
      </c>
      <c r="F6715" t="s">
        <v>71</v>
      </c>
      <c r="G6715">
        <v>417.3</v>
      </c>
      <c r="I6715"/>
    </row>
    <row r="6716" spans="1:9" x14ac:dyDescent="0.3">
      <c r="A6716" t="s">
        <v>3</v>
      </c>
      <c r="B6716" t="s">
        <v>15</v>
      </c>
      <c r="C6716" t="s">
        <v>72</v>
      </c>
      <c r="D6716" s="9" t="s">
        <v>60</v>
      </c>
      <c r="E6716" t="s">
        <v>38</v>
      </c>
      <c r="F6716" t="s">
        <v>73</v>
      </c>
      <c r="G6716">
        <v>428</v>
      </c>
      <c r="I6716"/>
    </row>
    <row r="6717" spans="1:9" x14ac:dyDescent="0.3">
      <c r="A6717" t="s">
        <v>3</v>
      </c>
      <c r="B6717" t="s">
        <v>15</v>
      </c>
      <c r="C6717" t="s">
        <v>74</v>
      </c>
      <c r="D6717" s="9" t="s">
        <v>60</v>
      </c>
      <c r="E6717" t="s">
        <v>39</v>
      </c>
      <c r="F6717" t="s">
        <v>75</v>
      </c>
      <c r="G6717">
        <v>460.4</v>
      </c>
      <c r="I6717"/>
    </row>
    <row r="6718" spans="1:9" x14ac:dyDescent="0.3">
      <c r="A6718" t="s">
        <v>3</v>
      </c>
      <c r="B6718" t="s">
        <v>15</v>
      </c>
      <c r="C6718" t="s">
        <v>76</v>
      </c>
      <c r="D6718" s="9" t="s">
        <v>60</v>
      </c>
      <c r="E6718" t="s">
        <v>40</v>
      </c>
      <c r="F6718" t="s">
        <v>77</v>
      </c>
      <c r="G6718">
        <v>487.6</v>
      </c>
      <c r="I6718"/>
    </row>
    <row r="6719" spans="1:9" x14ac:dyDescent="0.3">
      <c r="A6719" t="s">
        <v>3</v>
      </c>
      <c r="B6719" t="s">
        <v>15</v>
      </c>
      <c r="C6719" t="s">
        <v>78</v>
      </c>
      <c r="D6719" s="9" t="s">
        <v>60</v>
      </c>
      <c r="E6719" t="s">
        <v>41</v>
      </c>
      <c r="F6719" t="s">
        <v>79</v>
      </c>
      <c r="G6719">
        <v>563</v>
      </c>
      <c r="I6719"/>
    </row>
    <row r="6720" spans="1:9" x14ac:dyDescent="0.3">
      <c r="A6720" t="s">
        <v>3</v>
      </c>
      <c r="B6720" t="s">
        <v>15</v>
      </c>
      <c r="C6720" t="s">
        <v>80</v>
      </c>
      <c r="D6720" s="9" t="s">
        <v>60</v>
      </c>
      <c r="E6720" t="s">
        <v>42</v>
      </c>
      <c r="F6720" t="s">
        <v>81</v>
      </c>
      <c r="G6720">
        <v>535.4</v>
      </c>
      <c r="I6720"/>
    </row>
    <row r="6721" spans="1:9" x14ac:dyDescent="0.3">
      <c r="A6721" t="s">
        <v>3</v>
      </c>
      <c r="B6721" t="s">
        <v>15</v>
      </c>
      <c r="C6721" t="s">
        <v>82</v>
      </c>
      <c r="D6721" s="9" t="s">
        <v>60</v>
      </c>
      <c r="E6721" t="s">
        <v>43</v>
      </c>
      <c r="F6721" t="s">
        <v>83</v>
      </c>
      <c r="G6721">
        <v>547.70000000000005</v>
      </c>
      <c r="I6721"/>
    </row>
    <row r="6722" spans="1:9" x14ac:dyDescent="0.3">
      <c r="A6722" t="s">
        <v>3</v>
      </c>
      <c r="B6722" t="s">
        <v>15</v>
      </c>
      <c r="C6722" t="s">
        <v>84</v>
      </c>
      <c r="D6722" s="9" t="s">
        <v>85</v>
      </c>
      <c r="E6722" t="s">
        <v>32</v>
      </c>
      <c r="F6722" t="s">
        <v>61</v>
      </c>
      <c r="G6722">
        <v>469.3</v>
      </c>
      <c r="H6722" s="9">
        <v>3.14</v>
      </c>
      <c r="I6722"/>
    </row>
    <row r="6723" spans="1:9" x14ac:dyDescent="0.3">
      <c r="A6723" t="s">
        <v>3</v>
      </c>
      <c r="B6723" t="s">
        <v>15</v>
      </c>
      <c r="C6723" t="s">
        <v>86</v>
      </c>
      <c r="D6723" s="9" t="s">
        <v>85</v>
      </c>
      <c r="E6723" t="s">
        <v>33</v>
      </c>
      <c r="F6723" t="s">
        <v>63</v>
      </c>
      <c r="G6723">
        <v>458.7</v>
      </c>
      <c r="H6723" s="9">
        <v>6.28</v>
      </c>
      <c r="I6723"/>
    </row>
    <row r="6724" spans="1:9" x14ac:dyDescent="0.3">
      <c r="A6724" t="s">
        <v>3</v>
      </c>
      <c r="B6724" t="s">
        <v>15</v>
      </c>
      <c r="C6724" t="s">
        <v>87</v>
      </c>
      <c r="D6724" s="9" t="s">
        <v>85</v>
      </c>
      <c r="E6724" t="s">
        <v>34</v>
      </c>
      <c r="F6724" t="s">
        <v>65</v>
      </c>
      <c r="G6724">
        <v>570.70000000000005</v>
      </c>
      <c r="H6724" s="9">
        <v>23.72</v>
      </c>
      <c r="I6724"/>
    </row>
    <row r="6725" spans="1:9" x14ac:dyDescent="0.3">
      <c r="A6725" t="s">
        <v>3</v>
      </c>
      <c r="B6725" t="s">
        <v>15</v>
      </c>
      <c r="C6725" t="s">
        <v>88</v>
      </c>
      <c r="D6725" s="9" t="s">
        <v>85</v>
      </c>
      <c r="E6725" t="s">
        <v>35</v>
      </c>
      <c r="F6725" t="s">
        <v>67</v>
      </c>
      <c r="G6725">
        <v>554.1</v>
      </c>
      <c r="H6725" s="9">
        <v>21.75</v>
      </c>
      <c r="I6725"/>
    </row>
    <row r="6726" spans="1:9" x14ac:dyDescent="0.3">
      <c r="A6726" t="s">
        <v>3</v>
      </c>
      <c r="B6726" t="s">
        <v>15</v>
      </c>
      <c r="C6726" t="s">
        <v>89</v>
      </c>
      <c r="D6726" s="9" t="s">
        <v>85</v>
      </c>
      <c r="E6726" t="s">
        <v>36</v>
      </c>
      <c r="F6726" t="s">
        <v>69</v>
      </c>
      <c r="G6726">
        <v>593.9</v>
      </c>
      <c r="H6726" s="9">
        <v>33.549999999999997</v>
      </c>
      <c r="I6726"/>
    </row>
    <row r="6727" spans="1:9" x14ac:dyDescent="0.3">
      <c r="A6727" t="s">
        <v>3</v>
      </c>
      <c r="B6727" t="s">
        <v>15</v>
      </c>
      <c r="C6727" t="s">
        <v>90</v>
      </c>
      <c r="D6727" s="9" t="s">
        <v>85</v>
      </c>
      <c r="E6727" t="s">
        <v>37</v>
      </c>
      <c r="F6727" t="s">
        <v>71</v>
      </c>
      <c r="G6727">
        <v>569.9</v>
      </c>
      <c r="H6727" s="9">
        <v>36.57</v>
      </c>
      <c r="I6727"/>
    </row>
    <row r="6728" spans="1:9" x14ac:dyDescent="0.3">
      <c r="A6728" t="s">
        <v>3</v>
      </c>
      <c r="B6728" t="s">
        <v>15</v>
      </c>
      <c r="C6728" t="s">
        <v>91</v>
      </c>
      <c r="D6728" s="9" t="s">
        <v>85</v>
      </c>
      <c r="E6728" t="s">
        <v>38</v>
      </c>
      <c r="F6728" t="s">
        <v>73</v>
      </c>
      <c r="G6728">
        <v>573.1</v>
      </c>
      <c r="H6728" s="9">
        <v>33.9</v>
      </c>
      <c r="I6728"/>
    </row>
    <row r="6729" spans="1:9" x14ac:dyDescent="0.3">
      <c r="A6729" t="s">
        <v>3</v>
      </c>
      <c r="B6729" t="s">
        <v>15</v>
      </c>
      <c r="C6729" t="s">
        <v>92</v>
      </c>
      <c r="D6729" s="9" t="s">
        <v>85</v>
      </c>
      <c r="E6729" t="s">
        <v>39</v>
      </c>
      <c r="F6729" t="s">
        <v>75</v>
      </c>
      <c r="G6729">
        <v>496</v>
      </c>
      <c r="H6729" s="9">
        <v>7.73</v>
      </c>
      <c r="I6729"/>
    </row>
    <row r="6730" spans="1:9" x14ac:dyDescent="0.3">
      <c r="A6730" t="s">
        <v>3</v>
      </c>
      <c r="B6730" t="s">
        <v>15</v>
      </c>
      <c r="C6730" t="s">
        <v>93</v>
      </c>
      <c r="D6730" s="9" t="s">
        <v>85</v>
      </c>
      <c r="E6730" t="s">
        <v>40</v>
      </c>
      <c r="F6730" t="s">
        <v>77</v>
      </c>
      <c r="G6730">
        <v>532</v>
      </c>
      <c r="H6730" s="9">
        <v>9.11</v>
      </c>
      <c r="I6730"/>
    </row>
    <row r="6731" spans="1:9" x14ac:dyDescent="0.3">
      <c r="A6731" t="s">
        <v>3</v>
      </c>
      <c r="B6731" t="s">
        <v>15</v>
      </c>
      <c r="C6731" t="s">
        <v>94</v>
      </c>
      <c r="D6731" s="9" t="s">
        <v>85</v>
      </c>
      <c r="E6731" t="s">
        <v>41</v>
      </c>
      <c r="F6731" t="s">
        <v>79</v>
      </c>
      <c r="G6731">
        <v>592.1</v>
      </c>
      <c r="H6731" s="9">
        <v>5.17</v>
      </c>
      <c r="I6731"/>
    </row>
    <row r="6732" spans="1:9" x14ac:dyDescent="0.3">
      <c r="A6732" t="s">
        <v>3</v>
      </c>
      <c r="B6732" t="s">
        <v>15</v>
      </c>
      <c r="C6732" t="s">
        <v>95</v>
      </c>
      <c r="D6732" s="9" t="s">
        <v>85</v>
      </c>
      <c r="E6732" t="s">
        <v>42</v>
      </c>
      <c r="F6732" t="s">
        <v>81</v>
      </c>
      <c r="G6732">
        <v>677.3</v>
      </c>
      <c r="H6732" s="9">
        <v>26.5</v>
      </c>
      <c r="I6732"/>
    </row>
    <row r="6733" spans="1:9" x14ac:dyDescent="0.3">
      <c r="A6733" t="s">
        <v>3</v>
      </c>
      <c r="B6733" t="s">
        <v>15</v>
      </c>
      <c r="C6733" t="s">
        <v>96</v>
      </c>
      <c r="D6733" s="9" t="s">
        <v>85</v>
      </c>
      <c r="E6733" t="s">
        <v>43</v>
      </c>
      <c r="F6733" t="s">
        <v>83</v>
      </c>
      <c r="G6733">
        <v>639</v>
      </c>
      <c r="H6733" s="9">
        <v>16.670000000000002</v>
      </c>
      <c r="I6733"/>
    </row>
    <row r="6734" spans="1:9" x14ac:dyDescent="0.3">
      <c r="A6734" t="s">
        <v>3</v>
      </c>
      <c r="B6734" t="s">
        <v>15</v>
      </c>
      <c r="C6734" t="s">
        <v>97</v>
      </c>
      <c r="D6734" s="9" t="s">
        <v>98</v>
      </c>
      <c r="E6734" t="s">
        <v>32</v>
      </c>
      <c r="F6734" t="s">
        <v>61</v>
      </c>
      <c r="G6734">
        <v>512.6</v>
      </c>
      <c r="H6734" s="9">
        <v>9.23</v>
      </c>
      <c r="I6734"/>
    </row>
    <row r="6735" spans="1:9" x14ac:dyDescent="0.3">
      <c r="A6735" t="s">
        <v>3</v>
      </c>
      <c r="B6735" t="s">
        <v>15</v>
      </c>
      <c r="C6735" t="s">
        <v>99</v>
      </c>
      <c r="D6735" s="9" t="s">
        <v>98</v>
      </c>
      <c r="E6735" t="s">
        <v>33</v>
      </c>
      <c r="F6735" t="s">
        <v>63</v>
      </c>
      <c r="G6735">
        <v>477.9</v>
      </c>
      <c r="H6735" s="9">
        <v>4.1900000000000004</v>
      </c>
      <c r="I6735"/>
    </row>
    <row r="6736" spans="1:9" x14ac:dyDescent="0.3">
      <c r="A6736" t="s">
        <v>3</v>
      </c>
      <c r="B6736" t="s">
        <v>15</v>
      </c>
      <c r="C6736" t="s">
        <v>100</v>
      </c>
      <c r="D6736" s="9" t="s">
        <v>98</v>
      </c>
      <c r="E6736" t="s">
        <v>34</v>
      </c>
      <c r="F6736" t="s">
        <v>65</v>
      </c>
      <c r="G6736">
        <v>536.9</v>
      </c>
      <c r="H6736" s="9">
        <v>-5.92</v>
      </c>
      <c r="I6736"/>
    </row>
    <row r="6737" spans="1:9" x14ac:dyDescent="0.3">
      <c r="A6737" t="s">
        <v>3</v>
      </c>
      <c r="B6737" t="s">
        <v>15</v>
      </c>
      <c r="C6737" t="s">
        <v>101</v>
      </c>
      <c r="D6737" s="9" t="s">
        <v>98</v>
      </c>
      <c r="E6737" t="s">
        <v>35</v>
      </c>
      <c r="F6737" t="s">
        <v>67</v>
      </c>
      <c r="G6737">
        <v>518.1</v>
      </c>
      <c r="H6737" s="9">
        <v>-6.5</v>
      </c>
      <c r="I6737"/>
    </row>
    <row r="6738" spans="1:9" x14ac:dyDescent="0.3">
      <c r="A6738" t="s">
        <v>3</v>
      </c>
      <c r="B6738" t="s">
        <v>15</v>
      </c>
      <c r="C6738" t="s">
        <v>102</v>
      </c>
      <c r="D6738" s="9" t="s">
        <v>98</v>
      </c>
      <c r="E6738" t="s">
        <v>36</v>
      </c>
      <c r="F6738" t="s">
        <v>69</v>
      </c>
      <c r="G6738">
        <v>514.9</v>
      </c>
      <c r="H6738" s="9">
        <v>-13.3</v>
      </c>
      <c r="I6738"/>
    </row>
    <row r="6739" spans="1:9" x14ac:dyDescent="0.3">
      <c r="A6739" t="s">
        <v>3</v>
      </c>
      <c r="B6739" t="s">
        <v>15</v>
      </c>
      <c r="C6739" t="s">
        <v>103</v>
      </c>
      <c r="D6739" s="9" t="s">
        <v>98</v>
      </c>
      <c r="E6739" t="s">
        <v>37</v>
      </c>
      <c r="F6739" t="s">
        <v>71</v>
      </c>
      <c r="G6739">
        <v>513.4</v>
      </c>
      <c r="H6739" s="9">
        <v>-9.91</v>
      </c>
      <c r="I6739"/>
    </row>
    <row r="6740" spans="1:9" x14ac:dyDescent="0.3">
      <c r="A6740" t="s">
        <v>3</v>
      </c>
      <c r="B6740" t="s">
        <v>15</v>
      </c>
      <c r="C6740" t="s">
        <v>104</v>
      </c>
      <c r="D6740" s="9" t="s">
        <v>98</v>
      </c>
      <c r="E6740" t="s">
        <v>38</v>
      </c>
      <c r="F6740" t="s">
        <v>73</v>
      </c>
      <c r="G6740">
        <v>468</v>
      </c>
      <c r="H6740" s="9">
        <v>-18.34</v>
      </c>
      <c r="I6740"/>
    </row>
    <row r="6741" spans="1:9" x14ac:dyDescent="0.3">
      <c r="A6741" t="s">
        <v>3</v>
      </c>
      <c r="B6741" t="s">
        <v>15</v>
      </c>
      <c r="C6741" t="s">
        <v>105</v>
      </c>
      <c r="D6741" s="9" t="s">
        <v>98</v>
      </c>
      <c r="E6741" t="s">
        <v>39</v>
      </c>
      <c r="F6741" t="s">
        <v>75</v>
      </c>
      <c r="G6741">
        <v>493.3</v>
      </c>
      <c r="H6741" s="9">
        <v>-0.54</v>
      </c>
      <c r="I6741"/>
    </row>
    <row r="6742" spans="1:9" x14ac:dyDescent="0.3">
      <c r="A6742" t="s">
        <v>3</v>
      </c>
      <c r="B6742" t="s">
        <v>15</v>
      </c>
      <c r="C6742" t="s">
        <v>106</v>
      </c>
      <c r="D6742" s="9" t="s">
        <v>98</v>
      </c>
      <c r="E6742" t="s">
        <v>40</v>
      </c>
      <c r="F6742" t="s">
        <v>77</v>
      </c>
      <c r="G6742">
        <v>527.4</v>
      </c>
      <c r="H6742" s="9">
        <v>-0.86</v>
      </c>
      <c r="I6742"/>
    </row>
    <row r="6743" spans="1:9" x14ac:dyDescent="0.3">
      <c r="A6743" t="s">
        <v>3</v>
      </c>
      <c r="B6743" t="s">
        <v>15</v>
      </c>
      <c r="C6743" t="s">
        <v>107</v>
      </c>
      <c r="D6743" s="9" t="s">
        <v>98</v>
      </c>
      <c r="E6743" t="s">
        <v>41</v>
      </c>
      <c r="F6743" t="s">
        <v>79</v>
      </c>
      <c r="G6743">
        <v>588.1</v>
      </c>
      <c r="H6743" s="9">
        <v>-0.68</v>
      </c>
      <c r="I6743"/>
    </row>
    <row r="6744" spans="1:9" x14ac:dyDescent="0.3">
      <c r="A6744" t="s">
        <v>3</v>
      </c>
      <c r="B6744" t="s">
        <v>15</v>
      </c>
      <c r="C6744" t="s">
        <v>108</v>
      </c>
      <c r="D6744" s="9" t="s">
        <v>98</v>
      </c>
      <c r="E6744" t="s">
        <v>42</v>
      </c>
      <c r="F6744" t="s">
        <v>81</v>
      </c>
      <c r="G6744">
        <v>643.29999999999995</v>
      </c>
      <c r="H6744" s="9">
        <v>-5.0199999999999996</v>
      </c>
      <c r="I6744"/>
    </row>
    <row r="6745" spans="1:9" x14ac:dyDescent="0.3">
      <c r="A6745" t="s">
        <v>3</v>
      </c>
      <c r="B6745" t="s">
        <v>15</v>
      </c>
      <c r="C6745" t="s">
        <v>109</v>
      </c>
      <c r="D6745" s="9" t="s">
        <v>98</v>
      </c>
      <c r="E6745" t="s">
        <v>43</v>
      </c>
      <c r="F6745" t="s">
        <v>83</v>
      </c>
      <c r="G6745">
        <v>629.1</v>
      </c>
      <c r="H6745" s="9">
        <v>-1.55</v>
      </c>
      <c r="I6745"/>
    </row>
    <row r="6746" spans="1:9" x14ac:dyDescent="0.3">
      <c r="A6746" t="s">
        <v>3</v>
      </c>
      <c r="B6746" t="s">
        <v>15</v>
      </c>
      <c r="C6746" t="s">
        <v>110</v>
      </c>
      <c r="D6746" s="9" t="s">
        <v>111</v>
      </c>
      <c r="E6746" t="s">
        <v>32</v>
      </c>
      <c r="F6746" t="s">
        <v>61</v>
      </c>
      <c r="G6746">
        <v>540.70000000000005</v>
      </c>
      <c r="H6746" s="9">
        <v>5.48</v>
      </c>
      <c r="I6746"/>
    </row>
    <row r="6747" spans="1:9" x14ac:dyDescent="0.3">
      <c r="A6747" t="s">
        <v>3</v>
      </c>
      <c r="B6747" t="s">
        <v>15</v>
      </c>
      <c r="C6747" t="s">
        <v>112</v>
      </c>
      <c r="D6747" s="9" t="s">
        <v>111</v>
      </c>
      <c r="E6747" t="s">
        <v>33</v>
      </c>
      <c r="F6747" t="s">
        <v>63</v>
      </c>
      <c r="G6747">
        <v>536.1</v>
      </c>
      <c r="H6747" s="9">
        <v>12.18</v>
      </c>
      <c r="I6747"/>
    </row>
    <row r="6748" spans="1:9" x14ac:dyDescent="0.3">
      <c r="A6748" t="s">
        <v>3</v>
      </c>
      <c r="B6748" t="s">
        <v>15</v>
      </c>
      <c r="C6748" t="s">
        <v>113</v>
      </c>
      <c r="D6748" s="9" t="s">
        <v>111</v>
      </c>
      <c r="E6748" t="s">
        <v>34</v>
      </c>
      <c r="F6748" t="s">
        <v>65</v>
      </c>
      <c r="G6748">
        <v>567.4</v>
      </c>
      <c r="H6748" s="9">
        <v>5.68</v>
      </c>
      <c r="I6748"/>
    </row>
    <row r="6749" spans="1:9" x14ac:dyDescent="0.3">
      <c r="A6749" t="s">
        <v>3</v>
      </c>
      <c r="B6749" t="s">
        <v>15</v>
      </c>
      <c r="C6749" t="s">
        <v>114</v>
      </c>
      <c r="D6749" s="9" t="s">
        <v>111</v>
      </c>
      <c r="E6749" t="s">
        <v>35</v>
      </c>
      <c r="F6749" t="s">
        <v>67</v>
      </c>
      <c r="G6749">
        <v>535.9</v>
      </c>
      <c r="H6749" s="9">
        <v>3.44</v>
      </c>
      <c r="I6749"/>
    </row>
    <row r="6750" spans="1:9" x14ac:dyDescent="0.3">
      <c r="A6750" t="s">
        <v>3</v>
      </c>
      <c r="B6750" t="s">
        <v>15</v>
      </c>
      <c r="C6750" t="s">
        <v>115</v>
      </c>
      <c r="D6750" s="9" t="s">
        <v>111</v>
      </c>
      <c r="E6750" t="s">
        <v>36</v>
      </c>
      <c r="F6750" t="s">
        <v>69</v>
      </c>
      <c r="G6750">
        <v>530.70000000000005</v>
      </c>
      <c r="H6750" s="9">
        <v>3.07</v>
      </c>
      <c r="I6750"/>
    </row>
    <row r="6751" spans="1:9" x14ac:dyDescent="0.3">
      <c r="A6751" t="s">
        <v>3</v>
      </c>
      <c r="B6751" t="s">
        <v>15</v>
      </c>
      <c r="C6751" t="s">
        <v>116</v>
      </c>
      <c r="D6751" s="9" t="s">
        <v>111</v>
      </c>
      <c r="E6751" t="s">
        <v>37</v>
      </c>
      <c r="F6751" t="s">
        <v>71</v>
      </c>
      <c r="G6751">
        <v>507.6</v>
      </c>
      <c r="H6751" s="9">
        <v>-1.1299999999999999</v>
      </c>
      <c r="I6751"/>
    </row>
    <row r="6752" spans="1:9" x14ac:dyDescent="0.3">
      <c r="A6752" t="s">
        <v>3</v>
      </c>
      <c r="B6752" t="s">
        <v>15</v>
      </c>
      <c r="C6752" t="s">
        <v>117</v>
      </c>
      <c r="D6752" s="9" t="s">
        <v>111</v>
      </c>
      <c r="E6752" t="s">
        <v>38</v>
      </c>
      <c r="F6752" t="s">
        <v>73</v>
      </c>
      <c r="G6752">
        <v>490</v>
      </c>
      <c r="H6752" s="9">
        <v>4.7</v>
      </c>
      <c r="I6752"/>
    </row>
    <row r="6753" spans="1:9" x14ac:dyDescent="0.3">
      <c r="A6753" t="s">
        <v>3</v>
      </c>
      <c r="B6753" t="s">
        <v>15</v>
      </c>
      <c r="C6753" t="s">
        <v>118</v>
      </c>
      <c r="D6753" s="9" t="s">
        <v>111</v>
      </c>
      <c r="E6753" t="s">
        <v>39</v>
      </c>
      <c r="F6753" t="s">
        <v>75</v>
      </c>
      <c r="G6753">
        <v>521</v>
      </c>
      <c r="H6753" s="9">
        <v>5.62</v>
      </c>
      <c r="I6753"/>
    </row>
    <row r="6754" spans="1:9" x14ac:dyDescent="0.3">
      <c r="A6754" t="s">
        <v>3</v>
      </c>
      <c r="B6754" t="s">
        <v>15</v>
      </c>
      <c r="C6754" t="s">
        <v>119</v>
      </c>
      <c r="D6754" s="9" t="s">
        <v>111</v>
      </c>
      <c r="E6754" t="s">
        <v>40</v>
      </c>
      <c r="F6754" t="s">
        <v>77</v>
      </c>
      <c r="G6754">
        <v>548.70000000000005</v>
      </c>
      <c r="H6754" s="9">
        <v>4.04</v>
      </c>
      <c r="I6754"/>
    </row>
    <row r="6755" spans="1:9" x14ac:dyDescent="0.3">
      <c r="A6755" t="s">
        <v>3</v>
      </c>
      <c r="B6755" t="s">
        <v>15</v>
      </c>
      <c r="C6755" t="s">
        <v>120</v>
      </c>
      <c r="D6755" s="9" t="s">
        <v>111</v>
      </c>
      <c r="E6755" t="s">
        <v>41</v>
      </c>
      <c r="F6755" t="s">
        <v>79</v>
      </c>
      <c r="G6755">
        <v>592.9</v>
      </c>
      <c r="H6755" s="9">
        <v>0.82</v>
      </c>
      <c r="I6755"/>
    </row>
    <row r="6756" spans="1:9" x14ac:dyDescent="0.3">
      <c r="A6756" t="s">
        <v>3</v>
      </c>
      <c r="B6756" t="s">
        <v>15</v>
      </c>
      <c r="C6756" t="s">
        <v>121</v>
      </c>
      <c r="D6756" s="9" t="s">
        <v>111</v>
      </c>
      <c r="E6756" t="s">
        <v>42</v>
      </c>
      <c r="F6756" t="s">
        <v>81</v>
      </c>
      <c r="G6756">
        <v>595.1</v>
      </c>
      <c r="H6756" s="9">
        <v>-7.49</v>
      </c>
      <c r="I6756"/>
    </row>
    <row r="6757" spans="1:9" x14ac:dyDescent="0.3">
      <c r="A6757" t="s">
        <v>3</v>
      </c>
      <c r="B6757" t="s">
        <v>15</v>
      </c>
      <c r="C6757" t="s">
        <v>122</v>
      </c>
      <c r="D6757" s="9" t="s">
        <v>111</v>
      </c>
      <c r="E6757" t="s">
        <v>43</v>
      </c>
      <c r="F6757" t="s">
        <v>83</v>
      </c>
      <c r="G6757">
        <v>628.5</v>
      </c>
      <c r="H6757" s="9">
        <v>-0.1</v>
      </c>
      <c r="I6757"/>
    </row>
    <row r="6758" spans="1:9" x14ac:dyDescent="0.3">
      <c r="A6758" t="s">
        <v>3</v>
      </c>
      <c r="B6758" t="s">
        <v>15</v>
      </c>
      <c r="C6758" t="s">
        <v>123</v>
      </c>
      <c r="D6758" s="9" t="s">
        <v>124</v>
      </c>
      <c r="E6758" t="s">
        <v>32</v>
      </c>
      <c r="F6758" t="s">
        <v>61</v>
      </c>
      <c r="G6758">
        <v>531.6</v>
      </c>
      <c r="H6758" s="9">
        <v>-1.68</v>
      </c>
      <c r="I6758"/>
    </row>
    <row r="6759" spans="1:9" x14ac:dyDescent="0.3">
      <c r="A6759" t="s">
        <v>3</v>
      </c>
      <c r="B6759" t="s">
        <v>15</v>
      </c>
      <c r="C6759" t="s">
        <v>125</v>
      </c>
      <c r="D6759" s="9" t="s">
        <v>124</v>
      </c>
      <c r="E6759" t="s">
        <v>33</v>
      </c>
      <c r="F6759" t="s">
        <v>63</v>
      </c>
      <c r="G6759">
        <v>505.1</v>
      </c>
      <c r="H6759" s="9">
        <v>-5.78</v>
      </c>
      <c r="I6759"/>
    </row>
    <row r="6760" spans="1:9" x14ac:dyDescent="0.3">
      <c r="A6760" t="s">
        <v>3</v>
      </c>
      <c r="B6760" t="s">
        <v>15</v>
      </c>
      <c r="C6760" t="s">
        <v>126</v>
      </c>
      <c r="D6760" s="9" t="s">
        <v>124</v>
      </c>
      <c r="E6760" t="s">
        <v>34</v>
      </c>
      <c r="F6760" t="s">
        <v>65</v>
      </c>
      <c r="G6760">
        <v>536.70000000000005</v>
      </c>
      <c r="H6760" s="9">
        <v>-5.41</v>
      </c>
      <c r="I6760"/>
    </row>
    <row r="6761" spans="1:9" x14ac:dyDescent="0.3">
      <c r="A6761" t="s">
        <v>3</v>
      </c>
      <c r="B6761" t="s">
        <v>15</v>
      </c>
      <c r="C6761" t="s">
        <v>127</v>
      </c>
      <c r="D6761" s="9" t="s">
        <v>124</v>
      </c>
      <c r="E6761" t="s">
        <v>35</v>
      </c>
      <c r="F6761" t="s">
        <v>67</v>
      </c>
      <c r="G6761">
        <v>509.2</v>
      </c>
      <c r="H6761" s="9">
        <v>-4.9800000000000004</v>
      </c>
      <c r="I6761"/>
    </row>
    <row r="6762" spans="1:9" x14ac:dyDescent="0.3">
      <c r="A6762" t="s">
        <v>3</v>
      </c>
      <c r="B6762" t="s">
        <v>15</v>
      </c>
      <c r="C6762" t="s">
        <v>128</v>
      </c>
      <c r="D6762" s="9" t="s">
        <v>124</v>
      </c>
      <c r="E6762" t="s">
        <v>36</v>
      </c>
      <c r="F6762" t="s">
        <v>69</v>
      </c>
      <c r="G6762">
        <v>517.6</v>
      </c>
      <c r="H6762" s="9">
        <v>-2.4700000000000002</v>
      </c>
      <c r="I6762"/>
    </row>
    <row r="6763" spans="1:9" x14ac:dyDescent="0.3">
      <c r="A6763" t="s">
        <v>3</v>
      </c>
      <c r="B6763" t="s">
        <v>15</v>
      </c>
      <c r="C6763" t="s">
        <v>129</v>
      </c>
      <c r="D6763" s="9" t="s">
        <v>124</v>
      </c>
      <c r="E6763" t="s">
        <v>37</v>
      </c>
      <c r="F6763" t="s">
        <v>71</v>
      </c>
      <c r="G6763">
        <v>507.7</v>
      </c>
      <c r="H6763" s="9">
        <v>0.02</v>
      </c>
      <c r="I6763"/>
    </row>
    <row r="6764" spans="1:9" x14ac:dyDescent="0.3">
      <c r="A6764" t="s">
        <v>3</v>
      </c>
      <c r="B6764" t="s">
        <v>15</v>
      </c>
      <c r="C6764" t="s">
        <v>130</v>
      </c>
      <c r="D6764" s="9" t="s">
        <v>124</v>
      </c>
      <c r="E6764" t="s">
        <v>38</v>
      </c>
      <c r="F6764" t="s">
        <v>73</v>
      </c>
      <c r="G6764">
        <v>509.2</v>
      </c>
      <c r="H6764" s="9">
        <v>3.92</v>
      </c>
      <c r="I6764"/>
    </row>
    <row r="6765" spans="1:9" x14ac:dyDescent="0.3">
      <c r="A6765" t="s">
        <v>3</v>
      </c>
      <c r="B6765" t="s">
        <v>15</v>
      </c>
      <c r="C6765" t="s">
        <v>131</v>
      </c>
      <c r="D6765" s="9" t="s">
        <v>124</v>
      </c>
      <c r="E6765" t="s">
        <v>39</v>
      </c>
      <c r="F6765" t="s">
        <v>75</v>
      </c>
      <c r="G6765">
        <v>535.6</v>
      </c>
      <c r="H6765" s="9">
        <v>2.8</v>
      </c>
      <c r="I6765"/>
    </row>
    <row r="6766" spans="1:9" x14ac:dyDescent="0.3">
      <c r="A6766" t="s">
        <v>3</v>
      </c>
      <c r="B6766" t="s">
        <v>15</v>
      </c>
      <c r="C6766" t="s">
        <v>132</v>
      </c>
      <c r="D6766" s="9" t="s">
        <v>124</v>
      </c>
      <c r="E6766" t="s">
        <v>40</v>
      </c>
      <c r="F6766" t="s">
        <v>77</v>
      </c>
      <c r="G6766">
        <v>597.5</v>
      </c>
      <c r="H6766" s="9">
        <v>8.89</v>
      </c>
      <c r="I6766"/>
    </row>
    <row r="6767" spans="1:9" x14ac:dyDescent="0.3">
      <c r="A6767" t="s">
        <v>3</v>
      </c>
      <c r="B6767" t="s">
        <v>15</v>
      </c>
      <c r="C6767" t="s">
        <v>133</v>
      </c>
      <c r="D6767" s="9" t="s">
        <v>124</v>
      </c>
      <c r="E6767" t="s">
        <v>41</v>
      </c>
      <c r="F6767" t="s">
        <v>79</v>
      </c>
      <c r="G6767">
        <v>604.20000000000005</v>
      </c>
      <c r="H6767" s="9">
        <v>1.91</v>
      </c>
      <c r="I6767"/>
    </row>
    <row r="6768" spans="1:9" x14ac:dyDescent="0.3">
      <c r="A6768" t="s">
        <v>3</v>
      </c>
      <c r="B6768" t="s">
        <v>15</v>
      </c>
      <c r="C6768" t="s">
        <v>134</v>
      </c>
      <c r="D6768" s="9" t="s">
        <v>124</v>
      </c>
      <c r="E6768" t="s">
        <v>42</v>
      </c>
      <c r="F6768" t="s">
        <v>81</v>
      </c>
      <c r="G6768">
        <v>623.29999999999995</v>
      </c>
      <c r="H6768" s="9">
        <v>4.74</v>
      </c>
      <c r="I6768"/>
    </row>
    <row r="6769" spans="1:9" x14ac:dyDescent="0.3">
      <c r="A6769" t="s">
        <v>3</v>
      </c>
      <c r="B6769" t="s">
        <v>15</v>
      </c>
      <c r="C6769" t="s">
        <v>135</v>
      </c>
      <c r="D6769" s="9" t="s">
        <v>124</v>
      </c>
      <c r="E6769" t="s">
        <v>43</v>
      </c>
      <c r="F6769" t="s">
        <v>83</v>
      </c>
      <c r="G6769">
        <v>605</v>
      </c>
      <c r="H6769" s="9">
        <v>-3.74</v>
      </c>
      <c r="I6769"/>
    </row>
    <row r="6770" spans="1:9" x14ac:dyDescent="0.3">
      <c r="A6770" t="s">
        <v>3</v>
      </c>
      <c r="B6770" t="s">
        <v>15</v>
      </c>
      <c r="C6770" t="s">
        <v>136</v>
      </c>
      <c r="D6770" s="9" t="s">
        <v>137</v>
      </c>
      <c r="E6770" t="s">
        <v>32</v>
      </c>
      <c r="F6770" t="s">
        <v>61</v>
      </c>
      <c r="G6770">
        <v>551.29999999999995</v>
      </c>
      <c r="H6770" s="9">
        <v>3.71</v>
      </c>
      <c r="I6770"/>
    </row>
    <row r="6771" spans="1:9" x14ac:dyDescent="0.3">
      <c r="A6771" t="s">
        <v>3</v>
      </c>
      <c r="B6771" t="s">
        <v>15</v>
      </c>
      <c r="C6771" t="s">
        <v>138</v>
      </c>
      <c r="D6771" s="9" t="s">
        <v>137</v>
      </c>
      <c r="E6771" t="s">
        <v>33</v>
      </c>
      <c r="F6771" t="s">
        <v>63</v>
      </c>
      <c r="G6771">
        <v>521.1</v>
      </c>
      <c r="H6771" s="9">
        <v>3.17</v>
      </c>
      <c r="I6771"/>
    </row>
    <row r="6772" spans="1:9" x14ac:dyDescent="0.3">
      <c r="A6772" t="s">
        <v>3</v>
      </c>
      <c r="B6772" t="s">
        <v>15</v>
      </c>
      <c r="C6772" t="s">
        <v>139</v>
      </c>
      <c r="D6772" s="9" t="s">
        <v>137</v>
      </c>
      <c r="E6772" t="s">
        <v>34</v>
      </c>
      <c r="F6772" t="s">
        <v>65</v>
      </c>
      <c r="G6772">
        <v>536.1</v>
      </c>
      <c r="H6772" s="9">
        <v>-0.11</v>
      </c>
      <c r="I6772"/>
    </row>
    <row r="6773" spans="1:9" x14ac:dyDescent="0.3">
      <c r="A6773" t="s">
        <v>3</v>
      </c>
      <c r="B6773" t="s">
        <v>15</v>
      </c>
      <c r="C6773" t="s">
        <v>140</v>
      </c>
      <c r="D6773" s="9" t="s">
        <v>137</v>
      </c>
      <c r="E6773" t="s">
        <v>35</v>
      </c>
      <c r="F6773" t="s">
        <v>67</v>
      </c>
      <c r="G6773">
        <v>524.5</v>
      </c>
      <c r="H6773" s="9">
        <v>3</v>
      </c>
      <c r="I6773"/>
    </row>
    <row r="6774" spans="1:9" x14ac:dyDescent="0.3">
      <c r="A6774" t="s">
        <v>3</v>
      </c>
      <c r="B6774" t="s">
        <v>15</v>
      </c>
      <c r="C6774" t="s">
        <v>141</v>
      </c>
      <c r="D6774" s="9" t="s">
        <v>137</v>
      </c>
      <c r="E6774" t="s">
        <v>36</v>
      </c>
      <c r="F6774" t="s">
        <v>69</v>
      </c>
      <c r="G6774">
        <v>533.6</v>
      </c>
      <c r="H6774" s="9">
        <v>3.09</v>
      </c>
      <c r="I6774"/>
    </row>
    <row r="6775" spans="1:9" x14ac:dyDescent="0.3">
      <c r="A6775" t="s">
        <v>3</v>
      </c>
      <c r="B6775" t="s">
        <v>15</v>
      </c>
      <c r="C6775" t="s">
        <v>142</v>
      </c>
      <c r="D6775" s="9" t="s">
        <v>137</v>
      </c>
      <c r="E6775" t="s">
        <v>37</v>
      </c>
      <c r="F6775" t="s">
        <v>71</v>
      </c>
      <c r="G6775">
        <v>495.7</v>
      </c>
      <c r="H6775" s="9">
        <v>-2.36</v>
      </c>
      <c r="I6775"/>
    </row>
    <row r="6776" spans="1:9" x14ac:dyDescent="0.3">
      <c r="A6776" t="s">
        <v>3</v>
      </c>
      <c r="B6776" t="s">
        <v>15</v>
      </c>
      <c r="C6776" t="s">
        <v>143</v>
      </c>
      <c r="D6776" s="9" t="s">
        <v>137</v>
      </c>
      <c r="E6776" t="s">
        <v>38</v>
      </c>
      <c r="F6776" t="s">
        <v>73</v>
      </c>
      <c r="G6776">
        <v>500.9</v>
      </c>
      <c r="H6776" s="9">
        <v>-1.63</v>
      </c>
      <c r="I6776"/>
    </row>
    <row r="6777" spans="1:9" x14ac:dyDescent="0.3">
      <c r="A6777" t="s">
        <v>3</v>
      </c>
      <c r="B6777" t="s">
        <v>15</v>
      </c>
      <c r="C6777" t="s">
        <v>144</v>
      </c>
      <c r="D6777" s="9" t="s">
        <v>137</v>
      </c>
      <c r="E6777" t="s">
        <v>39</v>
      </c>
      <c r="F6777" t="s">
        <v>75</v>
      </c>
      <c r="G6777">
        <v>539.20000000000005</v>
      </c>
      <c r="H6777" s="9">
        <v>0.67</v>
      </c>
      <c r="I6777"/>
    </row>
    <row r="6778" spans="1:9" x14ac:dyDescent="0.3">
      <c r="A6778" t="s">
        <v>3</v>
      </c>
      <c r="B6778" t="s">
        <v>15</v>
      </c>
      <c r="C6778" t="s">
        <v>145</v>
      </c>
      <c r="D6778" s="9" t="s">
        <v>137</v>
      </c>
      <c r="E6778" t="s">
        <v>40</v>
      </c>
      <c r="F6778" t="s">
        <v>77</v>
      </c>
      <c r="G6778">
        <v>554.1</v>
      </c>
      <c r="H6778" s="9">
        <v>-7.26</v>
      </c>
      <c r="I6778"/>
    </row>
    <row r="6779" spans="1:9" x14ac:dyDescent="0.3">
      <c r="A6779" t="s">
        <v>3</v>
      </c>
      <c r="B6779" t="s">
        <v>15</v>
      </c>
      <c r="C6779" t="s">
        <v>146</v>
      </c>
      <c r="D6779" s="9" t="s">
        <v>137</v>
      </c>
      <c r="E6779" t="s">
        <v>41</v>
      </c>
      <c r="F6779" t="s">
        <v>79</v>
      </c>
      <c r="G6779">
        <v>634.1</v>
      </c>
      <c r="H6779" s="9">
        <v>4.95</v>
      </c>
      <c r="I6779"/>
    </row>
    <row r="6780" spans="1:9" x14ac:dyDescent="0.3">
      <c r="A6780" t="s">
        <v>3</v>
      </c>
      <c r="B6780" t="s">
        <v>15</v>
      </c>
      <c r="C6780" t="s">
        <v>147</v>
      </c>
      <c r="D6780" s="9" t="s">
        <v>137</v>
      </c>
      <c r="E6780" t="s">
        <v>42</v>
      </c>
      <c r="F6780" t="s">
        <v>81</v>
      </c>
      <c r="G6780">
        <v>624</v>
      </c>
      <c r="H6780" s="9">
        <v>0.11</v>
      </c>
      <c r="I6780"/>
    </row>
    <row r="6781" spans="1:9" x14ac:dyDescent="0.3">
      <c r="A6781" t="s">
        <v>3</v>
      </c>
      <c r="B6781" t="s">
        <v>15</v>
      </c>
      <c r="C6781" t="s">
        <v>148</v>
      </c>
      <c r="D6781" s="9" t="s">
        <v>137</v>
      </c>
      <c r="E6781" t="s">
        <v>43</v>
      </c>
      <c r="F6781" t="s">
        <v>83</v>
      </c>
      <c r="G6781">
        <v>627.79999999999995</v>
      </c>
      <c r="H6781" s="9">
        <v>3.77</v>
      </c>
      <c r="I6781"/>
    </row>
    <row r="6782" spans="1:9" x14ac:dyDescent="0.3">
      <c r="A6782" t="s">
        <v>3</v>
      </c>
      <c r="B6782" t="s">
        <v>15</v>
      </c>
      <c r="C6782" t="s">
        <v>149</v>
      </c>
      <c r="D6782" s="9" t="s">
        <v>150</v>
      </c>
      <c r="E6782" t="s">
        <v>32</v>
      </c>
      <c r="F6782" t="s">
        <v>61</v>
      </c>
      <c r="G6782">
        <v>539.5</v>
      </c>
      <c r="H6782" s="9">
        <v>-2.14</v>
      </c>
      <c r="I6782"/>
    </row>
    <row r="6783" spans="1:9" x14ac:dyDescent="0.3">
      <c r="A6783" t="s">
        <v>3</v>
      </c>
      <c r="B6783" t="s">
        <v>15</v>
      </c>
      <c r="C6783" t="s">
        <v>151</v>
      </c>
      <c r="D6783" s="9" t="s">
        <v>150</v>
      </c>
      <c r="E6783" t="s">
        <v>33</v>
      </c>
      <c r="F6783" t="s">
        <v>63</v>
      </c>
      <c r="G6783">
        <v>497.6</v>
      </c>
      <c r="H6783" s="9">
        <v>-4.51</v>
      </c>
      <c r="I6783"/>
    </row>
    <row r="6784" spans="1:9" x14ac:dyDescent="0.3">
      <c r="A6784" t="s">
        <v>3</v>
      </c>
      <c r="B6784" t="s">
        <v>15</v>
      </c>
      <c r="C6784" t="s">
        <v>152</v>
      </c>
      <c r="D6784" s="9" t="s">
        <v>150</v>
      </c>
      <c r="E6784" t="s">
        <v>34</v>
      </c>
      <c r="F6784" t="s">
        <v>65</v>
      </c>
      <c r="G6784">
        <v>543</v>
      </c>
      <c r="H6784" s="9">
        <v>1.29</v>
      </c>
      <c r="I6784"/>
    </row>
    <row r="6785" spans="1:9" x14ac:dyDescent="0.3">
      <c r="A6785" t="s">
        <v>3</v>
      </c>
      <c r="B6785" t="s">
        <v>15</v>
      </c>
      <c r="C6785" t="s">
        <v>153</v>
      </c>
      <c r="D6785" s="9" t="s">
        <v>150</v>
      </c>
      <c r="E6785" t="s">
        <v>35</v>
      </c>
      <c r="F6785" t="s">
        <v>67</v>
      </c>
      <c r="G6785">
        <v>523.70000000000005</v>
      </c>
      <c r="H6785" s="9">
        <v>-0.15</v>
      </c>
      <c r="I6785"/>
    </row>
    <row r="6786" spans="1:9" x14ac:dyDescent="0.3">
      <c r="A6786" t="s">
        <v>3</v>
      </c>
      <c r="B6786" t="s">
        <v>15</v>
      </c>
      <c r="C6786" t="s">
        <v>154</v>
      </c>
      <c r="D6786" s="9" t="s">
        <v>150</v>
      </c>
      <c r="E6786" t="s">
        <v>36</v>
      </c>
      <c r="F6786" t="s">
        <v>69</v>
      </c>
      <c r="G6786">
        <v>538.9</v>
      </c>
      <c r="H6786" s="9">
        <v>0.99</v>
      </c>
      <c r="I6786"/>
    </row>
    <row r="6787" spans="1:9" x14ac:dyDescent="0.3">
      <c r="A6787" t="s">
        <v>3</v>
      </c>
      <c r="B6787" t="s">
        <v>15</v>
      </c>
      <c r="C6787" t="s">
        <v>155</v>
      </c>
      <c r="D6787" s="9" t="s">
        <v>150</v>
      </c>
      <c r="E6787" t="s">
        <v>37</v>
      </c>
      <c r="F6787" t="s">
        <v>71</v>
      </c>
      <c r="G6787">
        <v>498.4</v>
      </c>
      <c r="H6787" s="9">
        <v>0.54</v>
      </c>
      <c r="I6787"/>
    </row>
    <row r="6788" spans="1:9" x14ac:dyDescent="0.3">
      <c r="A6788" t="s">
        <v>3</v>
      </c>
      <c r="B6788" t="s">
        <v>21</v>
      </c>
      <c r="C6788" t="s">
        <v>59</v>
      </c>
      <c r="D6788" s="9" t="s">
        <v>60</v>
      </c>
      <c r="E6788" t="s">
        <v>32</v>
      </c>
      <c r="F6788" t="s">
        <v>61</v>
      </c>
      <c r="G6788">
        <v>217.4</v>
      </c>
      <c r="I6788"/>
    </row>
    <row r="6789" spans="1:9" x14ac:dyDescent="0.3">
      <c r="A6789" t="s">
        <v>3</v>
      </c>
      <c r="B6789" t="s">
        <v>21</v>
      </c>
      <c r="C6789" t="s">
        <v>62</v>
      </c>
      <c r="D6789" s="9" t="s">
        <v>60</v>
      </c>
      <c r="E6789" t="s">
        <v>33</v>
      </c>
      <c r="F6789" t="s">
        <v>63</v>
      </c>
      <c r="G6789">
        <v>189.7</v>
      </c>
      <c r="I6789"/>
    </row>
    <row r="6790" spans="1:9" x14ac:dyDescent="0.3">
      <c r="A6790" t="s">
        <v>3</v>
      </c>
      <c r="B6790" t="s">
        <v>21</v>
      </c>
      <c r="C6790" t="s">
        <v>64</v>
      </c>
      <c r="D6790" s="9" t="s">
        <v>60</v>
      </c>
      <c r="E6790" t="s">
        <v>34</v>
      </c>
      <c r="F6790" t="s">
        <v>65</v>
      </c>
      <c r="G6790">
        <v>216.9</v>
      </c>
      <c r="I6790"/>
    </row>
    <row r="6791" spans="1:9" x14ac:dyDescent="0.3">
      <c r="A6791" t="s">
        <v>3</v>
      </c>
      <c r="B6791" t="s">
        <v>21</v>
      </c>
      <c r="C6791" t="s">
        <v>66</v>
      </c>
      <c r="D6791" s="9" t="s">
        <v>60</v>
      </c>
      <c r="E6791" t="s">
        <v>35</v>
      </c>
      <c r="F6791" t="s">
        <v>67</v>
      </c>
      <c r="G6791">
        <v>203.6</v>
      </c>
      <c r="I6791"/>
    </row>
    <row r="6792" spans="1:9" x14ac:dyDescent="0.3">
      <c r="A6792" t="s">
        <v>3</v>
      </c>
      <c r="B6792" t="s">
        <v>21</v>
      </c>
      <c r="C6792" t="s">
        <v>68</v>
      </c>
      <c r="D6792" s="9" t="s">
        <v>60</v>
      </c>
      <c r="E6792" t="s">
        <v>36</v>
      </c>
      <c r="F6792" t="s">
        <v>69</v>
      </c>
      <c r="G6792">
        <v>193.1</v>
      </c>
      <c r="I6792"/>
    </row>
    <row r="6793" spans="1:9" x14ac:dyDescent="0.3">
      <c r="A6793" t="s">
        <v>3</v>
      </c>
      <c r="B6793" t="s">
        <v>21</v>
      </c>
      <c r="C6793" t="s">
        <v>70</v>
      </c>
      <c r="D6793" s="9" t="s">
        <v>60</v>
      </c>
      <c r="E6793" t="s">
        <v>37</v>
      </c>
      <c r="F6793" t="s">
        <v>71</v>
      </c>
      <c r="G6793">
        <v>186.1</v>
      </c>
      <c r="I6793"/>
    </row>
    <row r="6794" spans="1:9" x14ac:dyDescent="0.3">
      <c r="A6794" t="s">
        <v>3</v>
      </c>
      <c r="B6794" t="s">
        <v>21</v>
      </c>
      <c r="C6794" t="s">
        <v>72</v>
      </c>
      <c r="D6794" s="9" t="s">
        <v>60</v>
      </c>
      <c r="E6794" t="s">
        <v>38</v>
      </c>
      <c r="F6794" t="s">
        <v>73</v>
      </c>
      <c r="G6794">
        <v>191</v>
      </c>
      <c r="I6794"/>
    </row>
    <row r="6795" spans="1:9" x14ac:dyDescent="0.3">
      <c r="A6795" t="s">
        <v>3</v>
      </c>
      <c r="B6795" t="s">
        <v>21</v>
      </c>
      <c r="C6795" t="s">
        <v>74</v>
      </c>
      <c r="D6795" s="9" t="s">
        <v>60</v>
      </c>
      <c r="E6795" t="s">
        <v>39</v>
      </c>
      <c r="F6795" t="s">
        <v>75</v>
      </c>
      <c r="G6795">
        <v>206.1</v>
      </c>
      <c r="I6795"/>
    </row>
    <row r="6796" spans="1:9" x14ac:dyDescent="0.3">
      <c r="A6796" t="s">
        <v>3</v>
      </c>
      <c r="B6796" t="s">
        <v>21</v>
      </c>
      <c r="C6796" t="s">
        <v>76</v>
      </c>
      <c r="D6796" s="9" t="s">
        <v>60</v>
      </c>
      <c r="E6796" t="s">
        <v>40</v>
      </c>
      <c r="F6796" t="s">
        <v>77</v>
      </c>
      <c r="G6796">
        <v>205.7</v>
      </c>
      <c r="I6796"/>
    </row>
    <row r="6797" spans="1:9" x14ac:dyDescent="0.3">
      <c r="A6797" t="s">
        <v>3</v>
      </c>
      <c r="B6797" t="s">
        <v>21</v>
      </c>
      <c r="C6797" t="s">
        <v>78</v>
      </c>
      <c r="D6797" s="9" t="s">
        <v>60</v>
      </c>
      <c r="E6797" t="s">
        <v>41</v>
      </c>
      <c r="F6797" t="s">
        <v>79</v>
      </c>
      <c r="G6797">
        <v>219.9</v>
      </c>
      <c r="I6797"/>
    </row>
    <row r="6798" spans="1:9" x14ac:dyDescent="0.3">
      <c r="A6798" t="s">
        <v>3</v>
      </c>
      <c r="B6798" t="s">
        <v>21</v>
      </c>
      <c r="C6798" t="s">
        <v>80</v>
      </c>
      <c r="D6798" s="9" t="s">
        <v>60</v>
      </c>
      <c r="E6798" t="s">
        <v>42</v>
      </c>
      <c r="F6798" t="s">
        <v>81</v>
      </c>
      <c r="G6798">
        <v>244.3</v>
      </c>
      <c r="I6798"/>
    </row>
    <row r="6799" spans="1:9" x14ac:dyDescent="0.3">
      <c r="A6799" t="s">
        <v>3</v>
      </c>
      <c r="B6799" t="s">
        <v>21</v>
      </c>
      <c r="C6799" t="s">
        <v>82</v>
      </c>
      <c r="D6799" s="9" t="s">
        <v>60</v>
      </c>
      <c r="E6799" t="s">
        <v>43</v>
      </c>
      <c r="F6799" t="s">
        <v>83</v>
      </c>
      <c r="G6799">
        <v>352.4</v>
      </c>
      <c r="I6799"/>
    </row>
    <row r="6800" spans="1:9" x14ac:dyDescent="0.3">
      <c r="A6800" t="s">
        <v>3</v>
      </c>
      <c r="B6800" t="s">
        <v>21</v>
      </c>
      <c r="C6800" t="s">
        <v>84</v>
      </c>
      <c r="D6800" s="9" t="s">
        <v>85</v>
      </c>
      <c r="E6800" t="s">
        <v>32</v>
      </c>
      <c r="F6800" t="s">
        <v>61</v>
      </c>
      <c r="G6800">
        <v>235.5</v>
      </c>
      <c r="H6800" s="9">
        <v>8.33</v>
      </c>
      <c r="I6800"/>
    </row>
    <row r="6801" spans="1:9" x14ac:dyDescent="0.3">
      <c r="A6801" t="s">
        <v>3</v>
      </c>
      <c r="B6801" t="s">
        <v>21</v>
      </c>
      <c r="C6801" t="s">
        <v>86</v>
      </c>
      <c r="D6801" s="9" t="s">
        <v>85</v>
      </c>
      <c r="E6801" t="s">
        <v>33</v>
      </c>
      <c r="F6801" t="s">
        <v>63</v>
      </c>
      <c r="G6801">
        <v>216.2</v>
      </c>
      <c r="H6801" s="9">
        <v>13.97</v>
      </c>
      <c r="I6801"/>
    </row>
    <row r="6802" spans="1:9" x14ac:dyDescent="0.3">
      <c r="A6802" t="s">
        <v>3</v>
      </c>
      <c r="B6802" t="s">
        <v>21</v>
      </c>
      <c r="C6802" t="s">
        <v>87</v>
      </c>
      <c r="D6802" s="9" t="s">
        <v>85</v>
      </c>
      <c r="E6802" t="s">
        <v>34</v>
      </c>
      <c r="F6802" t="s">
        <v>65</v>
      </c>
      <c r="G6802">
        <v>299.89999999999998</v>
      </c>
      <c r="H6802" s="9">
        <v>38.270000000000003</v>
      </c>
      <c r="I6802"/>
    </row>
    <row r="6803" spans="1:9" x14ac:dyDescent="0.3">
      <c r="A6803" t="s">
        <v>3</v>
      </c>
      <c r="B6803" t="s">
        <v>21</v>
      </c>
      <c r="C6803" t="s">
        <v>88</v>
      </c>
      <c r="D6803" s="9" t="s">
        <v>85</v>
      </c>
      <c r="E6803" t="s">
        <v>35</v>
      </c>
      <c r="F6803" t="s">
        <v>67</v>
      </c>
      <c r="G6803">
        <v>245</v>
      </c>
      <c r="H6803" s="9">
        <v>20.329999999999998</v>
      </c>
      <c r="I6803"/>
    </row>
    <row r="6804" spans="1:9" x14ac:dyDescent="0.3">
      <c r="A6804" t="s">
        <v>3</v>
      </c>
      <c r="B6804" t="s">
        <v>21</v>
      </c>
      <c r="C6804" t="s">
        <v>89</v>
      </c>
      <c r="D6804" s="9" t="s">
        <v>85</v>
      </c>
      <c r="E6804" t="s">
        <v>36</v>
      </c>
      <c r="F6804" t="s">
        <v>69</v>
      </c>
      <c r="G6804">
        <v>312.89999999999998</v>
      </c>
      <c r="H6804" s="9">
        <v>62.04</v>
      </c>
      <c r="I6804"/>
    </row>
    <row r="6805" spans="1:9" x14ac:dyDescent="0.3">
      <c r="A6805" t="s">
        <v>3</v>
      </c>
      <c r="B6805" t="s">
        <v>21</v>
      </c>
      <c r="C6805" t="s">
        <v>90</v>
      </c>
      <c r="D6805" s="9" t="s">
        <v>85</v>
      </c>
      <c r="E6805" t="s">
        <v>37</v>
      </c>
      <c r="F6805" t="s">
        <v>71</v>
      </c>
      <c r="G6805">
        <v>300</v>
      </c>
      <c r="H6805" s="9">
        <v>61.2</v>
      </c>
      <c r="I6805"/>
    </row>
    <row r="6806" spans="1:9" x14ac:dyDescent="0.3">
      <c r="A6806" t="s">
        <v>3</v>
      </c>
      <c r="B6806" t="s">
        <v>21</v>
      </c>
      <c r="C6806" t="s">
        <v>91</v>
      </c>
      <c r="D6806" s="9" t="s">
        <v>85</v>
      </c>
      <c r="E6806" t="s">
        <v>38</v>
      </c>
      <c r="F6806" t="s">
        <v>73</v>
      </c>
      <c r="G6806">
        <v>306.3</v>
      </c>
      <c r="H6806" s="9">
        <v>60.37</v>
      </c>
      <c r="I6806"/>
    </row>
    <row r="6807" spans="1:9" x14ac:dyDescent="0.3">
      <c r="A6807" t="s">
        <v>3</v>
      </c>
      <c r="B6807" t="s">
        <v>21</v>
      </c>
      <c r="C6807" t="s">
        <v>92</v>
      </c>
      <c r="D6807" s="9" t="s">
        <v>85</v>
      </c>
      <c r="E6807" t="s">
        <v>39</v>
      </c>
      <c r="F6807" t="s">
        <v>75</v>
      </c>
      <c r="G6807">
        <v>305.3</v>
      </c>
      <c r="H6807" s="9">
        <v>48.13</v>
      </c>
      <c r="I6807"/>
    </row>
    <row r="6808" spans="1:9" x14ac:dyDescent="0.3">
      <c r="A6808" t="s">
        <v>3</v>
      </c>
      <c r="B6808" t="s">
        <v>21</v>
      </c>
      <c r="C6808" t="s">
        <v>93</v>
      </c>
      <c r="D6808" s="9" t="s">
        <v>85</v>
      </c>
      <c r="E6808" t="s">
        <v>40</v>
      </c>
      <c r="F6808" t="s">
        <v>77</v>
      </c>
      <c r="G6808">
        <v>310</v>
      </c>
      <c r="H6808" s="9">
        <v>50.7</v>
      </c>
      <c r="I6808"/>
    </row>
    <row r="6809" spans="1:9" x14ac:dyDescent="0.3">
      <c r="A6809" t="s">
        <v>3</v>
      </c>
      <c r="B6809" t="s">
        <v>21</v>
      </c>
      <c r="C6809" t="s">
        <v>94</v>
      </c>
      <c r="D6809" s="9" t="s">
        <v>85</v>
      </c>
      <c r="E6809" t="s">
        <v>41</v>
      </c>
      <c r="F6809" t="s">
        <v>79</v>
      </c>
      <c r="G6809">
        <v>342.8</v>
      </c>
      <c r="H6809" s="9">
        <v>55.89</v>
      </c>
      <c r="I6809"/>
    </row>
    <row r="6810" spans="1:9" x14ac:dyDescent="0.3">
      <c r="A6810" t="s">
        <v>3</v>
      </c>
      <c r="B6810" t="s">
        <v>21</v>
      </c>
      <c r="C6810" t="s">
        <v>95</v>
      </c>
      <c r="D6810" s="9" t="s">
        <v>85</v>
      </c>
      <c r="E6810" t="s">
        <v>42</v>
      </c>
      <c r="F6810" t="s">
        <v>81</v>
      </c>
      <c r="G6810">
        <v>339.8</v>
      </c>
      <c r="H6810" s="9">
        <v>39.090000000000003</v>
      </c>
      <c r="I6810"/>
    </row>
    <row r="6811" spans="1:9" x14ac:dyDescent="0.3">
      <c r="A6811" t="s">
        <v>3</v>
      </c>
      <c r="B6811" t="s">
        <v>21</v>
      </c>
      <c r="C6811" t="s">
        <v>96</v>
      </c>
      <c r="D6811" s="9" t="s">
        <v>85</v>
      </c>
      <c r="E6811" t="s">
        <v>43</v>
      </c>
      <c r="F6811" t="s">
        <v>83</v>
      </c>
      <c r="G6811">
        <v>501.5</v>
      </c>
      <c r="H6811" s="9">
        <v>42.31</v>
      </c>
      <c r="I6811"/>
    </row>
    <row r="6812" spans="1:9" x14ac:dyDescent="0.3">
      <c r="A6812" t="s">
        <v>3</v>
      </c>
      <c r="B6812" t="s">
        <v>21</v>
      </c>
      <c r="C6812" t="s">
        <v>97</v>
      </c>
      <c r="D6812" s="9" t="s">
        <v>98</v>
      </c>
      <c r="E6812" t="s">
        <v>32</v>
      </c>
      <c r="F6812" t="s">
        <v>61</v>
      </c>
      <c r="G6812">
        <v>314.10000000000002</v>
      </c>
      <c r="H6812" s="9">
        <v>33.380000000000003</v>
      </c>
      <c r="I6812"/>
    </row>
    <row r="6813" spans="1:9" x14ac:dyDescent="0.3">
      <c r="A6813" t="s">
        <v>3</v>
      </c>
      <c r="B6813" t="s">
        <v>21</v>
      </c>
      <c r="C6813" t="s">
        <v>99</v>
      </c>
      <c r="D6813" s="9" t="s">
        <v>98</v>
      </c>
      <c r="E6813" t="s">
        <v>33</v>
      </c>
      <c r="F6813" t="s">
        <v>63</v>
      </c>
      <c r="G6813">
        <v>272.7</v>
      </c>
      <c r="H6813" s="9">
        <v>26.13</v>
      </c>
      <c r="I6813"/>
    </row>
    <row r="6814" spans="1:9" x14ac:dyDescent="0.3">
      <c r="A6814" t="s">
        <v>3</v>
      </c>
      <c r="B6814" t="s">
        <v>21</v>
      </c>
      <c r="C6814" t="s">
        <v>100</v>
      </c>
      <c r="D6814" s="9" t="s">
        <v>98</v>
      </c>
      <c r="E6814" t="s">
        <v>34</v>
      </c>
      <c r="F6814" t="s">
        <v>65</v>
      </c>
      <c r="G6814">
        <v>307</v>
      </c>
      <c r="H6814" s="9">
        <v>2.37</v>
      </c>
      <c r="I6814"/>
    </row>
    <row r="6815" spans="1:9" x14ac:dyDescent="0.3">
      <c r="A6815" t="s">
        <v>3</v>
      </c>
      <c r="B6815" t="s">
        <v>21</v>
      </c>
      <c r="C6815" t="s">
        <v>101</v>
      </c>
      <c r="D6815" s="9" t="s">
        <v>98</v>
      </c>
      <c r="E6815" t="s">
        <v>35</v>
      </c>
      <c r="F6815" t="s">
        <v>67</v>
      </c>
      <c r="G6815">
        <v>293.7</v>
      </c>
      <c r="H6815" s="9">
        <v>19.88</v>
      </c>
      <c r="I6815"/>
    </row>
    <row r="6816" spans="1:9" x14ac:dyDescent="0.3">
      <c r="A6816" t="s">
        <v>3</v>
      </c>
      <c r="B6816" t="s">
        <v>21</v>
      </c>
      <c r="C6816" t="s">
        <v>102</v>
      </c>
      <c r="D6816" s="9" t="s">
        <v>98</v>
      </c>
      <c r="E6816" t="s">
        <v>36</v>
      </c>
      <c r="F6816" t="s">
        <v>69</v>
      </c>
      <c r="G6816">
        <v>278.3</v>
      </c>
      <c r="H6816" s="9">
        <v>-11.06</v>
      </c>
      <c r="I6816"/>
    </row>
    <row r="6817" spans="1:9" x14ac:dyDescent="0.3">
      <c r="A6817" t="s">
        <v>3</v>
      </c>
      <c r="B6817" t="s">
        <v>21</v>
      </c>
      <c r="C6817" t="s">
        <v>103</v>
      </c>
      <c r="D6817" s="9" t="s">
        <v>98</v>
      </c>
      <c r="E6817" t="s">
        <v>37</v>
      </c>
      <c r="F6817" t="s">
        <v>71</v>
      </c>
      <c r="G6817">
        <v>265.7</v>
      </c>
      <c r="H6817" s="9">
        <v>-11.43</v>
      </c>
      <c r="I6817"/>
    </row>
    <row r="6818" spans="1:9" x14ac:dyDescent="0.3">
      <c r="A6818" t="s">
        <v>3</v>
      </c>
      <c r="B6818" t="s">
        <v>21</v>
      </c>
      <c r="C6818" t="s">
        <v>104</v>
      </c>
      <c r="D6818" s="9" t="s">
        <v>98</v>
      </c>
      <c r="E6818" t="s">
        <v>38</v>
      </c>
      <c r="F6818" t="s">
        <v>73</v>
      </c>
      <c r="G6818">
        <v>284.3</v>
      </c>
      <c r="H6818" s="9">
        <v>-7.18</v>
      </c>
      <c r="I6818"/>
    </row>
    <row r="6819" spans="1:9" x14ac:dyDescent="0.3">
      <c r="A6819" t="s">
        <v>3</v>
      </c>
      <c r="B6819" t="s">
        <v>21</v>
      </c>
      <c r="C6819" t="s">
        <v>105</v>
      </c>
      <c r="D6819" s="9" t="s">
        <v>98</v>
      </c>
      <c r="E6819" t="s">
        <v>39</v>
      </c>
      <c r="F6819" t="s">
        <v>75</v>
      </c>
      <c r="G6819">
        <v>320.5</v>
      </c>
      <c r="H6819" s="9">
        <v>4.9800000000000004</v>
      </c>
      <c r="I6819"/>
    </row>
    <row r="6820" spans="1:9" x14ac:dyDescent="0.3">
      <c r="A6820" t="s">
        <v>3</v>
      </c>
      <c r="B6820" t="s">
        <v>21</v>
      </c>
      <c r="C6820" t="s">
        <v>106</v>
      </c>
      <c r="D6820" s="9" t="s">
        <v>98</v>
      </c>
      <c r="E6820" t="s">
        <v>40</v>
      </c>
      <c r="F6820" t="s">
        <v>77</v>
      </c>
      <c r="G6820">
        <v>354.1</v>
      </c>
      <c r="H6820" s="9">
        <v>14.23</v>
      </c>
      <c r="I6820"/>
    </row>
    <row r="6821" spans="1:9" x14ac:dyDescent="0.3">
      <c r="A6821" t="s">
        <v>3</v>
      </c>
      <c r="B6821" t="s">
        <v>21</v>
      </c>
      <c r="C6821" t="s">
        <v>107</v>
      </c>
      <c r="D6821" s="9" t="s">
        <v>98</v>
      </c>
      <c r="E6821" t="s">
        <v>41</v>
      </c>
      <c r="F6821" t="s">
        <v>79</v>
      </c>
      <c r="G6821">
        <v>354.8</v>
      </c>
      <c r="H6821" s="9">
        <v>3.5</v>
      </c>
      <c r="I6821"/>
    </row>
    <row r="6822" spans="1:9" x14ac:dyDescent="0.3">
      <c r="A6822" t="s">
        <v>3</v>
      </c>
      <c r="B6822" t="s">
        <v>21</v>
      </c>
      <c r="C6822" t="s">
        <v>108</v>
      </c>
      <c r="D6822" s="9" t="s">
        <v>98</v>
      </c>
      <c r="E6822" t="s">
        <v>42</v>
      </c>
      <c r="F6822" t="s">
        <v>81</v>
      </c>
      <c r="G6822">
        <v>341.1</v>
      </c>
      <c r="H6822" s="9">
        <v>0.38</v>
      </c>
      <c r="I6822"/>
    </row>
    <row r="6823" spans="1:9" x14ac:dyDescent="0.3">
      <c r="A6823" t="s">
        <v>3</v>
      </c>
      <c r="B6823" t="s">
        <v>21</v>
      </c>
      <c r="C6823" t="s">
        <v>109</v>
      </c>
      <c r="D6823" s="9" t="s">
        <v>98</v>
      </c>
      <c r="E6823" t="s">
        <v>43</v>
      </c>
      <c r="F6823" t="s">
        <v>83</v>
      </c>
      <c r="G6823">
        <v>549</v>
      </c>
      <c r="H6823" s="9">
        <v>9.4700000000000006</v>
      </c>
      <c r="I6823"/>
    </row>
    <row r="6824" spans="1:9" x14ac:dyDescent="0.3">
      <c r="A6824" t="s">
        <v>3</v>
      </c>
      <c r="B6824" t="s">
        <v>21</v>
      </c>
      <c r="C6824" t="s">
        <v>110</v>
      </c>
      <c r="D6824" s="9" t="s">
        <v>111</v>
      </c>
      <c r="E6824" t="s">
        <v>32</v>
      </c>
      <c r="F6824" t="s">
        <v>61</v>
      </c>
      <c r="G6824">
        <v>335.6</v>
      </c>
      <c r="H6824" s="9">
        <v>6.84</v>
      </c>
      <c r="I6824"/>
    </row>
    <row r="6825" spans="1:9" x14ac:dyDescent="0.3">
      <c r="A6825" t="s">
        <v>3</v>
      </c>
      <c r="B6825" t="s">
        <v>21</v>
      </c>
      <c r="C6825" t="s">
        <v>112</v>
      </c>
      <c r="D6825" s="9" t="s">
        <v>111</v>
      </c>
      <c r="E6825" t="s">
        <v>33</v>
      </c>
      <c r="F6825" t="s">
        <v>63</v>
      </c>
      <c r="G6825">
        <v>303.60000000000002</v>
      </c>
      <c r="H6825" s="9">
        <v>11.33</v>
      </c>
      <c r="I6825"/>
    </row>
    <row r="6826" spans="1:9" x14ac:dyDescent="0.3">
      <c r="A6826" t="s">
        <v>3</v>
      </c>
      <c r="B6826" t="s">
        <v>21</v>
      </c>
      <c r="C6826" t="s">
        <v>113</v>
      </c>
      <c r="D6826" s="9" t="s">
        <v>111</v>
      </c>
      <c r="E6826" t="s">
        <v>34</v>
      </c>
      <c r="F6826" t="s">
        <v>65</v>
      </c>
      <c r="G6826">
        <v>343.7</v>
      </c>
      <c r="H6826" s="9">
        <v>11.95</v>
      </c>
      <c r="I6826"/>
    </row>
    <row r="6827" spans="1:9" x14ac:dyDescent="0.3">
      <c r="A6827" t="s">
        <v>3</v>
      </c>
      <c r="B6827" t="s">
        <v>21</v>
      </c>
      <c r="C6827" t="s">
        <v>114</v>
      </c>
      <c r="D6827" s="9" t="s">
        <v>111</v>
      </c>
      <c r="E6827" t="s">
        <v>35</v>
      </c>
      <c r="F6827" t="s">
        <v>67</v>
      </c>
      <c r="G6827">
        <v>362.2</v>
      </c>
      <c r="H6827" s="9">
        <v>23.32</v>
      </c>
      <c r="I6827"/>
    </row>
    <row r="6828" spans="1:9" x14ac:dyDescent="0.3">
      <c r="A6828" t="s">
        <v>3</v>
      </c>
      <c r="B6828" t="s">
        <v>21</v>
      </c>
      <c r="C6828" t="s">
        <v>115</v>
      </c>
      <c r="D6828" s="9" t="s">
        <v>111</v>
      </c>
      <c r="E6828" t="s">
        <v>36</v>
      </c>
      <c r="F6828" t="s">
        <v>69</v>
      </c>
      <c r="G6828">
        <v>323.5</v>
      </c>
      <c r="H6828" s="9">
        <v>16.239999999999998</v>
      </c>
      <c r="I6828"/>
    </row>
    <row r="6829" spans="1:9" x14ac:dyDescent="0.3">
      <c r="A6829" t="s">
        <v>3</v>
      </c>
      <c r="B6829" t="s">
        <v>21</v>
      </c>
      <c r="C6829" t="s">
        <v>116</v>
      </c>
      <c r="D6829" s="9" t="s">
        <v>111</v>
      </c>
      <c r="E6829" t="s">
        <v>37</v>
      </c>
      <c r="F6829" t="s">
        <v>71</v>
      </c>
      <c r="G6829">
        <v>319.60000000000002</v>
      </c>
      <c r="H6829" s="9">
        <v>20.29</v>
      </c>
      <c r="I6829"/>
    </row>
    <row r="6830" spans="1:9" x14ac:dyDescent="0.3">
      <c r="A6830" t="s">
        <v>3</v>
      </c>
      <c r="B6830" t="s">
        <v>21</v>
      </c>
      <c r="C6830" t="s">
        <v>117</v>
      </c>
      <c r="D6830" s="9" t="s">
        <v>111</v>
      </c>
      <c r="E6830" t="s">
        <v>38</v>
      </c>
      <c r="F6830" t="s">
        <v>73</v>
      </c>
      <c r="G6830">
        <v>324.60000000000002</v>
      </c>
      <c r="H6830" s="9">
        <v>14.18</v>
      </c>
      <c r="I6830"/>
    </row>
    <row r="6831" spans="1:9" x14ac:dyDescent="0.3">
      <c r="A6831" t="s">
        <v>3</v>
      </c>
      <c r="B6831" t="s">
        <v>21</v>
      </c>
      <c r="C6831" t="s">
        <v>118</v>
      </c>
      <c r="D6831" s="9" t="s">
        <v>111</v>
      </c>
      <c r="E6831" t="s">
        <v>39</v>
      </c>
      <c r="F6831" t="s">
        <v>75</v>
      </c>
      <c r="G6831">
        <v>323.2</v>
      </c>
      <c r="H6831" s="9">
        <v>0.84</v>
      </c>
      <c r="I6831"/>
    </row>
    <row r="6832" spans="1:9" x14ac:dyDescent="0.3">
      <c r="A6832" t="s">
        <v>3</v>
      </c>
      <c r="B6832" t="s">
        <v>21</v>
      </c>
      <c r="C6832" t="s">
        <v>119</v>
      </c>
      <c r="D6832" s="9" t="s">
        <v>111</v>
      </c>
      <c r="E6832" t="s">
        <v>40</v>
      </c>
      <c r="F6832" t="s">
        <v>77</v>
      </c>
      <c r="G6832">
        <v>359.3</v>
      </c>
      <c r="H6832" s="9">
        <v>1.47</v>
      </c>
      <c r="I6832"/>
    </row>
    <row r="6833" spans="1:9" x14ac:dyDescent="0.3">
      <c r="A6833" t="s">
        <v>3</v>
      </c>
      <c r="B6833" t="s">
        <v>21</v>
      </c>
      <c r="C6833" t="s">
        <v>120</v>
      </c>
      <c r="D6833" s="9" t="s">
        <v>111</v>
      </c>
      <c r="E6833" t="s">
        <v>41</v>
      </c>
      <c r="F6833" t="s">
        <v>79</v>
      </c>
      <c r="G6833">
        <v>355.2</v>
      </c>
      <c r="H6833" s="9">
        <v>0.11</v>
      </c>
      <c r="I6833"/>
    </row>
    <row r="6834" spans="1:9" x14ac:dyDescent="0.3">
      <c r="A6834" t="s">
        <v>3</v>
      </c>
      <c r="B6834" t="s">
        <v>21</v>
      </c>
      <c r="C6834" t="s">
        <v>121</v>
      </c>
      <c r="D6834" s="9" t="s">
        <v>111</v>
      </c>
      <c r="E6834" t="s">
        <v>42</v>
      </c>
      <c r="F6834" t="s">
        <v>81</v>
      </c>
      <c r="G6834">
        <v>358.7</v>
      </c>
      <c r="H6834" s="9">
        <v>5.16</v>
      </c>
      <c r="I6834"/>
    </row>
    <row r="6835" spans="1:9" x14ac:dyDescent="0.3">
      <c r="A6835" t="s">
        <v>3</v>
      </c>
      <c r="B6835" t="s">
        <v>21</v>
      </c>
      <c r="C6835" t="s">
        <v>122</v>
      </c>
      <c r="D6835" s="9" t="s">
        <v>111</v>
      </c>
      <c r="E6835" t="s">
        <v>43</v>
      </c>
      <c r="F6835" t="s">
        <v>83</v>
      </c>
      <c r="G6835">
        <v>585.79999999999995</v>
      </c>
      <c r="H6835" s="9">
        <v>6.7</v>
      </c>
      <c r="I6835"/>
    </row>
    <row r="6836" spans="1:9" x14ac:dyDescent="0.3">
      <c r="A6836" t="s">
        <v>3</v>
      </c>
      <c r="B6836" t="s">
        <v>21</v>
      </c>
      <c r="C6836" t="s">
        <v>123</v>
      </c>
      <c r="D6836" s="9" t="s">
        <v>124</v>
      </c>
      <c r="E6836" t="s">
        <v>32</v>
      </c>
      <c r="F6836" t="s">
        <v>61</v>
      </c>
      <c r="G6836">
        <v>347.5</v>
      </c>
      <c r="H6836" s="9">
        <v>3.55</v>
      </c>
      <c r="I6836"/>
    </row>
    <row r="6837" spans="1:9" x14ac:dyDescent="0.3">
      <c r="A6837" t="s">
        <v>3</v>
      </c>
      <c r="B6837" t="s">
        <v>21</v>
      </c>
      <c r="C6837" t="s">
        <v>125</v>
      </c>
      <c r="D6837" s="9" t="s">
        <v>124</v>
      </c>
      <c r="E6837" t="s">
        <v>33</v>
      </c>
      <c r="F6837" t="s">
        <v>63</v>
      </c>
      <c r="G6837">
        <v>316.7</v>
      </c>
      <c r="H6837" s="9">
        <v>4.3099999999999996</v>
      </c>
      <c r="I6837"/>
    </row>
    <row r="6838" spans="1:9" x14ac:dyDescent="0.3">
      <c r="A6838" t="s">
        <v>3</v>
      </c>
      <c r="B6838" t="s">
        <v>21</v>
      </c>
      <c r="C6838" t="s">
        <v>126</v>
      </c>
      <c r="D6838" s="9" t="s">
        <v>124</v>
      </c>
      <c r="E6838" t="s">
        <v>34</v>
      </c>
      <c r="F6838" t="s">
        <v>65</v>
      </c>
      <c r="G6838">
        <v>361.7</v>
      </c>
      <c r="H6838" s="9">
        <v>5.24</v>
      </c>
      <c r="I6838"/>
    </row>
    <row r="6839" spans="1:9" x14ac:dyDescent="0.3">
      <c r="A6839" t="s">
        <v>3</v>
      </c>
      <c r="B6839" t="s">
        <v>21</v>
      </c>
      <c r="C6839" t="s">
        <v>127</v>
      </c>
      <c r="D6839" s="9" t="s">
        <v>124</v>
      </c>
      <c r="E6839" t="s">
        <v>35</v>
      </c>
      <c r="F6839" t="s">
        <v>67</v>
      </c>
      <c r="G6839">
        <v>345.6</v>
      </c>
      <c r="H6839" s="9">
        <v>-4.58</v>
      </c>
      <c r="I6839"/>
    </row>
    <row r="6840" spans="1:9" x14ac:dyDescent="0.3">
      <c r="A6840" t="s">
        <v>3</v>
      </c>
      <c r="B6840" t="s">
        <v>21</v>
      </c>
      <c r="C6840" t="s">
        <v>128</v>
      </c>
      <c r="D6840" s="9" t="s">
        <v>124</v>
      </c>
      <c r="E6840" t="s">
        <v>36</v>
      </c>
      <c r="F6840" t="s">
        <v>69</v>
      </c>
      <c r="G6840">
        <v>319.39999999999998</v>
      </c>
      <c r="H6840" s="9">
        <v>-1.27</v>
      </c>
      <c r="I6840"/>
    </row>
    <row r="6841" spans="1:9" x14ac:dyDescent="0.3">
      <c r="A6841" t="s">
        <v>3</v>
      </c>
      <c r="B6841" t="s">
        <v>21</v>
      </c>
      <c r="C6841" t="s">
        <v>129</v>
      </c>
      <c r="D6841" s="9" t="s">
        <v>124</v>
      </c>
      <c r="E6841" t="s">
        <v>37</v>
      </c>
      <c r="F6841" t="s">
        <v>71</v>
      </c>
      <c r="G6841">
        <v>324.3</v>
      </c>
      <c r="H6841" s="9">
        <v>1.47</v>
      </c>
      <c r="I6841"/>
    </row>
    <row r="6842" spans="1:9" x14ac:dyDescent="0.3">
      <c r="A6842" t="s">
        <v>3</v>
      </c>
      <c r="B6842" t="s">
        <v>21</v>
      </c>
      <c r="C6842" t="s">
        <v>130</v>
      </c>
      <c r="D6842" s="9" t="s">
        <v>124</v>
      </c>
      <c r="E6842" t="s">
        <v>38</v>
      </c>
      <c r="F6842" t="s">
        <v>73</v>
      </c>
      <c r="G6842">
        <v>321.10000000000002</v>
      </c>
      <c r="H6842" s="9">
        <v>-1.08</v>
      </c>
      <c r="I6842"/>
    </row>
    <row r="6843" spans="1:9" x14ac:dyDescent="0.3">
      <c r="A6843" t="s">
        <v>3</v>
      </c>
      <c r="B6843" t="s">
        <v>21</v>
      </c>
      <c r="C6843" t="s">
        <v>131</v>
      </c>
      <c r="D6843" s="9" t="s">
        <v>124</v>
      </c>
      <c r="E6843" t="s">
        <v>39</v>
      </c>
      <c r="F6843" t="s">
        <v>75</v>
      </c>
      <c r="G6843">
        <v>326.8</v>
      </c>
      <c r="H6843" s="9">
        <v>1.1100000000000001</v>
      </c>
      <c r="I6843"/>
    </row>
    <row r="6844" spans="1:9" x14ac:dyDescent="0.3">
      <c r="A6844" t="s">
        <v>3</v>
      </c>
      <c r="B6844" t="s">
        <v>21</v>
      </c>
      <c r="C6844" t="s">
        <v>132</v>
      </c>
      <c r="D6844" s="9" t="s">
        <v>124</v>
      </c>
      <c r="E6844" t="s">
        <v>40</v>
      </c>
      <c r="F6844" t="s">
        <v>77</v>
      </c>
      <c r="G6844">
        <v>371</v>
      </c>
      <c r="H6844" s="9">
        <v>3.26</v>
      </c>
      <c r="I6844"/>
    </row>
    <row r="6845" spans="1:9" x14ac:dyDescent="0.3">
      <c r="A6845" t="s">
        <v>3</v>
      </c>
      <c r="B6845" t="s">
        <v>21</v>
      </c>
      <c r="C6845" t="s">
        <v>133</v>
      </c>
      <c r="D6845" s="9" t="s">
        <v>124</v>
      </c>
      <c r="E6845" t="s">
        <v>41</v>
      </c>
      <c r="F6845" t="s">
        <v>79</v>
      </c>
      <c r="G6845">
        <v>342.6</v>
      </c>
      <c r="H6845" s="9">
        <v>-3.55</v>
      </c>
      <c r="I6845"/>
    </row>
    <row r="6846" spans="1:9" x14ac:dyDescent="0.3">
      <c r="A6846" t="s">
        <v>3</v>
      </c>
      <c r="B6846" t="s">
        <v>21</v>
      </c>
      <c r="C6846" t="s">
        <v>134</v>
      </c>
      <c r="D6846" s="9" t="s">
        <v>124</v>
      </c>
      <c r="E6846" t="s">
        <v>42</v>
      </c>
      <c r="F6846" t="s">
        <v>81</v>
      </c>
      <c r="G6846">
        <v>388.3</v>
      </c>
      <c r="H6846" s="9">
        <v>8.25</v>
      </c>
      <c r="I6846"/>
    </row>
    <row r="6847" spans="1:9" x14ac:dyDescent="0.3">
      <c r="A6847" t="s">
        <v>3</v>
      </c>
      <c r="B6847" t="s">
        <v>21</v>
      </c>
      <c r="C6847" t="s">
        <v>135</v>
      </c>
      <c r="D6847" s="9" t="s">
        <v>124</v>
      </c>
      <c r="E6847" t="s">
        <v>43</v>
      </c>
      <c r="F6847" t="s">
        <v>83</v>
      </c>
      <c r="G6847">
        <v>577.9</v>
      </c>
      <c r="H6847" s="9">
        <v>-1.35</v>
      </c>
      <c r="I6847"/>
    </row>
    <row r="6848" spans="1:9" x14ac:dyDescent="0.3">
      <c r="A6848" t="s">
        <v>3</v>
      </c>
      <c r="B6848" t="s">
        <v>21</v>
      </c>
      <c r="C6848" t="s">
        <v>136</v>
      </c>
      <c r="D6848" s="9" t="s">
        <v>137</v>
      </c>
      <c r="E6848" t="s">
        <v>32</v>
      </c>
      <c r="F6848" t="s">
        <v>61</v>
      </c>
      <c r="G6848">
        <v>344.6</v>
      </c>
      <c r="H6848" s="9">
        <v>-0.83</v>
      </c>
      <c r="I6848"/>
    </row>
    <row r="6849" spans="1:9" x14ac:dyDescent="0.3">
      <c r="A6849" t="s">
        <v>3</v>
      </c>
      <c r="B6849" t="s">
        <v>21</v>
      </c>
      <c r="C6849" t="s">
        <v>138</v>
      </c>
      <c r="D6849" s="9" t="s">
        <v>137</v>
      </c>
      <c r="E6849" t="s">
        <v>33</v>
      </c>
      <c r="F6849" t="s">
        <v>63</v>
      </c>
      <c r="G6849">
        <v>341.6</v>
      </c>
      <c r="H6849" s="9">
        <v>7.86</v>
      </c>
      <c r="I6849"/>
    </row>
    <row r="6850" spans="1:9" x14ac:dyDescent="0.3">
      <c r="A6850" t="s">
        <v>3</v>
      </c>
      <c r="B6850" t="s">
        <v>21</v>
      </c>
      <c r="C6850" t="s">
        <v>139</v>
      </c>
      <c r="D6850" s="9" t="s">
        <v>137</v>
      </c>
      <c r="E6850" t="s">
        <v>34</v>
      </c>
      <c r="F6850" t="s">
        <v>65</v>
      </c>
      <c r="G6850">
        <v>389.2</v>
      </c>
      <c r="H6850" s="9">
        <v>7.6</v>
      </c>
      <c r="I6850"/>
    </row>
    <row r="6851" spans="1:9" x14ac:dyDescent="0.3">
      <c r="A6851" t="s">
        <v>3</v>
      </c>
      <c r="B6851" t="s">
        <v>21</v>
      </c>
      <c r="C6851" t="s">
        <v>140</v>
      </c>
      <c r="D6851" s="9" t="s">
        <v>137</v>
      </c>
      <c r="E6851" t="s">
        <v>35</v>
      </c>
      <c r="F6851" t="s">
        <v>67</v>
      </c>
      <c r="G6851">
        <v>322.10000000000002</v>
      </c>
      <c r="H6851" s="9">
        <v>-6.8</v>
      </c>
      <c r="I6851"/>
    </row>
    <row r="6852" spans="1:9" x14ac:dyDescent="0.3">
      <c r="A6852" t="s">
        <v>3</v>
      </c>
      <c r="B6852" t="s">
        <v>21</v>
      </c>
      <c r="C6852" t="s">
        <v>141</v>
      </c>
      <c r="D6852" s="9" t="s">
        <v>137</v>
      </c>
      <c r="E6852" t="s">
        <v>36</v>
      </c>
      <c r="F6852" t="s">
        <v>69</v>
      </c>
      <c r="G6852">
        <v>338.6</v>
      </c>
      <c r="H6852" s="9">
        <v>6.01</v>
      </c>
      <c r="I6852"/>
    </row>
    <row r="6853" spans="1:9" x14ac:dyDescent="0.3">
      <c r="A6853" t="s">
        <v>3</v>
      </c>
      <c r="B6853" t="s">
        <v>21</v>
      </c>
      <c r="C6853" t="s">
        <v>142</v>
      </c>
      <c r="D6853" s="9" t="s">
        <v>137</v>
      </c>
      <c r="E6853" t="s">
        <v>37</v>
      </c>
      <c r="F6853" t="s">
        <v>71</v>
      </c>
      <c r="G6853">
        <v>323.39999999999998</v>
      </c>
      <c r="H6853" s="9">
        <v>-0.28000000000000003</v>
      </c>
      <c r="I6853"/>
    </row>
    <row r="6854" spans="1:9" x14ac:dyDescent="0.3">
      <c r="A6854" t="s">
        <v>3</v>
      </c>
      <c r="B6854" t="s">
        <v>21</v>
      </c>
      <c r="C6854" t="s">
        <v>143</v>
      </c>
      <c r="D6854" s="9" t="s">
        <v>137</v>
      </c>
      <c r="E6854" t="s">
        <v>38</v>
      </c>
      <c r="F6854" t="s">
        <v>73</v>
      </c>
      <c r="G6854">
        <v>313.89999999999998</v>
      </c>
      <c r="H6854" s="9">
        <v>-2.2400000000000002</v>
      </c>
      <c r="I6854"/>
    </row>
    <row r="6855" spans="1:9" x14ac:dyDescent="0.3">
      <c r="A6855" t="s">
        <v>3</v>
      </c>
      <c r="B6855" t="s">
        <v>21</v>
      </c>
      <c r="C6855" t="s">
        <v>144</v>
      </c>
      <c r="D6855" s="9" t="s">
        <v>137</v>
      </c>
      <c r="E6855" t="s">
        <v>39</v>
      </c>
      <c r="F6855" t="s">
        <v>75</v>
      </c>
      <c r="G6855">
        <v>357.7</v>
      </c>
      <c r="H6855" s="9">
        <v>9.4600000000000009</v>
      </c>
      <c r="I6855"/>
    </row>
    <row r="6856" spans="1:9" x14ac:dyDescent="0.3">
      <c r="A6856" t="s">
        <v>3</v>
      </c>
      <c r="B6856" t="s">
        <v>21</v>
      </c>
      <c r="C6856" t="s">
        <v>145</v>
      </c>
      <c r="D6856" s="9" t="s">
        <v>137</v>
      </c>
      <c r="E6856" t="s">
        <v>40</v>
      </c>
      <c r="F6856" t="s">
        <v>77</v>
      </c>
      <c r="G6856">
        <v>335.8</v>
      </c>
      <c r="H6856" s="9">
        <v>-9.49</v>
      </c>
      <c r="I6856"/>
    </row>
    <row r="6857" spans="1:9" x14ac:dyDescent="0.3">
      <c r="A6857" t="s">
        <v>3</v>
      </c>
      <c r="B6857" t="s">
        <v>21</v>
      </c>
      <c r="C6857" t="s">
        <v>146</v>
      </c>
      <c r="D6857" s="9" t="s">
        <v>137</v>
      </c>
      <c r="E6857" t="s">
        <v>41</v>
      </c>
      <c r="F6857" t="s">
        <v>79</v>
      </c>
      <c r="G6857">
        <v>342.5</v>
      </c>
      <c r="H6857" s="9">
        <v>-0.03</v>
      </c>
      <c r="I6857"/>
    </row>
    <row r="6858" spans="1:9" x14ac:dyDescent="0.3">
      <c r="A6858" t="s">
        <v>3</v>
      </c>
      <c r="B6858" t="s">
        <v>21</v>
      </c>
      <c r="C6858" t="s">
        <v>147</v>
      </c>
      <c r="D6858" s="9" t="s">
        <v>137</v>
      </c>
      <c r="E6858" t="s">
        <v>42</v>
      </c>
      <c r="F6858" t="s">
        <v>81</v>
      </c>
      <c r="G6858">
        <v>393.2</v>
      </c>
      <c r="H6858" s="9">
        <v>1.26</v>
      </c>
      <c r="I6858"/>
    </row>
    <row r="6859" spans="1:9" x14ac:dyDescent="0.3">
      <c r="A6859" t="s">
        <v>3</v>
      </c>
      <c r="B6859" t="s">
        <v>21</v>
      </c>
      <c r="C6859" t="s">
        <v>148</v>
      </c>
      <c r="D6859" s="9" t="s">
        <v>137</v>
      </c>
      <c r="E6859" t="s">
        <v>43</v>
      </c>
      <c r="F6859" t="s">
        <v>83</v>
      </c>
      <c r="G6859">
        <v>548.20000000000005</v>
      </c>
      <c r="H6859" s="9">
        <v>-5.14</v>
      </c>
      <c r="I6859"/>
    </row>
    <row r="6860" spans="1:9" x14ac:dyDescent="0.3">
      <c r="A6860" t="s">
        <v>3</v>
      </c>
      <c r="B6860" t="s">
        <v>21</v>
      </c>
      <c r="C6860" t="s">
        <v>149</v>
      </c>
      <c r="D6860" s="9" t="s">
        <v>150</v>
      </c>
      <c r="E6860" t="s">
        <v>32</v>
      </c>
      <c r="F6860" t="s">
        <v>61</v>
      </c>
      <c r="G6860">
        <v>338</v>
      </c>
      <c r="H6860" s="9">
        <v>-1.92</v>
      </c>
      <c r="I6860"/>
    </row>
    <row r="6861" spans="1:9" x14ac:dyDescent="0.3">
      <c r="A6861" t="s">
        <v>3</v>
      </c>
      <c r="B6861" t="s">
        <v>21</v>
      </c>
      <c r="C6861" t="s">
        <v>151</v>
      </c>
      <c r="D6861" s="9" t="s">
        <v>150</v>
      </c>
      <c r="E6861" t="s">
        <v>33</v>
      </c>
      <c r="F6861" t="s">
        <v>63</v>
      </c>
      <c r="G6861">
        <v>312.8</v>
      </c>
      <c r="H6861" s="9">
        <v>-8.43</v>
      </c>
      <c r="I6861"/>
    </row>
    <row r="6862" spans="1:9" x14ac:dyDescent="0.3">
      <c r="A6862" t="s">
        <v>3</v>
      </c>
      <c r="B6862" t="s">
        <v>21</v>
      </c>
      <c r="C6862" t="s">
        <v>152</v>
      </c>
      <c r="D6862" s="9" t="s">
        <v>150</v>
      </c>
      <c r="E6862" t="s">
        <v>34</v>
      </c>
      <c r="F6862" t="s">
        <v>65</v>
      </c>
      <c r="G6862">
        <v>349.6</v>
      </c>
      <c r="H6862" s="9">
        <v>-10.17</v>
      </c>
      <c r="I6862"/>
    </row>
    <row r="6863" spans="1:9" x14ac:dyDescent="0.3">
      <c r="A6863" t="s">
        <v>3</v>
      </c>
      <c r="B6863" t="s">
        <v>21</v>
      </c>
      <c r="C6863" t="s">
        <v>153</v>
      </c>
      <c r="D6863" s="9" t="s">
        <v>150</v>
      </c>
      <c r="E6863" t="s">
        <v>35</v>
      </c>
      <c r="F6863" t="s">
        <v>67</v>
      </c>
      <c r="G6863">
        <v>337.8</v>
      </c>
      <c r="H6863" s="9">
        <v>4.87</v>
      </c>
      <c r="I6863"/>
    </row>
    <row r="6864" spans="1:9" x14ac:dyDescent="0.3">
      <c r="A6864" t="s">
        <v>3</v>
      </c>
      <c r="B6864" t="s">
        <v>21</v>
      </c>
      <c r="C6864" t="s">
        <v>154</v>
      </c>
      <c r="D6864" s="9" t="s">
        <v>150</v>
      </c>
      <c r="E6864" t="s">
        <v>36</v>
      </c>
      <c r="F6864" t="s">
        <v>69</v>
      </c>
      <c r="G6864">
        <v>329.8</v>
      </c>
      <c r="H6864" s="9">
        <v>-2.6</v>
      </c>
      <c r="I6864"/>
    </row>
    <row r="6865" spans="1:9" x14ac:dyDescent="0.3">
      <c r="A6865" t="s">
        <v>3</v>
      </c>
      <c r="B6865" t="s">
        <v>21</v>
      </c>
      <c r="C6865" t="s">
        <v>155</v>
      </c>
      <c r="D6865" s="9" t="s">
        <v>150</v>
      </c>
      <c r="E6865" t="s">
        <v>37</v>
      </c>
      <c r="F6865" t="s">
        <v>71</v>
      </c>
      <c r="G6865">
        <v>301.39999999999998</v>
      </c>
      <c r="H6865" s="9">
        <v>-6.8</v>
      </c>
      <c r="I6865"/>
    </row>
    <row r="6866" spans="1:9" x14ac:dyDescent="0.3">
      <c r="A6866" t="s">
        <v>3</v>
      </c>
      <c r="B6866" t="s">
        <v>25</v>
      </c>
      <c r="C6866" t="s">
        <v>59</v>
      </c>
      <c r="D6866" s="9" t="s">
        <v>60</v>
      </c>
      <c r="E6866" t="s">
        <v>32</v>
      </c>
      <c r="F6866" t="s">
        <v>61</v>
      </c>
      <c r="G6866">
        <v>43.6</v>
      </c>
      <c r="I6866"/>
    </row>
    <row r="6867" spans="1:9" x14ac:dyDescent="0.3">
      <c r="A6867" t="s">
        <v>3</v>
      </c>
      <c r="B6867" t="s">
        <v>25</v>
      </c>
      <c r="C6867" t="s">
        <v>62</v>
      </c>
      <c r="D6867" s="9" t="s">
        <v>60</v>
      </c>
      <c r="E6867" t="s">
        <v>33</v>
      </c>
      <c r="F6867" t="s">
        <v>63</v>
      </c>
      <c r="G6867">
        <v>39</v>
      </c>
      <c r="I6867"/>
    </row>
    <row r="6868" spans="1:9" x14ac:dyDescent="0.3">
      <c r="A6868" t="s">
        <v>3</v>
      </c>
      <c r="B6868" t="s">
        <v>25</v>
      </c>
      <c r="C6868" t="s">
        <v>64</v>
      </c>
      <c r="D6868" s="9" t="s">
        <v>60</v>
      </c>
      <c r="E6868" t="s">
        <v>34</v>
      </c>
      <c r="F6868" t="s">
        <v>65</v>
      </c>
      <c r="G6868">
        <v>42.7</v>
      </c>
      <c r="I6868"/>
    </row>
    <row r="6869" spans="1:9" x14ac:dyDescent="0.3">
      <c r="A6869" t="s">
        <v>3</v>
      </c>
      <c r="B6869" t="s">
        <v>25</v>
      </c>
      <c r="C6869" t="s">
        <v>66</v>
      </c>
      <c r="D6869" s="9" t="s">
        <v>60</v>
      </c>
      <c r="E6869" t="s">
        <v>35</v>
      </c>
      <c r="F6869" t="s">
        <v>67</v>
      </c>
      <c r="G6869">
        <v>37.299999999999997</v>
      </c>
      <c r="I6869"/>
    </row>
    <row r="6870" spans="1:9" x14ac:dyDescent="0.3">
      <c r="A6870" t="s">
        <v>3</v>
      </c>
      <c r="B6870" t="s">
        <v>25</v>
      </c>
      <c r="C6870" t="s">
        <v>68</v>
      </c>
      <c r="D6870" s="9" t="s">
        <v>60</v>
      </c>
      <c r="E6870" t="s">
        <v>36</v>
      </c>
      <c r="F6870" t="s">
        <v>69</v>
      </c>
      <c r="G6870">
        <v>37.9</v>
      </c>
      <c r="I6870"/>
    </row>
    <row r="6871" spans="1:9" x14ac:dyDescent="0.3">
      <c r="A6871" t="s">
        <v>3</v>
      </c>
      <c r="B6871" t="s">
        <v>25</v>
      </c>
      <c r="C6871" t="s">
        <v>70</v>
      </c>
      <c r="D6871" s="9" t="s">
        <v>60</v>
      </c>
      <c r="E6871" t="s">
        <v>37</v>
      </c>
      <c r="F6871" t="s">
        <v>71</v>
      </c>
      <c r="G6871">
        <v>38.4</v>
      </c>
      <c r="I6871"/>
    </row>
    <row r="6872" spans="1:9" x14ac:dyDescent="0.3">
      <c r="A6872" t="s">
        <v>3</v>
      </c>
      <c r="B6872" t="s">
        <v>25</v>
      </c>
      <c r="C6872" t="s">
        <v>72</v>
      </c>
      <c r="D6872" s="9" t="s">
        <v>60</v>
      </c>
      <c r="E6872" t="s">
        <v>38</v>
      </c>
      <c r="F6872" t="s">
        <v>73</v>
      </c>
      <c r="G6872">
        <v>36.9</v>
      </c>
      <c r="I6872"/>
    </row>
    <row r="6873" spans="1:9" x14ac:dyDescent="0.3">
      <c r="A6873" t="s">
        <v>3</v>
      </c>
      <c r="B6873" t="s">
        <v>25</v>
      </c>
      <c r="C6873" t="s">
        <v>74</v>
      </c>
      <c r="D6873" s="9" t="s">
        <v>60</v>
      </c>
      <c r="E6873" t="s">
        <v>39</v>
      </c>
      <c r="F6873" t="s">
        <v>75</v>
      </c>
      <c r="G6873">
        <v>36.4</v>
      </c>
      <c r="I6873"/>
    </row>
    <row r="6874" spans="1:9" x14ac:dyDescent="0.3">
      <c r="A6874" t="s">
        <v>3</v>
      </c>
      <c r="B6874" t="s">
        <v>25</v>
      </c>
      <c r="C6874" t="s">
        <v>76</v>
      </c>
      <c r="D6874" s="9" t="s">
        <v>60</v>
      </c>
      <c r="E6874" t="s">
        <v>40</v>
      </c>
      <c r="F6874" t="s">
        <v>77</v>
      </c>
      <c r="G6874">
        <v>37.1</v>
      </c>
      <c r="I6874"/>
    </row>
    <row r="6875" spans="1:9" x14ac:dyDescent="0.3">
      <c r="A6875" t="s">
        <v>3</v>
      </c>
      <c r="B6875" t="s">
        <v>25</v>
      </c>
      <c r="C6875" t="s">
        <v>78</v>
      </c>
      <c r="D6875" s="9" t="s">
        <v>60</v>
      </c>
      <c r="E6875" t="s">
        <v>41</v>
      </c>
      <c r="F6875" t="s">
        <v>79</v>
      </c>
      <c r="G6875">
        <v>37.299999999999997</v>
      </c>
      <c r="I6875"/>
    </row>
    <row r="6876" spans="1:9" x14ac:dyDescent="0.3">
      <c r="A6876" t="s">
        <v>3</v>
      </c>
      <c r="B6876" t="s">
        <v>25</v>
      </c>
      <c r="C6876" t="s">
        <v>80</v>
      </c>
      <c r="D6876" s="9" t="s">
        <v>60</v>
      </c>
      <c r="E6876" t="s">
        <v>42</v>
      </c>
      <c r="F6876" t="s">
        <v>81</v>
      </c>
      <c r="G6876">
        <v>39.299999999999997</v>
      </c>
      <c r="I6876"/>
    </row>
    <row r="6877" spans="1:9" x14ac:dyDescent="0.3">
      <c r="A6877" t="s">
        <v>3</v>
      </c>
      <c r="B6877" t="s">
        <v>25</v>
      </c>
      <c r="C6877" t="s">
        <v>82</v>
      </c>
      <c r="D6877" s="9" t="s">
        <v>60</v>
      </c>
      <c r="E6877" t="s">
        <v>43</v>
      </c>
      <c r="F6877" t="s">
        <v>83</v>
      </c>
      <c r="G6877">
        <v>51.8</v>
      </c>
      <c r="I6877"/>
    </row>
    <row r="6878" spans="1:9" x14ac:dyDescent="0.3">
      <c r="A6878" t="s">
        <v>3</v>
      </c>
      <c r="B6878" t="s">
        <v>25</v>
      </c>
      <c r="C6878" t="s">
        <v>84</v>
      </c>
      <c r="D6878" s="9" t="s">
        <v>85</v>
      </c>
      <c r="E6878" t="s">
        <v>32</v>
      </c>
      <c r="F6878" t="s">
        <v>61</v>
      </c>
      <c r="G6878">
        <v>37</v>
      </c>
      <c r="H6878" s="9">
        <v>-15.14</v>
      </c>
      <c r="I6878"/>
    </row>
    <row r="6879" spans="1:9" x14ac:dyDescent="0.3">
      <c r="A6879" t="s">
        <v>3</v>
      </c>
      <c r="B6879" t="s">
        <v>25</v>
      </c>
      <c r="C6879" t="s">
        <v>86</v>
      </c>
      <c r="D6879" s="9" t="s">
        <v>85</v>
      </c>
      <c r="E6879" t="s">
        <v>33</v>
      </c>
      <c r="F6879" t="s">
        <v>63</v>
      </c>
      <c r="G6879">
        <v>35.4</v>
      </c>
      <c r="H6879" s="9">
        <v>-9.23</v>
      </c>
      <c r="I6879"/>
    </row>
    <row r="6880" spans="1:9" x14ac:dyDescent="0.3">
      <c r="A6880" t="s">
        <v>3</v>
      </c>
      <c r="B6880" t="s">
        <v>25</v>
      </c>
      <c r="C6880" t="s">
        <v>87</v>
      </c>
      <c r="D6880" s="9" t="s">
        <v>85</v>
      </c>
      <c r="E6880" t="s">
        <v>34</v>
      </c>
      <c r="F6880" t="s">
        <v>65</v>
      </c>
      <c r="G6880">
        <v>31.6</v>
      </c>
      <c r="H6880" s="9">
        <v>-26</v>
      </c>
      <c r="I6880"/>
    </row>
    <row r="6881" spans="1:9" x14ac:dyDescent="0.3">
      <c r="A6881" t="s">
        <v>3</v>
      </c>
      <c r="B6881" t="s">
        <v>25</v>
      </c>
      <c r="C6881" t="s">
        <v>88</v>
      </c>
      <c r="D6881" s="9" t="s">
        <v>85</v>
      </c>
      <c r="E6881" t="s">
        <v>35</v>
      </c>
      <c r="F6881" t="s">
        <v>67</v>
      </c>
      <c r="G6881">
        <v>21.7</v>
      </c>
      <c r="H6881" s="9">
        <v>-41.82</v>
      </c>
      <c r="I6881"/>
    </row>
    <row r="6882" spans="1:9" x14ac:dyDescent="0.3">
      <c r="A6882" t="s">
        <v>3</v>
      </c>
      <c r="B6882" t="s">
        <v>25</v>
      </c>
      <c r="C6882" t="s">
        <v>89</v>
      </c>
      <c r="D6882" s="9" t="s">
        <v>85</v>
      </c>
      <c r="E6882" t="s">
        <v>36</v>
      </c>
      <c r="F6882" t="s">
        <v>69</v>
      </c>
      <c r="G6882">
        <v>25</v>
      </c>
      <c r="H6882" s="9">
        <v>-34.04</v>
      </c>
      <c r="I6882"/>
    </row>
    <row r="6883" spans="1:9" x14ac:dyDescent="0.3">
      <c r="A6883" t="s">
        <v>3</v>
      </c>
      <c r="B6883" t="s">
        <v>25</v>
      </c>
      <c r="C6883" t="s">
        <v>90</v>
      </c>
      <c r="D6883" s="9" t="s">
        <v>85</v>
      </c>
      <c r="E6883" t="s">
        <v>37</v>
      </c>
      <c r="F6883" t="s">
        <v>71</v>
      </c>
      <c r="G6883">
        <v>27.2</v>
      </c>
      <c r="H6883" s="9">
        <v>-29.17</v>
      </c>
      <c r="I6883"/>
    </row>
    <row r="6884" spans="1:9" x14ac:dyDescent="0.3">
      <c r="A6884" t="s">
        <v>3</v>
      </c>
      <c r="B6884" t="s">
        <v>25</v>
      </c>
      <c r="C6884" t="s">
        <v>91</v>
      </c>
      <c r="D6884" s="9" t="s">
        <v>85</v>
      </c>
      <c r="E6884" t="s">
        <v>38</v>
      </c>
      <c r="F6884" t="s">
        <v>73</v>
      </c>
      <c r="G6884">
        <v>26</v>
      </c>
      <c r="H6884" s="9">
        <v>-29.54</v>
      </c>
      <c r="I6884"/>
    </row>
    <row r="6885" spans="1:9" x14ac:dyDescent="0.3">
      <c r="A6885" t="s">
        <v>3</v>
      </c>
      <c r="B6885" t="s">
        <v>25</v>
      </c>
      <c r="C6885" t="s">
        <v>92</v>
      </c>
      <c r="D6885" s="9" t="s">
        <v>85</v>
      </c>
      <c r="E6885" t="s">
        <v>39</v>
      </c>
      <c r="F6885" t="s">
        <v>75</v>
      </c>
      <c r="G6885">
        <v>20.7</v>
      </c>
      <c r="H6885" s="9">
        <v>-43.13</v>
      </c>
      <c r="I6885"/>
    </row>
    <row r="6886" spans="1:9" x14ac:dyDescent="0.3">
      <c r="A6886" t="s">
        <v>3</v>
      </c>
      <c r="B6886" t="s">
        <v>25</v>
      </c>
      <c r="C6886" t="s">
        <v>93</v>
      </c>
      <c r="D6886" s="9" t="s">
        <v>85</v>
      </c>
      <c r="E6886" t="s">
        <v>40</v>
      </c>
      <c r="F6886" t="s">
        <v>77</v>
      </c>
      <c r="G6886">
        <v>24.5</v>
      </c>
      <c r="H6886" s="9">
        <v>-33.96</v>
      </c>
      <c r="I6886"/>
    </row>
    <row r="6887" spans="1:9" x14ac:dyDescent="0.3">
      <c r="A6887" t="s">
        <v>3</v>
      </c>
      <c r="B6887" t="s">
        <v>25</v>
      </c>
      <c r="C6887" t="s">
        <v>94</v>
      </c>
      <c r="D6887" s="9" t="s">
        <v>85</v>
      </c>
      <c r="E6887" t="s">
        <v>41</v>
      </c>
      <c r="F6887" t="s">
        <v>79</v>
      </c>
      <c r="G6887">
        <v>28.7</v>
      </c>
      <c r="H6887" s="9">
        <v>-23.06</v>
      </c>
      <c r="I6887"/>
    </row>
    <row r="6888" spans="1:9" x14ac:dyDescent="0.3">
      <c r="A6888" t="s">
        <v>3</v>
      </c>
      <c r="B6888" t="s">
        <v>25</v>
      </c>
      <c r="C6888" t="s">
        <v>95</v>
      </c>
      <c r="D6888" s="9" t="s">
        <v>85</v>
      </c>
      <c r="E6888" t="s">
        <v>42</v>
      </c>
      <c r="F6888" t="s">
        <v>81</v>
      </c>
      <c r="G6888">
        <v>40.5</v>
      </c>
      <c r="H6888" s="9">
        <v>3.05</v>
      </c>
      <c r="I6888"/>
    </row>
    <row r="6889" spans="1:9" x14ac:dyDescent="0.3">
      <c r="A6889" t="s">
        <v>3</v>
      </c>
      <c r="B6889" t="s">
        <v>25</v>
      </c>
      <c r="C6889" t="s">
        <v>96</v>
      </c>
      <c r="D6889" s="9" t="s">
        <v>85</v>
      </c>
      <c r="E6889" t="s">
        <v>43</v>
      </c>
      <c r="F6889" t="s">
        <v>83</v>
      </c>
      <c r="G6889">
        <v>56</v>
      </c>
      <c r="H6889" s="9">
        <v>8.11</v>
      </c>
      <c r="I6889"/>
    </row>
    <row r="6890" spans="1:9" x14ac:dyDescent="0.3">
      <c r="A6890" t="s">
        <v>3</v>
      </c>
      <c r="B6890" t="s">
        <v>25</v>
      </c>
      <c r="C6890" t="s">
        <v>97</v>
      </c>
      <c r="D6890" s="9" t="s">
        <v>98</v>
      </c>
      <c r="E6890" t="s">
        <v>32</v>
      </c>
      <c r="F6890" t="s">
        <v>61</v>
      </c>
      <c r="G6890">
        <v>39</v>
      </c>
      <c r="H6890" s="9">
        <v>5.41</v>
      </c>
      <c r="I6890"/>
    </row>
    <row r="6891" spans="1:9" x14ac:dyDescent="0.3">
      <c r="A6891" t="s">
        <v>3</v>
      </c>
      <c r="B6891" t="s">
        <v>25</v>
      </c>
      <c r="C6891" t="s">
        <v>99</v>
      </c>
      <c r="D6891" s="9" t="s">
        <v>98</v>
      </c>
      <c r="E6891" t="s">
        <v>33</v>
      </c>
      <c r="F6891" t="s">
        <v>63</v>
      </c>
      <c r="G6891">
        <v>31.8</v>
      </c>
      <c r="H6891" s="9">
        <v>-10.17</v>
      </c>
      <c r="I6891"/>
    </row>
    <row r="6892" spans="1:9" x14ac:dyDescent="0.3">
      <c r="A6892" t="s">
        <v>3</v>
      </c>
      <c r="B6892" t="s">
        <v>25</v>
      </c>
      <c r="C6892" t="s">
        <v>100</v>
      </c>
      <c r="D6892" s="9" t="s">
        <v>98</v>
      </c>
      <c r="E6892" t="s">
        <v>34</v>
      </c>
      <c r="F6892" t="s">
        <v>65</v>
      </c>
      <c r="G6892">
        <v>37.1</v>
      </c>
      <c r="H6892" s="9">
        <v>17.41</v>
      </c>
      <c r="I6892"/>
    </row>
    <row r="6893" spans="1:9" x14ac:dyDescent="0.3">
      <c r="A6893" t="s">
        <v>3</v>
      </c>
      <c r="B6893" t="s">
        <v>25</v>
      </c>
      <c r="C6893" t="s">
        <v>101</v>
      </c>
      <c r="D6893" s="9" t="s">
        <v>98</v>
      </c>
      <c r="E6893" t="s">
        <v>35</v>
      </c>
      <c r="F6893" t="s">
        <v>67</v>
      </c>
      <c r="G6893">
        <v>37.700000000000003</v>
      </c>
      <c r="H6893" s="9">
        <v>73.73</v>
      </c>
      <c r="I6893"/>
    </row>
    <row r="6894" spans="1:9" x14ac:dyDescent="0.3">
      <c r="A6894" t="s">
        <v>3</v>
      </c>
      <c r="B6894" t="s">
        <v>25</v>
      </c>
      <c r="C6894" t="s">
        <v>102</v>
      </c>
      <c r="D6894" s="9" t="s">
        <v>98</v>
      </c>
      <c r="E6894" t="s">
        <v>36</v>
      </c>
      <c r="F6894" t="s">
        <v>69</v>
      </c>
      <c r="G6894">
        <v>35.9</v>
      </c>
      <c r="H6894" s="9">
        <v>43.6</v>
      </c>
      <c r="I6894"/>
    </row>
    <row r="6895" spans="1:9" x14ac:dyDescent="0.3">
      <c r="A6895" t="s">
        <v>3</v>
      </c>
      <c r="B6895" t="s">
        <v>25</v>
      </c>
      <c r="C6895" t="s">
        <v>103</v>
      </c>
      <c r="D6895" s="9" t="s">
        <v>98</v>
      </c>
      <c r="E6895" t="s">
        <v>37</v>
      </c>
      <c r="F6895" t="s">
        <v>71</v>
      </c>
      <c r="G6895">
        <v>31.9</v>
      </c>
      <c r="H6895" s="9">
        <v>17.28</v>
      </c>
      <c r="I6895"/>
    </row>
    <row r="6896" spans="1:9" x14ac:dyDescent="0.3">
      <c r="A6896" t="s">
        <v>3</v>
      </c>
      <c r="B6896" t="s">
        <v>25</v>
      </c>
      <c r="C6896" t="s">
        <v>104</v>
      </c>
      <c r="D6896" s="9" t="s">
        <v>98</v>
      </c>
      <c r="E6896" t="s">
        <v>38</v>
      </c>
      <c r="F6896" t="s">
        <v>73</v>
      </c>
      <c r="G6896">
        <v>29.7</v>
      </c>
      <c r="H6896" s="9">
        <v>14.23</v>
      </c>
      <c r="I6896"/>
    </row>
    <row r="6897" spans="1:9" x14ac:dyDescent="0.3">
      <c r="A6897" t="s">
        <v>3</v>
      </c>
      <c r="B6897" t="s">
        <v>25</v>
      </c>
      <c r="C6897" t="s">
        <v>105</v>
      </c>
      <c r="D6897" s="9" t="s">
        <v>98</v>
      </c>
      <c r="E6897" t="s">
        <v>39</v>
      </c>
      <c r="F6897" t="s">
        <v>75</v>
      </c>
      <c r="G6897">
        <v>23.2</v>
      </c>
      <c r="H6897" s="9">
        <v>12.08</v>
      </c>
      <c r="I6897"/>
    </row>
    <row r="6898" spans="1:9" x14ac:dyDescent="0.3">
      <c r="A6898" t="s">
        <v>3</v>
      </c>
      <c r="B6898" t="s">
        <v>25</v>
      </c>
      <c r="C6898" t="s">
        <v>106</v>
      </c>
      <c r="D6898" s="9" t="s">
        <v>98</v>
      </c>
      <c r="E6898" t="s">
        <v>40</v>
      </c>
      <c r="F6898" t="s">
        <v>77</v>
      </c>
      <c r="G6898">
        <v>23.2</v>
      </c>
      <c r="H6898" s="9">
        <v>-5.31</v>
      </c>
      <c r="I6898"/>
    </row>
    <row r="6899" spans="1:9" x14ac:dyDescent="0.3">
      <c r="A6899" t="s">
        <v>3</v>
      </c>
      <c r="B6899" t="s">
        <v>25</v>
      </c>
      <c r="C6899" t="s">
        <v>107</v>
      </c>
      <c r="D6899" s="9" t="s">
        <v>98</v>
      </c>
      <c r="E6899" t="s">
        <v>41</v>
      </c>
      <c r="F6899" t="s">
        <v>79</v>
      </c>
      <c r="G6899">
        <v>30.2</v>
      </c>
      <c r="H6899" s="9">
        <v>5.23</v>
      </c>
      <c r="I6899"/>
    </row>
    <row r="6900" spans="1:9" x14ac:dyDescent="0.3">
      <c r="A6900" t="s">
        <v>3</v>
      </c>
      <c r="B6900" t="s">
        <v>25</v>
      </c>
      <c r="C6900" t="s">
        <v>108</v>
      </c>
      <c r="D6900" s="9" t="s">
        <v>98</v>
      </c>
      <c r="E6900" t="s">
        <v>42</v>
      </c>
      <c r="F6900" t="s">
        <v>81</v>
      </c>
      <c r="G6900">
        <v>42.8</v>
      </c>
      <c r="H6900" s="9">
        <v>5.68</v>
      </c>
      <c r="I6900"/>
    </row>
    <row r="6901" spans="1:9" x14ac:dyDescent="0.3">
      <c r="A6901" t="s">
        <v>3</v>
      </c>
      <c r="B6901" t="s">
        <v>25</v>
      </c>
      <c r="C6901" t="s">
        <v>109</v>
      </c>
      <c r="D6901" s="9" t="s">
        <v>98</v>
      </c>
      <c r="E6901" t="s">
        <v>43</v>
      </c>
      <c r="F6901" t="s">
        <v>83</v>
      </c>
      <c r="G6901">
        <v>61.8</v>
      </c>
      <c r="H6901" s="9">
        <v>10.36</v>
      </c>
      <c r="I6901"/>
    </row>
    <row r="6902" spans="1:9" x14ac:dyDescent="0.3">
      <c r="A6902" t="s">
        <v>3</v>
      </c>
      <c r="B6902" t="s">
        <v>25</v>
      </c>
      <c r="C6902" t="s">
        <v>110</v>
      </c>
      <c r="D6902" s="9" t="s">
        <v>111</v>
      </c>
      <c r="E6902" t="s">
        <v>32</v>
      </c>
      <c r="F6902" t="s">
        <v>61</v>
      </c>
      <c r="G6902">
        <v>44</v>
      </c>
      <c r="H6902" s="9">
        <v>12.82</v>
      </c>
      <c r="I6902"/>
    </row>
    <row r="6903" spans="1:9" x14ac:dyDescent="0.3">
      <c r="A6903" t="s">
        <v>3</v>
      </c>
      <c r="B6903" t="s">
        <v>25</v>
      </c>
      <c r="C6903" t="s">
        <v>112</v>
      </c>
      <c r="D6903" s="9" t="s">
        <v>111</v>
      </c>
      <c r="E6903" t="s">
        <v>33</v>
      </c>
      <c r="F6903" t="s">
        <v>63</v>
      </c>
      <c r="G6903">
        <v>37.9</v>
      </c>
      <c r="H6903" s="9">
        <v>19.18</v>
      </c>
      <c r="I6903"/>
    </row>
    <row r="6904" spans="1:9" x14ac:dyDescent="0.3">
      <c r="A6904" t="s">
        <v>3</v>
      </c>
      <c r="B6904" t="s">
        <v>25</v>
      </c>
      <c r="C6904" t="s">
        <v>113</v>
      </c>
      <c r="D6904" s="9" t="s">
        <v>111</v>
      </c>
      <c r="E6904" t="s">
        <v>34</v>
      </c>
      <c r="F6904" t="s">
        <v>65</v>
      </c>
      <c r="G6904">
        <v>37.6</v>
      </c>
      <c r="H6904" s="9">
        <v>1.35</v>
      </c>
      <c r="I6904"/>
    </row>
    <row r="6905" spans="1:9" x14ac:dyDescent="0.3">
      <c r="A6905" t="s">
        <v>3</v>
      </c>
      <c r="B6905" t="s">
        <v>25</v>
      </c>
      <c r="C6905" t="s">
        <v>114</v>
      </c>
      <c r="D6905" s="9" t="s">
        <v>111</v>
      </c>
      <c r="E6905" t="s">
        <v>35</v>
      </c>
      <c r="F6905" t="s">
        <v>67</v>
      </c>
      <c r="G6905">
        <v>40.299999999999997</v>
      </c>
      <c r="H6905" s="9">
        <v>6.9</v>
      </c>
      <c r="I6905"/>
    </row>
    <row r="6906" spans="1:9" x14ac:dyDescent="0.3">
      <c r="A6906" t="s">
        <v>3</v>
      </c>
      <c r="B6906" t="s">
        <v>25</v>
      </c>
      <c r="C6906" t="s">
        <v>115</v>
      </c>
      <c r="D6906" s="9" t="s">
        <v>111</v>
      </c>
      <c r="E6906" t="s">
        <v>36</v>
      </c>
      <c r="F6906" t="s">
        <v>69</v>
      </c>
      <c r="G6906">
        <v>42.6</v>
      </c>
      <c r="H6906" s="9">
        <v>18.66</v>
      </c>
      <c r="I6906"/>
    </row>
    <row r="6907" spans="1:9" x14ac:dyDescent="0.3">
      <c r="A6907" t="s">
        <v>3</v>
      </c>
      <c r="B6907" t="s">
        <v>25</v>
      </c>
      <c r="C6907" t="s">
        <v>116</v>
      </c>
      <c r="D6907" s="9" t="s">
        <v>111</v>
      </c>
      <c r="E6907" t="s">
        <v>37</v>
      </c>
      <c r="F6907" t="s">
        <v>71</v>
      </c>
      <c r="G6907">
        <v>42.9</v>
      </c>
      <c r="H6907" s="9">
        <v>34.479999999999997</v>
      </c>
      <c r="I6907"/>
    </row>
    <row r="6908" spans="1:9" x14ac:dyDescent="0.3">
      <c r="A6908" t="s">
        <v>3</v>
      </c>
      <c r="B6908" t="s">
        <v>25</v>
      </c>
      <c r="C6908" t="s">
        <v>117</v>
      </c>
      <c r="D6908" s="9" t="s">
        <v>111</v>
      </c>
      <c r="E6908" t="s">
        <v>38</v>
      </c>
      <c r="F6908" t="s">
        <v>73</v>
      </c>
      <c r="G6908">
        <v>38.799999999999997</v>
      </c>
      <c r="H6908" s="9">
        <v>30.64</v>
      </c>
      <c r="I6908"/>
    </row>
    <row r="6909" spans="1:9" x14ac:dyDescent="0.3">
      <c r="A6909" t="s">
        <v>3</v>
      </c>
      <c r="B6909" t="s">
        <v>25</v>
      </c>
      <c r="C6909" t="s">
        <v>118</v>
      </c>
      <c r="D6909" s="9" t="s">
        <v>111</v>
      </c>
      <c r="E6909" t="s">
        <v>39</v>
      </c>
      <c r="F6909" t="s">
        <v>75</v>
      </c>
      <c r="G6909">
        <v>39.299999999999997</v>
      </c>
      <c r="H6909" s="9">
        <v>69.400000000000006</v>
      </c>
      <c r="I6909"/>
    </row>
    <row r="6910" spans="1:9" x14ac:dyDescent="0.3">
      <c r="A6910" t="s">
        <v>3</v>
      </c>
      <c r="B6910" t="s">
        <v>25</v>
      </c>
      <c r="C6910" t="s">
        <v>119</v>
      </c>
      <c r="D6910" s="9" t="s">
        <v>111</v>
      </c>
      <c r="E6910" t="s">
        <v>40</v>
      </c>
      <c r="F6910" t="s">
        <v>77</v>
      </c>
      <c r="G6910">
        <v>36.5</v>
      </c>
      <c r="H6910" s="9">
        <v>57.33</v>
      </c>
      <c r="I6910"/>
    </row>
    <row r="6911" spans="1:9" x14ac:dyDescent="0.3">
      <c r="A6911" t="s">
        <v>3</v>
      </c>
      <c r="B6911" t="s">
        <v>25</v>
      </c>
      <c r="C6911" t="s">
        <v>120</v>
      </c>
      <c r="D6911" s="9" t="s">
        <v>111</v>
      </c>
      <c r="E6911" t="s">
        <v>41</v>
      </c>
      <c r="F6911" t="s">
        <v>79</v>
      </c>
      <c r="G6911">
        <v>44.4</v>
      </c>
      <c r="H6911" s="9">
        <v>47.02</v>
      </c>
      <c r="I6911"/>
    </row>
    <row r="6912" spans="1:9" x14ac:dyDescent="0.3">
      <c r="A6912" t="s">
        <v>3</v>
      </c>
      <c r="B6912" t="s">
        <v>25</v>
      </c>
      <c r="C6912" t="s">
        <v>121</v>
      </c>
      <c r="D6912" s="9" t="s">
        <v>111</v>
      </c>
      <c r="E6912" t="s">
        <v>42</v>
      </c>
      <c r="F6912" t="s">
        <v>81</v>
      </c>
      <c r="G6912">
        <v>49.7</v>
      </c>
      <c r="H6912" s="9">
        <v>16.12</v>
      </c>
      <c r="I6912"/>
    </row>
    <row r="6913" spans="1:9" x14ac:dyDescent="0.3">
      <c r="A6913" t="s">
        <v>3</v>
      </c>
      <c r="B6913" t="s">
        <v>25</v>
      </c>
      <c r="C6913" t="s">
        <v>122</v>
      </c>
      <c r="D6913" s="9" t="s">
        <v>111</v>
      </c>
      <c r="E6913" t="s">
        <v>43</v>
      </c>
      <c r="F6913" t="s">
        <v>83</v>
      </c>
      <c r="G6913">
        <v>69.8</v>
      </c>
      <c r="H6913" s="9">
        <v>12.94</v>
      </c>
      <c r="I6913"/>
    </row>
    <row r="6914" spans="1:9" x14ac:dyDescent="0.3">
      <c r="A6914" t="s">
        <v>3</v>
      </c>
      <c r="B6914" t="s">
        <v>25</v>
      </c>
      <c r="C6914" t="s">
        <v>123</v>
      </c>
      <c r="D6914" s="9" t="s">
        <v>124</v>
      </c>
      <c r="E6914" t="s">
        <v>32</v>
      </c>
      <c r="F6914" t="s">
        <v>61</v>
      </c>
      <c r="G6914">
        <v>48.2</v>
      </c>
      <c r="H6914" s="9">
        <v>9.5500000000000007</v>
      </c>
      <c r="I6914"/>
    </row>
    <row r="6915" spans="1:9" x14ac:dyDescent="0.3">
      <c r="A6915" t="s">
        <v>3</v>
      </c>
      <c r="B6915" t="s">
        <v>25</v>
      </c>
      <c r="C6915" t="s">
        <v>125</v>
      </c>
      <c r="D6915" s="9" t="s">
        <v>124</v>
      </c>
      <c r="E6915" t="s">
        <v>33</v>
      </c>
      <c r="F6915" t="s">
        <v>63</v>
      </c>
      <c r="G6915">
        <v>38.299999999999997</v>
      </c>
      <c r="H6915" s="9">
        <v>1.06</v>
      </c>
      <c r="I6915"/>
    </row>
    <row r="6916" spans="1:9" x14ac:dyDescent="0.3">
      <c r="A6916" t="s">
        <v>3</v>
      </c>
      <c r="B6916" t="s">
        <v>25</v>
      </c>
      <c r="C6916" t="s">
        <v>126</v>
      </c>
      <c r="D6916" s="9" t="s">
        <v>124</v>
      </c>
      <c r="E6916" t="s">
        <v>34</v>
      </c>
      <c r="F6916" t="s">
        <v>65</v>
      </c>
      <c r="G6916">
        <v>40.5</v>
      </c>
      <c r="H6916" s="9">
        <v>7.71</v>
      </c>
      <c r="I6916"/>
    </row>
    <row r="6917" spans="1:9" x14ac:dyDescent="0.3">
      <c r="A6917" t="s">
        <v>3</v>
      </c>
      <c r="B6917" t="s">
        <v>25</v>
      </c>
      <c r="C6917" t="s">
        <v>127</v>
      </c>
      <c r="D6917" s="9" t="s">
        <v>124</v>
      </c>
      <c r="E6917" t="s">
        <v>35</v>
      </c>
      <c r="F6917" t="s">
        <v>67</v>
      </c>
      <c r="G6917">
        <v>38.9</v>
      </c>
      <c r="H6917" s="9">
        <v>-3.47</v>
      </c>
      <c r="I6917"/>
    </row>
    <row r="6918" spans="1:9" x14ac:dyDescent="0.3">
      <c r="A6918" t="s">
        <v>3</v>
      </c>
      <c r="B6918" t="s">
        <v>25</v>
      </c>
      <c r="C6918" t="s">
        <v>128</v>
      </c>
      <c r="D6918" s="9" t="s">
        <v>124</v>
      </c>
      <c r="E6918" t="s">
        <v>36</v>
      </c>
      <c r="F6918" t="s">
        <v>69</v>
      </c>
      <c r="G6918">
        <v>38.799999999999997</v>
      </c>
      <c r="H6918" s="9">
        <v>-8.92</v>
      </c>
      <c r="I6918"/>
    </row>
    <row r="6919" spans="1:9" x14ac:dyDescent="0.3">
      <c r="A6919" t="s">
        <v>3</v>
      </c>
      <c r="B6919" t="s">
        <v>25</v>
      </c>
      <c r="C6919" t="s">
        <v>129</v>
      </c>
      <c r="D6919" s="9" t="s">
        <v>124</v>
      </c>
      <c r="E6919" t="s">
        <v>37</v>
      </c>
      <c r="F6919" t="s">
        <v>71</v>
      </c>
      <c r="G6919">
        <v>39.700000000000003</v>
      </c>
      <c r="H6919" s="9">
        <v>-7.46</v>
      </c>
      <c r="I6919"/>
    </row>
    <row r="6920" spans="1:9" x14ac:dyDescent="0.3">
      <c r="A6920" t="s">
        <v>3</v>
      </c>
      <c r="B6920" t="s">
        <v>25</v>
      </c>
      <c r="C6920" t="s">
        <v>130</v>
      </c>
      <c r="D6920" s="9" t="s">
        <v>124</v>
      </c>
      <c r="E6920" t="s">
        <v>38</v>
      </c>
      <c r="F6920" t="s">
        <v>73</v>
      </c>
      <c r="G6920">
        <v>38.200000000000003</v>
      </c>
      <c r="H6920" s="9">
        <v>-1.55</v>
      </c>
      <c r="I6920"/>
    </row>
    <row r="6921" spans="1:9" x14ac:dyDescent="0.3">
      <c r="A6921" t="s">
        <v>3</v>
      </c>
      <c r="B6921" t="s">
        <v>25</v>
      </c>
      <c r="C6921" t="s">
        <v>131</v>
      </c>
      <c r="D6921" s="9" t="s">
        <v>124</v>
      </c>
      <c r="E6921" t="s">
        <v>39</v>
      </c>
      <c r="F6921" t="s">
        <v>75</v>
      </c>
      <c r="G6921">
        <v>39.299999999999997</v>
      </c>
      <c r="H6921" s="9">
        <v>0</v>
      </c>
      <c r="I6921"/>
    </row>
    <row r="6922" spans="1:9" x14ac:dyDescent="0.3">
      <c r="A6922" t="s">
        <v>3</v>
      </c>
      <c r="B6922" t="s">
        <v>25</v>
      </c>
      <c r="C6922" t="s">
        <v>132</v>
      </c>
      <c r="D6922" s="9" t="s">
        <v>124</v>
      </c>
      <c r="E6922" t="s">
        <v>40</v>
      </c>
      <c r="F6922" t="s">
        <v>77</v>
      </c>
      <c r="G6922">
        <v>37.700000000000003</v>
      </c>
      <c r="H6922" s="9">
        <v>3.29</v>
      </c>
      <c r="I6922"/>
    </row>
    <row r="6923" spans="1:9" x14ac:dyDescent="0.3">
      <c r="A6923" t="s">
        <v>3</v>
      </c>
      <c r="B6923" t="s">
        <v>25</v>
      </c>
      <c r="C6923" t="s">
        <v>133</v>
      </c>
      <c r="D6923" s="9" t="s">
        <v>124</v>
      </c>
      <c r="E6923" t="s">
        <v>41</v>
      </c>
      <c r="F6923" t="s">
        <v>79</v>
      </c>
      <c r="G6923">
        <v>39.200000000000003</v>
      </c>
      <c r="H6923" s="9">
        <v>-11.71</v>
      </c>
      <c r="I6923"/>
    </row>
    <row r="6924" spans="1:9" x14ac:dyDescent="0.3">
      <c r="A6924" t="s">
        <v>3</v>
      </c>
      <c r="B6924" t="s">
        <v>25</v>
      </c>
      <c r="C6924" t="s">
        <v>134</v>
      </c>
      <c r="D6924" s="9" t="s">
        <v>124</v>
      </c>
      <c r="E6924" t="s">
        <v>42</v>
      </c>
      <c r="F6924" t="s">
        <v>81</v>
      </c>
      <c r="G6924">
        <v>46</v>
      </c>
      <c r="H6924" s="9">
        <v>-7.44</v>
      </c>
      <c r="I6924"/>
    </row>
    <row r="6925" spans="1:9" x14ac:dyDescent="0.3">
      <c r="A6925" t="s">
        <v>3</v>
      </c>
      <c r="B6925" t="s">
        <v>25</v>
      </c>
      <c r="C6925" t="s">
        <v>135</v>
      </c>
      <c r="D6925" s="9" t="s">
        <v>124</v>
      </c>
      <c r="E6925" t="s">
        <v>43</v>
      </c>
      <c r="F6925" t="s">
        <v>83</v>
      </c>
      <c r="G6925">
        <v>74.3</v>
      </c>
      <c r="H6925" s="9">
        <v>6.45</v>
      </c>
      <c r="I6925"/>
    </row>
    <row r="6926" spans="1:9" x14ac:dyDescent="0.3">
      <c r="A6926" t="s">
        <v>3</v>
      </c>
      <c r="B6926" t="s">
        <v>25</v>
      </c>
      <c r="C6926" t="s">
        <v>136</v>
      </c>
      <c r="D6926" s="9" t="s">
        <v>137</v>
      </c>
      <c r="E6926" t="s">
        <v>32</v>
      </c>
      <c r="F6926" t="s">
        <v>61</v>
      </c>
      <c r="G6926">
        <v>50.3</v>
      </c>
      <c r="H6926" s="9">
        <v>4.3600000000000003</v>
      </c>
      <c r="I6926"/>
    </row>
    <row r="6927" spans="1:9" x14ac:dyDescent="0.3">
      <c r="A6927" t="s">
        <v>3</v>
      </c>
      <c r="B6927" t="s">
        <v>25</v>
      </c>
      <c r="C6927" t="s">
        <v>138</v>
      </c>
      <c r="D6927" s="9" t="s">
        <v>137</v>
      </c>
      <c r="E6927" t="s">
        <v>33</v>
      </c>
      <c r="F6927" t="s">
        <v>63</v>
      </c>
      <c r="G6927">
        <v>38.6</v>
      </c>
      <c r="H6927" s="9">
        <v>0.78</v>
      </c>
      <c r="I6927"/>
    </row>
    <row r="6928" spans="1:9" x14ac:dyDescent="0.3">
      <c r="A6928" t="s">
        <v>3</v>
      </c>
      <c r="B6928" t="s">
        <v>25</v>
      </c>
      <c r="C6928" t="s">
        <v>139</v>
      </c>
      <c r="D6928" s="9" t="s">
        <v>137</v>
      </c>
      <c r="E6928" t="s">
        <v>34</v>
      </c>
      <c r="F6928" t="s">
        <v>65</v>
      </c>
      <c r="G6928">
        <v>39.200000000000003</v>
      </c>
      <c r="H6928" s="9">
        <v>-3.21</v>
      </c>
      <c r="I6928"/>
    </row>
    <row r="6929" spans="1:9" x14ac:dyDescent="0.3">
      <c r="A6929" t="s">
        <v>3</v>
      </c>
      <c r="B6929" t="s">
        <v>25</v>
      </c>
      <c r="C6929" t="s">
        <v>140</v>
      </c>
      <c r="D6929" s="9" t="s">
        <v>137</v>
      </c>
      <c r="E6929" t="s">
        <v>35</v>
      </c>
      <c r="F6929" t="s">
        <v>67</v>
      </c>
      <c r="G6929">
        <v>38.299999999999997</v>
      </c>
      <c r="H6929" s="9">
        <v>-1.54</v>
      </c>
      <c r="I6929"/>
    </row>
    <row r="6930" spans="1:9" x14ac:dyDescent="0.3">
      <c r="A6930" t="s">
        <v>3</v>
      </c>
      <c r="B6930" t="s">
        <v>25</v>
      </c>
      <c r="C6930" t="s">
        <v>141</v>
      </c>
      <c r="D6930" s="9" t="s">
        <v>137</v>
      </c>
      <c r="E6930" t="s">
        <v>36</v>
      </c>
      <c r="F6930" t="s">
        <v>69</v>
      </c>
      <c r="G6930">
        <v>40.200000000000003</v>
      </c>
      <c r="H6930" s="9">
        <v>3.61</v>
      </c>
      <c r="I6930"/>
    </row>
    <row r="6931" spans="1:9" x14ac:dyDescent="0.3">
      <c r="A6931" t="s">
        <v>3</v>
      </c>
      <c r="B6931" t="s">
        <v>25</v>
      </c>
      <c r="C6931" t="s">
        <v>142</v>
      </c>
      <c r="D6931" s="9" t="s">
        <v>137</v>
      </c>
      <c r="E6931" t="s">
        <v>37</v>
      </c>
      <c r="F6931" t="s">
        <v>71</v>
      </c>
      <c r="G6931">
        <v>34.700000000000003</v>
      </c>
      <c r="H6931" s="9">
        <v>-12.59</v>
      </c>
      <c r="I6931"/>
    </row>
    <row r="6932" spans="1:9" x14ac:dyDescent="0.3">
      <c r="A6932" t="s">
        <v>3</v>
      </c>
      <c r="B6932" t="s">
        <v>25</v>
      </c>
      <c r="C6932" t="s">
        <v>143</v>
      </c>
      <c r="D6932" s="9" t="s">
        <v>137</v>
      </c>
      <c r="E6932" t="s">
        <v>38</v>
      </c>
      <c r="F6932" t="s">
        <v>73</v>
      </c>
      <c r="G6932">
        <v>35.700000000000003</v>
      </c>
      <c r="H6932" s="9">
        <v>-6.54</v>
      </c>
      <c r="I6932"/>
    </row>
    <row r="6933" spans="1:9" x14ac:dyDescent="0.3">
      <c r="A6933" t="s">
        <v>3</v>
      </c>
      <c r="B6933" t="s">
        <v>25</v>
      </c>
      <c r="C6933" t="s">
        <v>144</v>
      </c>
      <c r="D6933" s="9" t="s">
        <v>137</v>
      </c>
      <c r="E6933" t="s">
        <v>39</v>
      </c>
      <c r="F6933" t="s">
        <v>75</v>
      </c>
      <c r="G6933">
        <v>37</v>
      </c>
      <c r="H6933" s="9">
        <v>-5.85</v>
      </c>
      <c r="I6933"/>
    </row>
    <row r="6934" spans="1:9" x14ac:dyDescent="0.3">
      <c r="A6934" t="s">
        <v>3</v>
      </c>
      <c r="B6934" t="s">
        <v>25</v>
      </c>
      <c r="C6934" t="s">
        <v>145</v>
      </c>
      <c r="D6934" s="9" t="s">
        <v>137</v>
      </c>
      <c r="E6934" t="s">
        <v>40</v>
      </c>
      <c r="F6934" t="s">
        <v>77</v>
      </c>
      <c r="G6934">
        <v>34.799999999999997</v>
      </c>
      <c r="H6934" s="9">
        <v>-7.69</v>
      </c>
      <c r="I6934"/>
    </row>
    <row r="6935" spans="1:9" x14ac:dyDescent="0.3">
      <c r="A6935" t="s">
        <v>3</v>
      </c>
      <c r="B6935" t="s">
        <v>25</v>
      </c>
      <c r="C6935" t="s">
        <v>146</v>
      </c>
      <c r="D6935" s="9" t="s">
        <v>137</v>
      </c>
      <c r="E6935" t="s">
        <v>41</v>
      </c>
      <c r="F6935" t="s">
        <v>79</v>
      </c>
      <c r="G6935">
        <v>35</v>
      </c>
      <c r="H6935" s="9">
        <v>-10.71</v>
      </c>
      <c r="I6935"/>
    </row>
    <row r="6936" spans="1:9" x14ac:dyDescent="0.3">
      <c r="A6936" t="s">
        <v>3</v>
      </c>
      <c r="B6936" t="s">
        <v>25</v>
      </c>
      <c r="C6936" t="s">
        <v>147</v>
      </c>
      <c r="D6936" s="9" t="s">
        <v>137</v>
      </c>
      <c r="E6936" t="s">
        <v>42</v>
      </c>
      <c r="F6936" t="s">
        <v>81</v>
      </c>
      <c r="G6936">
        <v>43.9</v>
      </c>
      <c r="H6936" s="9">
        <v>-4.57</v>
      </c>
      <c r="I6936"/>
    </row>
    <row r="6937" spans="1:9" x14ac:dyDescent="0.3">
      <c r="A6937" t="s">
        <v>3</v>
      </c>
      <c r="B6937" t="s">
        <v>25</v>
      </c>
      <c r="C6937" t="s">
        <v>148</v>
      </c>
      <c r="D6937" s="9" t="s">
        <v>137</v>
      </c>
      <c r="E6937" t="s">
        <v>43</v>
      </c>
      <c r="F6937" t="s">
        <v>83</v>
      </c>
      <c r="G6937">
        <v>70.5</v>
      </c>
      <c r="H6937" s="9">
        <v>-5.1100000000000003</v>
      </c>
      <c r="I6937"/>
    </row>
    <row r="6938" spans="1:9" x14ac:dyDescent="0.3">
      <c r="A6938" t="s">
        <v>3</v>
      </c>
      <c r="B6938" t="s">
        <v>25</v>
      </c>
      <c r="C6938" t="s">
        <v>149</v>
      </c>
      <c r="D6938" s="9" t="s">
        <v>150</v>
      </c>
      <c r="E6938" t="s">
        <v>32</v>
      </c>
      <c r="F6938" t="s">
        <v>61</v>
      </c>
      <c r="G6938">
        <v>45.4</v>
      </c>
      <c r="H6938" s="9">
        <v>-9.74</v>
      </c>
      <c r="I6938"/>
    </row>
    <row r="6939" spans="1:9" x14ac:dyDescent="0.3">
      <c r="A6939" t="s">
        <v>3</v>
      </c>
      <c r="B6939" t="s">
        <v>25</v>
      </c>
      <c r="C6939" t="s">
        <v>151</v>
      </c>
      <c r="D6939" s="9" t="s">
        <v>150</v>
      </c>
      <c r="E6939" t="s">
        <v>33</v>
      </c>
      <c r="F6939" t="s">
        <v>63</v>
      </c>
      <c r="G6939">
        <v>33.299999999999997</v>
      </c>
      <c r="H6939" s="9">
        <v>-13.73</v>
      </c>
      <c r="I6939"/>
    </row>
    <row r="6940" spans="1:9" x14ac:dyDescent="0.3">
      <c r="A6940" t="s">
        <v>3</v>
      </c>
      <c r="B6940" t="s">
        <v>25</v>
      </c>
      <c r="C6940" t="s">
        <v>152</v>
      </c>
      <c r="D6940" s="9" t="s">
        <v>150</v>
      </c>
      <c r="E6940" t="s">
        <v>34</v>
      </c>
      <c r="F6940" t="s">
        <v>65</v>
      </c>
      <c r="G6940">
        <v>36</v>
      </c>
      <c r="H6940" s="9">
        <v>-8.16</v>
      </c>
      <c r="I6940"/>
    </row>
    <row r="6941" spans="1:9" x14ac:dyDescent="0.3">
      <c r="A6941" t="s">
        <v>3</v>
      </c>
      <c r="B6941" t="s">
        <v>25</v>
      </c>
      <c r="C6941" t="s">
        <v>153</v>
      </c>
      <c r="D6941" s="9" t="s">
        <v>150</v>
      </c>
      <c r="E6941" t="s">
        <v>35</v>
      </c>
      <c r="F6941" t="s">
        <v>67</v>
      </c>
      <c r="G6941">
        <v>36.5</v>
      </c>
      <c r="H6941" s="9">
        <v>-4.7</v>
      </c>
      <c r="I6941"/>
    </row>
    <row r="6942" spans="1:9" x14ac:dyDescent="0.3">
      <c r="A6942" t="s">
        <v>3</v>
      </c>
      <c r="B6942" t="s">
        <v>25</v>
      </c>
      <c r="C6942" t="s">
        <v>154</v>
      </c>
      <c r="D6942" s="9" t="s">
        <v>150</v>
      </c>
      <c r="E6942" t="s">
        <v>36</v>
      </c>
      <c r="F6942" t="s">
        <v>69</v>
      </c>
      <c r="G6942">
        <v>37.299999999999997</v>
      </c>
      <c r="H6942" s="9">
        <v>-7.21</v>
      </c>
      <c r="I6942"/>
    </row>
    <row r="6943" spans="1:9" x14ac:dyDescent="0.3">
      <c r="A6943" t="s">
        <v>3</v>
      </c>
      <c r="B6943" t="s">
        <v>25</v>
      </c>
      <c r="C6943" t="s">
        <v>155</v>
      </c>
      <c r="D6943" s="9" t="s">
        <v>150</v>
      </c>
      <c r="E6943" t="s">
        <v>37</v>
      </c>
      <c r="F6943" t="s">
        <v>71</v>
      </c>
      <c r="G6943">
        <v>35.299999999999997</v>
      </c>
      <c r="H6943" s="9">
        <v>1.73</v>
      </c>
      <c r="I6943"/>
    </row>
    <row r="6944" spans="1:9" x14ac:dyDescent="0.3">
      <c r="A6944" t="s">
        <v>3</v>
      </c>
      <c r="B6944" t="s">
        <v>24</v>
      </c>
      <c r="C6944" t="s">
        <v>59</v>
      </c>
      <c r="D6944" s="9" t="s">
        <v>60</v>
      </c>
      <c r="E6944" t="s">
        <v>32</v>
      </c>
      <c r="F6944" t="s">
        <v>61</v>
      </c>
      <c r="G6944">
        <v>86.7</v>
      </c>
      <c r="I6944"/>
    </row>
    <row r="6945" spans="1:9" x14ac:dyDescent="0.3">
      <c r="A6945" t="s">
        <v>3</v>
      </c>
      <c r="B6945" t="s">
        <v>24</v>
      </c>
      <c r="C6945" t="s">
        <v>62</v>
      </c>
      <c r="D6945" s="9" t="s">
        <v>60</v>
      </c>
      <c r="E6945" t="s">
        <v>33</v>
      </c>
      <c r="F6945" t="s">
        <v>63</v>
      </c>
      <c r="G6945">
        <v>65.3</v>
      </c>
      <c r="I6945"/>
    </row>
    <row r="6946" spans="1:9" x14ac:dyDescent="0.3">
      <c r="A6946" t="s">
        <v>3</v>
      </c>
      <c r="B6946" t="s">
        <v>24</v>
      </c>
      <c r="C6946" t="s">
        <v>64</v>
      </c>
      <c r="D6946" s="9" t="s">
        <v>60</v>
      </c>
      <c r="E6946" t="s">
        <v>34</v>
      </c>
      <c r="F6946" t="s">
        <v>65</v>
      </c>
      <c r="G6946">
        <v>74.2</v>
      </c>
      <c r="I6946"/>
    </row>
    <row r="6947" spans="1:9" x14ac:dyDescent="0.3">
      <c r="A6947" t="s">
        <v>3</v>
      </c>
      <c r="B6947" t="s">
        <v>24</v>
      </c>
      <c r="C6947" t="s">
        <v>66</v>
      </c>
      <c r="D6947" s="9" t="s">
        <v>60</v>
      </c>
      <c r="E6947" t="s">
        <v>35</v>
      </c>
      <c r="F6947" t="s">
        <v>67</v>
      </c>
      <c r="G6947">
        <v>76.3</v>
      </c>
      <c r="I6947"/>
    </row>
    <row r="6948" spans="1:9" x14ac:dyDescent="0.3">
      <c r="A6948" t="s">
        <v>3</v>
      </c>
      <c r="B6948" t="s">
        <v>24</v>
      </c>
      <c r="C6948" t="s">
        <v>68</v>
      </c>
      <c r="D6948" s="9" t="s">
        <v>60</v>
      </c>
      <c r="E6948" t="s">
        <v>36</v>
      </c>
      <c r="F6948" t="s">
        <v>69</v>
      </c>
      <c r="G6948">
        <v>70</v>
      </c>
      <c r="I6948"/>
    </row>
    <row r="6949" spans="1:9" x14ac:dyDescent="0.3">
      <c r="A6949" t="s">
        <v>3</v>
      </c>
      <c r="B6949" t="s">
        <v>24</v>
      </c>
      <c r="C6949" t="s">
        <v>70</v>
      </c>
      <c r="D6949" s="9" t="s">
        <v>60</v>
      </c>
      <c r="E6949" t="s">
        <v>37</v>
      </c>
      <c r="F6949" t="s">
        <v>71</v>
      </c>
      <c r="G6949">
        <v>71.599999999999994</v>
      </c>
      <c r="I6949"/>
    </row>
    <row r="6950" spans="1:9" x14ac:dyDescent="0.3">
      <c r="A6950" t="s">
        <v>3</v>
      </c>
      <c r="B6950" t="s">
        <v>24</v>
      </c>
      <c r="C6950" t="s">
        <v>72</v>
      </c>
      <c r="D6950" s="9" t="s">
        <v>60</v>
      </c>
      <c r="E6950" t="s">
        <v>38</v>
      </c>
      <c r="F6950" t="s">
        <v>73</v>
      </c>
      <c r="G6950">
        <v>77.400000000000006</v>
      </c>
      <c r="I6950"/>
    </row>
    <row r="6951" spans="1:9" x14ac:dyDescent="0.3">
      <c r="A6951" t="s">
        <v>3</v>
      </c>
      <c r="B6951" t="s">
        <v>24</v>
      </c>
      <c r="C6951" t="s">
        <v>74</v>
      </c>
      <c r="D6951" s="9" t="s">
        <v>60</v>
      </c>
      <c r="E6951" t="s">
        <v>39</v>
      </c>
      <c r="F6951" t="s">
        <v>75</v>
      </c>
      <c r="G6951">
        <v>76.599999999999994</v>
      </c>
      <c r="I6951"/>
    </row>
    <row r="6952" spans="1:9" x14ac:dyDescent="0.3">
      <c r="A6952" t="s">
        <v>3</v>
      </c>
      <c r="B6952" t="s">
        <v>24</v>
      </c>
      <c r="C6952" t="s">
        <v>76</v>
      </c>
      <c r="D6952" s="9" t="s">
        <v>60</v>
      </c>
      <c r="E6952" t="s">
        <v>40</v>
      </c>
      <c r="F6952" t="s">
        <v>77</v>
      </c>
      <c r="G6952">
        <v>76.2</v>
      </c>
      <c r="I6952"/>
    </row>
    <row r="6953" spans="1:9" x14ac:dyDescent="0.3">
      <c r="A6953" t="s">
        <v>3</v>
      </c>
      <c r="B6953" t="s">
        <v>24</v>
      </c>
      <c r="C6953" t="s">
        <v>78</v>
      </c>
      <c r="D6953" s="9" t="s">
        <v>60</v>
      </c>
      <c r="E6953" t="s">
        <v>41</v>
      </c>
      <c r="F6953" t="s">
        <v>79</v>
      </c>
      <c r="G6953">
        <v>79.3</v>
      </c>
      <c r="I6953"/>
    </row>
    <row r="6954" spans="1:9" x14ac:dyDescent="0.3">
      <c r="A6954" t="s">
        <v>3</v>
      </c>
      <c r="B6954" t="s">
        <v>24</v>
      </c>
      <c r="C6954" t="s">
        <v>80</v>
      </c>
      <c r="D6954" s="9" t="s">
        <v>60</v>
      </c>
      <c r="E6954" t="s">
        <v>42</v>
      </c>
      <c r="F6954" t="s">
        <v>81</v>
      </c>
      <c r="G6954">
        <v>97</v>
      </c>
      <c r="I6954"/>
    </row>
    <row r="6955" spans="1:9" x14ac:dyDescent="0.3">
      <c r="A6955" t="s">
        <v>3</v>
      </c>
      <c r="B6955" t="s">
        <v>24</v>
      </c>
      <c r="C6955" t="s">
        <v>82</v>
      </c>
      <c r="D6955" s="9" t="s">
        <v>60</v>
      </c>
      <c r="E6955" t="s">
        <v>43</v>
      </c>
      <c r="F6955" t="s">
        <v>83</v>
      </c>
      <c r="G6955">
        <v>171.7</v>
      </c>
      <c r="I6955"/>
    </row>
    <row r="6956" spans="1:9" x14ac:dyDescent="0.3">
      <c r="A6956" t="s">
        <v>3</v>
      </c>
      <c r="B6956" t="s">
        <v>24</v>
      </c>
      <c r="C6956" t="s">
        <v>84</v>
      </c>
      <c r="D6956" s="9" t="s">
        <v>85</v>
      </c>
      <c r="E6956" t="s">
        <v>32</v>
      </c>
      <c r="F6956" t="s">
        <v>61</v>
      </c>
      <c r="G6956">
        <v>81</v>
      </c>
      <c r="H6956" s="9">
        <v>-6.57</v>
      </c>
      <c r="I6956"/>
    </row>
    <row r="6957" spans="1:9" x14ac:dyDescent="0.3">
      <c r="A6957" t="s">
        <v>3</v>
      </c>
      <c r="B6957" t="s">
        <v>24</v>
      </c>
      <c r="C6957" t="s">
        <v>86</v>
      </c>
      <c r="D6957" s="9" t="s">
        <v>85</v>
      </c>
      <c r="E6957" t="s">
        <v>33</v>
      </c>
      <c r="F6957" t="s">
        <v>63</v>
      </c>
      <c r="G6957">
        <v>66.3</v>
      </c>
      <c r="H6957" s="9">
        <v>1.53</v>
      </c>
      <c r="I6957"/>
    </row>
    <row r="6958" spans="1:9" x14ac:dyDescent="0.3">
      <c r="A6958" t="s">
        <v>3</v>
      </c>
      <c r="B6958" t="s">
        <v>24</v>
      </c>
      <c r="C6958" t="s">
        <v>87</v>
      </c>
      <c r="D6958" s="9" t="s">
        <v>85</v>
      </c>
      <c r="E6958" t="s">
        <v>34</v>
      </c>
      <c r="F6958" t="s">
        <v>65</v>
      </c>
      <c r="G6958">
        <v>87</v>
      </c>
      <c r="H6958" s="9">
        <v>17.25</v>
      </c>
      <c r="I6958"/>
    </row>
    <row r="6959" spans="1:9" x14ac:dyDescent="0.3">
      <c r="A6959" t="s">
        <v>3</v>
      </c>
      <c r="B6959" t="s">
        <v>24</v>
      </c>
      <c r="C6959" t="s">
        <v>88</v>
      </c>
      <c r="D6959" s="9" t="s">
        <v>85</v>
      </c>
      <c r="E6959" t="s">
        <v>35</v>
      </c>
      <c r="F6959" t="s">
        <v>67</v>
      </c>
      <c r="G6959">
        <v>72</v>
      </c>
      <c r="H6959" s="9">
        <v>-5.64</v>
      </c>
      <c r="I6959"/>
    </row>
    <row r="6960" spans="1:9" x14ac:dyDescent="0.3">
      <c r="A6960" t="s">
        <v>3</v>
      </c>
      <c r="B6960" t="s">
        <v>24</v>
      </c>
      <c r="C6960" t="s">
        <v>89</v>
      </c>
      <c r="D6960" s="9" t="s">
        <v>85</v>
      </c>
      <c r="E6960" t="s">
        <v>36</v>
      </c>
      <c r="F6960" t="s">
        <v>69</v>
      </c>
      <c r="G6960">
        <v>89.6</v>
      </c>
      <c r="H6960" s="9">
        <v>28</v>
      </c>
      <c r="I6960"/>
    </row>
    <row r="6961" spans="1:9" x14ac:dyDescent="0.3">
      <c r="A6961" t="s">
        <v>3</v>
      </c>
      <c r="B6961" t="s">
        <v>24</v>
      </c>
      <c r="C6961" t="s">
        <v>90</v>
      </c>
      <c r="D6961" s="9" t="s">
        <v>85</v>
      </c>
      <c r="E6961" t="s">
        <v>37</v>
      </c>
      <c r="F6961" t="s">
        <v>71</v>
      </c>
      <c r="G6961">
        <v>102</v>
      </c>
      <c r="H6961" s="9">
        <v>42.46</v>
      </c>
      <c r="I6961"/>
    </row>
    <row r="6962" spans="1:9" x14ac:dyDescent="0.3">
      <c r="A6962" t="s">
        <v>3</v>
      </c>
      <c r="B6962" t="s">
        <v>24</v>
      </c>
      <c r="C6962" t="s">
        <v>91</v>
      </c>
      <c r="D6962" s="9" t="s">
        <v>85</v>
      </c>
      <c r="E6962" t="s">
        <v>38</v>
      </c>
      <c r="F6962" t="s">
        <v>73</v>
      </c>
      <c r="G6962">
        <v>101.6</v>
      </c>
      <c r="H6962" s="9">
        <v>31.27</v>
      </c>
      <c r="I6962"/>
    </row>
    <row r="6963" spans="1:9" x14ac:dyDescent="0.3">
      <c r="A6963" t="s">
        <v>3</v>
      </c>
      <c r="B6963" t="s">
        <v>24</v>
      </c>
      <c r="C6963" t="s">
        <v>92</v>
      </c>
      <c r="D6963" s="9" t="s">
        <v>85</v>
      </c>
      <c r="E6963" t="s">
        <v>39</v>
      </c>
      <c r="F6963" t="s">
        <v>75</v>
      </c>
      <c r="G6963">
        <v>65</v>
      </c>
      <c r="H6963" s="9">
        <v>-15.14</v>
      </c>
      <c r="I6963"/>
    </row>
    <row r="6964" spans="1:9" x14ac:dyDescent="0.3">
      <c r="A6964" t="s">
        <v>3</v>
      </c>
      <c r="B6964" t="s">
        <v>24</v>
      </c>
      <c r="C6964" t="s">
        <v>93</v>
      </c>
      <c r="D6964" s="9" t="s">
        <v>85</v>
      </c>
      <c r="E6964" t="s">
        <v>40</v>
      </c>
      <c r="F6964" t="s">
        <v>77</v>
      </c>
      <c r="G6964">
        <v>78.400000000000006</v>
      </c>
      <c r="H6964" s="9">
        <v>2.89</v>
      </c>
      <c r="I6964"/>
    </row>
    <row r="6965" spans="1:9" x14ac:dyDescent="0.3">
      <c r="A6965" t="s">
        <v>3</v>
      </c>
      <c r="B6965" t="s">
        <v>24</v>
      </c>
      <c r="C6965" t="s">
        <v>94</v>
      </c>
      <c r="D6965" s="9" t="s">
        <v>85</v>
      </c>
      <c r="E6965" t="s">
        <v>41</v>
      </c>
      <c r="F6965" t="s">
        <v>79</v>
      </c>
      <c r="G6965">
        <v>87.6</v>
      </c>
      <c r="H6965" s="9">
        <v>10.47</v>
      </c>
      <c r="I6965"/>
    </row>
    <row r="6966" spans="1:9" x14ac:dyDescent="0.3">
      <c r="A6966" t="s">
        <v>3</v>
      </c>
      <c r="B6966" t="s">
        <v>24</v>
      </c>
      <c r="C6966" t="s">
        <v>95</v>
      </c>
      <c r="D6966" s="9" t="s">
        <v>85</v>
      </c>
      <c r="E6966" t="s">
        <v>42</v>
      </c>
      <c r="F6966" t="s">
        <v>81</v>
      </c>
      <c r="G6966">
        <v>167.8</v>
      </c>
      <c r="H6966" s="9">
        <v>72.989999999999995</v>
      </c>
      <c r="I6966"/>
    </row>
    <row r="6967" spans="1:9" x14ac:dyDescent="0.3">
      <c r="A6967" t="s">
        <v>3</v>
      </c>
      <c r="B6967" t="s">
        <v>24</v>
      </c>
      <c r="C6967" t="s">
        <v>96</v>
      </c>
      <c r="D6967" s="9" t="s">
        <v>85</v>
      </c>
      <c r="E6967" t="s">
        <v>43</v>
      </c>
      <c r="F6967" t="s">
        <v>83</v>
      </c>
      <c r="G6967">
        <v>210.6</v>
      </c>
      <c r="H6967" s="9">
        <v>22.66</v>
      </c>
      <c r="I6967"/>
    </row>
    <row r="6968" spans="1:9" x14ac:dyDescent="0.3">
      <c r="A6968" t="s">
        <v>3</v>
      </c>
      <c r="B6968" t="s">
        <v>24</v>
      </c>
      <c r="C6968" t="s">
        <v>97</v>
      </c>
      <c r="D6968" s="9" t="s">
        <v>98</v>
      </c>
      <c r="E6968" t="s">
        <v>32</v>
      </c>
      <c r="F6968" t="s">
        <v>61</v>
      </c>
      <c r="G6968">
        <v>125.4</v>
      </c>
      <c r="H6968" s="9">
        <v>54.81</v>
      </c>
      <c r="I6968"/>
    </row>
    <row r="6969" spans="1:9" x14ac:dyDescent="0.3">
      <c r="A6969" t="s">
        <v>3</v>
      </c>
      <c r="B6969" t="s">
        <v>24</v>
      </c>
      <c r="C6969" t="s">
        <v>99</v>
      </c>
      <c r="D6969" s="9" t="s">
        <v>98</v>
      </c>
      <c r="E6969" t="s">
        <v>33</v>
      </c>
      <c r="F6969" t="s">
        <v>63</v>
      </c>
      <c r="G6969">
        <v>95.3</v>
      </c>
      <c r="H6969" s="9">
        <v>43.74</v>
      </c>
      <c r="I6969"/>
    </row>
    <row r="6970" spans="1:9" x14ac:dyDescent="0.3">
      <c r="A6970" t="s">
        <v>3</v>
      </c>
      <c r="B6970" t="s">
        <v>24</v>
      </c>
      <c r="C6970" t="s">
        <v>100</v>
      </c>
      <c r="D6970" s="9" t="s">
        <v>98</v>
      </c>
      <c r="E6970" t="s">
        <v>34</v>
      </c>
      <c r="F6970" t="s">
        <v>65</v>
      </c>
      <c r="G6970">
        <v>127.1</v>
      </c>
      <c r="H6970" s="9">
        <v>46.09</v>
      </c>
      <c r="I6970"/>
    </row>
    <row r="6971" spans="1:9" x14ac:dyDescent="0.3">
      <c r="A6971" t="s">
        <v>3</v>
      </c>
      <c r="B6971" t="s">
        <v>24</v>
      </c>
      <c r="C6971" t="s">
        <v>101</v>
      </c>
      <c r="D6971" s="9" t="s">
        <v>98</v>
      </c>
      <c r="E6971" t="s">
        <v>35</v>
      </c>
      <c r="F6971" t="s">
        <v>67</v>
      </c>
      <c r="G6971">
        <v>128.5</v>
      </c>
      <c r="H6971" s="9">
        <v>78.47</v>
      </c>
      <c r="I6971"/>
    </row>
    <row r="6972" spans="1:9" x14ac:dyDescent="0.3">
      <c r="A6972" t="s">
        <v>3</v>
      </c>
      <c r="B6972" t="s">
        <v>24</v>
      </c>
      <c r="C6972" t="s">
        <v>102</v>
      </c>
      <c r="D6972" s="9" t="s">
        <v>98</v>
      </c>
      <c r="E6972" t="s">
        <v>36</v>
      </c>
      <c r="F6972" t="s">
        <v>69</v>
      </c>
      <c r="G6972">
        <v>124.8</v>
      </c>
      <c r="H6972" s="9">
        <v>39.29</v>
      </c>
      <c r="I6972"/>
    </row>
    <row r="6973" spans="1:9" x14ac:dyDescent="0.3">
      <c r="A6973" t="s">
        <v>3</v>
      </c>
      <c r="B6973" t="s">
        <v>24</v>
      </c>
      <c r="C6973" t="s">
        <v>103</v>
      </c>
      <c r="D6973" s="9" t="s">
        <v>98</v>
      </c>
      <c r="E6973" t="s">
        <v>37</v>
      </c>
      <c r="F6973" t="s">
        <v>71</v>
      </c>
      <c r="G6973">
        <v>132</v>
      </c>
      <c r="H6973" s="9">
        <v>29.41</v>
      </c>
      <c r="I6973"/>
    </row>
    <row r="6974" spans="1:9" x14ac:dyDescent="0.3">
      <c r="A6974" t="s">
        <v>3</v>
      </c>
      <c r="B6974" t="s">
        <v>24</v>
      </c>
      <c r="C6974" t="s">
        <v>104</v>
      </c>
      <c r="D6974" s="9" t="s">
        <v>98</v>
      </c>
      <c r="E6974" t="s">
        <v>38</v>
      </c>
      <c r="F6974" t="s">
        <v>73</v>
      </c>
      <c r="G6974">
        <v>118.6</v>
      </c>
      <c r="H6974" s="9">
        <v>16.73</v>
      </c>
      <c r="I6974"/>
    </row>
    <row r="6975" spans="1:9" x14ac:dyDescent="0.3">
      <c r="A6975" t="s">
        <v>3</v>
      </c>
      <c r="B6975" t="s">
        <v>24</v>
      </c>
      <c r="C6975" t="s">
        <v>105</v>
      </c>
      <c r="D6975" s="9" t="s">
        <v>98</v>
      </c>
      <c r="E6975" t="s">
        <v>39</v>
      </c>
      <c r="F6975" t="s">
        <v>75</v>
      </c>
      <c r="G6975">
        <v>108.3</v>
      </c>
      <c r="H6975" s="9">
        <v>66.62</v>
      </c>
      <c r="I6975"/>
    </row>
    <row r="6976" spans="1:9" x14ac:dyDescent="0.3">
      <c r="A6976" t="s">
        <v>3</v>
      </c>
      <c r="B6976" t="s">
        <v>24</v>
      </c>
      <c r="C6976" t="s">
        <v>106</v>
      </c>
      <c r="D6976" s="9" t="s">
        <v>98</v>
      </c>
      <c r="E6976" t="s">
        <v>40</v>
      </c>
      <c r="F6976" t="s">
        <v>77</v>
      </c>
      <c r="G6976">
        <v>113.4</v>
      </c>
      <c r="H6976" s="9">
        <v>44.64</v>
      </c>
      <c r="I6976"/>
    </row>
    <row r="6977" spans="1:9" x14ac:dyDescent="0.3">
      <c r="A6977" t="s">
        <v>3</v>
      </c>
      <c r="B6977" t="s">
        <v>24</v>
      </c>
      <c r="C6977" t="s">
        <v>107</v>
      </c>
      <c r="D6977" s="9" t="s">
        <v>98</v>
      </c>
      <c r="E6977" t="s">
        <v>41</v>
      </c>
      <c r="F6977" t="s">
        <v>79</v>
      </c>
      <c r="G6977">
        <v>134.9</v>
      </c>
      <c r="H6977" s="9">
        <v>54</v>
      </c>
      <c r="I6977"/>
    </row>
    <row r="6978" spans="1:9" x14ac:dyDescent="0.3">
      <c r="A6978" t="s">
        <v>3</v>
      </c>
      <c r="B6978" t="s">
        <v>24</v>
      </c>
      <c r="C6978" t="s">
        <v>108</v>
      </c>
      <c r="D6978" s="9" t="s">
        <v>98</v>
      </c>
      <c r="E6978" t="s">
        <v>42</v>
      </c>
      <c r="F6978" t="s">
        <v>81</v>
      </c>
      <c r="G6978">
        <v>219.2</v>
      </c>
      <c r="H6978" s="9">
        <v>30.63</v>
      </c>
      <c r="I6978"/>
    </row>
    <row r="6979" spans="1:9" x14ac:dyDescent="0.3">
      <c r="A6979" t="s">
        <v>3</v>
      </c>
      <c r="B6979" t="s">
        <v>24</v>
      </c>
      <c r="C6979" t="s">
        <v>109</v>
      </c>
      <c r="D6979" s="9" t="s">
        <v>98</v>
      </c>
      <c r="E6979" t="s">
        <v>43</v>
      </c>
      <c r="F6979" t="s">
        <v>83</v>
      </c>
      <c r="G6979">
        <v>255.8</v>
      </c>
      <c r="H6979" s="9">
        <v>21.46</v>
      </c>
      <c r="I6979"/>
    </row>
    <row r="6980" spans="1:9" x14ac:dyDescent="0.3">
      <c r="A6980" t="s">
        <v>3</v>
      </c>
      <c r="B6980" t="s">
        <v>24</v>
      </c>
      <c r="C6980" t="s">
        <v>110</v>
      </c>
      <c r="D6980" s="9" t="s">
        <v>111</v>
      </c>
      <c r="E6980" t="s">
        <v>32</v>
      </c>
      <c r="F6980" t="s">
        <v>61</v>
      </c>
      <c r="G6980">
        <v>160.9</v>
      </c>
      <c r="H6980" s="9">
        <v>28.31</v>
      </c>
      <c r="I6980"/>
    </row>
    <row r="6981" spans="1:9" x14ac:dyDescent="0.3">
      <c r="A6981" t="s">
        <v>3</v>
      </c>
      <c r="B6981" t="s">
        <v>24</v>
      </c>
      <c r="C6981" t="s">
        <v>112</v>
      </c>
      <c r="D6981" s="9" t="s">
        <v>111</v>
      </c>
      <c r="E6981" t="s">
        <v>33</v>
      </c>
      <c r="F6981" t="s">
        <v>63</v>
      </c>
      <c r="G6981">
        <v>131.4</v>
      </c>
      <c r="H6981" s="9">
        <v>37.880000000000003</v>
      </c>
      <c r="I6981"/>
    </row>
    <row r="6982" spans="1:9" x14ac:dyDescent="0.3">
      <c r="A6982" t="s">
        <v>3</v>
      </c>
      <c r="B6982" t="s">
        <v>24</v>
      </c>
      <c r="C6982" t="s">
        <v>113</v>
      </c>
      <c r="D6982" s="9" t="s">
        <v>111</v>
      </c>
      <c r="E6982" t="s">
        <v>34</v>
      </c>
      <c r="F6982" t="s">
        <v>65</v>
      </c>
      <c r="G6982">
        <v>162.30000000000001</v>
      </c>
      <c r="H6982" s="9">
        <v>27.69</v>
      </c>
      <c r="I6982"/>
    </row>
    <row r="6983" spans="1:9" x14ac:dyDescent="0.3">
      <c r="A6983" t="s">
        <v>3</v>
      </c>
      <c r="B6983" t="s">
        <v>24</v>
      </c>
      <c r="C6983" t="s">
        <v>114</v>
      </c>
      <c r="D6983" s="9" t="s">
        <v>111</v>
      </c>
      <c r="E6983" t="s">
        <v>35</v>
      </c>
      <c r="F6983" t="s">
        <v>67</v>
      </c>
      <c r="G6983">
        <v>172.1</v>
      </c>
      <c r="H6983" s="9">
        <v>33.93</v>
      </c>
      <c r="I6983"/>
    </row>
    <row r="6984" spans="1:9" x14ac:dyDescent="0.3">
      <c r="A6984" t="s">
        <v>3</v>
      </c>
      <c r="B6984" t="s">
        <v>24</v>
      </c>
      <c r="C6984" t="s">
        <v>115</v>
      </c>
      <c r="D6984" s="9" t="s">
        <v>111</v>
      </c>
      <c r="E6984" t="s">
        <v>36</v>
      </c>
      <c r="F6984" t="s">
        <v>69</v>
      </c>
      <c r="G6984">
        <v>156.80000000000001</v>
      </c>
      <c r="H6984" s="9">
        <v>25.64</v>
      </c>
      <c r="I6984"/>
    </row>
    <row r="6985" spans="1:9" x14ac:dyDescent="0.3">
      <c r="A6985" t="s">
        <v>3</v>
      </c>
      <c r="B6985" t="s">
        <v>24</v>
      </c>
      <c r="C6985" t="s">
        <v>116</v>
      </c>
      <c r="D6985" s="9" t="s">
        <v>111</v>
      </c>
      <c r="E6985" t="s">
        <v>37</v>
      </c>
      <c r="F6985" t="s">
        <v>71</v>
      </c>
      <c r="G6985">
        <v>175.7</v>
      </c>
      <c r="H6985" s="9">
        <v>33.11</v>
      </c>
      <c r="I6985"/>
    </row>
    <row r="6986" spans="1:9" x14ac:dyDescent="0.3">
      <c r="A6986" t="s">
        <v>3</v>
      </c>
      <c r="B6986" t="s">
        <v>24</v>
      </c>
      <c r="C6986" t="s">
        <v>117</v>
      </c>
      <c r="D6986" s="9" t="s">
        <v>111</v>
      </c>
      <c r="E6986" t="s">
        <v>38</v>
      </c>
      <c r="F6986" t="s">
        <v>73</v>
      </c>
      <c r="G6986">
        <v>167.7</v>
      </c>
      <c r="H6986" s="9">
        <v>41.4</v>
      </c>
      <c r="I6986"/>
    </row>
    <row r="6987" spans="1:9" x14ac:dyDescent="0.3">
      <c r="A6987" t="s">
        <v>3</v>
      </c>
      <c r="B6987" t="s">
        <v>24</v>
      </c>
      <c r="C6987" t="s">
        <v>118</v>
      </c>
      <c r="D6987" s="9" t="s">
        <v>111</v>
      </c>
      <c r="E6987" t="s">
        <v>39</v>
      </c>
      <c r="F6987" t="s">
        <v>75</v>
      </c>
      <c r="G6987">
        <v>166.1</v>
      </c>
      <c r="H6987" s="9">
        <v>53.37</v>
      </c>
      <c r="I6987"/>
    </row>
    <row r="6988" spans="1:9" x14ac:dyDescent="0.3">
      <c r="A6988" t="s">
        <v>3</v>
      </c>
      <c r="B6988" t="s">
        <v>24</v>
      </c>
      <c r="C6988" t="s">
        <v>119</v>
      </c>
      <c r="D6988" s="9" t="s">
        <v>111</v>
      </c>
      <c r="E6988" t="s">
        <v>40</v>
      </c>
      <c r="F6988" t="s">
        <v>77</v>
      </c>
      <c r="G6988">
        <v>174.2</v>
      </c>
      <c r="H6988" s="9">
        <v>53.62</v>
      </c>
      <c r="I6988"/>
    </row>
    <row r="6989" spans="1:9" x14ac:dyDescent="0.3">
      <c r="A6989" t="s">
        <v>3</v>
      </c>
      <c r="B6989" t="s">
        <v>24</v>
      </c>
      <c r="C6989" t="s">
        <v>120</v>
      </c>
      <c r="D6989" s="9" t="s">
        <v>111</v>
      </c>
      <c r="E6989" t="s">
        <v>41</v>
      </c>
      <c r="F6989" t="s">
        <v>79</v>
      </c>
      <c r="G6989">
        <v>175.4</v>
      </c>
      <c r="H6989" s="9">
        <v>30.02</v>
      </c>
      <c r="I6989"/>
    </row>
    <row r="6990" spans="1:9" x14ac:dyDescent="0.3">
      <c r="A6990" t="s">
        <v>3</v>
      </c>
      <c r="B6990" t="s">
        <v>24</v>
      </c>
      <c r="C6990" t="s">
        <v>121</v>
      </c>
      <c r="D6990" s="9" t="s">
        <v>111</v>
      </c>
      <c r="E6990" t="s">
        <v>42</v>
      </c>
      <c r="F6990" t="s">
        <v>81</v>
      </c>
      <c r="G6990">
        <v>204.6</v>
      </c>
      <c r="H6990" s="9">
        <v>-6.66</v>
      </c>
      <c r="I6990"/>
    </row>
    <row r="6991" spans="1:9" x14ac:dyDescent="0.3">
      <c r="A6991" t="s">
        <v>3</v>
      </c>
      <c r="B6991" t="s">
        <v>24</v>
      </c>
      <c r="C6991" t="s">
        <v>122</v>
      </c>
      <c r="D6991" s="9" t="s">
        <v>111</v>
      </c>
      <c r="E6991" t="s">
        <v>43</v>
      </c>
      <c r="F6991" t="s">
        <v>83</v>
      </c>
      <c r="G6991">
        <v>252</v>
      </c>
      <c r="H6991" s="9">
        <v>-1.49</v>
      </c>
      <c r="I6991"/>
    </row>
    <row r="6992" spans="1:9" x14ac:dyDescent="0.3">
      <c r="A6992" t="s">
        <v>3</v>
      </c>
      <c r="B6992" t="s">
        <v>24</v>
      </c>
      <c r="C6992" t="s">
        <v>123</v>
      </c>
      <c r="D6992" s="9" t="s">
        <v>124</v>
      </c>
      <c r="E6992" t="s">
        <v>32</v>
      </c>
      <c r="F6992" t="s">
        <v>61</v>
      </c>
      <c r="G6992">
        <v>156.69999999999999</v>
      </c>
      <c r="H6992" s="9">
        <v>-2.61</v>
      </c>
      <c r="I6992"/>
    </row>
    <row r="6993" spans="1:9" x14ac:dyDescent="0.3">
      <c r="A6993" t="s">
        <v>3</v>
      </c>
      <c r="B6993" t="s">
        <v>24</v>
      </c>
      <c r="C6993" t="s">
        <v>125</v>
      </c>
      <c r="D6993" s="9" t="s">
        <v>124</v>
      </c>
      <c r="E6993" t="s">
        <v>33</v>
      </c>
      <c r="F6993" t="s">
        <v>63</v>
      </c>
      <c r="G6993">
        <v>137.1</v>
      </c>
      <c r="H6993" s="9">
        <v>4.34</v>
      </c>
      <c r="I6993"/>
    </row>
    <row r="6994" spans="1:9" x14ac:dyDescent="0.3">
      <c r="A6994" t="s">
        <v>3</v>
      </c>
      <c r="B6994" t="s">
        <v>24</v>
      </c>
      <c r="C6994" t="s">
        <v>126</v>
      </c>
      <c r="D6994" s="9" t="s">
        <v>124</v>
      </c>
      <c r="E6994" t="s">
        <v>34</v>
      </c>
      <c r="F6994" t="s">
        <v>65</v>
      </c>
      <c r="G6994">
        <v>144.80000000000001</v>
      </c>
      <c r="H6994" s="9">
        <v>-10.78</v>
      </c>
      <c r="I6994"/>
    </row>
    <row r="6995" spans="1:9" x14ac:dyDescent="0.3">
      <c r="A6995" t="s">
        <v>3</v>
      </c>
      <c r="B6995" t="s">
        <v>24</v>
      </c>
      <c r="C6995" t="s">
        <v>127</v>
      </c>
      <c r="D6995" s="9" t="s">
        <v>124</v>
      </c>
      <c r="E6995" t="s">
        <v>35</v>
      </c>
      <c r="F6995" t="s">
        <v>67</v>
      </c>
      <c r="G6995">
        <v>149.1</v>
      </c>
      <c r="H6995" s="9">
        <v>-13.36</v>
      </c>
      <c r="I6995"/>
    </row>
    <row r="6996" spans="1:9" x14ac:dyDescent="0.3">
      <c r="A6996" t="s">
        <v>3</v>
      </c>
      <c r="B6996" t="s">
        <v>24</v>
      </c>
      <c r="C6996" t="s">
        <v>128</v>
      </c>
      <c r="D6996" s="9" t="s">
        <v>124</v>
      </c>
      <c r="E6996" t="s">
        <v>36</v>
      </c>
      <c r="F6996" t="s">
        <v>69</v>
      </c>
      <c r="G6996">
        <v>141.69999999999999</v>
      </c>
      <c r="H6996" s="9">
        <v>-9.6300000000000008</v>
      </c>
      <c r="I6996"/>
    </row>
    <row r="6997" spans="1:9" x14ac:dyDescent="0.3">
      <c r="A6997" t="s">
        <v>3</v>
      </c>
      <c r="B6997" t="s">
        <v>24</v>
      </c>
      <c r="C6997" t="s">
        <v>129</v>
      </c>
      <c r="D6997" s="9" t="s">
        <v>124</v>
      </c>
      <c r="E6997" t="s">
        <v>37</v>
      </c>
      <c r="F6997" t="s">
        <v>71</v>
      </c>
      <c r="G6997">
        <v>156.9</v>
      </c>
      <c r="H6997" s="9">
        <v>-10.7</v>
      </c>
      <c r="I6997"/>
    </row>
    <row r="6998" spans="1:9" x14ac:dyDescent="0.3">
      <c r="A6998" t="s">
        <v>3</v>
      </c>
      <c r="B6998" t="s">
        <v>24</v>
      </c>
      <c r="C6998" t="s">
        <v>130</v>
      </c>
      <c r="D6998" s="9" t="s">
        <v>124</v>
      </c>
      <c r="E6998" t="s">
        <v>38</v>
      </c>
      <c r="F6998" t="s">
        <v>73</v>
      </c>
      <c r="G6998">
        <v>147.30000000000001</v>
      </c>
      <c r="H6998" s="9">
        <v>-12.16</v>
      </c>
      <c r="I6998"/>
    </row>
    <row r="6999" spans="1:9" x14ac:dyDescent="0.3">
      <c r="A6999" t="s">
        <v>3</v>
      </c>
      <c r="B6999" t="s">
        <v>24</v>
      </c>
      <c r="C6999" t="s">
        <v>131</v>
      </c>
      <c r="D6999" s="9" t="s">
        <v>124</v>
      </c>
      <c r="E6999" t="s">
        <v>39</v>
      </c>
      <c r="F6999" t="s">
        <v>75</v>
      </c>
      <c r="G6999">
        <v>142.9</v>
      </c>
      <c r="H6999" s="9">
        <v>-13.97</v>
      </c>
      <c r="I6999"/>
    </row>
    <row r="7000" spans="1:9" x14ac:dyDescent="0.3">
      <c r="A7000" t="s">
        <v>3</v>
      </c>
      <c r="B7000" t="s">
        <v>24</v>
      </c>
      <c r="C7000" t="s">
        <v>132</v>
      </c>
      <c r="D7000" s="9" t="s">
        <v>124</v>
      </c>
      <c r="E7000" t="s">
        <v>40</v>
      </c>
      <c r="F7000" t="s">
        <v>77</v>
      </c>
      <c r="G7000">
        <v>147.9</v>
      </c>
      <c r="H7000" s="9">
        <v>-15.1</v>
      </c>
      <c r="I7000"/>
    </row>
    <row r="7001" spans="1:9" x14ac:dyDescent="0.3">
      <c r="A7001" t="s">
        <v>3</v>
      </c>
      <c r="B7001" t="s">
        <v>24</v>
      </c>
      <c r="C7001" t="s">
        <v>133</v>
      </c>
      <c r="D7001" s="9" t="s">
        <v>124</v>
      </c>
      <c r="E7001" t="s">
        <v>41</v>
      </c>
      <c r="F7001" t="s">
        <v>79</v>
      </c>
      <c r="G7001">
        <v>149.19999999999999</v>
      </c>
      <c r="H7001" s="9">
        <v>-14.94</v>
      </c>
      <c r="I7001"/>
    </row>
    <row r="7002" spans="1:9" x14ac:dyDescent="0.3">
      <c r="A7002" t="s">
        <v>3</v>
      </c>
      <c r="B7002" t="s">
        <v>24</v>
      </c>
      <c r="C7002" t="s">
        <v>134</v>
      </c>
      <c r="D7002" s="9" t="s">
        <v>124</v>
      </c>
      <c r="E7002" t="s">
        <v>42</v>
      </c>
      <c r="F7002" t="s">
        <v>81</v>
      </c>
      <c r="G7002">
        <v>187.5</v>
      </c>
      <c r="H7002" s="9">
        <v>-8.36</v>
      </c>
      <c r="I7002"/>
    </row>
    <row r="7003" spans="1:9" x14ac:dyDescent="0.3">
      <c r="A7003" t="s">
        <v>3</v>
      </c>
      <c r="B7003" t="s">
        <v>24</v>
      </c>
      <c r="C7003" t="s">
        <v>135</v>
      </c>
      <c r="D7003" s="9" t="s">
        <v>124</v>
      </c>
      <c r="E7003" t="s">
        <v>43</v>
      </c>
      <c r="F7003" t="s">
        <v>83</v>
      </c>
      <c r="G7003">
        <v>279.7</v>
      </c>
      <c r="H7003" s="9">
        <v>10.99</v>
      </c>
      <c r="I7003"/>
    </row>
    <row r="7004" spans="1:9" x14ac:dyDescent="0.3">
      <c r="A7004" t="s">
        <v>3</v>
      </c>
      <c r="B7004" t="s">
        <v>24</v>
      </c>
      <c r="C7004" t="s">
        <v>136</v>
      </c>
      <c r="D7004" s="9" t="s">
        <v>137</v>
      </c>
      <c r="E7004" t="s">
        <v>32</v>
      </c>
      <c r="F7004" t="s">
        <v>61</v>
      </c>
      <c r="G7004">
        <v>168.3</v>
      </c>
      <c r="H7004" s="9">
        <v>7.4</v>
      </c>
      <c r="I7004"/>
    </row>
    <row r="7005" spans="1:9" x14ac:dyDescent="0.3">
      <c r="A7005" t="s">
        <v>3</v>
      </c>
      <c r="B7005" t="s">
        <v>24</v>
      </c>
      <c r="C7005" t="s">
        <v>138</v>
      </c>
      <c r="D7005" s="9" t="s">
        <v>137</v>
      </c>
      <c r="E7005" t="s">
        <v>33</v>
      </c>
      <c r="F7005" t="s">
        <v>63</v>
      </c>
      <c r="G7005">
        <v>148.80000000000001</v>
      </c>
      <c r="H7005" s="9">
        <v>8.5299999999999994</v>
      </c>
      <c r="I7005"/>
    </row>
    <row r="7006" spans="1:9" x14ac:dyDescent="0.3">
      <c r="A7006" t="s">
        <v>3</v>
      </c>
      <c r="B7006" t="s">
        <v>24</v>
      </c>
      <c r="C7006" t="s">
        <v>139</v>
      </c>
      <c r="D7006" s="9" t="s">
        <v>137</v>
      </c>
      <c r="E7006" t="s">
        <v>34</v>
      </c>
      <c r="F7006" t="s">
        <v>65</v>
      </c>
      <c r="G7006">
        <v>152.6</v>
      </c>
      <c r="H7006" s="9">
        <v>5.39</v>
      </c>
      <c r="I7006"/>
    </row>
    <row r="7007" spans="1:9" x14ac:dyDescent="0.3">
      <c r="A7007" t="s">
        <v>3</v>
      </c>
      <c r="B7007" t="s">
        <v>24</v>
      </c>
      <c r="C7007" t="s">
        <v>140</v>
      </c>
      <c r="D7007" s="9" t="s">
        <v>137</v>
      </c>
      <c r="E7007" t="s">
        <v>35</v>
      </c>
      <c r="F7007" t="s">
        <v>67</v>
      </c>
      <c r="G7007">
        <v>160.80000000000001</v>
      </c>
      <c r="H7007" s="9">
        <v>7.85</v>
      </c>
      <c r="I7007"/>
    </row>
    <row r="7008" spans="1:9" x14ac:dyDescent="0.3">
      <c r="A7008" t="s">
        <v>3</v>
      </c>
      <c r="B7008" t="s">
        <v>24</v>
      </c>
      <c r="C7008" t="s">
        <v>141</v>
      </c>
      <c r="D7008" s="9" t="s">
        <v>137</v>
      </c>
      <c r="E7008" t="s">
        <v>36</v>
      </c>
      <c r="F7008" t="s">
        <v>69</v>
      </c>
      <c r="G7008">
        <v>140.5</v>
      </c>
      <c r="H7008" s="9">
        <v>-0.85</v>
      </c>
      <c r="I7008"/>
    </row>
    <row r="7009" spans="1:9" x14ac:dyDescent="0.3">
      <c r="A7009" t="s">
        <v>3</v>
      </c>
      <c r="B7009" t="s">
        <v>24</v>
      </c>
      <c r="C7009" t="s">
        <v>142</v>
      </c>
      <c r="D7009" s="9" t="s">
        <v>137</v>
      </c>
      <c r="E7009" t="s">
        <v>37</v>
      </c>
      <c r="F7009" t="s">
        <v>71</v>
      </c>
      <c r="G7009">
        <v>157.5</v>
      </c>
      <c r="H7009" s="9">
        <v>0.38</v>
      </c>
      <c r="I7009"/>
    </row>
    <row r="7010" spans="1:9" x14ac:dyDescent="0.3">
      <c r="A7010" t="s">
        <v>3</v>
      </c>
      <c r="B7010" t="s">
        <v>24</v>
      </c>
      <c r="C7010" t="s">
        <v>143</v>
      </c>
      <c r="D7010" s="9" t="s">
        <v>137</v>
      </c>
      <c r="E7010" t="s">
        <v>38</v>
      </c>
      <c r="F7010" t="s">
        <v>73</v>
      </c>
      <c r="G7010">
        <v>145.6</v>
      </c>
      <c r="H7010" s="9">
        <v>-1.1499999999999999</v>
      </c>
      <c r="I7010"/>
    </row>
    <row r="7011" spans="1:9" x14ac:dyDescent="0.3">
      <c r="A7011" t="s">
        <v>3</v>
      </c>
      <c r="B7011" t="s">
        <v>24</v>
      </c>
      <c r="C7011" t="s">
        <v>144</v>
      </c>
      <c r="D7011" s="9" t="s">
        <v>137</v>
      </c>
      <c r="E7011" t="s">
        <v>39</v>
      </c>
      <c r="F7011" t="s">
        <v>75</v>
      </c>
      <c r="G7011">
        <v>151</v>
      </c>
      <c r="H7011" s="9">
        <v>5.67</v>
      </c>
      <c r="I7011"/>
    </row>
    <row r="7012" spans="1:9" x14ac:dyDescent="0.3">
      <c r="A7012" t="s">
        <v>3</v>
      </c>
      <c r="B7012" t="s">
        <v>24</v>
      </c>
      <c r="C7012" t="s">
        <v>145</v>
      </c>
      <c r="D7012" s="9" t="s">
        <v>137</v>
      </c>
      <c r="E7012" t="s">
        <v>40</v>
      </c>
      <c r="F7012" t="s">
        <v>77</v>
      </c>
      <c r="G7012">
        <v>149</v>
      </c>
      <c r="H7012" s="9">
        <v>0.74</v>
      </c>
      <c r="I7012"/>
    </row>
    <row r="7013" spans="1:9" x14ac:dyDescent="0.3">
      <c r="A7013" t="s">
        <v>3</v>
      </c>
      <c r="B7013" t="s">
        <v>24</v>
      </c>
      <c r="C7013" t="s">
        <v>146</v>
      </c>
      <c r="D7013" s="9" t="s">
        <v>137</v>
      </c>
      <c r="E7013" t="s">
        <v>41</v>
      </c>
      <c r="F7013" t="s">
        <v>79</v>
      </c>
      <c r="G7013">
        <v>161.5</v>
      </c>
      <c r="H7013" s="9">
        <v>8.24</v>
      </c>
      <c r="I7013"/>
    </row>
    <row r="7014" spans="1:9" x14ac:dyDescent="0.3">
      <c r="A7014" t="s">
        <v>3</v>
      </c>
      <c r="B7014" t="s">
        <v>24</v>
      </c>
      <c r="C7014" t="s">
        <v>147</v>
      </c>
      <c r="D7014" s="9" t="s">
        <v>137</v>
      </c>
      <c r="E7014" t="s">
        <v>42</v>
      </c>
      <c r="F7014" t="s">
        <v>81</v>
      </c>
      <c r="G7014">
        <v>201.9</v>
      </c>
      <c r="H7014" s="9">
        <v>7.68</v>
      </c>
      <c r="I7014"/>
    </row>
    <row r="7015" spans="1:9" x14ac:dyDescent="0.3">
      <c r="A7015" t="s">
        <v>3</v>
      </c>
      <c r="B7015" t="s">
        <v>24</v>
      </c>
      <c r="C7015" t="s">
        <v>148</v>
      </c>
      <c r="D7015" s="9" t="s">
        <v>137</v>
      </c>
      <c r="E7015" t="s">
        <v>43</v>
      </c>
      <c r="F7015" t="s">
        <v>83</v>
      </c>
      <c r="G7015">
        <v>259.60000000000002</v>
      </c>
      <c r="H7015" s="9">
        <v>-7.19</v>
      </c>
      <c r="I7015"/>
    </row>
    <row r="7016" spans="1:9" x14ac:dyDescent="0.3">
      <c r="A7016" t="s">
        <v>3</v>
      </c>
      <c r="B7016" t="s">
        <v>24</v>
      </c>
      <c r="C7016" t="s">
        <v>149</v>
      </c>
      <c r="D7016" s="9" t="s">
        <v>150</v>
      </c>
      <c r="E7016" t="s">
        <v>32</v>
      </c>
      <c r="F7016" t="s">
        <v>61</v>
      </c>
      <c r="G7016">
        <v>165</v>
      </c>
      <c r="H7016" s="9">
        <v>-1.96</v>
      </c>
      <c r="I7016"/>
    </row>
    <row r="7017" spans="1:9" x14ac:dyDescent="0.3">
      <c r="A7017" t="s">
        <v>3</v>
      </c>
      <c r="B7017" t="s">
        <v>24</v>
      </c>
      <c r="C7017" t="s">
        <v>151</v>
      </c>
      <c r="D7017" s="9" t="s">
        <v>150</v>
      </c>
      <c r="E7017" t="s">
        <v>33</v>
      </c>
      <c r="F7017" t="s">
        <v>63</v>
      </c>
      <c r="G7017">
        <v>136.5</v>
      </c>
      <c r="H7017" s="9">
        <v>-8.27</v>
      </c>
      <c r="I7017"/>
    </row>
    <row r="7018" spans="1:9" x14ac:dyDescent="0.3">
      <c r="A7018" t="s">
        <v>3</v>
      </c>
      <c r="B7018" t="s">
        <v>24</v>
      </c>
      <c r="C7018" t="s">
        <v>152</v>
      </c>
      <c r="D7018" s="9" t="s">
        <v>150</v>
      </c>
      <c r="E7018" t="s">
        <v>34</v>
      </c>
      <c r="F7018" t="s">
        <v>65</v>
      </c>
      <c r="G7018">
        <v>160.19999999999999</v>
      </c>
      <c r="H7018" s="9">
        <v>4.9800000000000004</v>
      </c>
      <c r="I7018"/>
    </row>
    <row r="7019" spans="1:9" x14ac:dyDescent="0.3">
      <c r="A7019" t="s">
        <v>3</v>
      </c>
      <c r="B7019" t="s">
        <v>24</v>
      </c>
      <c r="C7019" t="s">
        <v>153</v>
      </c>
      <c r="D7019" s="9" t="s">
        <v>150</v>
      </c>
      <c r="E7019" t="s">
        <v>35</v>
      </c>
      <c r="F7019" t="s">
        <v>67</v>
      </c>
      <c r="G7019">
        <v>162.19999999999999</v>
      </c>
      <c r="H7019" s="9">
        <v>0.87</v>
      </c>
      <c r="I7019"/>
    </row>
    <row r="7020" spans="1:9" x14ac:dyDescent="0.3">
      <c r="A7020" t="s">
        <v>3</v>
      </c>
      <c r="B7020" t="s">
        <v>24</v>
      </c>
      <c r="C7020" t="s">
        <v>154</v>
      </c>
      <c r="D7020" s="9" t="s">
        <v>150</v>
      </c>
      <c r="E7020" t="s">
        <v>36</v>
      </c>
      <c r="F7020" t="s">
        <v>69</v>
      </c>
      <c r="G7020">
        <v>150.69999999999999</v>
      </c>
      <c r="H7020" s="9">
        <v>7.26</v>
      </c>
      <c r="I7020"/>
    </row>
    <row r="7021" spans="1:9" x14ac:dyDescent="0.3">
      <c r="A7021" t="s">
        <v>3</v>
      </c>
      <c r="B7021" t="s">
        <v>24</v>
      </c>
      <c r="C7021" t="s">
        <v>155</v>
      </c>
      <c r="D7021" s="9" t="s">
        <v>150</v>
      </c>
      <c r="E7021" t="s">
        <v>37</v>
      </c>
      <c r="F7021" t="s">
        <v>71</v>
      </c>
      <c r="G7021">
        <v>172</v>
      </c>
      <c r="H7021" s="9">
        <v>9.2100000000000009</v>
      </c>
      <c r="I7021"/>
    </row>
    <row r="7022" spans="1:9" x14ac:dyDescent="0.3">
      <c r="A7022" t="s">
        <v>3</v>
      </c>
      <c r="B7022" t="s">
        <v>14</v>
      </c>
      <c r="C7022" t="s">
        <v>59</v>
      </c>
      <c r="D7022" s="9" t="s">
        <v>60</v>
      </c>
      <c r="E7022" t="s">
        <v>32</v>
      </c>
      <c r="F7022" t="s">
        <v>61</v>
      </c>
      <c r="G7022">
        <v>460.7</v>
      </c>
      <c r="I7022"/>
    </row>
    <row r="7023" spans="1:9" x14ac:dyDescent="0.3">
      <c r="A7023" t="s">
        <v>3</v>
      </c>
      <c r="B7023" t="s">
        <v>14</v>
      </c>
      <c r="C7023" t="s">
        <v>62</v>
      </c>
      <c r="D7023" s="9" t="s">
        <v>60</v>
      </c>
      <c r="E7023" t="s">
        <v>33</v>
      </c>
      <c r="F7023" t="s">
        <v>63</v>
      </c>
      <c r="G7023">
        <v>449.1</v>
      </c>
      <c r="I7023"/>
    </row>
    <row r="7024" spans="1:9" x14ac:dyDescent="0.3">
      <c r="A7024" t="s">
        <v>3</v>
      </c>
      <c r="B7024" t="s">
        <v>14</v>
      </c>
      <c r="C7024" t="s">
        <v>64</v>
      </c>
      <c r="D7024" s="9" t="s">
        <v>60</v>
      </c>
      <c r="E7024" t="s">
        <v>34</v>
      </c>
      <c r="F7024" t="s">
        <v>65</v>
      </c>
      <c r="G7024">
        <v>470.5</v>
      </c>
      <c r="I7024"/>
    </row>
    <row r="7025" spans="1:9" x14ac:dyDescent="0.3">
      <c r="A7025" t="s">
        <v>3</v>
      </c>
      <c r="B7025" t="s">
        <v>14</v>
      </c>
      <c r="C7025" t="s">
        <v>66</v>
      </c>
      <c r="D7025" s="9" t="s">
        <v>60</v>
      </c>
      <c r="E7025" t="s">
        <v>35</v>
      </c>
      <c r="F7025" t="s">
        <v>67</v>
      </c>
      <c r="G7025">
        <v>440.6</v>
      </c>
      <c r="I7025"/>
    </row>
    <row r="7026" spans="1:9" x14ac:dyDescent="0.3">
      <c r="A7026" t="s">
        <v>3</v>
      </c>
      <c r="B7026" t="s">
        <v>14</v>
      </c>
      <c r="C7026" t="s">
        <v>68</v>
      </c>
      <c r="D7026" s="9" t="s">
        <v>60</v>
      </c>
      <c r="E7026" t="s">
        <v>36</v>
      </c>
      <c r="F7026" t="s">
        <v>69</v>
      </c>
      <c r="G7026">
        <v>475.3</v>
      </c>
      <c r="I7026"/>
    </row>
    <row r="7027" spans="1:9" x14ac:dyDescent="0.3">
      <c r="A7027" t="s">
        <v>3</v>
      </c>
      <c r="B7027" t="s">
        <v>14</v>
      </c>
      <c r="C7027" t="s">
        <v>70</v>
      </c>
      <c r="D7027" s="9" t="s">
        <v>60</v>
      </c>
      <c r="E7027" t="s">
        <v>37</v>
      </c>
      <c r="F7027" t="s">
        <v>71</v>
      </c>
      <c r="G7027">
        <v>465.3</v>
      </c>
      <c r="I7027"/>
    </row>
    <row r="7028" spans="1:9" x14ac:dyDescent="0.3">
      <c r="A7028" t="s">
        <v>3</v>
      </c>
      <c r="B7028" t="s">
        <v>14</v>
      </c>
      <c r="C7028" t="s">
        <v>72</v>
      </c>
      <c r="D7028" s="9" t="s">
        <v>60</v>
      </c>
      <c r="E7028" t="s">
        <v>38</v>
      </c>
      <c r="F7028" t="s">
        <v>73</v>
      </c>
      <c r="G7028">
        <v>468.7</v>
      </c>
      <c r="I7028"/>
    </row>
    <row r="7029" spans="1:9" x14ac:dyDescent="0.3">
      <c r="A7029" t="s">
        <v>3</v>
      </c>
      <c r="B7029" t="s">
        <v>14</v>
      </c>
      <c r="C7029" t="s">
        <v>74</v>
      </c>
      <c r="D7029" s="9" t="s">
        <v>60</v>
      </c>
      <c r="E7029" t="s">
        <v>39</v>
      </c>
      <c r="F7029" t="s">
        <v>75</v>
      </c>
      <c r="G7029">
        <v>482.4</v>
      </c>
      <c r="I7029"/>
    </row>
    <row r="7030" spans="1:9" x14ac:dyDescent="0.3">
      <c r="A7030" t="s">
        <v>3</v>
      </c>
      <c r="B7030" t="s">
        <v>14</v>
      </c>
      <c r="C7030" t="s">
        <v>76</v>
      </c>
      <c r="D7030" s="9" t="s">
        <v>60</v>
      </c>
      <c r="E7030" t="s">
        <v>40</v>
      </c>
      <c r="F7030" t="s">
        <v>77</v>
      </c>
      <c r="G7030">
        <v>456.8</v>
      </c>
      <c r="I7030"/>
    </row>
    <row r="7031" spans="1:9" x14ac:dyDescent="0.3">
      <c r="A7031" t="s">
        <v>3</v>
      </c>
      <c r="B7031" t="s">
        <v>14</v>
      </c>
      <c r="C7031" t="s">
        <v>78</v>
      </c>
      <c r="D7031" s="9" t="s">
        <v>60</v>
      </c>
      <c r="E7031" t="s">
        <v>41</v>
      </c>
      <c r="F7031" t="s">
        <v>79</v>
      </c>
      <c r="G7031">
        <v>472.2</v>
      </c>
      <c r="I7031"/>
    </row>
    <row r="7032" spans="1:9" x14ac:dyDescent="0.3">
      <c r="A7032" t="s">
        <v>3</v>
      </c>
      <c r="B7032" t="s">
        <v>14</v>
      </c>
      <c r="C7032" t="s">
        <v>80</v>
      </c>
      <c r="D7032" s="9" t="s">
        <v>60</v>
      </c>
      <c r="E7032" t="s">
        <v>42</v>
      </c>
      <c r="F7032" t="s">
        <v>81</v>
      </c>
      <c r="G7032">
        <v>517</v>
      </c>
      <c r="I7032"/>
    </row>
    <row r="7033" spans="1:9" x14ac:dyDescent="0.3">
      <c r="A7033" t="s">
        <v>3</v>
      </c>
      <c r="B7033" t="s">
        <v>14</v>
      </c>
      <c r="C7033" t="s">
        <v>82</v>
      </c>
      <c r="D7033" s="9" t="s">
        <v>60</v>
      </c>
      <c r="E7033" t="s">
        <v>43</v>
      </c>
      <c r="F7033" t="s">
        <v>83</v>
      </c>
      <c r="G7033">
        <v>611.20000000000005</v>
      </c>
      <c r="I7033"/>
    </row>
    <row r="7034" spans="1:9" x14ac:dyDescent="0.3">
      <c r="A7034" t="s">
        <v>3</v>
      </c>
      <c r="B7034" t="s">
        <v>14</v>
      </c>
      <c r="C7034" t="s">
        <v>84</v>
      </c>
      <c r="D7034" s="9" t="s">
        <v>85</v>
      </c>
      <c r="E7034" t="s">
        <v>32</v>
      </c>
      <c r="F7034" t="s">
        <v>61</v>
      </c>
      <c r="G7034">
        <v>443.9</v>
      </c>
      <c r="H7034" s="9">
        <v>-3.65</v>
      </c>
      <c r="I7034"/>
    </row>
    <row r="7035" spans="1:9" x14ac:dyDescent="0.3">
      <c r="A7035" t="s">
        <v>3</v>
      </c>
      <c r="B7035" t="s">
        <v>14</v>
      </c>
      <c r="C7035" t="s">
        <v>86</v>
      </c>
      <c r="D7035" s="9" t="s">
        <v>85</v>
      </c>
      <c r="E7035" t="s">
        <v>33</v>
      </c>
      <c r="F7035" t="s">
        <v>63</v>
      </c>
      <c r="G7035">
        <v>412.9</v>
      </c>
      <c r="H7035" s="9">
        <v>-8.06</v>
      </c>
      <c r="I7035"/>
    </row>
    <row r="7036" spans="1:9" x14ac:dyDescent="0.3">
      <c r="A7036" t="s">
        <v>3</v>
      </c>
      <c r="B7036" t="s">
        <v>14</v>
      </c>
      <c r="C7036" t="s">
        <v>87</v>
      </c>
      <c r="D7036" s="9" t="s">
        <v>85</v>
      </c>
      <c r="E7036" t="s">
        <v>34</v>
      </c>
      <c r="F7036" t="s">
        <v>65</v>
      </c>
      <c r="G7036">
        <v>473.5</v>
      </c>
      <c r="H7036" s="9">
        <v>0.64</v>
      </c>
      <c r="I7036"/>
    </row>
    <row r="7037" spans="1:9" x14ac:dyDescent="0.3">
      <c r="A7037" t="s">
        <v>3</v>
      </c>
      <c r="B7037" t="s">
        <v>14</v>
      </c>
      <c r="C7037" t="s">
        <v>88</v>
      </c>
      <c r="D7037" s="9" t="s">
        <v>85</v>
      </c>
      <c r="E7037" t="s">
        <v>35</v>
      </c>
      <c r="F7037" t="s">
        <v>67</v>
      </c>
      <c r="G7037">
        <v>413.3</v>
      </c>
      <c r="H7037" s="9">
        <v>-6.2</v>
      </c>
      <c r="I7037"/>
    </row>
    <row r="7038" spans="1:9" x14ac:dyDescent="0.3">
      <c r="A7038" t="s">
        <v>3</v>
      </c>
      <c r="B7038" t="s">
        <v>14</v>
      </c>
      <c r="C7038" t="s">
        <v>89</v>
      </c>
      <c r="D7038" s="9" t="s">
        <v>85</v>
      </c>
      <c r="E7038" t="s">
        <v>36</v>
      </c>
      <c r="F7038" t="s">
        <v>69</v>
      </c>
      <c r="G7038">
        <v>443.2</v>
      </c>
      <c r="H7038" s="9">
        <v>-6.75</v>
      </c>
      <c r="I7038"/>
    </row>
    <row r="7039" spans="1:9" x14ac:dyDescent="0.3">
      <c r="A7039" t="s">
        <v>3</v>
      </c>
      <c r="B7039" t="s">
        <v>14</v>
      </c>
      <c r="C7039" t="s">
        <v>90</v>
      </c>
      <c r="D7039" s="9" t="s">
        <v>85</v>
      </c>
      <c r="E7039" t="s">
        <v>37</v>
      </c>
      <c r="F7039" t="s">
        <v>71</v>
      </c>
      <c r="G7039">
        <v>461.1</v>
      </c>
      <c r="H7039" s="9">
        <v>-0.9</v>
      </c>
      <c r="I7039"/>
    </row>
    <row r="7040" spans="1:9" x14ac:dyDescent="0.3">
      <c r="A7040" t="s">
        <v>3</v>
      </c>
      <c r="B7040" t="s">
        <v>14</v>
      </c>
      <c r="C7040" t="s">
        <v>91</v>
      </c>
      <c r="D7040" s="9" t="s">
        <v>85</v>
      </c>
      <c r="E7040" t="s">
        <v>38</v>
      </c>
      <c r="F7040" t="s">
        <v>73</v>
      </c>
      <c r="G7040">
        <v>492.1</v>
      </c>
      <c r="H7040" s="9">
        <v>4.99</v>
      </c>
      <c r="I7040"/>
    </row>
    <row r="7041" spans="1:9" x14ac:dyDescent="0.3">
      <c r="A7041" t="s">
        <v>3</v>
      </c>
      <c r="B7041" t="s">
        <v>14</v>
      </c>
      <c r="C7041" t="s">
        <v>92</v>
      </c>
      <c r="D7041" s="9" t="s">
        <v>85</v>
      </c>
      <c r="E7041" t="s">
        <v>39</v>
      </c>
      <c r="F7041" t="s">
        <v>75</v>
      </c>
      <c r="G7041">
        <v>455.8</v>
      </c>
      <c r="H7041" s="9">
        <v>-5.51</v>
      </c>
      <c r="I7041"/>
    </row>
    <row r="7042" spans="1:9" x14ac:dyDescent="0.3">
      <c r="A7042" t="s">
        <v>3</v>
      </c>
      <c r="B7042" t="s">
        <v>14</v>
      </c>
      <c r="C7042" t="s">
        <v>93</v>
      </c>
      <c r="D7042" s="9" t="s">
        <v>85</v>
      </c>
      <c r="E7042" t="s">
        <v>40</v>
      </c>
      <c r="F7042" t="s">
        <v>77</v>
      </c>
      <c r="G7042">
        <v>413.5</v>
      </c>
      <c r="H7042" s="9">
        <v>-9.48</v>
      </c>
      <c r="I7042"/>
    </row>
    <row r="7043" spans="1:9" x14ac:dyDescent="0.3">
      <c r="A7043" t="s">
        <v>3</v>
      </c>
      <c r="B7043" t="s">
        <v>14</v>
      </c>
      <c r="C7043" t="s">
        <v>94</v>
      </c>
      <c r="D7043" s="9" t="s">
        <v>85</v>
      </c>
      <c r="E7043" t="s">
        <v>41</v>
      </c>
      <c r="F7043" t="s">
        <v>79</v>
      </c>
      <c r="G7043">
        <v>470.4</v>
      </c>
      <c r="H7043" s="9">
        <v>-0.38</v>
      </c>
      <c r="I7043"/>
    </row>
    <row r="7044" spans="1:9" x14ac:dyDescent="0.3">
      <c r="A7044" t="s">
        <v>3</v>
      </c>
      <c r="B7044" t="s">
        <v>14</v>
      </c>
      <c r="C7044" t="s">
        <v>95</v>
      </c>
      <c r="D7044" s="9" t="s">
        <v>85</v>
      </c>
      <c r="E7044" t="s">
        <v>42</v>
      </c>
      <c r="F7044" t="s">
        <v>81</v>
      </c>
      <c r="G7044">
        <v>659.5</v>
      </c>
      <c r="H7044" s="9">
        <v>27.56</v>
      </c>
      <c r="I7044"/>
    </row>
    <row r="7045" spans="1:9" x14ac:dyDescent="0.3">
      <c r="A7045" t="s">
        <v>3</v>
      </c>
      <c r="B7045" t="s">
        <v>14</v>
      </c>
      <c r="C7045" t="s">
        <v>96</v>
      </c>
      <c r="D7045" s="9" t="s">
        <v>85</v>
      </c>
      <c r="E7045" t="s">
        <v>43</v>
      </c>
      <c r="F7045" t="s">
        <v>83</v>
      </c>
      <c r="G7045">
        <v>689.5</v>
      </c>
      <c r="H7045" s="9">
        <v>12.81</v>
      </c>
      <c r="I7045"/>
    </row>
    <row r="7046" spans="1:9" x14ac:dyDescent="0.3">
      <c r="A7046" t="s">
        <v>3</v>
      </c>
      <c r="B7046" t="s">
        <v>14</v>
      </c>
      <c r="C7046" t="s">
        <v>97</v>
      </c>
      <c r="D7046" s="9" t="s">
        <v>98</v>
      </c>
      <c r="E7046" t="s">
        <v>32</v>
      </c>
      <c r="F7046" t="s">
        <v>61</v>
      </c>
      <c r="G7046">
        <v>506</v>
      </c>
      <c r="H7046" s="9">
        <v>13.99</v>
      </c>
      <c r="I7046"/>
    </row>
    <row r="7047" spans="1:9" x14ac:dyDescent="0.3">
      <c r="A7047" t="s">
        <v>3</v>
      </c>
      <c r="B7047" t="s">
        <v>14</v>
      </c>
      <c r="C7047" t="s">
        <v>99</v>
      </c>
      <c r="D7047" s="9" t="s">
        <v>98</v>
      </c>
      <c r="E7047" t="s">
        <v>33</v>
      </c>
      <c r="F7047" t="s">
        <v>63</v>
      </c>
      <c r="G7047">
        <v>467.9</v>
      </c>
      <c r="H7047" s="9">
        <v>13.32</v>
      </c>
      <c r="I7047"/>
    </row>
    <row r="7048" spans="1:9" x14ac:dyDescent="0.3">
      <c r="A7048" t="s">
        <v>3</v>
      </c>
      <c r="B7048" t="s">
        <v>14</v>
      </c>
      <c r="C7048" t="s">
        <v>100</v>
      </c>
      <c r="D7048" s="9" t="s">
        <v>98</v>
      </c>
      <c r="E7048" t="s">
        <v>34</v>
      </c>
      <c r="F7048" t="s">
        <v>65</v>
      </c>
      <c r="G7048">
        <v>529.5</v>
      </c>
      <c r="H7048" s="9">
        <v>11.83</v>
      </c>
      <c r="I7048"/>
    </row>
    <row r="7049" spans="1:9" x14ac:dyDescent="0.3">
      <c r="A7049" t="s">
        <v>3</v>
      </c>
      <c r="B7049" t="s">
        <v>14</v>
      </c>
      <c r="C7049" t="s">
        <v>101</v>
      </c>
      <c r="D7049" s="9" t="s">
        <v>98</v>
      </c>
      <c r="E7049" t="s">
        <v>35</v>
      </c>
      <c r="F7049" t="s">
        <v>67</v>
      </c>
      <c r="G7049">
        <v>486</v>
      </c>
      <c r="H7049" s="9">
        <v>17.59</v>
      </c>
      <c r="I7049"/>
    </row>
    <row r="7050" spans="1:9" x14ac:dyDescent="0.3">
      <c r="A7050" t="s">
        <v>3</v>
      </c>
      <c r="B7050" t="s">
        <v>14</v>
      </c>
      <c r="C7050" t="s">
        <v>102</v>
      </c>
      <c r="D7050" s="9" t="s">
        <v>98</v>
      </c>
      <c r="E7050" t="s">
        <v>36</v>
      </c>
      <c r="F7050" t="s">
        <v>69</v>
      </c>
      <c r="G7050">
        <v>534.1</v>
      </c>
      <c r="H7050" s="9">
        <v>20.51</v>
      </c>
      <c r="I7050"/>
    </row>
    <row r="7051" spans="1:9" x14ac:dyDescent="0.3">
      <c r="A7051" t="s">
        <v>3</v>
      </c>
      <c r="B7051" t="s">
        <v>14</v>
      </c>
      <c r="C7051" t="s">
        <v>103</v>
      </c>
      <c r="D7051" s="9" t="s">
        <v>98</v>
      </c>
      <c r="E7051" t="s">
        <v>37</v>
      </c>
      <c r="F7051" t="s">
        <v>71</v>
      </c>
      <c r="G7051">
        <v>536.20000000000005</v>
      </c>
      <c r="H7051" s="9">
        <v>16.29</v>
      </c>
      <c r="I7051"/>
    </row>
    <row r="7052" spans="1:9" x14ac:dyDescent="0.3">
      <c r="A7052" t="s">
        <v>3</v>
      </c>
      <c r="B7052" t="s">
        <v>14</v>
      </c>
      <c r="C7052" t="s">
        <v>104</v>
      </c>
      <c r="D7052" s="9" t="s">
        <v>98</v>
      </c>
      <c r="E7052" t="s">
        <v>38</v>
      </c>
      <c r="F7052" t="s">
        <v>73</v>
      </c>
      <c r="G7052">
        <v>533.9</v>
      </c>
      <c r="H7052" s="9">
        <v>8.49</v>
      </c>
      <c r="I7052"/>
    </row>
    <row r="7053" spans="1:9" x14ac:dyDescent="0.3">
      <c r="A7053" t="s">
        <v>3</v>
      </c>
      <c r="B7053" t="s">
        <v>14</v>
      </c>
      <c r="C7053" t="s">
        <v>105</v>
      </c>
      <c r="D7053" s="9" t="s">
        <v>98</v>
      </c>
      <c r="E7053" t="s">
        <v>39</v>
      </c>
      <c r="F7053" t="s">
        <v>75</v>
      </c>
      <c r="G7053">
        <v>516.9</v>
      </c>
      <c r="H7053" s="9">
        <v>13.41</v>
      </c>
      <c r="I7053"/>
    </row>
    <row r="7054" spans="1:9" x14ac:dyDescent="0.3">
      <c r="A7054" t="s">
        <v>3</v>
      </c>
      <c r="B7054" t="s">
        <v>14</v>
      </c>
      <c r="C7054" t="s">
        <v>106</v>
      </c>
      <c r="D7054" s="9" t="s">
        <v>98</v>
      </c>
      <c r="E7054" t="s">
        <v>40</v>
      </c>
      <c r="F7054" t="s">
        <v>77</v>
      </c>
      <c r="G7054">
        <v>531.20000000000005</v>
      </c>
      <c r="H7054" s="9">
        <v>28.46</v>
      </c>
      <c r="I7054"/>
    </row>
    <row r="7055" spans="1:9" x14ac:dyDescent="0.3">
      <c r="A7055" t="s">
        <v>3</v>
      </c>
      <c r="B7055" t="s">
        <v>14</v>
      </c>
      <c r="C7055" t="s">
        <v>107</v>
      </c>
      <c r="D7055" s="9" t="s">
        <v>98</v>
      </c>
      <c r="E7055" t="s">
        <v>41</v>
      </c>
      <c r="F7055" t="s">
        <v>79</v>
      </c>
      <c r="G7055">
        <v>590.4</v>
      </c>
      <c r="H7055" s="9">
        <v>25.51</v>
      </c>
      <c r="I7055"/>
    </row>
    <row r="7056" spans="1:9" x14ac:dyDescent="0.3">
      <c r="A7056" t="s">
        <v>3</v>
      </c>
      <c r="B7056" t="s">
        <v>14</v>
      </c>
      <c r="C7056" t="s">
        <v>108</v>
      </c>
      <c r="D7056" s="9" t="s">
        <v>98</v>
      </c>
      <c r="E7056" t="s">
        <v>42</v>
      </c>
      <c r="F7056" t="s">
        <v>81</v>
      </c>
      <c r="G7056">
        <v>771.5</v>
      </c>
      <c r="H7056" s="9">
        <v>16.98</v>
      </c>
      <c r="I7056"/>
    </row>
    <row r="7057" spans="1:9" x14ac:dyDescent="0.3">
      <c r="A7057" t="s">
        <v>3</v>
      </c>
      <c r="B7057" t="s">
        <v>14</v>
      </c>
      <c r="C7057" t="s">
        <v>109</v>
      </c>
      <c r="D7057" s="9" t="s">
        <v>98</v>
      </c>
      <c r="E7057" t="s">
        <v>43</v>
      </c>
      <c r="F7057" t="s">
        <v>83</v>
      </c>
      <c r="G7057">
        <v>854.1</v>
      </c>
      <c r="H7057" s="9">
        <v>23.87</v>
      </c>
      <c r="I7057"/>
    </row>
    <row r="7058" spans="1:9" x14ac:dyDescent="0.3">
      <c r="A7058" t="s">
        <v>3</v>
      </c>
      <c r="B7058" t="s">
        <v>14</v>
      </c>
      <c r="C7058" t="s">
        <v>110</v>
      </c>
      <c r="D7058" s="9" t="s">
        <v>111</v>
      </c>
      <c r="E7058" t="s">
        <v>32</v>
      </c>
      <c r="F7058" t="s">
        <v>61</v>
      </c>
      <c r="G7058">
        <v>611</v>
      </c>
      <c r="H7058" s="9">
        <v>20.75</v>
      </c>
      <c r="I7058"/>
    </row>
    <row r="7059" spans="1:9" x14ac:dyDescent="0.3">
      <c r="A7059" t="s">
        <v>3</v>
      </c>
      <c r="B7059" t="s">
        <v>14</v>
      </c>
      <c r="C7059" t="s">
        <v>112</v>
      </c>
      <c r="D7059" s="9" t="s">
        <v>111</v>
      </c>
      <c r="E7059" t="s">
        <v>33</v>
      </c>
      <c r="F7059" t="s">
        <v>63</v>
      </c>
      <c r="G7059">
        <v>554.70000000000005</v>
      </c>
      <c r="H7059" s="9">
        <v>18.55</v>
      </c>
      <c r="I7059"/>
    </row>
    <row r="7060" spans="1:9" x14ac:dyDescent="0.3">
      <c r="A7060" t="s">
        <v>3</v>
      </c>
      <c r="B7060" t="s">
        <v>14</v>
      </c>
      <c r="C7060" t="s">
        <v>113</v>
      </c>
      <c r="D7060" s="9" t="s">
        <v>111</v>
      </c>
      <c r="E7060" t="s">
        <v>34</v>
      </c>
      <c r="F7060" t="s">
        <v>65</v>
      </c>
      <c r="G7060">
        <v>607.20000000000005</v>
      </c>
      <c r="H7060" s="9">
        <v>14.67</v>
      </c>
      <c r="I7060"/>
    </row>
    <row r="7061" spans="1:9" x14ac:dyDescent="0.3">
      <c r="A7061" t="s">
        <v>3</v>
      </c>
      <c r="B7061" t="s">
        <v>14</v>
      </c>
      <c r="C7061" t="s">
        <v>114</v>
      </c>
      <c r="D7061" s="9" t="s">
        <v>111</v>
      </c>
      <c r="E7061" t="s">
        <v>35</v>
      </c>
      <c r="F7061" t="s">
        <v>67</v>
      </c>
      <c r="G7061">
        <v>561.6</v>
      </c>
      <c r="H7061" s="9">
        <v>15.56</v>
      </c>
      <c r="I7061"/>
    </row>
    <row r="7062" spans="1:9" x14ac:dyDescent="0.3">
      <c r="A7062" t="s">
        <v>3</v>
      </c>
      <c r="B7062" t="s">
        <v>14</v>
      </c>
      <c r="C7062" t="s">
        <v>115</v>
      </c>
      <c r="D7062" s="9" t="s">
        <v>111</v>
      </c>
      <c r="E7062" t="s">
        <v>36</v>
      </c>
      <c r="F7062" t="s">
        <v>69</v>
      </c>
      <c r="G7062">
        <v>618.79999999999995</v>
      </c>
      <c r="H7062" s="9">
        <v>15.86</v>
      </c>
      <c r="I7062"/>
    </row>
    <row r="7063" spans="1:9" x14ac:dyDescent="0.3">
      <c r="A7063" t="s">
        <v>3</v>
      </c>
      <c r="B7063" t="s">
        <v>14</v>
      </c>
      <c r="C7063" t="s">
        <v>116</v>
      </c>
      <c r="D7063" s="9" t="s">
        <v>111</v>
      </c>
      <c r="E7063" t="s">
        <v>37</v>
      </c>
      <c r="F7063" t="s">
        <v>71</v>
      </c>
      <c r="G7063">
        <v>618.4</v>
      </c>
      <c r="H7063" s="9">
        <v>15.33</v>
      </c>
      <c r="I7063"/>
    </row>
    <row r="7064" spans="1:9" x14ac:dyDescent="0.3">
      <c r="A7064" t="s">
        <v>3</v>
      </c>
      <c r="B7064" t="s">
        <v>14</v>
      </c>
      <c r="C7064" t="s">
        <v>117</v>
      </c>
      <c r="D7064" s="9" t="s">
        <v>111</v>
      </c>
      <c r="E7064" t="s">
        <v>38</v>
      </c>
      <c r="F7064" t="s">
        <v>73</v>
      </c>
      <c r="G7064">
        <v>622.6</v>
      </c>
      <c r="H7064" s="9">
        <v>16.61</v>
      </c>
      <c r="I7064"/>
    </row>
    <row r="7065" spans="1:9" x14ac:dyDescent="0.3">
      <c r="A7065" t="s">
        <v>3</v>
      </c>
      <c r="B7065" t="s">
        <v>14</v>
      </c>
      <c r="C7065" t="s">
        <v>118</v>
      </c>
      <c r="D7065" s="9" t="s">
        <v>111</v>
      </c>
      <c r="E7065" t="s">
        <v>39</v>
      </c>
      <c r="F7065" t="s">
        <v>75</v>
      </c>
      <c r="G7065">
        <v>635.79999999999995</v>
      </c>
      <c r="H7065" s="9">
        <v>23</v>
      </c>
      <c r="I7065"/>
    </row>
    <row r="7066" spans="1:9" x14ac:dyDescent="0.3">
      <c r="A7066" t="s">
        <v>3</v>
      </c>
      <c r="B7066" t="s">
        <v>14</v>
      </c>
      <c r="C7066" t="s">
        <v>119</v>
      </c>
      <c r="D7066" s="9" t="s">
        <v>111</v>
      </c>
      <c r="E7066" t="s">
        <v>40</v>
      </c>
      <c r="F7066" t="s">
        <v>77</v>
      </c>
      <c r="G7066">
        <v>621.6</v>
      </c>
      <c r="H7066" s="9">
        <v>17.02</v>
      </c>
      <c r="I7066"/>
    </row>
    <row r="7067" spans="1:9" x14ac:dyDescent="0.3">
      <c r="A7067" t="s">
        <v>3</v>
      </c>
      <c r="B7067" t="s">
        <v>14</v>
      </c>
      <c r="C7067" t="s">
        <v>120</v>
      </c>
      <c r="D7067" s="9" t="s">
        <v>111</v>
      </c>
      <c r="E7067" t="s">
        <v>41</v>
      </c>
      <c r="F7067" t="s">
        <v>79</v>
      </c>
      <c r="G7067">
        <v>659</v>
      </c>
      <c r="H7067" s="9">
        <v>11.62</v>
      </c>
      <c r="I7067"/>
    </row>
    <row r="7068" spans="1:9" x14ac:dyDescent="0.3">
      <c r="A7068" t="s">
        <v>3</v>
      </c>
      <c r="B7068" t="s">
        <v>14</v>
      </c>
      <c r="C7068" t="s">
        <v>121</v>
      </c>
      <c r="D7068" s="9" t="s">
        <v>111</v>
      </c>
      <c r="E7068" t="s">
        <v>42</v>
      </c>
      <c r="F7068" t="s">
        <v>81</v>
      </c>
      <c r="G7068">
        <v>763.6</v>
      </c>
      <c r="H7068" s="9">
        <v>-1.02</v>
      </c>
      <c r="I7068"/>
    </row>
    <row r="7069" spans="1:9" x14ac:dyDescent="0.3">
      <c r="A7069" t="s">
        <v>3</v>
      </c>
      <c r="B7069" t="s">
        <v>14</v>
      </c>
      <c r="C7069" t="s">
        <v>122</v>
      </c>
      <c r="D7069" s="9" t="s">
        <v>111</v>
      </c>
      <c r="E7069" t="s">
        <v>43</v>
      </c>
      <c r="F7069" t="s">
        <v>83</v>
      </c>
      <c r="G7069">
        <v>809.7</v>
      </c>
      <c r="H7069" s="9">
        <v>-5.2</v>
      </c>
      <c r="I7069"/>
    </row>
    <row r="7070" spans="1:9" x14ac:dyDescent="0.3">
      <c r="A7070" t="s">
        <v>3</v>
      </c>
      <c r="B7070" t="s">
        <v>14</v>
      </c>
      <c r="C7070" t="s">
        <v>123</v>
      </c>
      <c r="D7070" s="9" t="s">
        <v>124</v>
      </c>
      <c r="E7070" t="s">
        <v>32</v>
      </c>
      <c r="F7070" t="s">
        <v>61</v>
      </c>
      <c r="G7070">
        <v>586.6</v>
      </c>
      <c r="H7070" s="9">
        <v>-3.99</v>
      </c>
      <c r="I7070"/>
    </row>
    <row r="7071" spans="1:9" x14ac:dyDescent="0.3">
      <c r="A7071" t="s">
        <v>3</v>
      </c>
      <c r="B7071" t="s">
        <v>14</v>
      </c>
      <c r="C7071" t="s">
        <v>125</v>
      </c>
      <c r="D7071" s="9" t="s">
        <v>124</v>
      </c>
      <c r="E7071" t="s">
        <v>33</v>
      </c>
      <c r="F7071" t="s">
        <v>63</v>
      </c>
      <c r="G7071">
        <v>549</v>
      </c>
      <c r="H7071" s="9">
        <v>-1.03</v>
      </c>
      <c r="I7071"/>
    </row>
    <row r="7072" spans="1:9" x14ac:dyDescent="0.3">
      <c r="A7072" t="s">
        <v>3</v>
      </c>
      <c r="B7072" t="s">
        <v>14</v>
      </c>
      <c r="C7072" t="s">
        <v>126</v>
      </c>
      <c r="D7072" s="9" t="s">
        <v>124</v>
      </c>
      <c r="E7072" t="s">
        <v>34</v>
      </c>
      <c r="F7072" t="s">
        <v>65</v>
      </c>
      <c r="G7072">
        <v>595.1</v>
      </c>
      <c r="H7072" s="9">
        <v>-1.99</v>
      </c>
      <c r="I7072"/>
    </row>
    <row r="7073" spans="1:9" x14ac:dyDescent="0.3">
      <c r="A7073" t="s">
        <v>3</v>
      </c>
      <c r="B7073" t="s">
        <v>14</v>
      </c>
      <c r="C7073" t="s">
        <v>127</v>
      </c>
      <c r="D7073" s="9" t="s">
        <v>124</v>
      </c>
      <c r="E7073" t="s">
        <v>35</v>
      </c>
      <c r="F7073" t="s">
        <v>67</v>
      </c>
      <c r="G7073">
        <v>517.5</v>
      </c>
      <c r="H7073" s="9">
        <v>-7.85</v>
      </c>
      <c r="I7073"/>
    </row>
    <row r="7074" spans="1:9" x14ac:dyDescent="0.3">
      <c r="A7074" t="s">
        <v>3</v>
      </c>
      <c r="B7074" t="s">
        <v>14</v>
      </c>
      <c r="C7074" t="s">
        <v>128</v>
      </c>
      <c r="D7074" s="9" t="s">
        <v>124</v>
      </c>
      <c r="E7074" t="s">
        <v>36</v>
      </c>
      <c r="F7074" t="s">
        <v>69</v>
      </c>
      <c r="G7074">
        <v>612.5</v>
      </c>
      <c r="H7074" s="9">
        <v>-1.02</v>
      </c>
      <c r="I7074"/>
    </row>
    <row r="7075" spans="1:9" x14ac:dyDescent="0.3">
      <c r="A7075" t="s">
        <v>3</v>
      </c>
      <c r="B7075" t="s">
        <v>14</v>
      </c>
      <c r="C7075" t="s">
        <v>129</v>
      </c>
      <c r="D7075" s="9" t="s">
        <v>124</v>
      </c>
      <c r="E7075" t="s">
        <v>37</v>
      </c>
      <c r="F7075" t="s">
        <v>71</v>
      </c>
      <c r="G7075">
        <v>576.5</v>
      </c>
      <c r="H7075" s="9">
        <v>-6.78</v>
      </c>
      <c r="I7075"/>
    </row>
    <row r="7076" spans="1:9" x14ac:dyDescent="0.3">
      <c r="A7076" t="s">
        <v>3</v>
      </c>
      <c r="B7076" t="s">
        <v>14</v>
      </c>
      <c r="C7076" t="s">
        <v>130</v>
      </c>
      <c r="D7076" s="9" t="s">
        <v>124</v>
      </c>
      <c r="E7076" t="s">
        <v>38</v>
      </c>
      <c r="F7076" t="s">
        <v>73</v>
      </c>
      <c r="G7076">
        <v>551.5</v>
      </c>
      <c r="H7076" s="9">
        <v>-11.42</v>
      </c>
      <c r="I7076"/>
    </row>
    <row r="7077" spans="1:9" x14ac:dyDescent="0.3">
      <c r="A7077" t="s">
        <v>3</v>
      </c>
      <c r="B7077" t="s">
        <v>14</v>
      </c>
      <c r="C7077" t="s">
        <v>131</v>
      </c>
      <c r="D7077" s="9" t="s">
        <v>124</v>
      </c>
      <c r="E7077" t="s">
        <v>39</v>
      </c>
      <c r="F7077" t="s">
        <v>75</v>
      </c>
      <c r="G7077">
        <v>578.29999999999995</v>
      </c>
      <c r="H7077" s="9">
        <v>-9.0399999999999991</v>
      </c>
      <c r="I7077"/>
    </row>
    <row r="7078" spans="1:9" x14ac:dyDescent="0.3">
      <c r="A7078" t="s">
        <v>3</v>
      </c>
      <c r="B7078" t="s">
        <v>14</v>
      </c>
      <c r="C7078" t="s">
        <v>132</v>
      </c>
      <c r="D7078" s="9" t="s">
        <v>124</v>
      </c>
      <c r="E7078" t="s">
        <v>40</v>
      </c>
      <c r="F7078" t="s">
        <v>77</v>
      </c>
      <c r="G7078">
        <v>562.29999999999995</v>
      </c>
      <c r="H7078" s="9">
        <v>-9.5399999999999991</v>
      </c>
      <c r="I7078"/>
    </row>
    <row r="7079" spans="1:9" x14ac:dyDescent="0.3">
      <c r="A7079" t="s">
        <v>3</v>
      </c>
      <c r="B7079" t="s">
        <v>14</v>
      </c>
      <c r="C7079" t="s">
        <v>133</v>
      </c>
      <c r="D7079" s="9" t="s">
        <v>124</v>
      </c>
      <c r="E7079" t="s">
        <v>41</v>
      </c>
      <c r="F7079" t="s">
        <v>79</v>
      </c>
      <c r="G7079">
        <v>592.79999999999995</v>
      </c>
      <c r="H7079" s="9">
        <v>-10.050000000000001</v>
      </c>
      <c r="I7079"/>
    </row>
    <row r="7080" spans="1:9" x14ac:dyDescent="0.3">
      <c r="A7080" t="s">
        <v>3</v>
      </c>
      <c r="B7080" t="s">
        <v>14</v>
      </c>
      <c r="C7080" t="s">
        <v>134</v>
      </c>
      <c r="D7080" s="9" t="s">
        <v>124</v>
      </c>
      <c r="E7080" t="s">
        <v>42</v>
      </c>
      <c r="F7080" t="s">
        <v>81</v>
      </c>
      <c r="G7080">
        <v>698.9</v>
      </c>
      <c r="H7080" s="9">
        <v>-8.4700000000000006</v>
      </c>
      <c r="I7080"/>
    </row>
    <row r="7081" spans="1:9" x14ac:dyDescent="0.3">
      <c r="A7081" t="s">
        <v>3</v>
      </c>
      <c r="B7081" t="s">
        <v>14</v>
      </c>
      <c r="C7081" t="s">
        <v>135</v>
      </c>
      <c r="D7081" s="9" t="s">
        <v>124</v>
      </c>
      <c r="E7081" t="s">
        <v>43</v>
      </c>
      <c r="F7081" t="s">
        <v>83</v>
      </c>
      <c r="G7081">
        <v>739.4</v>
      </c>
      <c r="H7081" s="9">
        <v>-8.68</v>
      </c>
      <c r="I7081"/>
    </row>
    <row r="7082" spans="1:9" x14ac:dyDescent="0.3">
      <c r="A7082" t="s">
        <v>3</v>
      </c>
      <c r="B7082" t="s">
        <v>14</v>
      </c>
      <c r="C7082" t="s">
        <v>136</v>
      </c>
      <c r="D7082" s="9" t="s">
        <v>137</v>
      </c>
      <c r="E7082" t="s">
        <v>32</v>
      </c>
      <c r="F7082" t="s">
        <v>61</v>
      </c>
      <c r="G7082">
        <v>564.6</v>
      </c>
      <c r="H7082" s="9">
        <v>-3.75</v>
      </c>
      <c r="I7082"/>
    </row>
    <row r="7083" spans="1:9" x14ac:dyDescent="0.3">
      <c r="A7083" t="s">
        <v>3</v>
      </c>
      <c r="B7083" t="s">
        <v>14</v>
      </c>
      <c r="C7083" t="s">
        <v>138</v>
      </c>
      <c r="D7083" s="9" t="s">
        <v>137</v>
      </c>
      <c r="E7083" t="s">
        <v>33</v>
      </c>
      <c r="F7083" t="s">
        <v>63</v>
      </c>
      <c r="G7083">
        <v>560.5</v>
      </c>
      <c r="H7083" s="9">
        <v>2.09</v>
      </c>
      <c r="I7083"/>
    </row>
    <row r="7084" spans="1:9" x14ac:dyDescent="0.3">
      <c r="A7084" t="s">
        <v>3</v>
      </c>
      <c r="B7084" t="s">
        <v>14</v>
      </c>
      <c r="C7084" t="s">
        <v>139</v>
      </c>
      <c r="D7084" s="9" t="s">
        <v>137</v>
      </c>
      <c r="E7084" t="s">
        <v>34</v>
      </c>
      <c r="F7084" t="s">
        <v>65</v>
      </c>
      <c r="G7084">
        <v>550.79999999999995</v>
      </c>
      <c r="H7084" s="9">
        <v>-7.44</v>
      </c>
      <c r="I7084"/>
    </row>
    <row r="7085" spans="1:9" x14ac:dyDescent="0.3">
      <c r="A7085" t="s">
        <v>3</v>
      </c>
      <c r="B7085" t="s">
        <v>14</v>
      </c>
      <c r="C7085" t="s">
        <v>140</v>
      </c>
      <c r="D7085" s="9" t="s">
        <v>137</v>
      </c>
      <c r="E7085" t="s">
        <v>35</v>
      </c>
      <c r="F7085" t="s">
        <v>67</v>
      </c>
      <c r="G7085">
        <v>557.29999999999995</v>
      </c>
      <c r="H7085" s="9">
        <v>7.69</v>
      </c>
      <c r="I7085"/>
    </row>
    <row r="7086" spans="1:9" x14ac:dyDescent="0.3">
      <c r="A7086" t="s">
        <v>3</v>
      </c>
      <c r="B7086" t="s">
        <v>14</v>
      </c>
      <c r="C7086" t="s">
        <v>141</v>
      </c>
      <c r="D7086" s="9" t="s">
        <v>137</v>
      </c>
      <c r="E7086" t="s">
        <v>36</v>
      </c>
      <c r="F7086" t="s">
        <v>69</v>
      </c>
      <c r="G7086">
        <v>598.29999999999995</v>
      </c>
      <c r="H7086" s="9">
        <v>-2.3199999999999998</v>
      </c>
      <c r="I7086"/>
    </row>
    <row r="7087" spans="1:9" x14ac:dyDescent="0.3">
      <c r="A7087" t="s">
        <v>3</v>
      </c>
      <c r="B7087" t="s">
        <v>14</v>
      </c>
      <c r="C7087" t="s">
        <v>142</v>
      </c>
      <c r="D7087" s="9" t="s">
        <v>137</v>
      </c>
      <c r="E7087" t="s">
        <v>37</v>
      </c>
      <c r="F7087" t="s">
        <v>71</v>
      </c>
      <c r="G7087">
        <v>589</v>
      </c>
      <c r="H7087" s="9">
        <v>2.17</v>
      </c>
      <c r="I7087"/>
    </row>
    <row r="7088" spans="1:9" x14ac:dyDescent="0.3">
      <c r="A7088" t="s">
        <v>3</v>
      </c>
      <c r="B7088" t="s">
        <v>14</v>
      </c>
      <c r="C7088" t="s">
        <v>143</v>
      </c>
      <c r="D7088" s="9" t="s">
        <v>137</v>
      </c>
      <c r="E7088" t="s">
        <v>38</v>
      </c>
      <c r="F7088" t="s">
        <v>73</v>
      </c>
      <c r="G7088">
        <v>620.4</v>
      </c>
      <c r="H7088" s="9">
        <v>12.49</v>
      </c>
      <c r="I7088"/>
    </row>
    <row r="7089" spans="1:9" x14ac:dyDescent="0.3">
      <c r="A7089" t="s">
        <v>3</v>
      </c>
      <c r="B7089" t="s">
        <v>14</v>
      </c>
      <c r="C7089" t="s">
        <v>144</v>
      </c>
      <c r="D7089" s="9" t="s">
        <v>137</v>
      </c>
      <c r="E7089" t="s">
        <v>39</v>
      </c>
      <c r="F7089" t="s">
        <v>75</v>
      </c>
      <c r="G7089">
        <v>633.6</v>
      </c>
      <c r="H7089" s="9">
        <v>9.56</v>
      </c>
      <c r="I7089"/>
    </row>
    <row r="7090" spans="1:9" x14ac:dyDescent="0.3">
      <c r="A7090" t="s">
        <v>3</v>
      </c>
      <c r="B7090" t="s">
        <v>14</v>
      </c>
      <c r="C7090" t="s">
        <v>145</v>
      </c>
      <c r="D7090" s="9" t="s">
        <v>137</v>
      </c>
      <c r="E7090" t="s">
        <v>40</v>
      </c>
      <c r="F7090" t="s">
        <v>77</v>
      </c>
      <c r="G7090">
        <v>607</v>
      </c>
      <c r="H7090" s="9">
        <v>7.95</v>
      </c>
      <c r="I7090"/>
    </row>
    <row r="7091" spans="1:9" x14ac:dyDescent="0.3">
      <c r="A7091" t="s">
        <v>3</v>
      </c>
      <c r="B7091" t="s">
        <v>14</v>
      </c>
      <c r="C7091" t="s">
        <v>146</v>
      </c>
      <c r="D7091" s="9" t="s">
        <v>137</v>
      </c>
      <c r="E7091" t="s">
        <v>41</v>
      </c>
      <c r="F7091" t="s">
        <v>79</v>
      </c>
      <c r="G7091">
        <v>685.8</v>
      </c>
      <c r="H7091" s="9">
        <v>15.69</v>
      </c>
      <c r="I7091"/>
    </row>
    <row r="7092" spans="1:9" x14ac:dyDescent="0.3">
      <c r="A7092" t="s">
        <v>3</v>
      </c>
      <c r="B7092" t="s">
        <v>14</v>
      </c>
      <c r="C7092" t="s">
        <v>147</v>
      </c>
      <c r="D7092" s="9" t="s">
        <v>137</v>
      </c>
      <c r="E7092" t="s">
        <v>42</v>
      </c>
      <c r="F7092" t="s">
        <v>81</v>
      </c>
      <c r="G7092">
        <v>797.1</v>
      </c>
      <c r="H7092" s="9">
        <v>14.05</v>
      </c>
      <c r="I7092"/>
    </row>
    <row r="7093" spans="1:9" x14ac:dyDescent="0.3">
      <c r="A7093" t="s">
        <v>3</v>
      </c>
      <c r="B7093" t="s">
        <v>14</v>
      </c>
      <c r="C7093" t="s">
        <v>148</v>
      </c>
      <c r="D7093" s="9" t="s">
        <v>137</v>
      </c>
      <c r="E7093" t="s">
        <v>43</v>
      </c>
      <c r="F7093" t="s">
        <v>83</v>
      </c>
      <c r="G7093">
        <v>842</v>
      </c>
      <c r="H7093" s="9">
        <v>13.88</v>
      </c>
      <c r="I7093"/>
    </row>
    <row r="7094" spans="1:9" x14ac:dyDescent="0.3">
      <c r="A7094" t="s">
        <v>3</v>
      </c>
      <c r="B7094" t="s">
        <v>14</v>
      </c>
      <c r="C7094" t="s">
        <v>149</v>
      </c>
      <c r="D7094" s="9" t="s">
        <v>150</v>
      </c>
      <c r="E7094" t="s">
        <v>32</v>
      </c>
      <c r="F7094" t="s">
        <v>61</v>
      </c>
      <c r="G7094">
        <v>643.5</v>
      </c>
      <c r="H7094" s="9">
        <v>13.97</v>
      </c>
      <c r="I7094"/>
    </row>
    <row r="7095" spans="1:9" x14ac:dyDescent="0.3">
      <c r="A7095" t="s">
        <v>3</v>
      </c>
      <c r="B7095" t="s">
        <v>14</v>
      </c>
      <c r="C7095" t="s">
        <v>151</v>
      </c>
      <c r="D7095" s="9" t="s">
        <v>150</v>
      </c>
      <c r="E7095" t="s">
        <v>33</v>
      </c>
      <c r="F7095" t="s">
        <v>63</v>
      </c>
      <c r="G7095">
        <v>592.4</v>
      </c>
      <c r="H7095" s="9">
        <v>5.69</v>
      </c>
      <c r="I7095"/>
    </row>
    <row r="7096" spans="1:9" x14ac:dyDescent="0.3">
      <c r="A7096" t="s">
        <v>3</v>
      </c>
      <c r="B7096" t="s">
        <v>14</v>
      </c>
      <c r="C7096" t="s">
        <v>152</v>
      </c>
      <c r="D7096" s="9" t="s">
        <v>150</v>
      </c>
      <c r="E7096" t="s">
        <v>34</v>
      </c>
      <c r="F7096" t="s">
        <v>65</v>
      </c>
      <c r="G7096">
        <v>648</v>
      </c>
      <c r="H7096" s="9">
        <v>17.649999999999999</v>
      </c>
      <c r="I7096"/>
    </row>
    <row r="7097" spans="1:9" x14ac:dyDescent="0.3">
      <c r="A7097" t="s">
        <v>3</v>
      </c>
      <c r="B7097" t="s">
        <v>14</v>
      </c>
      <c r="C7097" t="s">
        <v>153</v>
      </c>
      <c r="D7097" s="9" t="s">
        <v>150</v>
      </c>
      <c r="E7097" t="s">
        <v>35</v>
      </c>
      <c r="F7097" t="s">
        <v>67</v>
      </c>
      <c r="G7097">
        <v>611.6</v>
      </c>
      <c r="H7097" s="9">
        <v>9.74</v>
      </c>
      <c r="I7097"/>
    </row>
    <row r="7098" spans="1:9" x14ac:dyDescent="0.3">
      <c r="A7098" t="s">
        <v>3</v>
      </c>
      <c r="B7098" t="s">
        <v>14</v>
      </c>
      <c r="C7098" t="s">
        <v>154</v>
      </c>
      <c r="D7098" s="9" t="s">
        <v>150</v>
      </c>
      <c r="E7098" t="s">
        <v>36</v>
      </c>
      <c r="F7098" t="s">
        <v>69</v>
      </c>
      <c r="G7098">
        <v>663.6</v>
      </c>
      <c r="H7098" s="9">
        <v>10.91</v>
      </c>
      <c r="I7098"/>
    </row>
    <row r="7099" spans="1:9" x14ac:dyDescent="0.3">
      <c r="A7099" t="s">
        <v>3</v>
      </c>
      <c r="B7099" t="s">
        <v>14</v>
      </c>
      <c r="C7099" t="s">
        <v>155</v>
      </c>
      <c r="D7099" s="9" t="s">
        <v>150</v>
      </c>
      <c r="E7099" t="s">
        <v>37</v>
      </c>
      <c r="F7099" t="s">
        <v>71</v>
      </c>
      <c r="G7099">
        <v>700.6</v>
      </c>
      <c r="H7099" s="9">
        <v>18.95</v>
      </c>
      <c r="I7099"/>
    </row>
    <row r="7100" spans="1:9" x14ac:dyDescent="0.3">
      <c r="A7100" t="s">
        <v>3</v>
      </c>
      <c r="B7100" t="s">
        <v>23</v>
      </c>
      <c r="C7100" t="s">
        <v>59</v>
      </c>
      <c r="D7100" s="9" t="s">
        <v>60</v>
      </c>
      <c r="E7100" t="s">
        <v>32</v>
      </c>
      <c r="F7100" t="s">
        <v>61</v>
      </c>
      <c r="G7100">
        <v>188.1</v>
      </c>
      <c r="I7100"/>
    </row>
    <row r="7101" spans="1:9" x14ac:dyDescent="0.3">
      <c r="A7101" t="s">
        <v>3</v>
      </c>
      <c r="B7101" t="s">
        <v>23</v>
      </c>
      <c r="C7101" t="s">
        <v>62</v>
      </c>
      <c r="D7101" s="9" t="s">
        <v>60</v>
      </c>
      <c r="E7101" t="s">
        <v>33</v>
      </c>
      <c r="F7101" t="s">
        <v>63</v>
      </c>
      <c r="G7101">
        <v>198.4</v>
      </c>
      <c r="I7101"/>
    </row>
    <row r="7102" spans="1:9" x14ac:dyDescent="0.3">
      <c r="A7102" t="s">
        <v>3</v>
      </c>
      <c r="B7102" t="s">
        <v>23</v>
      </c>
      <c r="C7102" t="s">
        <v>64</v>
      </c>
      <c r="D7102" s="9" t="s">
        <v>60</v>
      </c>
      <c r="E7102" t="s">
        <v>34</v>
      </c>
      <c r="F7102" t="s">
        <v>65</v>
      </c>
      <c r="G7102">
        <v>226.2</v>
      </c>
      <c r="I7102"/>
    </row>
    <row r="7103" spans="1:9" x14ac:dyDescent="0.3">
      <c r="A7103" t="s">
        <v>3</v>
      </c>
      <c r="B7103" t="s">
        <v>23</v>
      </c>
      <c r="C7103" t="s">
        <v>66</v>
      </c>
      <c r="D7103" s="9" t="s">
        <v>60</v>
      </c>
      <c r="E7103" t="s">
        <v>35</v>
      </c>
      <c r="F7103" t="s">
        <v>67</v>
      </c>
      <c r="G7103">
        <v>230.4</v>
      </c>
      <c r="I7103"/>
    </row>
    <row r="7104" spans="1:9" x14ac:dyDescent="0.3">
      <c r="A7104" t="s">
        <v>3</v>
      </c>
      <c r="B7104" t="s">
        <v>23</v>
      </c>
      <c r="C7104" t="s">
        <v>68</v>
      </c>
      <c r="D7104" s="9" t="s">
        <v>60</v>
      </c>
      <c r="E7104" t="s">
        <v>36</v>
      </c>
      <c r="F7104" t="s">
        <v>69</v>
      </c>
      <c r="G7104">
        <v>219.4</v>
      </c>
      <c r="I7104"/>
    </row>
    <row r="7105" spans="1:9" x14ac:dyDescent="0.3">
      <c r="A7105" t="s">
        <v>3</v>
      </c>
      <c r="B7105" t="s">
        <v>23</v>
      </c>
      <c r="C7105" t="s">
        <v>70</v>
      </c>
      <c r="D7105" s="9" t="s">
        <v>60</v>
      </c>
      <c r="E7105" t="s">
        <v>37</v>
      </c>
      <c r="F7105" t="s">
        <v>71</v>
      </c>
      <c r="G7105">
        <v>203.3</v>
      </c>
      <c r="I7105"/>
    </row>
    <row r="7106" spans="1:9" x14ac:dyDescent="0.3">
      <c r="A7106" t="s">
        <v>3</v>
      </c>
      <c r="B7106" t="s">
        <v>23</v>
      </c>
      <c r="C7106" t="s">
        <v>72</v>
      </c>
      <c r="D7106" s="9" t="s">
        <v>60</v>
      </c>
      <c r="E7106" t="s">
        <v>38</v>
      </c>
      <c r="F7106" t="s">
        <v>73</v>
      </c>
      <c r="G7106">
        <v>212.9</v>
      </c>
      <c r="I7106"/>
    </row>
    <row r="7107" spans="1:9" x14ac:dyDescent="0.3">
      <c r="A7107" t="s">
        <v>3</v>
      </c>
      <c r="B7107" t="s">
        <v>23</v>
      </c>
      <c r="C7107" t="s">
        <v>74</v>
      </c>
      <c r="D7107" s="9" t="s">
        <v>60</v>
      </c>
      <c r="E7107" t="s">
        <v>39</v>
      </c>
      <c r="F7107" t="s">
        <v>75</v>
      </c>
      <c r="G7107">
        <v>214.5</v>
      </c>
      <c r="I7107"/>
    </row>
    <row r="7108" spans="1:9" x14ac:dyDescent="0.3">
      <c r="A7108" t="s">
        <v>3</v>
      </c>
      <c r="B7108" t="s">
        <v>23</v>
      </c>
      <c r="C7108" t="s">
        <v>76</v>
      </c>
      <c r="D7108" s="9" t="s">
        <v>60</v>
      </c>
      <c r="E7108" t="s">
        <v>40</v>
      </c>
      <c r="F7108" t="s">
        <v>77</v>
      </c>
      <c r="G7108">
        <v>219.3</v>
      </c>
      <c r="I7108"/>
    </row>
    <row r="7109" spans="1:9" x14ac:dyDescent="0.3">
      <c r="A7109" t="s">
        <v>3</v>
      </c>
      <c r="B7109" t="s">
        <v>23</v>
      </c>
      <c r="C7109" t="s">
        <v>78</v>
      </c>
      <c r="D7109" s="9" t="s">
        <v>60</v>
      </c>
      <c r="E7109" t="s">
        <v>41</v>
      </c>
      <c r="F7109" t="s">
        <v>79</v>
      </c>
      <c r="G7109">
        <v>225.2</v>
      </c>
      <c r="I7109"/>
    </row>
    <row r="7110" spans="1:9" x14ac:dyDescent="0.3">
      <c r="A7110" t="s">
        <v>3</v>
      </c>
      <c r="B7110" t="s">
        <v>23</v>
      </c>
      <c r="C7110" t="s">
        <v>80</v>
      </c>
      <c r="D7110" s="9" t="s">
        <v>60</v>
      </c>
      <c r="E7110" t="s">
        <v>42</v>
      </c>
      <c r="F7110" t="s">
        <v>81</v>
      </c>
      <c r="G7110">
        <v>218.7</v>
      </c>
      <c r="I7110"/>
    </row>
    <row r="7111" spans="1:9" x14ac:dyDescent="0.3">
      <c r="A7111" t="s">
        <v>3</v>
      </c>
      <c r="B7111" t="s">
        <v>23</v>
      </c>
      <c r="C7111" t="s">
        <v>82</v>
      </c>
      <c r="D7111" s="9" t="s">
        <v>60</v>
      </c>
      <c r="E7111" t="s">
        <v>43</v>
      </c>
      <c r="F7111" t="s">
        <v>83</v>
      </c>
      <c r="G7111">
        <v>259.39999999999998</v>
      </c>
      <c r="I7111"/>
    </row>
    <row r="7112" spans="1:9" x14ac:dyDescent="0.3">
      <c r="A7112" t="s">
        <v>3</v>
      </c>
      <c r="B7112" t="s">
        <v>23</v>
      </c>
      <c r="C7112" t="s">
        <v>84</v>
      </c>
      <c r="D7112" s="9" t="s">
        <v>85</v>
      </c>
      <c r="E7112" t="s">
        <v>32</v>
      </c>
      <c r="F7112" t="s">
        <v>61</v>
      </c>
      <c r="G7112">
        <v>195.6</v>
      </c>
      <c r="H7112" s="9">
        <v>3.99</v>
      </c>
      <c r="I7112"/>
    </row>
    <row r="7113" spans="1:9" x14ac:dyDescent="0.3">
      <c r="A7113" t="s">
        <v>3</v>
      </c>
      <c r="B7113" t="s">
        <v>23</v>
      </c>
      <c r="C7113" t="s">
        <v>86</v>
      </c>
      <c r="D7113" s="9" t="s">
        <v>85</v>
      </c>
      <c r="E7113" t="s">
        <v>33</v>
      </c>
      <c r="F7113" t="s">
        <v>63</v>
      </c>
      <c r="G7113">
        <v>201.4</v>
      </c>
      <c r="H7113" s="9">
        <v>1.51</v>
      </c>
      <c r="I7113"/>
    </row>
    <row r="7114" spans="1:9" x14ac:dyDescent="0.3">
      <c r="A7114" t="s">
        <v>3</v>
      </c>
      <c r="B7114" t="s">
        <v>23</v>
      </c>
      <c r="C7114" t="s">
        <v>87</v>
      </c>
      <c r="D7114" s="9" t="s">
        <v>85</v>
      </c>
      <c r="E7114" t="s">
        <v>34</v>
      </c>
      <c r="F7114" t="s">
        <v>65</v>
      </c>
      <c r="G7114">
        <v>276.10000000000002</v>
      </c>
      <c r="H7114" s="9">
        <v>22.06</v>
      </c>
      <c r="I7114"/>
    </row>
    <row r="7115" spans="1:9" x14ac:dyDescent="0.3">
      <c r="A7115" t="s">
        <v>3</v>
      </c>
      <c r="B7115" t="s">
        <v>23</v>
      </c>
      <c r="C7115" t="s">
        <v>88</v>
      </c>
      <c r="D7115" s="9" t="s">
        <v>85</v>
      </c>
      <c r="E7115" t="s">
        <v>35</v>
      </c>
      <c r="F7115" t="s">
        <v>67</v>
      </c>
      <c r="G7115">
        <v>224.3</v>
      </c>
      <c r="H7115" s="9">
        <v>-2.65</v>
      </c>
      <c r="I7115"/>
    </row>
    <row r="7116" spans="1:9" x14ac:dyDescent="0.3">
      <c r="A7116" t="s">
        <v>3</v>
      </c>
      <c r="B7116" t="s">
        <v>23</v>
      </c>
      <c r="C7116" t="s">
        <v>89</v>
      </c>
      <c r="D7116" s="9" t="s">
        <v>85</v>
      </c>
      <c r="E7116" t="s">
        <v>36</v>
      </c>
      <c r="F7116" t="s">
        <v>69</v>
      </c>
      <c r="G7116">
        <v>239.9</v>
      </c>
      <c r="H7116" s="9">
        <v>9.34</v>
      </c>
      <c r="I7116"/>
    </row>
    <row r="7117" spans="1:9" x14ac:dyDescent="0.3">
      <c r="A7117" t="s">
        <v>3</v>
      </c>
      <c r="B7117" t="s">
        <v>23</v>
      </c>
      <c r="C7117" t="s">
        <v>90</v>
      </c>
      <c r="D7117" s="9" t="s">
        <v>85</v>
      </c>
      <c r="E7117" t="s">
        <v>37</v>
      </c>
      <c r="F7117" t="s">
        <v>71</v>
      </c>
      <c r="G7117">
        <v>237.3</v>
      </c>
      <c r="H7117" s="9">
        <v>16.72</v>
      </c>
      <c r="I7117"/>
    </row>
    <row r="7118" spans="1:9" x14ac:dyDescent="0.3">
      <c r="A7118" t="s">
        <v>3</v>
      </c>
      <c r="B7118" t="s">
        <v>23</v>
      </c>
      <c r="C7118" t="s">
        <v>91</v>
      </c>
      <c r="D7118" s="9" t="s">
        <v>85</v>
      </c>
      <c r="E7118" t="s">
        <v>38</v>
      </c>
      <c r="F7118" t="s">
        <v>73</v>
      </c>
      <c r="G7118">
        <v>239.6</v>
      </c>
      <c r="H7118" s="9">
        <v>12.54</v>
      </c>
      <c r="I7118"/>
    </row>
    <row r="7119" spans="1:9" x14ac:dyDescent="0.3">
      <c r="A7119" t="s">
        <v>3</v>
      </c>
      <c r="B7119" t="s">
        <v>23</v>
      </c>
      <c r="C7119" t="s">
        <v>92</v>
      </c>
      <c r="D7119" s="9" t="s">
        <v>85</v>
      </c>
      <c r="E7119" t="s">
        <v>39</v>
      </c>
      <c r="F7119" t="s">
        <v>75</v>
      </c>
      <c r="G7119">
        <v>240.6</v>
      </c>
      <c r="H7119" s="9">
        <v>12.17</v>
      </c>
      <c r="I7119"/>
    </row>
    <row r="7120" spans="1:9" x14ac:dyDescent="0.3">
      <c r="A7120" t="s">
        <v>3</v>
      </c>
      <c r="B7120" t="s">
        <v>23</v>
      </c>
      <c r="C7120" t="s">
        <v>93</v>
      </c>
      <c r="D7120" s="9" t="s">
        <v>85</v>
      </c>
      <c r="E7120" t="s">
        <v>40</v>
      </c>
      <c r="F7120" t="s">
        <v>77</v>
      </c>
      <c r="G7120">
        <v>237.1</v>
      </c>
      <c r="H7120" s="9">
        <v>8.1199999999999992</v>
      </c>
      <c r="I7120"/>
    </row>
    <row r="7121" spans="1:9" x14ac:dyDescent="0.3">
      <c r="A7121" t="s">
        <v>3</v>
      </c>
      <c r="B7121" t="s">
        <v>23</v>
      </c>
      <c r="C7121" t="s">
        <v>94</v>
      </c>
      <c r="D7121" s="9" t="s">
        <v>85</v>
      </c>
      <c r="E7121" t="s">
        <v>41</v>
      </c>
      <c r="F7121" t="s">
        <v>79</v>
      </c>
      <c r="G7121">
        <v>252.9</v>
      </c>
      <c r="H7121" s="9">
        <v>12.3</v>
      </c>
      <c r="I7121"/>
    </row>
    <row r="7122" spans="1:9" x14ac:dyDescent="0.3">
      <c r="A7122" t="s">
        <v>3</v>
      </c>
      <c r="B7122" t="s">
        <v>23</v>
      </c>
      <c r="C7122" t="s">
        <v>95</v>
      </c>
      <c r="D7122" s="9" t="s">
        <v>85</v>
      </c>
      <c r="E7122" t="s">
        <v>42</v>
      </c>
      <c r="F7122" t="s">
        <v>81</v>
      </c>
      <c r="G7122">
        <v>253.8</v>
      </c>
      <c r="H7122" s="9">
        <v>16.05</v>
      </c>
      <c r="I7122"/>
    </row>
    <row r="7123" spans="1:9" x14ac:dyDescent="0.3">
      <c r="A7123" t="s">
        <v>3</v>
      </c>
      <c r="B7123" t="s">
        <v>23</v>
      </c>
      <c r="C7123" t="s">
        <v>96</v>
      </c>
      <c r="D7123" s="9" t="s">
        <v>85</v>
      </c>
      <c r="E7123" t="s">
        <v>43</v>
      </c>
      <c r="F7123" t="s">
        <v>83</v>
      </c>
      <c r="G7123">
        <v>303.10000000000002</v>
      </c>
      <c r="H7123" s="9">
        <v>16.850000000000001</v>
      </c>
      <c r="I7123"/>
    </row>
    <row r="7124" spans="1:9" x14ac:dyDescent="0.3">
      <c r="A7124" t="s">
        <v>3</v>
      </c>
      <c r="B7124" t="s">
        <v>23</v>
      </c>
      <c r="C7124" t="s">
        <v>97</v>
      </c>
      <c r="D7124" s="9" t="s">
        <v>98</v>
      </c>
      <c r="E7124" t="s">
        <v>32</v>
      </c>
      <c r="F7124" t="s">
        <v>61</v>
      </c>
      <c r="G7124">
        <v>230.8</v>
      </c>
      <c r="H7124" s="9">
        <v>18</v>
      </c>
      <c r="I7124"/>
    </row>
    <row r="7125" spans="1:9" x14ac:dyDescent="0.3">
      <c r="A7125" t="s">
        <v>3</v>
      </c>
      <c r="B7125" t="s">
        <v>23</v>
      </c>
      <c r="C7125" t="s">
        <v>99</v>
      </c>
      <c r="D7125" s="9" t="s">
        <v>98</v>
      </c>
      <c r="E7125" t="s">
        <v>33</v>
      </c>
      <c r="F7125" t="s">
        <v>63</v>
      </c>
      <c r="G7125">
        <v>234.6</v>
      </c>
      <c r="H7125" s="9">
        <v>16.48</v>
      </c>
      <c r="I7125"/>
    </row>
    <row r="7126" spans="1:9" x14ac:dyDescent="0.3">
      <c r="A7126" t="s">
        <v>3</v>
      </c>
      <c r="B7126" t="s">
        <v>23</v>
      </c>
      <c r="C7126" t="s">
        <v>100</v>
      </c>
      <c r="D7126" s="9" t="s">
        <v>98</v>
      </c>
      <c r="E7126" t="s">
        <v>34</v>
      </c>
      <c r="F7126" t="s">
        <v>65</v>
      </c>
      <c r="G7126">
        <v>269</v>
      </c>
      <c r="H7126" s="9">
        <v>-2.57</v>
      </c>
      <c r="I7126"/>
    </row>
    <row r="7127" spans="1:9" x14ac:dyDescent="0.3">
      <c r="A7127" t="s">
        <v>3</v>
      </c>
      <c r="B7127" t="s">
        <v>23</v>
      </c>
      <c r="C7127" t="s">
        <v>101</v>
      </c>
      <c r="D7127" s="9" t="s">
        <v>98</v>
      </c>
      <c r="E7127" t="s">
        <v>35</v>
      </c>
      <c r="F7127" t="s">
        <v>67</v>
      </c>
      <c r="G7127">
        <v>240.3</v>
      </c>
      <c r="H7127" s="9">
        <v>7.13</v>
      </c>
      <c r="I7127"/>
    </row>
    <row r="7128" spans="1:9" x14ac:dyDescent="0.3">
      <c r="A7128" t="s">
        <v>3</v>
      </c>
      <c r="B7128" t="s">
        <v>23</v>
      </c>
      <c r="C7128" t="s">
        <v>102</v>
      </c>
      <c r="D7128" s="9" t="s">
        <v>98</v>
      </c>
      <c r="E7128" t="s">
        <v>36</v>
      </c>
      <c r="F7128" t="s">
        <v>69</v>
      </c>
      <c r="G7128">
        <v>235.2</v>
      </c>
      <c r="H7128" s="9">
        <v>-1.96</v>
      </c>
      <c r="I7128"/>
    </row>
    <row r="7129" spans="1:9" x14ac:dyDescent="0.3">
      <c r="A7129" t="s">
        <v>3</v>
      </c>
      <c r="B7129" t="s">
        <v>23</v>
      </c>
      <c r="C7129" t="s">
        <v>103</v>
      </c>
      <c r="D7129" s="9" t="s">
        <v>98</v>
      </c>
      <c r="E7129" t="s">
        <v>37</v>
      </c>
      <c r="F7129" t="s">
        <v>71</v>
      </c>
      <c r="G7129">
        <v>232.7</v>
      </c>
      <c r="H7129" s="9">
        <v>-1.94</v>
      </c>
      <c r="I7129"/>
    </row>
    <row r="7130" spans="1:9" x14ac:dyDescent="0.3">
      <c r="A7130" t="s">
        <v>3</v>
      </c>
      <c r="B7130" t="s">
        <v>23</v>
      </c>
      <c r="C7130" t="s">
        <v>104</v>
      </c>
      <c r="D7130" s="9" t="s">
        <v>98</v>
      </c>
      <c r="E7130" t="s">
        <v>38</v>
      </c>
      <c r="F7130" t="s">
        <v>73</v>
      </c>
      <c r="G7130">
        <v>237.4</v>
      </c>
      <c r="H7130" s="9">
        <v>-0.92</v>
      </c>
      <c r="I7130"/>
    </row>
    <row r="7131" spans="1:9" x14ac:dyDescent="0.3">
      <c r="A7131" t="s">
        <v>3</v>
      </c>
      <c r="B7131" t="s">
        <v>23</v>
      </c>
      <c r="C7131" t="s">
        <v>105</v>
      </c>
      <c r="D7131" s="9" t="s">
        <v>98</v>
      </c>
      <c r="E7131" t="s">
        <v>39</v>
      </c>
      <c r="F7131" t="s">
        <v>75</v>
      </c>
      <c r="G7131">
        <v>232.7</v>
      </c>
      <c r="H7131" s="9">
        <v>-3.28</v>
      </c>
      <c r="I7131"/>
    </row>
    <row r="7132" spans="1:9" x14ac:dyDescent="0.3">
      <c r="A7132" t="s">
        <v>3</v>
      </c>
      <c r="B7132" t="s">
        <v>23</v>
      </c>
      <c r="C7132" t="s">
        <v>106</v>
      </c>
      <c r="D7132" s="9" t="s">
        <v>98</v>
      </c>
      <c r="E7132" t="s">
        <v>40</v>
      </c>
      <c r="F7132" t="s">
        <v>77</v>
      </c>
      <c r="G7132">
        <v>234.5</v>
      </c>
      <c r="H7132" s="9">
        <v>-1.1000000000000001</v>
      </c>
      <c r="I7132"/>
    </row>
    <row r="7133" spans="1:9" x14ac:dyDescent="0.3">
      <c r="A7133" t="s">
        <v>3</v>
      </c>
      <c r="B7133" t="s">
        <v>23</v>
      </c>
      <c r="C7133" t="s">
        <v>107</v>
      </c>
      <c r="D7133" s="9" t="s">
        <v>98</v>
      </c>
      <c r="E7133" t="s">
        <v>41</v>
      </c>
      <c r="F7133" t="s">
        <v>79</v>
      </c>
      <c r="G7133">
        <v>239</v>
      </c>
      <c r="H7133" s="9">
        <v>-5.5</v>
      </c>
      <c r="I7133"/>
    </row>
    <row r="7134" spans="1:9" x14ac:dyDescent="0.3">
      <c r="A7134" t="s">
        <v>3</v>
      </c>
      <c r="B7134" t="s">
        <v>23</v>
      </c>
      <c r="C7134" t="s">
        <v>108</v>
      </c>
      <c r="D7134" s="9" t="s">
        <v>98</v>
      </c>
      <c r="E7134" t="s">
        <v>42</v>
      </c>
      <c r="F7134" t="s">
        <v>81</v>
      </c>
      <c r="G7134">
        <v>221.2</v>
      </c>
      <c r="H7134" s="9">
        <v>-12.84</v>
      </c>
      <c r="I7134"/>
    </row>
    <row r="7135" spans="1:9" x14ac:dyDescent="0.3">
      <c r="A7135" t="s">
        <v>3</v>
      </c>
      <c r="B7135" t="s">
        <v>23</v>
      </c>
      <c r="C7135" t="s">
        <v>109</v>
      </c>
      <c r="D7135" s="9" t="s">
        <v>98</v>
      </c>
      <c r="E7135" t="s">
        <v>43</v>
      </c>
      <c r="F7135" t="s">
        <v>83</v>
      </c>
      <c r="G7135">
        <v>280.7</v>
      </c>
      <c r="H7135" s="9">
        <v>-7.39</v>
      </c>
      <c r="I7135"/>
    </row>
    <row r="7136" spans="1:9" x14ac:dyDescent="0.3">
      <c r="A7136" t="s">
        <v>3</v>
      </c>
      <c r="B7136" t="s">
        <v>23</v>
      </c>
      <c r="C7136" t="s">
        <v>110</v>
      </c>
      <c r="D7136" s="9" t="s">
        <v>111</v>
      </c>
      <c r="E7136" t="s">
        <v>32</v>
      </c>
      <c r="F7136" t="s">
        <v>61</v>
      </c>
      <c r="G7136">
        <v>213.5</v>
      </c>
      <c r="H7136" s="9">
        <v>-7.5</v>
      </c>
      <c r="I7136"/>
    </row>
    <row r="7137" spans="1:9" x14ac:dyDescent="0.3">
      <c r="A7137" t="s">
        <v>3</v>
      </c>
      <c r="B7137" t="s">
        <v>23</v>
      </c>
      <c r="C7137" t="s">
        <v>112</v>
      </c>
      <c r="D7137" s="9" t="s">
        <v>111</v>
      </c>
      <c r="E7137" t="s">
        <v>33</v>
      </c>
      <c r="F7137" t="s">
        <v>63</v>
      </c>
      <c r="G7137">
        <v>207</v>
      </c>
      <c r="H7137" s="9">
        <v>-11.76</v>
      </c>
      <c r="I7137"/>
    </row>
    <row r="7138" spans="1:9" x14ac:dyDescent="0.3">
      <c r="A7138" t="s">
        <v>3</v>
      </c>
      <c r="B7138" t="s">
        <v>23</v>
      </c>
      <c r="C7138" t="s">
        <v>113</v>
      </c>
      <c r="D7138" s="9" t="s">
        <v>111</v>
      </c>
      <c r="E7138" t="s">
        <v>34</v>
      </c>
      <c r="F7138" t="s">
        <v>65</v>
      </c>
      <c r="G7138">
        <v>224.1</v>
      </c>
      <c r="H7138" s="9">
        <v>-16.690000000000001</v>
      </c>
      <c r="I7138"/>
    </row>
    <row r="7139" spans="1:9" x14ac:dyDescent="0.3">
      <c r="A7139" t="s">
        <v>3</v>
      </c>
      <c r="B7139" t="s">
        <v>23</v>
      </c>
      <c r="C7139" t="s">
        <v>114</v>
      </c>
      <c r="D7139" s="9" t="s">
        <v>111</v>
      </c>
      <c r="E7139" t="s">
        <v>35</v>
      </c>
      <c r="F7139" t="s">
        <v>67</v>
      </c>
      <c r="G7139">
        <v>225.5</v>
      </c>
      <c r="H7139" s="9">
        <v>-6.16</v>
      </c>
      <c r="I7139"/>
    </row>
    <row r="7140" spans="1:9" x14ac:dyDescent="0.3">
      <c r="A7140" t="s">
        <v>3</v>
      </c>
      <c r="B7140" t="s">
        <v>23</v>
      </c>
      <c r="C7140" t="s">
        <v>115</v>
      </c>
      <c r="D7140" s="9" t="s">
        <v>111</v>
      </c>
      <c r="E7140" t="s">
        <v>36</v>
      </c>
      <c r="F7140" t="s">
        <v>69</v>
      </c>
      <c r="G7140">
        <v>215.7</v>
      </c>
      <c r="H7140" s="9">
        <v>-8.2899999999999991</v>
      </c>
      <c r="I7140"/>
    </row>
    <row r="7141" spans="1:9" x14ac:dyDescent="0.3">
      <c r="A7141" t="s">
        <v>3</v>
      </c>
      <c r="B7141" t="s">
        <v>23</v>
      </c>
      <c r="C7141" t="s">
        <v>116</v>
      </c>
      <c r="D7141" s="9" t="s">
        <v>111</v>
      </c>
      <c r="E7141" t="s">
        <v>37</v>
      </c>
      <c r="F7141" t="s">
        <v>71</v>
      </c>
      <c r="G7141">
        <v>215.5</v>
      </c>
      <c r="H7141" s="9">
        <v>-7.39</v>
      </c>
      <c r="I7141"/>
    </row>
    <row r="7142" spans="1:9" x14ac:dyDescent="0.3">
      <c r="A7142" t="s">
        <v>3</v>
      </c>
      <c r="B7142" t="s">
        <v>23</v>
      </c>
      <c r="C7142" t="s">
        <v>117</v>
      </c>
      <c r="D7142" s="9" t="s">
        <v>111</v>
      </c>
      <c r="E7142" t="s">
        <v>38</v>
      </c>
      <c r="F7142" t="s">
        <v>73</v>
      </c>
      <c r="G7142">
        <v>227.2</v>
      </c>
      <c r="H7142" s="9">
        <v>-4.3</v>
      </c>
      <c r="I7142"/>
    </row>
    <row r="7143" spans="1:9" x14ac:dyDescent="0.3">
      <c r="A7143" t="s">
        <v>3</v>
      </c>
      <c r="B7143" t="s">
        <v>23</v>
      </c>
      <c r="C7143" t="s">
        <v>118</v>
      </c>
      <c r="D7143" s="9" t="s">
        <v>111</v>
      </c>
      <c r="E7143" t="s">
        <v>39</v>
      </c>
      <c r="F7143" t="s">
        <v>75</v>
      </c>
      <c r="G7143">
        <v>224</v>
      </c>
      <c r="H7143" s="9">
        <v>-3.74</v>
      </c>
      <c r="I7143"/>
    </row>
    <row r="7144" spans="1:9" x14ac:dyDescent="0.3">
      <c r="A7144" t="s">
        <v>3</v>
      </c>
      <c r="B7144" t="s">
        <v>23</v>
      </c>
      <c r="C7144" t="s">
        <v>119</v>
      </c>
      <c r="D7144" s="9" t="s">
        <v>111</v>
      </c>
      <c r="E7144" t="s">
        <v>40</v>
      </c>
      <c r="F7144" t="s">
        <v>77</v>
      </c>
      <c r="G7144">
        <v>223.8</v>
      </c>
      <c r="H7144" s="9">
        <v>-4.5599999999999996</v>
      </c>
      <c r="I7144"/>
    </row>
    <row r="7145" spans="1:9" x14ac:dyDescent="0.3">
      <c r="A7145" t="s">
        <v>3</v>
      </c>
      <c r="B7145" t="s">
        <v>23</v>
      </c>
      <c r="C7145" t="s">
        <v>120</v>
      </c>
      <c r="D7145" s="9" t="s">
        <v>111</v>
      </c>
      <c r="E7145" t="s">
        <v>41</v>
      </c>
      <c r="F7145" t="s">
        <v>79</v>
      </c>
      <c r="G7145">
        <v>222.7</v>
      </c>
      <c r="H7145" s="9">
        <v>-6.82</v>
      </c>
      <c r="I7145"/>
    </row>
    <row r="7146" spans="1:9" x14ac:dyDescent="0.3">
      <c r="A7146" t="s">
        <v>3</v>
      </c>
      <c r="B7146" t="s">
        <v>23</v>
      </c>
      <c r="C7146" t="s">
        <v>121</v>
      </c>
      <c r="D7146" s="9" t="s">
        <v>111</v>
      </c>
      <c r="E7146" t="s">
        <v>42</v>
      </c>
      <c r="F7146" t="s">
        <v>81</v>
      </c>
      <c r="G7146">
        <v>234</v>
      </c>
      <c r="H7146" s="9">
        <v>5.79</v>
      </c>
      <c r="I7146"/>
    </row>
    <row r="7147" spans="1:9" x14ac:dyDescent="0.3">
      <c r="A7147" t="s">
        <v>3</v>
      </c>
      <c r="B7147" t="s">
        <v>23</v>
      </c>
      <c r="C7147" t="s">
        <v>122</v>
      </c>
      <c r="D7147" s="9" t="s">
        <v>111</v>
      </c>
      <c r="E7147" t="s">
        <v>43</v>
      </c>
      <c r="F7147" t="s">
        <v>83</v>
      </c>
      <c r="G7147">
        <v>284.10000000000002</v>
      </c>
      <c r="H7147" s="9">
        <v>1.21</v>
      </c>
      <c r="I7147"/>
    </row>
    <row r="7148" spans="1:9" x14ac:dyDescent="0.3">
      <c r="A7148" t="s">
        <v>3</v>
      </c>
      <c r="B7148" t="s">
        <v>23</v>
      </c>
      <c r="C7148" t="s">
        <v>123</v>
      </c>
      <c r="D7148" s="9" t="s">
        <v>124</v>
      </c>
      <c r="E7148" t="s">
        <v>32</v>
      </c>
      <c r="F7148" t="s">
        <v>61</v>
      </c>
      <c r="G7148">
        <v>211.6</v>
      </c>
      <c r="H7148" s="9">
        <v>-0.89</v>
      </c>
      <c r="I7148"/>
    </row>
    <row r="7149" spans="1:9" x14ac:dyDescent="0.3">
      <c r="A7149" t="s">
        <v>3</v>
      </c>
      <c r="B7149" t="s">
        <v>23</v>
      </c>
      <c r="C7149" t="s">
        <v>125</v>
      </c>
      <c r="D7149" s="9" t="s">
        <v>124</v>
      </c>
      <c r="E7149" t="s">
        <v>33</v>
      </c>
      <c r="F7149" t="s">
        <v>63</v>
      </c>
      <c r="G7149">
        <v>206.2</v>
      </c>
      <c r="H7149" s="9">
        <v>-0.39</v>
      </c>
      <c r="I7149"/>
    </row>
    <row r="7150" spans="1:9" x14ac:dyDescent="0.3">
      <c r="A7150" t="s">
        <v>3</v>
      </c>
      <c r="B7150" t="s">
        <v>23</v>
      </c>
      <c r="C7150" t="s">
        <v>126</v>
      </c>
      <c r="D7150" s="9" t="s">
        <v>124</v>
      </c>
      <c r="E7150" t="s">
        <v>34</v>
      </c>
      <c r="F7150" t="s">
        <v>65</v>
      </c>
      <c r="G7150">
        <v>225.9</v>
      </c>
      <c r="H7150" s="9">
        <v>0.8</v>
      </c>
      <c r="I7150"/>
    </row>
    <row r="7151" spans="1:9" x14ac:dyDescent="0.3">
      <c r="A7151" t="s">
        <v>3</v>
      </c>
      <c r="B7151" t="s">
        <v>23</v>
      </c>
      <c r="C7151" t="s">
        <v>127</v>
      </c>
      <c r="D7151" s="9" t="s">
        <v>124</v>
      </c>
      <c r="E7151" t="s">
        <v>35</v>
      </c>
      <c r="F7151" t="s">
        <v>67</v>
      </c>
      <c r="G7151">
        <v>222.7</v>
      </c>
      <c r="H7151" s="9">
        <v>-1.24</v>
      </c>
      <c r="I7151"/>
    </row>
    <row r="7152" spans="1:9" x14ac:dyDescent="0.3">
      <c r="A7152" t="s">
        <v>3</v>
      </c>
      <c r="B7152" t="s">
        <v>23</v>
      </c>
      <c r="C7152" t="s">
        <v>128</v>
      </c>
      <c r="D7152" s="9" t="s">
        <v>124</v>
      </c>
      <c r="E7152" t="s">
        <v>36</v>
      </c>
      <c r="F7152" t="s">
        <v>69</v>
      </c>
      <c r="G7152">
        <v>229</v>
      </c>
      <c r="H7152" s="9">
        <v>6.17</v>
      </c>
      <c r="I7152"/>
    </row>
    <row r="7153" spans="1:9" x14ac:dyDescent="0.3">
      <c r="A7153" t="s">
        <v>3</v>
      </c>
      <c r="B7153" t="s">
        <v>23</v>
      </c>
      <c r="C7153" t="s">
        <v>129</v>
      </c>
      <c r="D7153" s="9" t="s">
        <v>124</v>
      </c>
      <c r="E7153" t="s">
        <v>37</v>
      </c>
      <c r="F7153" t="s">
        <v>71</v>
      </c>
      <c r="G7153">
        <v>211.7</v>
      </c>
      <c r="H7153" s="9">
        <v>-1.76</v>
      </c>
      <c r="I7153"/>
    </row>
    <row r="7154" spans="1:9" x14ac:dyDescent="0.3">
      <c r="A7154" t="s">
        <v>3</v>
      </c>
      <c r="B7154" t="s">
        <v>23</v>
      </c>
      <c r="C7154" t="s">
        <v>130</v>
      </c>
      <c r="D7154" s="9" t="s">
        <v>124</v>
      </c>
      <c r="E7154" t="s">
        <v>38</v>
      </c>
      <c r="F7154" t="s">
        <v>73</v>
      </c>
      <c r="G7154">
        <v>223.4</v>
      </c>
      <c r="H7154" s="9">
        <v>-1.67</v>
      </c>
      <c r="I7154"/>
    </row>
    <row r="7155" spans="1:9" x14ac:dyDescent="0.3">
      <c r="A7155" t="s">
        <v>3</v>
      </c>
      <c r="B7155" t="s">
        <v>23</v>
      </c>
      <c r="C7155" t="s">
        <v>131</v>
      </c>
      <c r="D7155" s="9" t="s">
        <v>124</v>
      </c>
      <c r="E7155" t="s">
        <v>39</v>
      </c>
      <c r="F7155" t="s">
        <v>75</v>
      </c>
      <c r="G7155">
        <v>217.2</v>
      </c>
      <c r="H7155" s="9">
        <v>-3.04</v>
      </c>
      <c r="I7155"/>
    </row>
    <row r="7156" spans="1:9" x14ac:dyDescent="0.3">
      <c r="A7156" t="s">
        <v>3</v>
      </c>
      <c r="B7156" t="s">
        <v>23</v>
      </c>
      <c r="C7156" t="s">
        <v>132</v>
      </c>
      <c r="D7156" s="9" t="s">
        <v>124</v>
      </c>
      <c r="E7156" t="s">
        <v>40</v>
      </c>
      <c r="F7156" t="s">
        <v>77</v>
      </c>
      <c r="G7156">
        <v>213.8</v>
      </c>
      <c r="H7156" s="9">
        <v>-4.47</v>
      </c>
      <c r="I7156"/>
    </row>
    <row r="7157" spans="1:9" x14ac:dyDescent="0.3">
      <c r="A7157" t="s">
        <v>3</v>
      </c>
      <c r="B7157" t="s">
        <v>23</v>
      </c>
      <c r="C7157" t="s">
        <v>133</v>
      </c>
      <c r="D7157" s="9" t="s">
        <v>124</v>
      </c>
      <c r="E7157" t="s">
        <v>41</v>
      </c>
      <c r="F7157" t="s">
        <v>79</v>
      </c>
      <c r="G7157">
        <v>217.9</v>
      </c>
      <c r="H7157" s="9">
        <v>-2.16</v>
      </c>
      <c r="I7157"/>
    </row>
    <row r="7158" spans="1:9" x14ac:dyDescent="0.3">
      <c r="A7158" t="s">
        <v>3</v>
      </c>
      <c r="B7158" t="s">
        <v>23</v>
      </c>
      <c r="C7158" t="s">
        <v>134</v>
      </c>
      <c r="D7158" s="9" t="s">
        <v>124</v>
      </c>
      <c r="E7158" t="s">
        <v>42</v>
      </c>
      <c r="F7158" t="s">
        <v>81</v>
      </c>
      <c r="G7158">
        <v>218</v>
      </c>
      <c r="H7158" s="9">
        <v>-6.84</v>
      </c>
      <c r="I7158"/>
    </row>
    <row r="7159" spans="1:9" x14ac:dyDescent="0.3">
      <c r="A7159" t="s">
        <v>3</v>
      </c>
      <c r="B7159" t="s">
        <v>23</v>
      </c>
      <c r="C7159" t="s">
        <v>135</v>
      </c>
      <c r="D7159" s="9" t="s">
        <v>124</v>
      </c>
      <c r="E7159" t="s">
        <v>43</v>
      </c>
      <c r="F7159" t="s">
        <v>83</v>
      </c>
      <c r="G7159">
        <v>266</v>
      </c>
      <c r="H7159" s="9">
        <v>-6.37</v>
      </c>
      <c r="I7159"/>
    </row>
    <row r="7160" spans="1:9" x14ac:dyDescent="0.3">
      <c r="A7160" t="s">
        <v>3</v>
      </c>
      <c r="B7160" t="s">
        <v>23</v>
      </c>
      <c r="C7160" t="s">
        <v>136</v>
      </c>
      <c r="D7160" s="9" t="s">
        <v>137</v>
      </c>
      <c r="E7160" t="s">
        <v>32</v>
      </c>
      <c r="F7160" t="s">
        <v>61</v>
      </c>
      <c r="G7160">
        <v>211.8</v>
      </c>
      <c r="H7160" s="9">
        <v>0.09</v>
      </c>
      <c r="I7160"/>
    </row>
    <row r="7161" spans="1:9" x14ac:dyDescent="0.3">
      <c r="A7161" t="s">
        <v>3</v>
      </c>
      <c r="B7161" t="s">
        <v>23</v>
      </c>
      <c r="C7161" t="s">
        <v>138</v>
      </c>
      <c r="D7161" s="9" t="s">
        <v>137</v>
      </c>
      <c r="E7161" t="s">
        <v>33</v>
      </c>
      <c r="F7161" t="s">
        <v>63</v>
      </c>
      <c r="G7161">
        <v>211.6</v>
      </c>
      <c r="H7161" s="9">
        <v>2.62</v>
      </c>
      <c r="I7161"/>
    </row>
    <row r="7162" spans="1:9" x14ac:dyDescent="0.3">
      <c r="A7162" t="s">
        <v>3</v>
      </c>
      <c r="B7162" t="s">
        <v>23</v>
      </c>
      <c r="C7162" t="s">
        <v>139</v>
      </c>
      <c r="D7162" s="9" t="s">
        <v>137</v>
      </c>
      <c r="E7162" t="s">
        <v>34</v>
      </c>
      <c r="F7162" t="s">
        <v>65</v>
      </c>
      <c r="G7162">
        <v>229.9</v>
      </c>
      <c r="H7162" s="9">
        <v>1.77</v>
      </c>
      <c r="I7162"/>
    </row>
    <row r="7163" spans="1:9" x14ac:dyDescent="0.3">
      <c r="A7163" t="s">
        <v>3</v>
      </c>
      <c r="B7163" t="s">
        <v>23</v>
      </c>
      <c r="C7163" t="s">
        <v>140</v>
      </c>
      <c r="D7163" s="9" t="s">
        <v>137</v>
      </c>
      <c r="E7163" t="s">
        <v>35</v>
      </c>
      <c r="F7163" t="s">
        <v>67</v>
      </c>
      <c r="G7163">
        <v>239.2</v>
      </c>
      <c r="H7163" s="9">
        <v>7.41</v>
      </c>
      <c r="I7163"/>
    </row>
    <row r="7164" spans="1:9" x14ac:dyDescent="0.3">
      <c r="A7164" t="s">
        <v>3</v>
      </c>
      <c r="B7164" t="s">
        <v>23</v>
      </c>
      <c r="C7164" t="s">
        <v>141</v>
      </c>
      <c r="D7164" s="9" t="s">
        <v>137</v>
      </c>
      <c r="E7164" t="s">
        <v>36</v>
      </c>
      <c r="F7164" t="s">
        <v>69</v>
      </c>
      <c r="G7164">
        <v>235.4</v>
      </c>
      <c r="H7164" s="9">
        <v>2.79</v>
      </c>
      <c r="I7164"/>
    </row>
    <row r="7165" spans="1:9" x14ac:dyDescent="0.3">
      <c r="A7165" t="s">
        <v>3</v>
      </c>
      <c r="B7165" t="s">
        <v>23</v>
      </c>
      <c r="C7165" t="s">
        <v>142</v>
      </c>
      <c r="D7165" s="9" t="s">
        <v>137</v>
      </c>
      <c r="E7165" t="s">
        <v>37</v>
      </c>
      <c r="F7165" t="s">
        <v>71</v>
      </c>
      <c r="G7165">
        <v>219.2</v>
      </c>
      <c r="H7165" s="9">
        <v>3.54</v>
      </c>
      <c r="I7165"/>
    </row>
    <row r="7166" spans="1:9" x14ac:dyDescent="0.3">
      <c r="A7166" t="s">
        <v>3</v>
      </c>
      <c r="B7166" t="s">
        <v>23</v>
      </c>
      <c r="C7166" t="s">
        <v>143</v>
      </c>
      <c r="D7166" s="9" t="s">
        <v>137</v>
      </c>
      <c r="E7166" t="s">
        <v>38</v>
      </c>
      <c r="F7166" t="s">
        <v>73</v>
      </c>
      <c r="G7166">
        <v>234.6</v>
      </c>
      <c r="H7166" s="9">
        <v>5.01</v>
      </c>
      <c r="I7166"/>
    </row>
    <row r="7167" spans="1:9" x14ac:dyDescent="0.3">
      <c r="A7167" t="s">
        <v>3</v>
      </c>
      <c r="B7167" t="s">
        <v>23</v>
      </c>
      <c r="C7167" t="s">
        <v>144</v>
      </c>
      <c r="D7167" s="9" t="s">
        <v>137</v>
      </c>
      <c r="E7167" t="s">
        <v>39</v>
      </c>
      <c r="F7167" t="s">
        <v>75</v>
      </c>
      <c r="G7167">
        <v>229.7</v>
      </c>
      <c r="H7167" s="9">
        <v>5.76</v>
      </c>
      <c r="I7167"/>
    </row>
    <row r="7168" spans="1:9" x14ac:dyDescent="0.3">
      <c r="A7168" t="s">
        <v>3</v>
      </c>
      <c r="B7168" t="s">
        <v>23</v>
      </c>
      <c r="C7168" t="s">
        <v>145</v>
      </c>
      <c r="D7168" s="9" t="s">
        <v>137</v>
      </c>
      <c r="E7168" t="s">
        <v>40</v>
      </c>
      <c r="F7168" t="s">
        <v>77</v>
      </c>
      <c r="G7168">
        <v>233.3</v>
      </c>
      <c r="H7168" s="9">
        <v>9.1199999999999992</v>
      </c>
      <c r="I7168"/>
    </row>
    <row r="7169" spans="1:9" x14ac:dyDescent="0.3">
      <c r="A7169" t="s">
        <v>3</v>
      </c>
      <c r="B7169" t="s">
        <v>23</v>
      </c>
      <c r="C7169" t="s">
        <v>146</v>
      </c>
      <c r="D7169" s="9" t="s">
        <v>137</v>
      </c>
      <c r="E7169" t="s">
        <v>41</v>
      </c>
      <c r="F7169" t="s">
        <v>79</v>
      </c>
      <c r="G7169">
        <v>240.6</v>
      </c>
      <c r="H7169" s="9">
        <v>10.42</v>
      </c>
      <c r="I7169"/>
    </row>
    <row r="7170" spans="1:9" x14ac:dyDescent="0.3">
      <c r="A7170" t="s">
        <v>3</v>
      </c>
      <c r="B7170" t="s">
        <v>23</v>
      </c>
      <c r="C7170" t="s">
        <v>147</v>
      </c>
      <c r="D7170" s="9" t="s">
        <v>137</v>
      </c>
      <c r="E7170" t="s">
        <v>42</v>
      </c>
      <c r="F7170" t="s">
        <v>81</v>
      </c>
      <c r="G7170">
        <v>237.6</v>
      </c>
      <c r="H7170" s="9">
        <v>8.99</v>
      </c>
      <c r="I7170"/>
    </row>
    <row r="7171" spans="1:9" x14ac:dyDescent="0.3">
      <c r="A7171" t="s">
        <v>3</v>
      </c>
      <c r="B7171" t="s">
        <v>23</v>
      </c>
      <c r="C7171" t="s">
        <v>148</v>
      </c>
      <c r="D7171" s="9" t="s">
        <v>137</v>
      </c>
      <c r="E7171" t="s">
        <v>43</v>
      </c>
      <c r="F7171" t="s">
        <v>83</v>
      </c>
      <c r="G7171">
        <v>326.8</v>
      </c>
      <c r="H7171" s="9">
        <v>22.86</v>
      </c>
      <c r="I7171"/>
    </row>
    <row r="7172" spans="1:9" x14ac:dyDescent="0.3">
      <c r="A7172" t="s">
        <v>3</v>
      </c>
      <c r="B7172" t="s">
        <v>23</v>
      </c>
      <c r="C7172" t="s">
        <v>149</v>
      </c>
      <c r="D7172" s="9" t="s">
        <v>150</v>
      </c>
      <c r="E7172" t="s">
        <v>32</v>
      </c>
      <c r="F7172" t="s">
        <v>61</v>
      </c>
      <c r="G7172">
        <v>249.7</v>
      </c>
      <c r="H7172" s="9">
        <v>17.89</v>
      </c>
      <c r="I7172"/>
    </row>
    <row r="7173" spans="1:9" x14ac:dyDescent="0.3">
      <c r="A7173" t="s">
        <v>3</v>
      </c>
      <c r="B7173" t="s">
        <v>23</v>
      </c>
      <c r="C7173" t="s">
        <v>151</v>
      </c>
      <c r="D7173" s="9" t="s">
        <v>150</v>
      </c>
      <c r="E7173" t="s">
        <v>33</v>
      </c>
      <c r="F7173" t="s">
        <v>63</v>
      </c>
      <c r="G7173">
        <v>237.6</v>
      </c>
      <c r="H7173" s="9">
        <v>12.29</v>
      </c>
      <c r="I7173"/>
    </row>
    <row r="7174" spans="1:9" x14ac:dyDescent="0.3">
      <c r="A7174" t="s">
        <v>3</v>
      </c>
      <c r="B7174" t="s">
        <v>23</v>
      </c>
      <c r="C7174" t="s">
        <v>152</v>
      </c>
      <c r="D7174" s="9" t="s">
        <v>150</v>
      </c>
      <c r="E7174" t="s">
        <v>34</v>
      </c>
      <c r="F7174" t="s">
        <v>65</v>
      </c>
      <c r="G7174">
        <v>262.8</v>
      </c>
      <c r="H7174" s="9">
        <v>14.31</v>
      </c>
      <c r="I7174"/>
    </row>
    <row r="7175" spans="1:9" x14ac:dyDescent="0.3">
      <c r="A7175" t="s">
        <v>3</v>
      </c>
      <c r="B7175" t="s">
        <v>23</v>
      </c>
      <c r="C7175" t="s">
        <v>153</v>
      </c>
      <c r="D7175" s="9" t="s">
        <v>150</v>
      </c>
      <c r="E7175" t="s">
        <v>35</v>
      </c>
      <c r="F7175" t="s">
        <v>67</v>
      </c>
      <c r="G7175">
        <v>279.2</v>
      </c>
      <c r="H7175" s="9">
        <v>16.72</v>
      </c>
      <c r="I7175"/>
    </row>
    <row r="7176" spans="1:9" x14ac:dyDescent="0.3">
      <c r="A7176" t="s">
        <v>3</v>
      </c>
      <c r="B7176" t="s">
        <v>23</v>
      </c>
      <c r="C7176" t="s">
        <v>154</v>
      </c>
      <c r="D7176" s="9" t="s">
        <v>150</v>
      </c>
      <c r="E7176" t="s">
        <v>36</v>
      </c>
      <c r="F7176" t="s">
        <v>69</v>
      </c>
      <c r="G7176">
        <v>268.10000000000002</v>
      </c>
      <c r="H7176" s="9">
        <v>13.89</v>
      </c>
      <c r="I7176"/>
    </row>
    <row r="7177" spans="1:9" x14ac:dyDescent="0.3">
      <c r="A7177" t="s">
        <v>3</v>
      </c>
      <c r="B7177" t="s">
        <v>23</v>
      </c>
      <c r="C7177" t="s">
        <v>155</v>
      </c>
      <c r="D7177" s="9" t="s">
        <v>150</v>
      </c>
      <c r="E7177" t="s">
        <v>37</v>
      </c>
      <c r="F7177" t="s">
        <v>71</v>
      </c>
      <c r="G7177">
        <v>261.5</v>
      </c>
      <c r="H7177" s="9">
        <v>19.3</v>
      </c>
      <c r="I7177"/>
    </row>
    <row r="7178" spans="1:9" x14ac:dyDescent="0.3">
      <c r="A7178" t="s">
        <v>3</v>
      </c>
      <c r="B7178" t="s">
        <v>17</v>
      </c>
      <c r="C7178" t="s">
        <v>59</v>
      </c>
      <c r="D7178" s="9" t="s">
        <v>60</v>
      </c>
      <c r="E7178" t="s">
        <v>32</v>
      </c>
      <c r="F7178" t="s">
        <v>61</v>
      </c>
      <c r="G7178">
        <v>472.1</v>
      </c>
      <c r="I7178"/>
    </row>
    <row r="7179" spans="1:9" x14ac:dyDescent="0.3">
      <c r="A7179" t="s">
        <v>3</v>
      </c>
      <c r="B7179" t="s">
        <v>17</v>
      </c>
      <c r="C7179" t="s">
        <v>62</v>
      </c>
      <c r="D7179" s="9" t="s">
        <v>60</v>
      </c>
      <c r="E7179" t="s">
        <v>33</v>
      </c>
      <c r="F7179" t="s">
        <v>63</v>
      </c>
      <c r="G7179">
        <v>458.3</v>
      </c>
      <c r="I7179"/>
    </row>
    <row r="7180" spans="1:9" x14ac:dyDescent="0.3">
      <c r="A7180" t="s">
        <v>3</v>
      </c>
      <c r="B7180" t="s">
        <v>17</v>
      </c>
      <c r="C7180" t="s">
        <v>64</v>
      </c>
      <c r="D7180" s="9" t="s">
        <v>60</v>
      </c>
      <c r="E7180" t="s">
        <v>34</v>
      </c>
      <c r="F7180" t="s">
        <v>65</v>
      </c>
      <c r="G7180">
        <v>495.1</v>
      </c>
      <c r="I7180"/>
    </row>
    <row r="7181" spans="1:9" x14ac:dyDescent="0.3">
      <c r="A7181" t="s">
        <v>3</v>
      </c>
      <c r="B7181" t="s">
        <v>17</v>
      </c>
      <c r="C7181" t="s">
        <v>66</v>
      </c>
      <c r="D7181" s="9" t="s">
        <v>60</v>
      </c>
      <c r="E7181" t="s">
        <v>35</v>
      </c>
      <c r="F7181" t="s">
        <v>67</v>
      </c>
      <c r="G7181">
        <v>491.7</v>
      </c>
      <c r="I7181"/>
    </row>
    <row r="7182" spans="1:9" x14ac:dyDescent="0.3">
      <c r="A7182" t="s">
        <v>3</v>
      </c>
      <c r="B7182" t="s">
        <v>17</v>
      </c>
      <c r="C7182" t="s">
        <v>68</v>
      </c>
      <c r="D7182" s="9" t="s">
        <v>60</v>
      </c>
      <c r="E7182" t="s">
        <v>36</v>
      </c>
      <c r="F7182" t="s">
        <v>69</v>
      </c>
      <c r="G7182">
        <v>530.79999999999995</v>
      </c>
      <c r="I7182"/>
    </row>
    <row r="7183" spans="1:9" x14ac:dyDescent="0.3">
      <c r="A7183" t="s">
        <v>3</v>
      </c>
      <c r="B7183" t="s">
        <v>17</v>
      </c>
      <c r="C7183" t="s">
        <v>70</v>
      </c>
      <c r="D7183" s="9" t="s">
        <v>60</v>
      </c>
      <c r="E7183" t="s">
        <v>37</v>
      </c>
      <c r="F7183" t="s">
        <v>71</v>
      </c>
      <c r="G7183">
        <v>515</v>
      </c>
      <c r="I7183"/>
    </row>
    <row r="7184" spans="1:9" x14ac:dyDescent="0.3">
      <c r="A7184" t="s">
        <v>3</v>
      </c>
      <c r="B7184" t="s">
        <v>17</v>
      </c>
      <c r="C7184" t="s">
        <v>72</v>
      </c>
      <c r="D7184" s="9" t="s">
        <v>60</v>
      </c>
      <c r="E7184" t="s">
        <v>38</v>
      </c>
      <c r="F7184" t="s">
        <v>73</v>
      </c>
      <c r="G7184">
        <v>528.9</v>
      </c>
      <c r="I7184"/>
    </row>
    <row r="7185" spans="1:9" x14ac:dyDescent="0.3">
      <c r="A7185" t="s">
        <v>3</v>
      </c>
      <c r="B7185" t="s">
        <v>17</v>
      </c>
      <c r="C7185" t="s">
        <v>74</v>
      </c>
      <c r="D7185" s="9" t="s">
        <v>60</v>
      </c>
      <c r="E7185" t="s">
        <v>39</v>
      </c>
      <c r="F7185" t="s">
        <v>75</v>
      </c>
      <c r="G7185">
        <v>551.70000000000005</v>
      </c>
      <c r="I7185"/>
    </row>
    <row r="7186" spans="1:9" x14ac:dyDescent="0.3">
      <c r="A7186" t="s">
        <v>3</v>
      </c>
      <c r="B7186" t="s">
        <v>17</v>
      </c>
      <c r="C7186" t="s">
        <v>76</v>
      </c>
      <c r="D7186" s="9" t="s">
        <v>60</v>
      </c>
      <c r="E7186" t="s">
        <v>40</v>
      </c>
      <c r="F7186" t="s">
        <v>77</v>
      </c>
      <c r="G7186">
        <v>532</v>
      </c>
      <c r="I7186"/>
    </row>
    <row r="7187" spans="1:9" x14ac:dyDescent="0.3">
      <c r="A7187" t="s">
        <v>3</v>
      </c>
      <c r="B7187" t="s">
        <v>17</v>
      </c>
      <c r="C7187" t="s">
        <v>78</v>
      </c>
      <c r="D7187" s="9" t="s">
        <v>60</v>
      </c>
      <c r="E7187" t="s">
        <v>41</v>
      </c>
      <c r="F7187" t="s">
        <v>79</v>
      </c>
      <c r="G7187">
        <v>538.6</v>
      </c>
      <c r="I7187"/>
    </row>
    <row r="7188" spans="1:9" x14ac:dyDescent="0.3">
      <c r="A7188" t="s">
        <v>3</v>
      </c>
      <c r="B7188" t="s">
        <v>17</v>
      </c>
      <c r="C7188" t="s">
        <v>80</v>
      </c>
      <c r="D7188" s="9" t="s">
        <v>60</v>
      </c>
      <c r="E7188" t="s">
        <v>42</v>
      </c>
      <c r="F7188" t="s">
        <v>81</v>
      </c>
      <c r="G7188">
        <v>552.1</v>
      </c>
      <c r="I7188"/>
    </row>
    <row r="7189" spans="1:9" x14ac:dyDescent="0.3">
      <c r="A7189" t="s">
        <v>3</v>
      </c>
      <c r="B7189" t="s">
        <v>17</v>
      </c>
      <c r="C7189" t="s">
        <v>82</v>
      </c>
      <c r="D7189" s="9" t="s">
        <v>60</v>
      </c>
      <c r="E7189" t="s">
        <v>43</v>
      </c>
      <c r="F7189" t="s">
        <v>83</v>
      </c>
      <c r="G7189">
        <v>644.5</v>
      </c>
      <c r="I7189"/>
    </row>
    <row r="7190" spans="1:9" x14ac:dyDescent="0.3">
      <c r="A7190" t="s">
        <v>3</v>
      </c>
      <c r="B7190" t="s">
        <v>17</v>
      </c>
      <c r="C7190" t="s">
        <v>84</v>
      </c>
      <c r="D7190" s="9" t="s">
        <v>85</v>
      </c>
      <c r="E7190" t="s">
        <v>32</v>
      </c>
      <c r="F7190" t="s">
        <v>61</v>
      </c>
      <c r="G7190">
        <v>487.6</v>
      </c>
      <c r="H7190" s="9">
        <v>3.28</v>
      </c>
      <c r="I7190"/>
    </row>
    <row r="7191" spans="1:9" x14ac:dyDescent="0.3">
      <c r="A7191" t="s">
        <v>3</v>
      </c>
      <c r="B7191" t="s">
        <v>17</v>
      </c>
      <c r="C7191" t="s">
        <v>86</v>
      </c>
      <c r="D7191" s="9" t="s">
        <v>85</v>
      </c>
      <c r="E7191" t="s">
        <v>33</v>
      </c>
      <c r="F7191" t="s">
        <v>63</v>
      </c>
      <c r="G7191">
        <v>507.6</v>
      </c>
      <c r="H7191" s="9">
        <v>10.76</v>
      </c>
      <c r="I7191"/>
    </row>
    <row r="7192" spans="1:9" x14ac:dyDescent="0.3">
      <c r="A7192" t="s">
        <v>3</v>
      </c>
      <c r="B7192" t="s">
        <v>17</v>
      </c>
      <c r="C7192" t="s">
        <v>87</v>
      </c>
      <c r="D7192" s="9" t="s">
        <v>85</v>
      </c>
      <c r="E7192" t="s">
        <v>34</v>
      </c>
      <c r="F7192" t="s">
        <v>65</v>
      </c>
      <c r="G7192">
        <v>671.2</v>
      </c>
      <c r="H7192" s="9">
        <v>35.57</v>
      </c>
      <c r="I7192"/>
    </row>
    <row r="7193" spans="1:9" x14ac:dyDescent="0.3">
      <c r="A7193" t="s">
        <v>3</v>
      </c>
      <c r="B7193" t="s">
        <v>17</v>
      </c>
      <c r="C7193" t="s">
        <v>88</v>
      </c>
      <c r="D7193" s="9" t="s">
        <v>85</v>
      </c>
      <c r="E7193" t="s">
        <v>35</v>
      </c>
      <c r="F7193" t="s">
        <v>67</v>
      </c>
      <c r="G7193">
        <v>465.5</v>
      </c>
      <c r="H7193" s="9">
        <v>-5.33</v>
      </c>
      <c r="I7193"/>
    </row>
    <row r="7194" spans="1:9" x14ac:dyDescent="0.3">
      <c r="A7194" t="s">
        <v>3</v>
      </c>
      <c r="B7194" t="s">
        <v>17</v>
      </c>
      <c r="C7194" t="s">
        <v>89</v>
      </c>
      <c r="D7194" s="9" t="s">
        <v>85</v>
      </c>
      <c r="E7194" t="s">
        <v>36</v>
      </c>
      <c r="F7194" t="s">
        <v>69</v>
      </c>
      <c r="G7194">
        <v>540.9</v>
      </c>
      <c r="H7194" s="9">
        <v>1.9</v>
      </c>
      <c r="I7194"/>
    </row>
    <row r="7195" spans="1:9" x14ac:dyDescent="0.3">
      <c r="A7195" t="s">
        <v>3</v>
      </c>
      <c r="B7195" t="s">
        <v>17</v>
      </c>
      <c r="C7195" t="s">
        <v>90</v>
      </c>
      <c r="D7195" s="9" t="s">
        <v>85</v>
      </c>
      <c r="E7195" t="s">
        <v>37</v>
      </c>
      <c r="F7195" t="s">
        <v>71</v>
      </c>
      <c r="G7195">
        <v>510.6</v>
      </c>
      <c r="H7195" s="9">
        <v>-0.85</v>
      </c>
      <c r="I7195"/>
    </row>
    <row r="7196" spans="1:9" x14ac:dyDescent="0.3">
      <c r="A7196" t="s">
        <v>3</v>
      </c>
      <c r="B7196" t="s">
        <v>17</v>
      </c>
      <c r="C7196" t="s">
        <v>91</v>
      </c>
      <c r="D7196" s="9" t="s">
        <v>85</v>
      </c>
      <c r="E7196" t="s">
        <v>38</v>
      </c>
      <c r="F7196" t="s">
        <v>73</v>
      </c>
      <c r="G7196">
        <v>558.5</v>
      </c>
      <c r="H7196" s="9">
        <v>5.6</v>
      </c>
      <c r="I7196"/>
    </row>
    <row r="7197" spans="1:9" x14ac:dyDescent="0.3">
      <c r="A7197" t="s">
        <v>3</v>
      </c>
      <c r="B7197" t="s">
        <v>17</v>
      </c>
      <c r="C7197" t="s">
        <v>92</v>
      </c>
      <c r="D7197" s="9" t="s">
        <v>85</v>
      </c>
      <c r="E7197" t="s">
        <v>39</v>
      </c>
      <c r="F7197" t="s">
        <v>75</v>
      </c>
      <c r="G7197">
        <v>495.8</v>
      </c>
      <c r="H7197" s="9">
        <v>-10.130000000000001</v>
      </c>
      <c r="I7197"/>
    </row>
    <row r="7198" spans="1:9" x14ac:dyDescent="0.3">
      <c r="A7198" t="s">
        <v>3</v>
      </c>
      <c r="B7198" t="s">
        <v>17</v>
      </c>
      <c r="C7198" t="s">
        <v>93</v>
      </c>
      <c r="D7198" s="9" t="s">
        <v>85</v>
      </c>
      <c r="E7198" t="s">
        <v>40</v>
      </c>
      <c r="F7198" t="s">
        <v>77</v>
      </c>
      <c r="G7198">
        <v>504.8</v>
      </c>
      <c r="H7198" s="9">
        <v>-5.1100000000000003</v>
      </c>
      <c r="I7198"/>
    </row>
    <row r="7199" spans="1:9" x14ac:dyDescent="0.3">
      <c r="A7199" t="s">
        <v>3</v>
      </c>
      <c r="B7199" t="s">
        <v>17</v>
      </c>
      <c r="C7199" t="s">
        <v>94</v>
      </c>
      <c r="D7199" s="9" t="s">
        <v>85</v>
      </c>
      <c r="E7199" t="s">
        <v>41</v>
      </c>
      <c r="F7199" t="s">
        <v>79</v>
      </c>
      <c r="G7199">
        <v>555.1</v>
      </c>
      <c r="H7199" s="9">
        <v>3.06</v>
      </c>
      <c r="I7199"/>
    </row>
    <row r="7200" spans="1:9" x14ac:dyDescent="0.3">
      <c r="A7200" t="s">
        <v>3</v>
      </c>
      <c r="B7200" t="s">
        <v>17</v>
      </c>
      <c r="C7200" t="s">
        <v>95</v>
      </c>
      <c r="D7200" s="9" t="s">
        <v>85</v>
      </c>
      <c r="E7200" t="s">
        <v>42</v>
      </c>
      <c r="F7200" t="s">
        <v>81</v>
      </c>
      <c r="G7200">
        <v>583.70000000000005</v>
      </c>
      <c r="H7200" s="9">
        <v>5.72</v>
      </c>
      <c r="I7200"/>
    </row>
    <row r="7201" spans="1:9" x14ac:dyDescent="0.3">
      <c r="A7201" t="s">
        <v>3</v>
      </c>
      <c r="B7201" t="s">
        <v>17</v>
      </c>
      <c r="C7201" t="s">
        <v>96</v>
      </c>
      <c r="D7201" s="9" t="s">
        <v>85</v>
      </c>
      <c r="E7201" t="s">
        <v>43</v>
      </c>
      <c r="F7201" t="s">
        <v>83</v>
      </c>
      <c r="G7201">
        <v>706.9</v>
      </c>
      <c r="H7201" s="9">
        <v>9.68</v>
      </c>
      <c r="I7201"/>
    </row>
    <row r="7202" spans="1:9" x14ac:dyDescent="0.3">
      <c r="A7202" t="s">
        <v>3</v>
      </c>
      <c r="B7202" t="s">
        <v>17</v>
      </c>
      <c r="C7202" t="s">
        <v>97</v>
      </c>
      <c r="D7202" s="9" t="s">
        <v>98</v>
      </c>
      <c r="E7202" t="s">
        <v>32</v>
      </c>
      <c r="F7202" t="s">
        <v>61</v>
      </c>
      <c r="G7202">
        <v>508</v>
      </c>
      <c r="H7202" s="9">
        <v>4.18</v>
      </c>
      <c r="I7202"/>
    </row>
    <row r="7203" spans="1:9" x14ac:dyDescent="0.3">
      <c r="A7203" t="s">
        <v>3</v>
      </c>
      <c r="B7203" t="s">
        <v>17</v>
      </c>
      <c r="C7203" t="s">
        <v>99</v>
      </c>
      <c r="D7203" s="9" t="s">
        <v>98</v>
      </c>
      <c r="E7203" t="s">
        <v>33</v>
      </c>
      <c r="F7203" t="s">
        <v>63</v>
      </c>
      <c r="G7203">
        <v>499.7</v>
      </c>
      <c r="H7203" s="9">
        <v>-1.56</v>
      </c>
      <c r="I7203"/>
    </row>
    <row r="7204" spans="1:9" x14ac:dyDescent="0.3">
      <c r="A7204" t="s">
        <v>3</v>
      </c>
      <c r="B7204" t="s">
        <v>17</v>
      </c>
      <c r="C7204" t="s">
        <v>100</v>
      </c>
      <c r="D7204" s="9" t="s">
        <v>98</v>
      </c>
      <c r="E7204" t="s">
        <v>34</v>
      </c>
      <c r="F7204" t="s">
        <v>65</v>
      </c>
      <c r="G7204">
        <v>566.9</v>
      </c>
      <c r="H7204" s="9">
        <v>-15.54</v>
      </c>
      <c r="I7204"/>
    </row>
    <row r="7205" spans="1:9" x14ac:dyDescent="0.3">
      <c r="A7205" t="s">
        <v>3</v>
      </c>
      <c r="B7205" t="s">
        <v>17</v>
      </c>
      <c r="C7205" t="s">
        <v>101</v>
      </c>
      <c r="D7205" s="9" t="s">
        <v>98</v>
      </c>
      <c r="E7205" t="s">
        <v>35</v>
      </c>
      <c r="F7205" t="s">
        <v>67</v>
      </c>
      <c r="G7205">
        <v>552</v>
      </c>
      <c r="H7205" s="9">
        <v>18.579999999999998</v>
      </c>
      <c r="I7205"/>
    </row>
    <row r="7206" spans="1:9" x14ac:dyDescent="0.3">
      <c r="A7206" t="s">
        <v>3</v>
      </c>
      <c r="B7206" t="s">
        <v>17</v>
      </c>
      <c r="C7206" t="s">
        <v>102</v>
      </c>
      <c r="D7206" s="9" t="s">
        <v>98</v>
      </c>
      <c r="E7206" t="s">
        <v>36</v>
      </c>
      <c r="F7206" t="s">
        <v>69</v>
      </c>
      <c r="G7206">
        <v>574.20000000000005</v>
      </c>
      <c r="H7206" s="9">
        <v>6.16</v>
      </c>
      <c r="I7206"/>
    </row>
    <row r="7207" spans="1:9" x14ac:dyDescent="0.3">
      <c r="A7207" t="s">
        <v>3</v>
      </c>
      <c r="B7207" t="s">
        <v>17</v>
      </c>
      <c r="C7207" t="s">
        <v>103</v>
      </c>
      <c r="D7207" s="9" t="s">
        <v>98</v>
      </c>
      <c r="E7207" t="s">
        <v>37</v>
      </c>
      <c r="F7207" t="s">
        <v>71</v>
      </c>
      <c r="G7207">
        <v>510.6</v>
      </c>
      <c r="H7207" s="9">
        <v>0</v>
      </c>
      <c r="I7207"/>
    </row>
    <row r="7208" spans="1:9" x14ac:dyDescent="0.3">
      <c r="A7208" t="s">
        <v>3</v>
      </c>
      <c r="B7208" t="s">
        <v>17</v>
      </c>
      <c r="C7208" t="s">
        <v>104</v>
      </c>
      <c r="D7208" s="9" t="s">
        <v>98</v>
      </c>
      <c r="E7208" t="s">
        <v>38</v>
      </c>
      <c r="F7208" t="s">
        <v>73</v>
      </c>
      <c r="G7208">
        <v>544.4</v>
      </c>
      <c r="H7208" s="9">
        <v>-2.52</v>
      </c>
      <c r="I7208"/>
    </row>
    <row r="7209" spans="1:9" x14ac:dyDescent="0.3">
      <c r="A7209" t="s">
        <v>3</v>
      </c>
      <c r="B7209" t="s">
        <v>17</v>
      </c>
      <c r="C7209" t="s">
        <v>105</v>
      </c>
      <c r="D7209" s="9" t="s">
        <v>98</v>
      </c>
      <c r="E7209" t="s">
        <v>39</v>
      </c>
      <c r="F7209" t="s">
        <v>75</v>
      </c>
      <c r="G7209">
        <v>562.6</v>
      </c>
      <c r="H7209" s="9">
        <v>13.47</v>
      </c>
      <c r="I7209"/>
    </row>
    <row r="7210" spans="1:9" x14ac:dyDescent="0.3">
      <c r="A7210" t="s">
        <v>3</v>
      </c>
      <c r="B7210" t="s">
        <v>17</v>
      </c>
      <c r="C7210" t="s">
        <v>106</v>
      </c>
      <c r="D7210" s="9" t="s">
        <v>98</v>
      </c>
      <c r="E7210" t="s">
        <v>40</v>
      </c>
      <c r="F7210" t="s">
        <v>77</v>
      </c>
      <c r="G7210">
        <v>560</v>
      </c>
      <c r="H7210" s="9">
        <v>10.94</v>
      </c>
      <c r="I7210"/>
    </row>
    <row r="7211" spans="1:9" x14ac:dyDescent="0.3">
      <c r="A7211" t="s">
        <v>3</v>
      </c>
      <c r="B7211" t="s">
        <v>17</v>
      </c>
      <c r="C7211" t="s">
        <v>107</v>
      </c>
      <c r="D7211" s="9" t="s">
        <v>98</v>
      </c>
      <c r="E7211" t="s">
        <v>41</v>
      </c>
      <c r="F7211" t="s">
        <v>79</v>
      </c>
      <c r="G7211">
        <v>569.4</v>
      </c>
      <c r="H7211" s="9">
        <v>2.58</v>
      </c>
      <c r="I7211"/>
    </row>
    <row r="7212" spans="1:9" x14ac:dyDescent="0.3">
      <c r="A7212" t="s">
        <v>3</v>
      </c>
      <c r="B7212" t="s">
        <v>17</v>
      </c>
      <c r="C7212" t="s">
        <v>108</v>
      </c>
      <c r="D7212" s="9" t="s">
        <v>98</v>
      </c>
      <c r="E7212" t="s">
        <v>42</v>
      </c>
      <c r="F7212" t="s">
        <v>81</v>
      </c>
      <c r="G7212">
        <v>628.79999999999995</v>
      </c>
      <c r="H7212" s="9">
        <v>7.73</v>
      </c>
      <c r="I7212"/>
    </row>
    <row r="7213" spans="1:9" x14ac:dyDescent="0.3">
      <c r="A7213" t="s">
        <v>3</v>
      </c>
      <c r="B7213" t="s">
        <v>17</v>
      </c>
      <c r="C7213" t="s">
        <v>109</v>
      </c>
      <c r="D7213" s="9" t="s">
        <v>98</v>
      </c>
      <c r="E7213" t="s">
        <v>43</v>
      </c>
      <c r="F7213" t="s">
        <v>83</v>
      </c>
      <c r="G7213">
        <v>791.3</v>
      </c>
      <c r="H7213" s="9">
        <v>11.94</v>
      </c>
      <c r="I7213"/>
    </row>
    <row r="7214" spans="1:9" x14ac:dyDescent="0.3">
      <c r="A7214" t="s">
        <v>3</v>
      </c>
      <c r="B7214" t="s">
        <v>17</v>
      </c>
      <c r="C7214" t="s">
        <v>110</v>
      </c>
      <c r="D7214" s="9" t="s">
        <v>111</v>
      </c>
      <c r="E7214" t="s">
        <v>32</v>
      </c>
      <c r="F7214" t="s">
        <v>61</v>
      </c>
      <c r="G7214">
        <v>595</v>
      </c>
      <c r="H7214" s="9">
        <v>17.13</v>
      </c>
      <c r="I7214"/>
    </row>
    <row r="7215" spans="1:9" x14ac:dyDescent="0.3">
      <c r="A7215" t="s">
        <v>3</v>
      </c>
      <c r="B7215" t="s">
        <v>17</v>
      </c>
      <c r="C7215" t="s">
        <v>112</v>
      </c>
      <c r="D7215" s="9" t="s">
        <v>111</v>
      </c>
      <c r="E7215" t="s">
        <v>33</v>
      </c>
      <c r="F7215" t="s">
        <v>63</v>
      </c>
      <c r="G7215">
        <v>540.70000000000005</v>
      </c>
      <c r="H7215" s="9">
        <v>8.1999999999999993</v>
      </c>
      <c r="I7215"/>
    </row>
    <row r="7216" spans="1:9" x14ac:dyDescent="0.3">
      <c r="A7216" t="s">
        <v>3</v>
      </c>
      <c r="B7216" t="s">
        <v>17</v>
      </c>
      <c r="C7216" t="s">
        <v>113</v>
      </c>
      <c r="D7216" s="9" t="s">
        <v>111</v>
      </c>
      <c r="E7216" t="s">
        <v>34</v>
      </c>
      <c r="F7216" t="s">
        <v>65</v>
      </c>
      <c r="G7216">
        <v>612.9</v>
      </c>
      <c r="H7216" s="9">
        <v>8.11</v>
      </c>
      <c r="I7216"/>
    </row>
    <row r="7217" spans="1:9" x14ac:dyDescent="0.3">
      <c r="A7217" t="s">
        <v>3</v>
      </c>
      <c r="B7217" t="s">
        <v>17</v>
      </c>
      <c r="C7217" t="s">
        <v>114</v>
      </c>
      <c r="D7217" s="9" t="s">
        <v>111</v>
      </c>
      <c r="E7217" t="s">
        <v>35</v>
      </c>
      <c r="F7217" t="s">
        <v>67</v>
      </c>
      <c r="G7217">
        <v>599.20000000000005</v>
      </c>
      <c r="H7217" s="9">
        <v>8.5500000000000007</v>
      </c>
      <c r="I7217"/>
    </row>
    <row r="7218" spans="1:9" x14ac:dyDescent="0.3">
      <c r="A7218" t="s">
        <v>3</v>
      </c>
      <c r="B7218" t="s">
        <v>17</v>
      </c>
      <c r="C7218" t="s">
        <v>115</v>
      </c>
      <c r="D7218" s="9" t="s">
        <v>111</v>
      </c>
      <c r="E7218" t="s">
        <v>36</v>
      </c>
      <c r="F7218" t="s">
        <v>69</v>
      </c>
      <c r="G7218">
        <v>661.9</v>
      </c>
      <c r="H7218" s="9">
        <v>15.27</v>
      </c>
      <c r="I7218"/>
    </row>
    <row r="7219" spans="1:9" x14ac:dyDescent="0.3">
      <c r="A7219" t="s">
        <v>3</v>
      </c>
      <c r="B7219" t="s">
        <v>17</v>
      </c>
      <c r="C7219" t="s">
        <v>116</v>
      </c>
      <c r="D7219" s="9" t="s">
        <v>111</v>
      </c>
      <c r="E7219" t="s">
        <v>37</v>
      </c>
      <c r="F7219" t="s">
        <v>71</v>
      </c>
      <c r="G7219">
        <v>635.5</v>
      </c>
      <c r="H7219" s="9">
        <v>24.46</v>
      </c>
      <c r="I7219"/>
    </row>
    <row r="7220" spans="1:9" x14ac:dyDescent="0.3">
      <c r="A7220" t="s">
        <v>3</v>
      </c>
      <c r="B7220" t="s">
        <v>17</v>
      </c>
      <c r="C7220" t="s">
        <v>117</v>
      </c>
      <c r="D7220" s="9" t="s">
        <v>111</v>
      </c>
      <c r="E7220" t="s">
        <v>38</v>
      </c>
      <c r="F7220" t="s">
        <v>73</v>
      </c>
      <c r="G7220">
        <v>651.4</v>
      </c>
      <c r="H7220" s="9">
        <v>19.649999999999999</v>
      </c>
      <c r="I7220"/>
    </row>
    <row r="7221" spans="1:9" x14ac:dyDescent="0.3">
      <c r="A7221" t="s">
        <v>3</v>
      </c>
      <c r="B7221" t="s">
        <v>17</v>
      </c>
      <c r="C7221" t="s">
        <v>118</v>
      </c>
      <c r="D7221" s="9" t="s">
        <v>111</v>
      </c>
      <c r="E7221" t="s">
        <v>39</v>
      </c>
      <c r="F7221" t="s">
        <v>75</v>
      </c>
      <c r="G7221">
        <v>639.9</v>
      </c>
      <c r="H7221" s="9">
        <v>13.74</v>
      </c>
      <c r="I7221"/>
    </row>
    <row r="7222" spans="1:9" x14ac:dyDescent="0.3">
      <c r="A7222" t="s">
        <v>3</v>
      </c>
      <c r="B7222" t="s">
        <v>17</v>
      </c>
      <c r="C7222" t="s">
        <v>119</v>
      </c>
      <c r="D7222" s="9" t="s">
        <v>111</v>
      </c>
      <c r="E7222" t="s">
        <v>40</v>
      </c>
      <c r="F7222" t="s">
        <v>77</v>
      </c>
      <c r="G7222">
        <v>624.4</v>
      </c>
      <c r="H7222" s="9">
        <v>11.5</v>
      </c>
      <c r="I7222"/>
    </row>
    <row r="7223" spans="1:9" x14ac:dyDescent="0.3">
      <c r="A7223" t="s">
        <v>3</v>
      </c>
      <c r="B7223" t="s">
        <v>17</v>
      </c>
      <c r="C7223" t="s">
        <v>120</v>
      </c>
      <c r="D7223" s="9" t="s">
        <v>111</v>
      </c>
      <c r="E7223" t="s">
        <v>41</v>
      </c>
      <c r="F7223" t="s">
        <v>79</v>
      </c>
      <c r="G7223">
        <v>626</v>
      </c>
      <c r="H7223" s="9">
        <v>9.94</v>
      </c>
      <c r="I7223"/>
    </row>
    <row r="7224" spans="1:9" x14ac:dyDescent="0.3">
      <c r="A7224" t="s">
        <v>3</v>
      </c>
      <c r="B7224" t="s">
        <v>17</v>
      </c>
      <c r="C7224" t="s">
        <v>121</v>
      </c>
      <c r="D7224" s="9" t="s">
        <v>111</v>
      </c>
      <c r="E7224" t="s">
        <v>42</v>
      </c>
      <c r="F7224" t="s">
        <v>81</v>
      </c>
      <c r="G7224">
        <v>692.9</v>
      </c>
      <c r="H7224" s="9">
        <v>10.19</v>
      </c>
      <c r="I7224"/>
    </row>
    <row r="7225" spans="1:9" x14ac:dyDescent="0.3">
      <c r="A7225" t="s">
        <v>3</v>
      </c>
      <c r="B7225" t="s">
        <v>17</v>
      </c>
      <c r="C7225" t="s">
        <v>122</v>
      </c>
      <c r="D7225" s="9" t="s">
        <v>111</v>
      </c>
      <c r="E7225" t="s">
        <v>43</v>
      </c>
      <c r="F7225" t="s">
        <v>83</v>
      </c>
      <c r="G7225">
        <v>847.9</v>
      </c>
      <c r="H7225" s="9">
        <v>7.15</v>
      </c>
      <c r="I7225"/>
    </row>
    <row r="7226" spans="1:9" x14ac:dyDescent="0.3">
      <c r="A7226" t="s">
        <v>3</v>
      </c>
      <c r="B7226" t="s">
        <v>17</v>
      </c>
      <c r="C7226" t="s">
        <v>123</v>
      </c>
      <c r="D7226" s="9" t="s">
        <v>124</v>
      </c>
      <c r="E7226" t="s">
        <v>32</v>
      </c>
      <c r="F7226" t="s">
        <v>61</v>
      </c>
      <c r="G7226">
        <v>608.1</v>
      </c>
      <c r="H7226" s="9">
        <v>2.2000000000000002</v>
      </c>
      <c r="I7226"/>
    </row>
    <row r="7227" spans="1:9" x14ac:dyDescent="0.3">
      <c r="A7227" t="s">
        <v>3</v>
      </c>
      <c r="B7227" t="s">
        <v>17</v>
      </c>
      <c r="C7227" t="s">
        <v>125</v>
      </c>
      <c r="D7227" s="9" t="s">
        <v>124</v>
      </c>
      <c r="E7227" t="s">
        <v>33</v>
      </c>
      <c r="F7227" t="s">
        <v>63</v>
      </c>
      <c r="G7227">
        <v>571.70000000000005</v>
      </c>
      <c r="H7227" s="9">
        <v>5.73</v>
      </c>
      <c r="I7227"/>
    </row>
    <row r="7228" spans="1:9" x14ac:dyDescent="0.3">
      <c r="A7228" t="s">
        <v>3</v>
      </c>
      <c r="B7228" t="s">
        <v>17</v>
      </c>
      <c r="C7228" t="s">
        <v>126</v>
      </c>
      <c r="D7228" s="9" t="s">
        <v>124</v>
      </c>
      <c r="E7228" t="s">
        <v>34</v>
      </c>
      <c r="F7228" t="s">
        <v>65</v>
      </c>
      <c r="G7228">
        <v>651.5</v>
      </c>
      <c r="H7228" s="9">
        <v>6.3</v>
      </c>
      <c r="I7228"/>
    </row>
    <row r="7229" spans="1:9" x14ac:dyDescent="0.3">
      <c r="A7229" t="s">
        <v>3</v>
      </c>
      <c r="B7229" t="s">
        <v>17</v>
      </c>
      <c r="C7229" t="s">
        <v>127</v>
      </c>
      <c r="D7229" s="9" t="s">
        <v>124</v>
      </c>
      <c r="E7229" t="s">
        <v>35</v>
      </c>
      <c r="F7229" t="s">
        <v>67</v>
      </c>
      <c r="G7229">
        <v>623</v>
      </c>
      <c r="H7229" s="9">
        <v>3.97</v>
      </c>
      <c r="I7229"/>
    </row>
    <row r="7230" spans="1:9" x14ac:dyDescent="0.3">
      <c r="A7230" t="s">
        <v>3</v>
      </c>
      <c r="B7230" t="s">
        <v>17</v>
      </c>
      <c r="C7230" t="s">
        <v>128</v>
      </c>
      <c r="D7230" s="9" t="s">
        <v>124</v>
      </c>
      <c r="E7230" t="s">
        <v>36</v>
      </c>
      <c r="F7230" t="s">
        <v>69</v>
      </c>
      <c r="G7230">
        <v>690.6</v>
      </c>
      <c r="H7230" s="9">
        <v>4.34</v>
      </c>
      <c r="I7230"/>
    </row>
    <row r="7231" spans="1:9" x14ac:dyDescent="0.3">
      <c r="A7231" t="s">
        <v>3</v>
      </c>
      <c r="B7231" t="s">
        <v>17</v>
      </c>
      <c r="C7231" t="s">
        <v>129</v>
      </c>
      <c r="D7231" s="9" t="s">
        <v>124</v>
      </c>
      <c r="E7231" t="s">
        <v>37</v>
      </c>
      <c r="F7231" t="s">
        <v>71</v>
      </c>
      <c r="G7231">
        <v>658.8</v>
      </c>
      <c r="H7231" s="9">
        <v>3.67</v>
      </c>
      <c r="I7231"/>
    </row>
    <row r="7232" spans="1:9" x14ac:dyDescent="0.3">
      <c r="A7232" t="s">
        <v>3</v>
      </c>
      <c r="B7232" t="s">
        <v>17</v>
      </c>
      <c r="C7232" t="s">
        <v>130</v>
      </c>
      <c r="D7232" s="9" t="s">
        <v>124</v>
      </c>
      <c r="E7232" t="s">
        <v>38</v>
      </c>
      <c r="F7232" t="s">
        <v>73</v>
      </c>
      <c r="G7232">
        <v>679</v>
      </c>
      <c r="H7232" s="9">
        <v>4.24</v>
      </c>
      <c r="I7232"/>
    </row>
    <row r="7233" spans="1:9" x14ac:dyDescent="0.3">
      <c r="A7233" t="s">
        <v>3</v>
      </c>
      <c r="B7233" t="s">
        <v>17</v>
      </c>
      <c r="C7233" t="s">
        <v>131</v>
      </c>
      <c r="D7233" s="9" t="s">
        <v>124</v>
      </c>
      <c r="E7233" t="s">
        <v>39</v>
      </c>
      <c r="F7233" t="s">
        <v>75</v>
      </c>
      <c r="G7233">
        <v>705.1</v>
      </c>
      <c r="H7233" s="9">
        <v>10.19</v>
      </c>
      <c r="I7233"/>
    </row>
    <row r="7234" spans="1:9" x14ac:dyDescent="0.3">
      <c r="A7234" t="s">
        <v>3</v>
      </c>
      <c r="B7234" t="s">
        <v>17</v>
      </c>
      <c r="C7234" t="s">
        <v>132</v>
      </c>
      <c r="D7234" s="9" t="s">
        <v>124</v>
      </c>
      <c r="E7234" t="s">
        <v>40</v>
      </c>
      <c r="F7234" t="s">
        <v>77</v>
      </c>
      <c r="G7234">
        <v>704</v>
      </c>
      <c r="H7234" s="9">
        <v>12.75</v>
      </c>
      <c r="I7234"/>
    </row>
    <row r="7235" spans="1:9" x14ac:dyDescent="0.3">
      <c r="A7235" t="s">
        <v>3</v>
      </c>
      <c r="B7235" t="s">
        <v>17</v>
      </c>
      <c r="C7235" t="s">
        <v>133</v>
      </c>
      <c r="D7235" s="9" t="s">
        <v>124</v>
      </c>
      <c r="E7235" t="s">
        <v>41</v>
      </c>
      <c r="F7235" t="s">
        <v>79</v>
      </c>
      <c r="G7235">
        <v>700.2</v>
      </c>
      <c r="H7235" s="9">
        <v>11.85</v>
      </c>
      <c r="I7235"/>
    </row>
    <row r="7236" spans="1:9" x14ac:dyDescent="0.3">
      <c r="A7236" t="s">
        <v>3</v>
      </c>
      <c r="B7236" t="s">
        <v>17</v>
      </c>
      <c r="C7236" t="s">
        <v>134</v>
      </c>
      <c r="D7236" s="9" t="s">
        <v>124</v>
      </c>
      <c r="E7236" t="s">
        <v>42</v>
      </c>
      <c r="F7236" t="s">
        <v>81</v>
      </c>
      <c r="G7236">
        <v>742.6</v>
      </c>
      <c r="H7236" s="9">
        <v>7.17</v>
      </c>
      <c r="I7236"/>
    </row>
    <row r="7237" spans="1:9" x14ac:dyDescent="0.3">
      <c r="A7237" t="s">
        <v>3</v>
      </c>
      <c r="B7237" t="s">
        <v>17</v>
      </c>
      <c r="C7237" t="s">
        <v>135</v>
      </c>
      <c r="D7237" s="9" t="s">
        <v>124</v>
      </c>
      <c r="E7237" t="s">
        <v>43</v>
      </c>
      <c r="F7237" t="s">
        <v>83</v>
      </c>
      <c r="G7237">
        <v>872.8</v>
      </c>
      <c r="H7237" s="9">
        <v>2.94</v>
      </c>
      <c r="I7237"/>
    </row>
    <row r="7238" spans="1:9" x14ac:dyDescent="0.3">
      <c r="A7238" t="s">
        <v>3</v>
      </c>
      <c r="B7238" t="s">
        <v>17</v>
      </c>
      <c r="C7238" t="s">
        <v>136</v>
      </c>
      <c r="D7238" s="9" t="s">
        <v>137</v>
      </c>
      <c r="E7238" t="s">
        <v>32</v>
      </c>
      <c r="F7238" t="s">
        <v>61</v>
      </c>
      <c r="G7238">
        <v>650.4</v>
      </c>
      <c r="H7238" s="9">
        <v>6.96</v>
      </c>
      <c r="I7238"/>
    </row>
    <row r="7239" spans="1:9" x14ac:dyDescent="0.3">
      <c r="A7239" t="s">
        <v>3</v>
      </c>
      <c r="B7239" t="s">
        <v>17</v>
      </c>
      <c r="C7239" t="s">
        <v>138</v>
      </c>
      <c r="D7239" s="9" t="s">
        <v>137</v>
      </c>
      <c r="E7239" t="s">
        <v>33</v>
      </c>
      <c r="F7239" t="s">
        <v>63</v>
      </c>
      <c r="G7239">
        <v>627.4</v>
      </c>
      <c r="H7239" s="9">
        <v>9.74</v>
      </c>
      <c r="I7239"/>
    </row>
    <row r="7240" spans="1:9" x14ac:dyDescent="0.3">
      <c r="A7240" t="s">
        <v>3</v>
      </c>
      <c r="B7240" t="s">
        <v>17</v>
      </c>
      <c r="C7240" t="s">
        <v>139</v>
      </c>
      <c r="D7240" s="9" t="s">
        <v>137</v>
      </c>
      <c r="E7240" t="s">
        <v>34</v>
      </c>
      <c r="F7240" t="s">
        <v>65</v>
      </c>
      <c r="G7240">
        <v>673.3</v>
      </c>
      <c r="H7240" s="9">
        <v>3.35</v>
      </c>
      <c r="I7240"/>
    </row>
    <row r="7241" spans="1:9" x14ac:dyDescent="0.3">
      <c r="A7241" t="s">
        <v>3</v>
      </c>
      <c r="B7241" t="s">
        <v>17</v>
      </c>
      <c r="C7241" t="s">
        <v>140</v>
      </c>
      <c r="D7241" s="9" t="s">
        <v>137</v>
      </c>
      <c r="E7241" t="s">
        <v>35</v>
      </c>
      <c r="F7241" t="s">
        <v>67</v>
      </c>
      <c r="G7241">
        <v>678.4</v>
      </c>
      <c r="H7241" s="9">
        <v>8.89</v>
      </c>
      <c r="I7241"/>
    </row>
    <row r="7242" spans="1:9" x14ac:dyDescent="0.3">
      <c r="A7242" t="s">
        <v>3</v>
      </c>
      <c r="B7242" t="s">
        <v>17</v>
      </c>
      <c r="C7242" t="s">
        <v>141</v>
      </c>
      <c r="D7242" s="9" t="s">
        <v>137</v>
      </c>
      <c r="E7242" t="s">
        <v>36</v>
      </c>
      <c r="F7242" t="s">
        <v>69</v>
      </c>
      <c r="G7242">
        <v>758.1</v>
      </c>
      <c r="H7242" s="9">
        <v>9.77</v>
      </c>
      <c r="I7242"/>
    </row>
    <row r="7243" spans="1:9" x14ac:dyDescent="0.3">
      <c r="A7243" t="s">
        <v>3</v>
      </c>
      <c r="B7243" t="s">
        <v>17</v>
      </c>
      <c r="C7243" t="s">
        <v>142</v>
      </c>
      <c r="D7243" s="9" t="s">
        <v>137</v>
      </c>
      <c r="E7243" t="s">
        <v>37</v>
      </c>
      <c r="F7243" t="s">
        <v>71</v>
      </c>
      <c r="G7243">
        <v>695</v>
      </c>
      <c r="H7243" s="9">
        <v>5.49</v>
      </c>
      <c r="I7243"/>
    </row>
    <row r="7244" spans="1:9" x14ac:dyDescent="0.3">
      <c r="A7244" t="s">
        <v>3</v>
      </c>
      <c r="B7244" t="s">
        <v>17</v>
      </c>
      <c r="C7244" t="s">
        <v>143</v>
      </c>
      <c r="D7244" s="9" t="s">
        <v>137</v>
      </c>
      <c r="E7244" t="s">
        <v>38</v>
      </c>
      <c r="F7244" t="s">
        <v>73</v>
      </c>
      <c r="G7244">
        <v>729.6</v>
      </c>
      <c r="H7244" s="9">
        <v>7.45</v>
      </c>
      <c r="I7244"/>
    </row>
    <row r="7245" spans="1:9" x14ac:dyDescent="0.3">
      <c r="A7245" t="s">
        <v>3</v>
      </c>
      <c r="B7245" t="s">
        <v>17</v>
      </c>
      <c r="C7245" t="s">
        <v>144</v>
      </c>
      <c r="D7245" s="9" t="s">
        <v>137</v>
      </c>
      <c r="E7245" t="s">
        <v>39</v>
      </c>
      <c r="F7245" t="s">
        <v>75</v>
      </c>
      <c r="G7245">
        <v>763</v>
      </c>
      <c r="H7245" s="9">
        <v>8.2100000000000009</v>
      </c>
      <c r="I7245"/>
    </row>
    <row r="7246" spans="1:9" x14ac:dyDescent="0.3">
      <c r="A7246" t="s">
        <v>3</v>
      </c>
      <c r="B7246" t="s">
        <v>17</v>
      </c>
      <c r="C7246" t="s">
        <v>145</v>
      </c>
      <c r="D7246" s="9" t="s">
        <v>137</v>
      </c>
      <c r="E7246" t="s">
        <v>40</v>
      </c>
      <c r="F7246" t="s">
        <v>77</v>
      </c>
      <c r="G7246">
        <v>741.6</v>
      </c>
      <c r="H7246" s="9">
        <v>5.34</v>
      </c>
      <c r="I7246"/>
    </row>
    <row r="7247" spans="1:9" x14ac:dyDescent="0.3">
      <c r="A7247" t="s">
        <v>3</v>
      </c>
      <c r="B7247" t="s">
        <v>17</v>
      </c>
      <c r="C7247" t="s">
        <v>146</v>
      </c>
      <c r="D7247" s="9" t="s">
        <v>137</v>
      </c>
      <c r="E7247" t="s">
        <v>41</v>
      </c>
      <c r="F7247" t="s">
        <v>79</v>
      </c>
      <c r="G7247">
        <v>784.3</v>
      </c>
      <c r="H7247" s="9">
        <v>12.01</v>
      </c>
      <c r="I7247"/>
    </row>
    <row r="7248" spans="1:9" x14ac:dyDescent="0.3">
      <c r="A7248" t="s">
        <v>3</v>
      </c>
      <c r="B7248" t="s">
        <v>17</v>
      </c>
      <c r="C7248" t="s">
        <v>147</v>
      </c>
      <c r="D7248" s="9" t="s">
        <v>137</v>
      </c>
      <c r="E7248" t="s">
        <v>42</v>
      </c>
      <c r="F7248" t="s">
        <v>81</v>
      </c>
      <c r="G7248">
        <v>831.6</v>
      </c>
      <c r="H7248" s="9">
        <v>11.98</v>
      </c>
      <c r="I7248"/>
    </row>
    <row r="7249" spans="1:9" x14ac:dyDescent="0.3">
      <c r="A7249" t="s">
        <v>3</v>
      </c>
      <c r="B7249" t="s">
        <v>17</v>
      </c>
      <c r="C7249" t="s">
        <v>148</v>
      </c>
      <c r="D7249" s="9" t="s">
        <v>137</v>
      </c>
      <c r="E7249" t="s">
        <v>43</v>
      </c>
      <c r="F7249" t="s">
        <v>83</v>
      </c>
      <c r="G7249">
        <v>959.6</v>
      </c>
      <c r="H7249" s="9">
        <v>9.9499999999999993</v>
      </c>
      <c r="I7249"/>
    </row>
    <row r="7250" spans="1:9" x14ac:dyDescent="0.3">
      <c r="A7250" t="s">
        <v>3</v>
      </c>
      <c r="B7250" t="s">
        <v>17</v>
      </c>
      <c r="C7250" t="s">
        <v>149</v>
      </c>
      <c r="D7250" s="9" t="s">
        <v>150</v>
      </c>
      <c r="E7250" t="s">
        <v>32</v>
      </c>
      <c r="F7250" t="s">
        <v>61</v>
      </c>
      <c r="G7250">
        <v>741.2</v>
      </c>
      <c r="H7250" s="9">
        <v>13.96</v>
      </c>
      <c r="I7250"/>
    </row>
    <row r="7251" spans="1:9" x14ac:dyDescent="0.3">
      <c r="A7251" t="s">
        <v>3</v>
      </c>
      <c r="B7251" t="s">
        <v>17</v>
      </c>
      <c r="C7251" t="s">
        <v>151</v>
      </c>
      <c r="D7251" s="9" t="s">
        <v>150</v>
      </c>
      <c r="E7251" t="s">
        <v>33</v>
      </c>
      <c r="F7251" t="s">
        <v>63</v>
      </c>
      <c r="G7251">
        <v>696.8</v>
      </c>
      <c r="H7251" s="9">
        <v>11.06</v>
      </c>
      <c r="I7251"/>
    </row>
    <row r="7252" spans="1:9" x14ac:dyDescent="0.3">
      <c r="A7252" t="s">
        <v>3</v>
      </c>
      <c r="B7252" t="s">
        <v>17</v>
      </c>
      <c r="C7252" t="s">
        <v>152</v>
      </c>
      <c r="D7252" s="9" t="s">
        <v>150</v>
      </c>
      <c r="E7252" t="s">
        <v>34</v>
      </c>
      <c r="F7252" t="s">
        <v>65</v>
      </c>
      <c r="G7252">
        <v>770.2</v>
      </c>
      <c r="H7252" s="9">
        <v>14.39</v>
      </c>
      <c r="I7252"/>
    </row>
    <row r="7253" spans="1:9" x14ac:dyDescent="0.3">
      <c r="A7253" t="s">
        <v>3</v>
      </c>
      <c r="B7253" t="s">
        <v>17</v>
      </c>
      <c r="C7253" t="s">
        <v>153</v>
      </c>
      <c r="D7253" s="9" t="s">
        <v>150</v>
      </c>
      <c r="E7253" t="s">
        <v>35</v>
      </c>
      <c r="F7253" t="s">
        <v>67</v>
      </c>
      <c r="G7253">
        <v>755.4</v>
      </c>
      <c r="H7253" s="9">
        <v>11.35</v>
      </c>
      <c r="I7253"/>
    </row>
    <row r="7254" spans="1:9" x14ac:dyDescent="0.3">
      <c r="A7254" t="s">
        <v>3</v>
      </c>
      <c r="B7254" t="s">
        <v>17</v>
      </c>
      <c r="C7254" t="s">
        <v>154</v>
      </c>
      <c r="D7254" s="9" t="s">
        <v>150</v>
      </c>
      <c r="E7254" t="s">
        <v>36</v>
      </c>
      <c r="F7254" t="s">
        <v>69</v>
      </c>
      <c r="G7254">
        <v>837.9</v>
      </c>
      <c r="H7254" s="9">
        <v>10.53</v>
      </c>
      <c r="I7254"/>
    </row>
    <row r="7255" spans="1:9" x14ac:dyDescent="0.3">
      <c r="A7255" t="s">
        <v>3</v>
      </c>
      <c r="B7255" t="s">
        <v>17</v>
      </c>
      <c r="C7255" t="s">
        <v>155</v>
      </c>
      <c r="D7255" s="9" t="s">
        <v>150</v>
      </c>
      <c r="E7255" t="s">
        <v>37</v>
      </c>
      <c r="F7255" t="s">
        <v>71</v>
      </c>
      <c r="G7255">
        <v>771.4</v>
      </c>
      <c r="H7255" s="9">
        <v>10.99</v>
      </c>
      <c r="I7255"/>
    </row>
    <row r="7256" spans="1:9" x14ac:dyDescent="0.3">
      <c r="A7256" t="s">
        <v>3</v>
      </c>
      <c r="B7256" t="s">
        <v>11</v>
      </c>
      <c r="C7256" t="s">
        <v>59</v>
      </c>
      <c r="D7256" s="9" t="s">
        <v>60</v>
      </c>
      <c r="E7256" t="s">
        <v>32</v>
      </c>
      <c r="F7256" t="s">
        <v>61</v>
      </c>
      <c r="G7256">
        <v>2365</v>
      </c>
      <c r="I7256"/>
    </row>
    <row r="7257" spans="1:9" x14ac:dyDescent="0.3">
      <c r="A7257" t="s">
        <v>3</v>
      </c>
      <c r="B7257" t="s">
        <v>11</v>
      </c>
      <c r="C7257" t="s">
        <v>62</v>
      </c>
      <c r="D7257" s="9" t="s">
        <v>60</v>
      </c>
      <c r="E7257" t="s">
        <v>33</v>
      </c>
      <c r="F7257" t="s">
        <v>63</v>
      </c>
      <c r="G7257">
        <v>2168.1999999999998</v>
      </c>
      <c r="I7257"/>
    </row>
    <row r="7258" spans="1:9" x14ac:dyDescent="0.3">
      <c r="A7258" t="s">
        <v>3</v>
      </c>
      <c r="B7258" t="s">
        <v>11</v>
      </c>
      <c r="C7258" t="s">
        <v>64</v>
      </c>
      <c r="D7258" s="9" t="s">
        <v>60</v>
      </c>
      <c r="E7258" t="s">
        <v>34</v>
      </c>
      <c r="F7258" t="s">
        <v>65</v>
      </c>
      <c r="G7258">
        <v>2414.3000000000002</v>
      </c>
      <c r="I7258"/>
    </row>
    <row r="7259" spans="1:9" x14ac:dyDescent="0.3">
      <c r="A7259" t="s">
        <v>3</v>
      </c>
      <c r="B7259" t="s">
        <v>11</v>
      </c>
      <c r="C7259" t="s">
        <v>66</v>
      </c>
      <c r="D7259" s="9" t="s">
        <v>60</v>
      </c>
      <c r="E7259" t="s">
        <v>35</v>
      </c>
      <c r="F7259" t="s">
        <v>67</v>
      </c>
      <c r="G7259">
        <v>2299.1999999999998</v>
      </c>
      <c r="I7259"/>
    </row>
    <row r="7260" spans="1:9" x14ac:dyDescent="0.3">
      <c r="A7260" t="s">
        <v>3</v>
      </c>
      <c r="B7260" t="s">
        <v>11</v>
      </c>
      <c r="C7260" t="s">
        <v>68</v>
      </c>
      <c r="D7260" s="9" t="s">
        <v>60</v>
      </c>
      <c r="E7260" t="s">
        <v>36</v>
      </c>
      <c r="F7260" t="s">
        <v>69</v>
      </c>
      <c r="G7260">
        <v>2319.8000000000002</v>
      </c>
      <c r="I7260"/>
    </row>
    <row r="7261" spans="1:9" x14ac:dyDescent="0.3">
      <c r="A7261" t="s">
        <v>3</v>
      </c>
      <c r="B7261" t="s">
        <v>11</v>
      </c>
      <c r="C7261" t="s">
        <v>70</v>
      </c>
      <c r="D7261" s="9" t="s">
        <v>60</v>
      </c>
      <c r="E7261" t="s">
        <v>37</v>
      </c>
      <c r="F7261" t="s">
        <v>71</v>
      </c>
      <c r="G7261">
        <v>2224.9</v>
      </c>
      <c r="I7261"/>
    </row>
    <row r="7262" spans="1:9" x14ac:dyDescent="0.3">
      <c r="A7262" t="s">
        <v>3</v>
      </c>
      <c r="B7262" t="s">
        <v>11</v>
      </c>
      <c r="C7262" t="s">
        <v>72</v>
      </c>
      <c r="D7262" s="9" t="s">
        <v>60</v>
      </c>
      <c r="E7262" t="s">
        <v>38</v>
      </c>
      <c r="F7262" t="s">
        <v>73</v>
      </c>
      <c r="G7262">
        <v>2307.6</v>
      </c>
      <c r="I7262"/>
    </row>
    <row r="7263" spans="1:9" x14ac:dyDescent="0.3">
      <c r="A7263" t="s">
        <v>3</v>
      </c>
      <c r="B7263" t="s">
        <v>11</v>
      </c>
      <c r="C7263" t="s">
        <v>74</v>
      </c>
      <c r="D7263" s="9" t="s">
        <v>60</v>
      </c>
      <c r="E7263" t="s">
        <v>39</v>
      </c>
      <c r="F7263" t="s">
        <v>75</v>
      </c>
      <c r="G7263">
        <v>2374.3000000000002</v>
      </c>
      <c r="I7263"/>
    </row>
    <row r="7264" spans="1:9" x14ac:dyDescent="0.3">
      <c r="A7264" t="s">
        <v>3</v>
      </c>
      <c r="B7264" t="s">
        <v>11</v>
      </c>
      <c r="C7264" t="s">
        <v>76</v>
      </c>
      <c r="D7264" s="9" t="s">
        <v>60</v>
      </c>
      <c r="E7264" t="s">
        <v>40</v>
      </c>
      <c r="F7264" t="s">
        <v>77</v>
      </c>
      <c r="G7264">
        <v>2300.4</v>
      </c>
      <c r="I7264"/>
    </row>
    <row r="7265" spans="1:9" x14ac:dyDescent="0.3">
      <c r="A7265" t="s">
        <v>3</v>
      </c>
      <c r="B7265" t="s">
        <v>11</v>
      </c>
      <c r="C7265" t="s">
        <v>78</v>
      </c>
      <c r="D7265" s="9" t="s">
        <v>60</v>
      </c>
      <c r="E7265" t="s">
        <v>41</v>
      </c>
      <c r="F7265" t="s">
        <v>79</v>
      </c>
      <c r="G7265">
        <v>2444.9</v>
      </c>
      <c r="I7265"/>
    </row>
    <row r="7266" spans="1:9" x14ac:dyDescent="0.3">
      <c r="A7266" t="s">
        <v>3</v>
      </c>
      <c r="B7266" t="s">
        <v>11</v>
      </c>
      <c r="C7266" t="s">
        <v>80</v>
      </c>
      <c r="D7266" s="9" t="s">
        <v>60</v>
      </c>
      <c r="E7266" t="s">
        <v>42</v>
      </c>
      <c r="F7266" t="s">
        <v>81</v>
      </c>
      <c r="G7266">
        <v>2457.3000000000002</v>
      </c>
      <c r="I7266"/>
    </row>
    <row r="7267" spans="1:9" x14ac:dyDescent="0.3">
      <c r="A7267" t="s">
        <v>3</v>
      </c>
      <c r="B7267" t="s">
        <v>11</v>
      </c>
      <c r="C7267" t="s">
        <v>82</v>
      </c>
      <c r="D7267" s="9" t="s">
        <v>60</v>
      </c>
      <c r="E7267" t="s">
        <v>43</v>
      </c>
      <c r="F7267" t="s">
        <v>83</v>
      </c>
      <c r="G7267">
        <v>2749</v>
      </c>
      <c r="I7267"/>
    </row>
    <row r="7268" spans="1:9" x14ac:dyDescent="0.3">
      <c r="A7268" t="s">
        <v>3</v>
      </c>
      <c r="B7268" t="s">
        <v>11</v>
      </c>
      <c r="C7268" t="s">
        <v>84</v>
      </c>
      <c r="D7268" s="9" t="s">
        <v>85</v>
      </c>
      <c r="E7268" t="s">
        <v>32</v>
      </c>
      <c r="F7268" t="s">
        <v>61</v>
      </c>
      <c r="G7268">
        <v>2477.1</v>
      </c>
      <c r="H7268" s="9">
        <v>4.74</v>
      </c>
      <c r="I7268"/>
    </row>
    <row r="7269" spans="1:9" x14ac:dyDescent="0.3">
      <c r="A7269" t="s">
        <v>3</v>
      </c>
      <c r="B7269" t="s">
        <v>11</v>
      </c>
      <c r="C7269" t="s">
        <v>86</v>
      </c>
      <c r="D7269" s="9" t="s">
        <v>85</v>
      </c>
      <c r="E7269" t="s">
        <v>33</v>
      </c>
      <c r="F7269" t="s">
        <v>63</v>
      </c>
      <c r="G7269">
        <v>2374.5</v>
      </c>
      <c r="H7269" s="9">
        <v>9.51</v>
      </c>
      <c r="I7269"/>
    </row>
    <row r="7270" spans="1:9" x14ac:dyDescent="0.3">
      <c r="A7270" t="s">
        <v>3</v>
      </c>
      <c r="B7270" t="s">
        <v>11</v>
      </c>
      <c r="C7270" t="s">
        <v>87</v>
      </c>
      <c r="D7270" s="9" t="s">
        <v>85</v>
      </c>
      <c r="E7270" t="s">
        <v>34</v>
      </c>
      <c r="F7270" t="s">
        <v>65</v>
      </c>
      <c r="G7270">
        <v>3077.5</v>
      </c>
      <c r="H7270" s="9">
        <v>27.47</v>
      </c>
      <c r="I7270"/>
    </row>
    <row r="7271" spans="1:9" x14ac:dyDescent="0.3">
      <c r="A7271" t="s">
        <v>3</v>
      </c>
      <c r="B7271" t="s">
        <v>11</v>
      </c>
      <c r="C7271" t="s">
        <v>88</v>
      </c>
      <c r="D7271" s="9" t="s">
        <v>85</v>
      </c>
      <c r="E7271" t="s">
        <v>35</v>
      </c>
      <c r="F7271" t="s">
        <v>67</v>
      </c>
      <c r="G7271">
        <v>2414</v>
      </c>
      <c r="H7271" s="9">
        <v>4.99</v>
      </c>
      <c r="I7271"/>
    </row>
    <row r="7272" spans="1:9" x14ac:dyDescent="0.3">
      <c r="A7272" t="s">
        <v>3</v>
      </c>
      <c r="B7272" t="s">
        <v>11</v>
      </c>
      <c r="C7272" t="s">
        <v>89</v>
      </c>
      <c r="D7272" s="9" t="s">
        <v>85</v>
      </c>
      <c r="E7272" t="s">
        <v>36</v>
      </c>
      <c r="F7272" t="s">
        <v>69</v>
      </c>
      <c r="G7272">
        <v>2562.6</v>
      </c>
      <c r="H7272" s="9">
        <v>10.47</v>
      </c>
      <c r="I7272"/>
    </row>
    <row r="7273" spans="1:9" x14ac:dyDescent="0.3">
      <c r="A7273" t="s">
        <v>3</v>
      </c>
      <c r="B7273" t="s">
        <v>11</v>
      </c>
      <c r="C7273" t="s">
        <v>90</v>
      </c>
      <c r="D7273" s="9" t="s">
        <v>85</v>
      </c>
      <c r="E7273" t="s">
        <v>37</v>
      </c>
      <c r="F7273" t="s">
        <v>71</v>
      </c>
      <c r="G7273">
        <v>2485.1999999999998</v>
      </c>
      <c r="H7273" s="9">
        <v>11.7</v>
      </c>
      <c r="I7273"/>
    </row>
    <row r="7274" spans="1:9" x14ac:dyDescent="0.3">
      <c r="A7274" t="s">
        <v>3</v>
      </c>
      <c r="B7274" t="s">
        <v>11</v>
      </c>
      <c r="C7274" t="s">
        <v>91</v>
      </c>
      <c r="D7274" s="9" t="s">
        <v>85</v>
      </c>
      <c r="E7274" t="s">
        <v>38</v>
      </c>
      <c r="F7274" t="s">
        <v>73</v>
      </c>
      <c r="G7274">
        <v>2672.5</v>
      </c>
      <c r="H7274" s="9">
        <v>15.81</v>
      </c>
      <c r="I7274"/>
    </row>
    <row r="7275" spans="1:9" x14ac:dyDescent="0.3">
      <c r="A7275" t="s">
        <v>3</v>
      </c>
      <c r="B7275" t="s">
        <v>11</v>
      </c>
      <c r="C7275" t="s">
        <v>92</v>
      </c>
      <c r="D7275" s="9" t="s">
        <v>85</v>
      </c>
      <c r="E7275" t="s">
        <v>39</v>
      </c>
      <c r="F7275" t="s">
        <v>75</v>
      </c>
      <c r="G7275">
        <v>2693.2</v>
      </c>
      <c r="H7275" s="9">
        <v>13.43</v>
      </c>
      <c r="I7275"/>
    </row>
    <row r="7276" spans="1:9" x14ac:dyDescent="0.3">
      <c r="A7276" t="s">
        <v>3</v>
      </c>
      <c r="B7276" t="s">
        <v>11</v>
      </c>
      <c r="C7276" t="s">
        <v>93</v>
      </c>
      <c r="D7276" s="9" t="s">
        <v>85</v>
      </c>
      <c r="E7276" t="s">
        <v>40</v>
      </c>
      <c r="F7276" t="s">
        <v>77</v>
      </c>
      <c r="G7276">
        <v>2608.6</v>
      </c>
      <c r="H7276" s="9">
        <v>13.4</v>
      </c>
      <c r="I7276"/>
    </row>
    <row r="7277" spans="1:9" x14ac:dyDescent="0.3">
      <c r="A7277" t="s">
        <v>3</v>
      </c>
      <c r="B7277" t="s">
        <v>11</v>
      </c>
      <c r="C7277" t="s">
        <v>94</v>
      </c>
      <c r="D7277" s="9" t="s">
        <v>85</v>
      </c>
      <c r="E7277" t="s">
        <v>41</v>
      </c>
      <c r="F7277" t="s">
        <v>79</v>
      </c>
      <c r="G7277">
        <v>2726.8</v>
      </c>
      <c r="H7277" s="9">
        <v>11.53</v>
      </c>
      <c r="I7277"/>
    </row>
    <row r="7278" spans="1:9" x14ac:dyDescent="0.3">
      <c r="A7278" t="s">
        <v>3</v>
      </c>
      <c r="B7278" t="s">
        <v>11</v>
      </c>
      <c r="C7278" t="s">
        <v>95</v>
      </c>
      <c r="D7278" s="9" t="s">
        <v>85</v>
      </c>
      <c r="E7278" t="s">
        <v>42</v>
      </c>
      <c r="F7278" t="s">
        <v>81</v>
      </c>
      <c r="G7278">
        <v>2600.1999999999998</v>
      </c>
      <c r="H7278" s="9">
        <v>5.82</v>
      </c>
      <c r="I7278"/>
    </row>
    <row r="7279" spans="1:9" x14ac:dyDescent="0.3">
      <c r="A7279" t="s">
        <v>3</v>
      </c>
      <c r="B7279" t="s">
        <v>11</v>
      </c>
      <c r="C7279" t="s">
        <v>96</v>
      </c>
      <c r="D7279" s="9" t="s">
        <v>85</v>
      </c>
      <c r="E7279" t="s">
        <v>43</v>
      </c>
      <c r="F7279" t="s">
        <v>83</v>
      </c>
      <c r="G7279">
        <v>2834.8</v>
      </c>
      <c r="H7279" s="9">
        <v>3.12</v>
      </c>
      <c r="I7279"/>
    </row>
    <row r="7280" spans="1:9" x14ac:dyDescent="0.3">
      <c r="A7280" t="s">
        <v>3</v>
      </c>
      <c r="B7280" t="s">
        <v>11</v>
      </c>
      <c r="C7280" t="s">
        <v>97</v>
      </c>
      <c r="D7280" s="9" t="s">
        <v>98</v>
      </c>
      <c r="E7280" t="s">
        <v>32</v>
      </c>
      <c r="F7280" t="s">
        <v>61</v>
      </c>
      <c r="G7280">
        <v>2612.3000000000002</v>
      </c>
      <c r="H7280" s="9">
        <v>5.46</v>
      </c>
      <c r="I7280"/>
    </row>
    <row r="7281" spans="1:9" x14ac:dyDescent="0.3">
      <c r="A7281" t="s">
        <v>3</v>
      </c>
      <c r="B7281" t="s">
        <v>11</v>
      </c>
      <c r="C7281" t="s">
        <v>99</v>
      </c>
      <c r="D7281" s="9" t="s">
        <v>98</v>
      </c>
      <c r="E7281" t="s">
        <v>33</v>
      </c>
      <c r="F7281" t="s">
        <v>63</v>
      </c>
      <c r="G7281">
        <v>2361.6</v>
      </c>
      <c r="H7281" s="9">
        <v>-0.54</v>
      </c>
      <c r="I7281"/>
    </row>
    <row r="7282" spans="1:9" x14ac:dyDescent="0.3">
      <c r="A7282" t="s">
        <v>3</v>
      </c>
      <c r="B7282" t="s">
        <v>11</v>
      </c>
      <c r="C7282" t="s">
        <v>100</v>
      </c>
      <c r="D7282" s="9" t="s">
        <v>98</v>
      </c>
      <c r="E7282" t="s">
        <v>34</v>
      </c>
      <c r="F7282" t="s">
        <v>65</v>
      </c>
      <c r="G7282">
        <v>2533</v>
      </c>
      <c r="H7282" s="9">
        <v>-17.690000000000001</v>
      </c>
      <c r="I7282"/>
    </row>
    <row r="7283" spans="1:9" x14ac:dyDescent="0.3">
      <c r="A7283" t="s">
        <v>3</v>
      </c>
      <c r="B7283" t="s">
        <v>11</v>
      </c>
      <c r="C7283" t="s">
        <v>101</v>
      </c>
      <c r="D7283" s="9" t="s">
        <v>98</v>
      </c>
      <c r="E7283" t="s">
        <v>35</v>
      </c>
      <c r="F7283" t="s">
        <v>67</v>
      </c>
      <c r="G7283">
        <v>2407.6</v>
      </c>
      <c r="H7283" s="9">
        <v>-0.27</v>
      </c>
      <c r="I7283"/>
    </row>
    <row r="7284" spans="1:9" x14ac:dyDescent="0.3">
      <c r="A7284" t="s">
        <v>3</v>
      </c>
      <c r="B7284" t="s">
        <v>11</v>
      </c>
      <c r="C7284" t="s">
        <v>102</v>
      </c>
      <c r="D7284" s="9" t="s">
        <v>98</v>
      </c>
      <c r="E7284" t="s">
        <v>36</v>
      </c>
      <c r="F7284" t="s">
        <v>69</v>
      </c>
      <c r="G7284">
        <v>2579</v>
      </c>
      <c r="H7284" s="9">
        <v>0.64</v>
      </c>
      <c r="I7284"/>
    </row>
    <row r="7285" spans="1:9" x14ac:dyDescent="0.3">
      <c r="A7285" t="s">
        <v>3</v>
      </c>
      <c r="B7285" t="s">
        <v>11</v>
      </c>
      <c r="C7285" t="s">
        <v>103</v>
      </c>
      <c r="D7285" s="9" t="s">
        <v>98</v>
      </c>
      <c r="E7285" t="s">
        <v>37</v>
      </c>
      <c r="F7285" t="s">
        <v>71</v>
      </c>
      <c r="G7285">
        <v>2435.5</v>
      </c>
      <c r="H7285" s="9">
        <v>-2</v>
      </c>
      <c r="I7285"/>
    </row>
    <row r="7286" spans="1:9" x14ac:dyDescent="0.3">
      <c r="A7286" t="s">
        <v>3</v>
      </c>
      <c r="B7286" t="s">
        <v>11</v>
      </c>
      <c r="C7286" t="s">
        <v>104</v>
      </c>
      <c r="D7286" s="9" t="s">
        <v>98</v>
      </c>
      <c r="E7286" t="s">
        <v>38</v>
      </c>
      <c r="F7286" t="s">
        <v>73</v>
      </c>
      <c r="G7286">
        <v>2627</v>
      </c>
      <c r="H7286" s="9">
        <v>-1.7</v>
      </c>
      <c r="I7286"/>
    </row>
    <row r="7287" spans="1:9" x14ac:dyDescent="0.3">
      <c r="A7287" t="s">
        <v>3</v>
      </c>
      <c r="B7287" t="s">
        <v>11</v>
      </c>
      <c r="C7287" t="s">
        <v>105</v>
      </c>
      <c r="D7287" s="9" t="s">
        <v>98</v>
      </c>
      <c r="E7287" t="s">
        <v>39</v>
      </c>
      <c r="F7287" t="s">
        <v>75</v>
      </c>
      <c r="G7287">
        <v>2771</v>
      </c>
      <c r="H7287" s="9">
        <v>2.89</v>
      </c>
      <c r="I7287"/>
    </row>
    <row r="7288" spans="1:9" x14ac:dyDescent="0.3">
      <c r="A7288" t="s">
        <v>3</v>
      </c>
      <c r="B7288" t="s">
        <v>11</v>
      </c>
      <c r="C7288" t="s">
        <v>106</v>
      </c>
      <c r="D7288" s="9" t="s">
        <v>98</v>
      </c>
      <c r="E7288" t="s">
        <v>40</v>
      </c>
      <c r="F7288" t="s">
        <v>77</v>
      </c>
      <c r="G7288">
        <v>2703.1</v>
      </c>
      <c r="H7288" s="9">
        <v>3.62</v>
      </c>
      <c r="I7288"/>
    </row>
    <row r="7289" spans="1:9" x14ac:dyDescent="0.3">
      <c r="A7289" t="s">
        <v>3</v>
      </c>
      <c r="B7289" t="s">
        <v>11</v>
      </c>
      <c r="C7289" t="s">
        <v>107</v>
      </c>
      <c r="D7289" s="9" t="s">
        <v>98</v>
      </c>
      <c r="E7289" t="s">
        <v>41</v>
      </c>
      <c r="F7289" t="s">
        <v>79</v>
      </c>
      <c r="G7289">
        <v>2778.1</v>
      </c>
      <c r="H7289" s="9">
        <v>1.88</v>
      </c>
      <c r="I7289"/>
    </row>
    <row r="7290" spans="1:9" x14ac:dyDescent="0.3">
      <c r="A7290" t="s">
        <v>3</v>
      </c>
      <c r="B7290" t="s">
        <v>11</v>
      </c>
      <c r="C7290" t="s">
        <v>108</v>
      </c>
      <c r="D7290" s="9" t="s">
        <v>98</v>
      </c>
      <c r="E7290" t="s">
        <v>42</v>
      </c>
      <c r="F7290" t="s">
        <v>81</v>
      </c>
      <c r="G7290">
        <v>2612.3000000000002</v>
      </c>
      <c r="H7290" s="9">
        <v>0.47</v>
      </c>
      <c r="I7290"/>
    </row>
    <row r="7291" spans="1:9" x14ac:dyDescent="0.3">
      <c r="A7291" t="s">
        <v>3</v>
      </c>
      <c r="B7291" t="s">
        <v>11</v>
      </c>
      <c r="C7291" t="s">
        <v>109</v>
      </c>
      <c r="D7291" s="9" t="s">
        <v>98</v>
      </c>
      <c r="E7291" t="s">
        <v>43</v>
      </c>
      <c r="F7291" t="s">
        <v>83</v>
      </c>
      <c r="G7291">
        <v>2953.4</v>
      </c>
      <c r="H7291" s="9">
        <v>4.18</v>
      </c>
      <c r="I7291"/>
    </row>
    <row r="7292" spans="1:9" x14ac:dyDescent="0.3">
      <c r="A7292" t="s">
        <v>3</v>
      </c>
      <c r="B7292" t="s">
        <v>11</v>
      </c>
      <c r="C7292" t="s">
        <v>110</v>
      </c>
      <c r="D7292" s="9" t="s">
        <v>111</v>
      </c>
      <c r="E7292" t="s">
        <v>32</v>
      </c>
      <c r="F7292" t="s">
        <v>61</v>
      </c>
      <c r="G7292">
        <v>2760.2</v>
      </c>
      <c r="H7292" s="9">
        <v>5.66</v>
      </c>
      <c r="I7292"/>
    </row>
    <row r="7293" spans="1:9" x14ac:dyDescent="0.3">
      <c r="A7293" t="s">
        <v>3</v>
      </c>
      <c r="B7293" t="s">
        <v>11</v>
      </c>
      <c r="C7293" t="s">
        <v>112</v>
      </c>
      <c r="D7293" s="9" t="s">
        <v>111</v>
      </c>
      <c r="E7293" t="s">
        <v>33</v>
      </c>
      <c r="F7293" t="s">
        <v>63</v>
      </c>
      <c r="G7293">
        <v>2456.6999999999998</v>
      </c>
      <c r="H7293" s="9">
        <v>4.03</v>
      </c>
      <c r="I7293"/>
    </row>
    <row r="7294" spans="1:9" x14ac:dyDescent="0.3">
      <c r="A7294" t="s">
        <v>3</v>
      </c>
      <c r="B7294" t="s">
        <v>11</v>
      </c>
      <c r="C7294" t="s">
        <v>113</v>
      </c>
      <c r="D7294" s="9" t="s">
        <v>111</v>
      </c>
      <c r="E7294" t="s">
        <v>34</v>
      </c>
      <c r="F7294" t="s">
        <v>65</v>
      </c>
      <c r="G7294">
        <v>2674.1</v>
      </c>
      <c r="H7294" s="9">
        <v>5.57</v>
      </c>
      <c r="I7294"/>
    </row>
    <row r="7295" spans="1:9" x14ac:dyDescent="0.3">
      <c r="A7295" t="s">
        <v>3</v>
      </c>
      <c r="B7295" t="s">
        <v>11</v>
      </c>
      <c r="C7295" t="s">
        <v>114</v>
      </c>
      <c r="D7295" s="9" t="s">
        <v>111</v>
      </c>
      <c r="E7295" t="s">
        <v>35</v>
      </c>
      <c r="F7295" t="s">
        <v>67</v>
      </c>
      <c r="G7295">
        <v>2630.4</v>
      </c>
      <c r="H7295" s="9">
        <v>9.25</v>
      </c>
      <c r="I7295"/>
    </row>
    <row r="7296" spans="1:9" x14ac:dyDescent="0.3">
      <c r="A7296" t="s">
        <v>3</v>
      </c>
      <c r="B7296" t="s">
        <v>11</v>
      </c>
      <c r="C7296" t="s">
        <v>115</v>
      </c>
      <c r="D7296" s="9" t="s">
        <v>111</v>
      </c>
      <c r="E7296" t="s">
        <v>36</v>
      </c>
      <c r="F7296" t="s">
        <v>69</v>
      </c>
      <c r="G7296">
        <v>2639.4</v>
      </c>
      <c r="H7296" s="9">
        <v>2.34</v>
      </c>
      <c r="I7296"/>
    </row>
    <row r="7297" spans="1:9" x14ac:dyDescent="0.3">
      <c r="A7297" t="s">
        <v>3</v>
      </c>
      <c r="B7297" t="s">
        <v>11</v>
      </c>
      <c r="C7297" t="s">
        <v>116</v>
      </c>
      <c r="D7297" s="9" t="s">
        <v>111</v>
      </c>
      <c r="E7297" t="s">
        <v>37</v>
      </c>
      <c r="F7297" t="s">
        <v>71</v>
      </c>
      <c r="G7297">
        <v>2524.4</v>
      </c>
      <c r="H7297" s="9">
        <v>3.65</v>
      </c>
      <c r="I7297"/>
    </row>
    <row r="7298" spans="1:9" x14ac:dyDescent="0.3">
      <c r="A7298" t="s">
        <v>3</v>
      </c>
      <c r="B7298" t="s">
        <v>11</v>
      </c>
      <c r="C7298" t="s">
        <v>117</v>
      </c>
      <c r="D7298" s="9" t="s">
        <v>111</v>
      </c>
      <c r="E7298" t="s">
        <v>38</v>
      </c>
      <c r="F7298" t="s">
        <v>73</v>
      </c>
      <c r="G7298">
        <v>2685.1</v>
      </c>
      <c r="H7298" s="9">
        <v>2.21</v>
      </c>
      <c r="I7298"/>
    </row>
    <row r="7299" spans="1:9" x14ac:dyDescent="0.3">
      <c r="A7299" t="s">
        <v>3</v>
      </c>
      <c r="B7299" t="s">
        <v>11</v>
      </c>
      <c r="C7299" t="s">
        <v>118</v>
      </c>
      <c r="D7299" s="9" t="s">
        <v>111</v>
      </c>
      <c r="E7299" t="s">
        <v>39</v>
      </c>
      <c r="F7299" t="s">
        <v>75</v>
      </c>
      <c r="G7299">
        <v>2696</v>
      </c>
      <c r="H7299" s="9">
        <v>-2.71</v>
      </c>
      <c r="I7299"/>
    </row>
    <row r="7300" spans="1:9" x14ac:dyDescent="0.3">
      <c r="A7300" t="s">
        <v>3</v>
      </c>
      <c r="B7300" t="s">
        <v>11</v>
      </c>
      <c r="C7300" t="s">
        <v>119</v>
      </c>
      <c r="D7300" s="9" t="s">
        <v>111</v>
      </c>
      <c r="E7300" t="s">
        <v>40</v>
      </c>
      <c r="F7300" t="s">
        <v>77</v>
      </c>
      <c r="G7300">
        <v>2691.9</v>
      </c>
      <c r="H7300" s="9">
        <v>-0.41</v>
      </c>
      <c r="I7300"/>
    </row>
    <row r="7301" spans="1:9" x14ac:dyDescent="0.3">
      <c r="A7301" t="s">
        <v>3</v>
      </c>
      <c r="B7301" t="s">
        <v>11</v>
      </c>
      <c r="C7301" t="s">
        <v>120</v>
      </c>
      <c r="D7301" s="9" t="s">
        <v>111</v>
      </c>
      <c r="E7301" t="s">
        <v>41</v>
      </c>
      <c r="F7301" t="s">
        <v>79</v>
      </c>
      <c r="G7301">
        <v>2880.6</v>
      </c>
      <c r="H7301" s="9">
        <v>3.69</v>
      </c>
      <c r="I7301"/>
    </row>
    <row r="7302" spans="1:9" x14ac:dyDescent="0.3">
      <c r="A7302" t="s">
        <v>3</v>
      </c>
      <c r="B7302" t="s">
        <v>11</v>
      </c>
      <c r="C7302" t="s">
        <v>121</v>
      </c>
      <c r="D7302" s="9" t="s">
        <v>111</v>
      </c>
      <c r="E7302" t="s">
        <v>42</v>
      </c>
      <c r="F7302" t="s">
        <v>81</v>
      </c>
      <c r="G7302">
        <v>2843.2</v>
      </c>
      <c r="H7302" s="9">
        <v>8.84</v>
      </c>
      <c r="I7302"/>
    </row>
    <row r="7303" spans="1:9" x14ac:dyDescent="0.3">
      <c r="A7303" t="s">
        <v>3</v>
      </c>
      <c r="B7303" t="s">
        <v>11</v>
      </c>
      <c r="C7303" t="s">
        <v>122</v>
      </c>
      <c r="D7303" s="9" t="s">
        <v>111</v>
      </c>
      <c r="E7303" t="s">
        <v>43</v>
      </c>
      <c r="F7303" t="s">
        <v>83</v>
      </c>
      <c r="G7303">
        <v>3260.5</v>
      </c>
      <c r="H7303" s="9">
        <v>10.4</v>
      </c>
      <c r="I7303"/>
    </row>
    <row r="7304" spans="1:9" x14ac:dyDescent="0.3">
      <c r="A7304" t="s">
        <v>3</v>
      </c>
      <c r="B7304" t="s">
        <v>11</v>
      </c>
      <c r="C7304" t="s">
        <v>123</v>
      </c>
      <c r="D7304" s="9" t="s">
        <v>124</v>
      </c>
      <c r="E7304" t="s">
        <v>32</v>
      </c>
      <c r="F7304" t="s">
        <v>61</v>
      </c>
      <c r="G7304">
        <v>2907.6</v>
      </c>
      <c r="H7304" s="9">
        <v>5.34</v>
      </c>
      <c r="I7304"/>
    </row>
    <row r="7305" spans="1:9" x14ac:dyDescent="0.3">
      <c r="A7305" t="s">
        <v>3</v>
      </c>
      <c r="B7305" t="s">
        <v>11</v>
      </c>
      <c r="C7305" t="s">
        <v>125</v>
      </c>
      <c r="D7305" s="9" t="s">
        <v>124</v>
      </c>
      <c r="E7305" t="s">
        <v>33</v>
      </c>
      <c r="F7305" t="s">
        <v>63</v>
      </c>
      <c r="G7305">
        <v>2666.7</v>
      </c>
      <c r="H7305" s="9">
        <v>8.5500000000000007</v>
      </c>
      <c r="I7305"/>
    </row>
    <row r="7306" spans="1:9" x14ac:dyDescent="0.3">
      <c r="A7306" t="s">
        <v>3</v>
      </c>
      <c r="B7306" t="s">
        <v>11</v>
      </c>
      <c r="C7306" t="s">
        <v>126</v>
      </c>
      <c r="D7306" s="9" t="s">
        <v>124</v>
      </c>
      <c r="E7306" t="s">
        <v>34</v>
      </c>
      <c r="F7306" t="s">
        <v>65</v>
      </c>
      <c r="G7306">
        <v>2933.7</v>
      </c>
      <c r="H7306" s="9">
        <v>9.7100000000000009</v>
      </c>
      <c r="I7306"/>
    </row>
    <row r="7307" spans="1:9" x14ac:dyDescent="0.3">
      <c r="A7307" t="s">
        <v>3</v>
      </c>
      <c r="B7307" t="s">
        <v>11</v>
      </c>
      <c r="C7307" t="s">
        <v>127</v>
      </c>
      <c r="D7307" s="9" t="s">
        <v>124</v>
      </c>
      <c r="E7307" t="s">
        <v>35</v>
      </c>
      <c r="F7307" t="s">
        <v>67</v>
      </c>
      <c r="G7307">
        <v>2839.6</v>
      </c>
      <c r="H7307" s="9">
        <v>7.95</v>
      </c>
      <c r="I7307"/>
    </row>
    <row r="7308" spans="1:9" x14ac:dyDescent="0.3">
      <c r="A7308" t="s">
        <v>3</v>
      </c>
      <c r="B7308" t="s">
        <v>11</v>
      </c>
      <c r="C7308" t="s">
        <v>128</v>
      </c>
      <c r="D7308" s="9" t="s">
        <v>124</v>
      </c>
      <c r="E7308" t="s">
        <v>36</v>
      </c>
      <c r="F7308" t="s">
        <v>69</v>
      </c>
      <c r="G7308">
        <v>2838.2</v>
      </c>
      <c r="H7308" s="9">
        <v>7.53</v>
      </c>
      <c r="I7308"/>
    </row>
    <row r="7309" spans="1:9" x14ac:dyDescent="0.3">
      <c r="A7309" t="s">
        <v>3</v>
      </c>
      <c r="B7309" t="s">
        <v>11</v>
      </c>
      <c r="C7309" t="s">
        <v>129</v>
      </c>
      <c r="D7309" s="9" t="s">
        <v>124</v>
      </c>
      <c r="E7309" t="s">
        <v>37</v>
      </c>
      <c r="F7309" t="s">
        <v>71</v>
      </c>
      <c r="G7309">
        <v>2700.2</v>
      </c>
      <c r="H7309" s="9">
        <v>6.96</v>
      </c>
      <c r="I7309"/>
    </row>
    <row r="7310" spans="1:9" x14ac:dyDescent="0.3">
      <c r="A7310" t="s">
        <v>3</v>
      </c>
      <c r="B7310" t="s">
        <v>11</v>
      </c>
      <c r="C7310" t="s">
        <v>130</v>
      </c>
      <c r="D7310" s="9" t="s">
        <v>124</v>
      </c>
      <c r="E7310" t="s">
        <v>38</v>
      </c>
      <c r="F7310" t="s">
        <v>73</v>
      </c>
      <c r="G7310">
        <v>2826.9</v>
      </c>
      <c r="H7310" s="9">
        <v>5.28</v>
      </c>
      <c r="I7310"/>
    </row>
    <row r="7311" spans="1:9" x14ac:dyDescent="0.3">
      <c r="A7311" t="s">
        <v>3</v>
      </c>
      <c r="B7311" t="s">
        <v>11</v>
      </c>
      <c r="C7311" t="s">
        <v>131</v>
      </c>
      <c r="D7311" s="9" t="s">
        <v>124</v>
      </c>
      <c r="E7311" t="s">
        <v>39</v>
      </c>
      <c r="F7311" t="s">
        <v>75</v>
      </c>
      <c r="G7311">
        <v>2827.1</v>
      </c>
      <c r="H7311" s="9">
        <v>4.8600000000000003</v>
      </c>
      <c r="I7311"/>
    </row>
    <row r="7312" spans="1:9" x14ac:dyDescent="0.3">
      <c r="A7312" t="s">
        <v>3</v>
      </c>
      <c r="B7312" t="s">
        <v>11</v>
      </c>
      <c r="C7312" t="s">
        <v>132</v>
      </c>
      <c r="D7312" s="9" t="s">
        <v>124</v>
      </c>
      <c r="E7312" t="s">
        <v>40</v>
      </c>
      <c r="F7312" t="s">
        <v>77</v>
      </c>
      <c r="G7312">
        <v>2793.9</v>
      </c>
      <c r="H7312" s="9">
        <v>3.79</v>
      </c>
      <c r="I7312"/>
    </row>
    <row r="7313" spans="1:9" x14ac:dyDescent="0.3">
      <c r="A7313" t="s">
        <v>3</v>
      </c>
      <c r="B7313" t="s">
        <v>11</v>
      </c>
      <c r="C7313" t="s">
        <v>133</v>
      </c>
      <c r="D7313" s="9" t="s">
        <v>124</v>
      </c>
      <c r="E7313" t="s">
        <v>41</v>
      </c>
      <c r="F7313" t="s">
        <v>79</v>
      </c>
      <c r="G7313">
        <v>2933.3</v>
      </c>
      <c r="H7313" s="9">
        <v>1.83</v>
      </c>
      <c r="I7313"/>
    </row>
    <row r="7314" spans="1:9" x14ac:dyDescent="0.3">
      <c r="A7314" t="s">
        <v>3</v>
      </c>
      <c r="B7314" t="s">
        <v>11</v>
      </c>
      <c r="C7314" t="s">
        <v>134</v>
      </c>
      <c r="D7314" s="9" t="s">
        <v>124</v>
      </c>
      <c r="E7314" t="s">
        <v>42</v>
      </c>
      <c r="F7314" t="s">
        <v>81</v>
      </c>
      <c r="G7314">
        <v>2925.7</v>
      </c>
      <c r="H7314" s="9">
        <v>2.9</v>
      </c>
      <c r="I7314"/>
    </row>
    <row r="7315" spans="1:9" x14ac:dyDescent="0.3">
      <c r="A7315" t="s">
        <v>3</v>
      </c>
      <c r="B7315" t="s">
        <v>11</v>
      </c>
      <c r="C7315" t="s">
        <v>135</v>
      </c>
      <c r="D7315" s="9" t="s">
        <v>124</v>
      </c>
      <c r="E7315" t="s">
        <v>43</v>
      </c>
      <c r="F7315" t="s">
        <v>83</v>
      </c>
      <c r="G7315">
        <v>3272.1</v>
      </c>
      <c r="H7315" s="9">
        <v>0.36</v>
      </c>
      <c r="I7315"/>
    </row>
    <row r="7316" spans="1:9" x14ac:dyDescent="0.3">
      <c r="A7316" t="s">
        <v>3</v>
      </c>
      <c r="B7316" t="s">
        <v>11</v>
      </c>
      <c r="C7316" t="s">
        <v>136</v>
      </c>
      <c r="D7316" s="9" t="s">
        <v>137</v>
      </c>
      <c r="E7316" t="s">
        <v>32</v>
      </c>
      <c r="F7316" t="s">
        <v>61</v>
      </c>
      <c r="G7316">
        <v>2924.9</v>
      </c>
      <c r="H7316" s="9">
        <v>0.59</v>
      </c>
      <c r="I7316"/>
    </row>
    <row r="7317" spans="1:9" x14ac:dyDescent="0.3">
      <c r="A7317" t="s">
        <v>3</v>
      </c>
      <c r="B7317" t="s">
        <v>11</v>
      </c>
      <c r="C7317" t="s">
        <v>138</v>
      </c>
      <c r="D7317" s="9" t="s">
        <v>137</v>
      </c>
      <c r="E7317" t="s">
        <v>33</v>
      </c>
      <c r="F7317" t="s">
        <v>63</v>
      </c>
      <c r="G7317">
        <v>2803.9</v>
      </c>
      <c r="H7317" s="9">
        <v>5.14</v>
      </c>
      <c r="I7317"/>
    </row>
    <row r="7318" spans="1:9" x14ac:dyDescent="0.3">
      <c r="A7318" t="s">
        <v>3</v>
      </c>
      <c r="B7318" t="s">
        <v>11</v>
      </c>
      <c r="C7318" t="s">
        <v>139</v>
      </c>
      <c r="D7318" s="9" t="s">
        <v>137</v>
      </c>
      <c r="E7318" t="s">
        <v>34</v>
      </c>
      <c r="F7318" t="s">
        <v>65</v>
      </c>
      <c r="G7318">
        <v>3066.8</v>
      </c>
      <c r="H7318" s="9">
        <v>4.54</v>
      </c>
      <c r="I7318"/>
    </row>
    <row r="7319" spans="1:9" x14ac:dyDescent="0.3">
      <c r="A7319" t="s">
        <v>3</v>
      </c>
      <c r="B7319" t="s">
        <v>11</v>
      </c>
      <c r="C7319" t="s">
        <v>140</v>
      </c>
      <c r="D7319" s="9" t="s">
        <v>137</v>
      </c>
      <c r="E7319" t="s">
        <v>35</v>
      </c>
      <c r="F7319" t="s">
        <v>67</v>
      </c>
      <c r="G7319">
        <v>2812.6</v>
      </c>
      <c r="H7319" s="9">
        <v>-0.95</v>
      </c>
      <c r="I7319"/>
    </row>
    <row r="7320" spans="1:9" x14ac:dyDescent="0.3">
      <c r="A7320" t="s">
        <v>3</v>
      </c>
      <c r="B7320" t="s">
        <v>11</v>
      </c>
      <c r="C7320" t="s">
        <v>141</v>
      </c>
      <c r="D7320" s="9" t="s">
        <v>137</v>
      </c>
      <c r="E7320" t="s">
        <v>36</v>
      </c>
      <c r="F7320" t="s">
        <v>69</v>
      </c>
      <c r="G7320">
        <v>2899.2</v>
      </c>
      <c r="H7320" s="9">
        <v>2.15</v>
      </c>
      <c r="I7320"/>
    </row>
    <row r="7321" spans="1:9" x14ac:dyDescent="0.3">
      <c r="A7321" t="s">
        <v>3</v>
      </c>
      <c r="B7321" t="s">
        <v>11</v>
      </c>
      <c r="C7321" t="s">
        <v>142</v>
      </c>
      <c r="D7321" s="9" t="s">
        <v>137</v>
      </c>
      <c r="E7321" t="s">
        <v>37</v>
      </c>
      <c r="F7321" t="s">
        <v>71</v>
      </c>
      <c r="G7321">
        <v>2796.3</v>
      </c>
      <c r="H7321" s="9">
        <v>3.56</v>
      </c>
      <c r="I7321"/>
    </row>
    <row r="7322" spans="1:9" x14ac:dyDescent="0.3">
      <c r="A7322" t="s">
        <v>3</v>
      </c>
      <c r="B7322" t="s">
        <v>11</v>
      </c>
      <c r="C7322" t="s">
        <v>143</v>
      </c>
      <c r="D7322" s="9" t="s">
        <v>137</v>
      </c>
      <c r="E7322" t="s">
        <v>38</v>
      </c>
      <c r="F7322" t="s">
        <v>73</v>
      </c>
      <c r="G7322">
        <v>2871.5</v>
      </c>
      <c r="H7322" s="9">
        <v>1.58</v>
      </c>
      <c r="I7322"/>
    </row>
    <row r="7323" spans="1:9" x14ac:dyDescent="0.3">
      <c r="A7323" t="s">
        <v>3</v>
      </c>
      <c r="B7323" t="s">
        <v>11</v>
      </c>
      <c r="C7323" t="s">
        <v>144</v>
      </c>
      <c r="D7323" s="9" t="s">
        <v>137</v>
      </c>
      <c r="E7323" t="s">
        <v>39</v>
      </c>
      <c r="F7323" t="s">
        <v>75</v>
      </c>
      <c r="G7323">
        <v>2957.6</v>
      </c>
      <c r="H7323" s="9">
        <v>4.62</v>
      </c>
      <c r="I7323"/>
    </row>
    <row r="7324" spans="1:9" x14ac:dyDescent="0.3">
      <c r="A7324" t="s">
        <v>3</v>
      </c>
      <c r="B7324" t="s">
        <v>11</v>
      </c>
      <c r="C7324" t="s">
        <v>145</v>
      </c>
      <c r="D7324" s="9" t="s">
        <v>137</v>
      </c>
      <c r="E7324" t="s">
        <v>40</v>
      </c>
      <c r="F7324" t="s">
        <v>77</v>
      </c>
      <c r="G7324">
        <v>2851.1</v>
      </c>
      <c r="H7324" s="9">
        <v>2.0499999999999998</v>
      </c>
      <c r="I7324"/>
    </row>
    <row r="7325" spans="1:9" x14ac:dyDescent="0.3">
      <c r="A7325" t="s">
        <v>3</v>
      </c>
      <c r="B7325" t="s">
        <v>11</v>
      </c>
      <c r="C7325" t="s">
        <v>146</v>
      </c>
      <c r="D7325" s="9" t="s">
        <v>137</v>
      </c>
      <c r="E7325" t="s">
        <v>41</v>
      </c>
      <c r="F7325" t="s">
        <v>79</v>
      </c>
      <c r="G7325">
        <v>3000.5</v>
      </c>
      <c r="H7325" s="9">
        <v>2.29</v>
      </c>
      <c r="I7325"/>
    </row>
    <row r="7326" spans="1:9" x14ac:dyDescent="0.3">
      <c r="A7326" t="s">
        <v>3</v>
      </c>
      <c r="B7326" t="s">
        <v>11</v>
      </c>
      <c r="C7326" t="s">
        <v>147</v>
      </c>
      <c r="D7326" s="9" t="s">
        <v>137</v>
      </c>
      <c r="E7326" t="s">
        <v>42</v>
      </c>
      <c r="F7326" t="s">
        <v>81</v>
      </c>
      <c r="G7326">
        <v>3028.8</v>
      </c>
      <c r="H7326" s="9">
        <v>3.52</v>
      </c>
      <c r="I7326"/>
    </row>
    <row r="7327" spans="1:9" x14ac:dyDescent="0.3">
      <c r="A7327" t="s">
        <v>3</v>
      </c>
      <c r="B7327" t="s">
        <v>11</v>
      </c>
      <c r="C7327" t="s">
        <v>148</v>
      </c>
      <c r="D7327" s="9" t="s">
        <v>137</v>
      </c>
      <c r="E7327" t="s">
        <v>43</v>
      </c>
      <c r="F7327" t="s">
        <v>83</v>
      </c>
      <c r="G7327">
        <v>3323.2</v>
      </c>
      <c r="H7327" s="9">
        <v>1.56</v>
      </c>
      <c r="I7327"/>
    </row>
    <row r="7328" spans="1:9" x14ac:dyDescent="0.3">
      <c r="A7328" t="s">
        <v>3</v>
      </c>
      <c r="B7328" t="s">
        <v>11</v>
      </c>
      <c r="C7328" t="s">
        <v>149</v>
      </c>
      <c r="D7328" s="9" t="s">
        <v>150</v>
      </c>
      <c r="E7328" t="s">
        <v>32</v>
      </c>
      <c r="F7328" t="s">
        <v>61</v>
      </c>
      <c r="G7328">
        <v>3027.2</v>
      </c>
      <c r="H7328" s="9">
        <v>3.5</v>
      </c>
      <c r="I7328"/>
    </row>
    <row r="7329" spans="1:9" x14ac:dyDescent="0.3">
      <c r="A7329" t="s">
        <v>3</v>
      </c>
      <c r="B7329" t="s">
        <v>11</v>
      </c>
      <c r="C7329" t="s">
        <v>151</v>
      </c>
      <c r="D7329" s="9" t="s">
        <v>150</v>
      </c>
      <c r="E7329" t="s">
        <v>33</v>
      </c>
      <c r="F7329" t="s">
        <v>63</v>
      </c>
      <c r="G7329">
        <v>2802.9</v>
      </c>
      <c r="H7329" s="9">
        <v>-0.04</v>
      </c>
      <c r="I7329"/>
    </row>
    <row r="7330" spans="1:9" x14ac:dyDescent="0.3">
      <c r="A7330" t="s">
        <v>3</v>
      </c>
      <c r="B7330" t="s">
        <v>11</v>
      </c>
      <c r="C7330" t="s">
        <v>152</v>
      </c>
      <c r="D7330" s="9" t="s">
        <v>150</v>
      </c>
      <c r="E7330" t="s">
        <v>34</v>
      </c>
      <c r="F7330" t="s">
        <v>65</v>
      </c>
      <c r="G7330">
        <v>3123.9</v>
      </c>
      <c r="H7330" s="9">
        <v>1.86</v>
      </c>
      <c r="I7330"/>
    </row>
    <row r="7331" spans="1:9" x14ac:dyDescent="0.3">
      <c r="A7331" t="s">
        <v>3</v>
      </c>
      <c r="B7331" t="s">
        <v>11</v>
      </c>
      <c r="C7331" t="s">
        <v>153</v>
      </c>
      <c r="D7331" s="9" t="s">
        <v>150</v>
      </c>
      <c r="E7331" t="s">
        <v>35</v>
      </c>
      <c r="F7331" t="s">
        <v>67</v>
      </c>
      <c r="G7331">
        <v>2946.4</v>
      </c>
      <c r="H7331" s="9">
        <v>4.76</v>
      </c>
      <c r="I7331"/>
    </row>
    <row r="7332" spans="1:9" x14ac:dyDescent="0.3">
      <c r="A7332" t="s">
        <v>3</v>
      </c>
      <c r="B7332" t="s">
        <v>11</v>
      </c>
      <c r="C7332" t="s">
        <v>154</v>
      </c>
      <c r="D7332" s="9" t="s">
        <v>150</v>
      </c>
      <c r="E7332" t="s">
        <v>36</v>
      </c>
      <c r="F7332" t="s">
        <v>69</v>
      </c>
      <c r="G7332">
        <v>3005</v>
      </c>
      <c r="H7332" s="9">
        <v>3.65</v>
      </c>
      <c r="I7332"/>
    </row>
    <row r="7333" spans="1:9" x14ac:dyDescent="0.3">
      <c r="A7333" t="s">
        <v>3</v>
      </c>
      <c r="B7333" t="s">
        <v>11</v>
      </c>
      <c r="C7333" t="s">
        <v>155</v>
      </c>
      <c r="D7333" s="9" t="s">
        <v>150</v>
      </c>
      <c r="E7333" t="s">
        <v>37</v>
      </c>
      <c r="F7333" t="s">
        <v>71</v>
      </c>
      <c r="G7333">
        <v>2875.5</v>
      </c>
      <c r="H7333" s="9">
        <v>2.83</v>
      </c>
      <c r="I7333"/>
    </row>
    <row r="7334" spans="1:9" x14ac:dyDescent="0.3">
      <c r="A7334" t="s">
        <v>3</v>
      </c>
      <c r="B7334" t="s">
        <v>18</v>
      </c>
      <c r="C7334" t="s">
        <v>59</v>
      </c>
      <c r="D7334" s="9" t="s">
        <v>60</v>
      </c>
      <c r="E7334" t="s">
        <v>32</v>
      </c>
      <c r="F7334" t="s">
        <v>61</v>
      </c>
      <c r="G7334">
        <v>348</v>
      </c>
      <c r="I7334"/>
    </row>
    <row r="7335" spans="1:9" x14ac:dyDescent="0.3">
      <c r="A7335" t="s">
        <v>3</v>
      </c>
      <c r="B7335" t="s">
        <v>18</v>
      </c>
      <c r="C7335" t="s">
        <v>62</v>
      </c>
      <c r="D7335" s="9" t="s">
        <v>60</v>
      </c>
      <c r="E7335" t="s">
        <v>33</v>
      </c>
      <c r="F7335" t="s">
        <v>63</v>
      </c>
      <c r="G7335">
        <v>312.39999999999998</v>
      </c>
      <c r="I7335"/>
    </row>
    <row r="7336" spans="1:9" x14ac:dyDescent="0.3">
      <c r="A7336" t="s">
        <v>3</v>
      </c>
      <c r="B7336" t="s">
        <v>18</v>
      </c>
      <c r="C7336" t="s">
        <v>64</v>
      </c>
      <c r="D7336" s="9" t="s">
        <v>60</v>
      </c>
      <c r="E7336" t="s">
        <v>34</v>
      </c>
      <c r="F7336" t="s">
        <v>65</v>
      </c>
      <c r="G7336">
        <v>353.6</v>
      </c>
      <c r="I7336"/>
    </row>
    <row r="7337" spans="1:9" x14ac:dyDescent="0.3">
      <c r="A7337" t="s">
        <v>3</v>
      </c>
      <c r="B7337" t="s">
        <v>18</v>
      </c>
      <c r="C7337" t="s">
        <v>66</v>
      </c>
      <c r="D7337" s="9" t="s">
        <v>60</v>
      </c>
      <c r="E7337" t="s">
        <v>35</v>
      </c>
      <c r="F7337" t="s">
        <v>67</v>
      </c>
      <c r="G7337">
        <v>328.6</v>
      </c>
      <c r="I7337"/>
    </row>
    <row r="7338" spans="1:9" x14ac:dyDescent="0.3">
      <c r="A7338" t="s">
        <v>3</v>
      </c>
      <c r="B7338" t="s">
        <v>18</v>
      </c>
      <c r="C7338" t="s">
        <v>68</v>
      </c>
      <c r="D7338" s="9" t="s">
        <v>60</v>
      </c>
      <c r="E7338" t="s">
        <v>36</v>
      </c>
      <c r="F7338" t="s">
        <v>69</v>
      </c>
      <c r="G7338">
        <v>329.7</v>
      </c>
      <c r="I7338"/>
    </row>
    <row r="7339" spans="1:9" x14ac:dyDescent="0.3">
      <c r="A7339" t="s">
        <v>3</v>
      </c>
      <c r="B7339" t="s">
        <v>18</v>
      </c>
      <c r="C7339" t="s">
        <v>70</v>
      </c>
      <c r="D7339" s="9" t="s">
        <v>60</v>
      </c>
      <c r="E7339" t="s">
        <v>37</v>
      </c>
      <c r="F7339" t="s">
        <v>71</v>
      </c>
      <c r="G7339">
        <v>336.4</v>
      </c>
      <c r="I7339"/>
    </row>
    <row r="7340" spans="1:9" x14ac:dyDescent="0.3">
      <c r="A7340" t="s">
        <v>3</v>
      </c>
      <c r="B7340" t="s">
        <v>18</v>
      </c>
      <c r="C7340" t="s">
        <v>72</v>
      </c>
      <c r="D7340" s="9" t="s">
        <v>60</v>
      </c>
      <c r="E7340" t="s">
        <v>38</v>
      </c>
      <c r="F7340" t="s">
        <v>73</v>
      </c>
      <c r="G7340">
        <v>352.7</v>
      </c>
      <c r="I7340"/>
    </row>
    <row r="7341" spans="1:9" x14ac:dyDescent="0.3">
      <c r="A7341" t="s">
        <v>3</v>
      </c>
      <c r="B7341" t="s">
        <v>18</v>
      </c>
      <c r="C7341" t="s">
        <v>74</v>
      </c>
      <c r="D7341" s="9" t="s">
        <v>60</v>
      </c>
      <c r="E7341" t="s">
        <v>39</v>
      </c>
      <c r="F7341" t="s">
        <v>75</v>
      </c>
      <c r="G7341">
        <v>361.6</v>
      </c>
      <c r="I7341"/>
    </row>
    <row r="7342" spans="1:9" x14ac:dyDescent="0.3">
      <c r="A7342" t="s">
        <v>3</v>
      </c>
      <c r="B7342" t="s">
        <v>18</v>
      </c>
      <c r="C7342" t="s">
        <v>76</v>
      </c>
      <c r="D7342" s="9" t="s">
        <v>60</v>
      </c>
      <c r="E7342" t="s">
        <v>40</v>
      </c>
      <c r="F7342" t="s">
        <v>77</v>
      </c>
      <c r="G7342">
        <v>354.1</v>
      </c>
      <c r="I7342"/>
    </row>
    <row r="7343" spans="1:9" x14ac:dyDescent="0.3">
      <c r="A7343" t="s">
        <v>3</v>
      </c>
      <c r="B7343" t="s">
        <v>18</v>
      </c>
      <c r="C7343" t="s">
        <v>78</v>
      </c>
      <c r="D7343" s="9" t="s">
        <v>60</v>
      </c>
      <c r="E7343" t="s">
        <v>41</v>
      </c>
      <c r="F7343" t="s">
        <v>79</v>
      </c>
      <c r="G7343">
        <v>356.4</v>
      </c>
      <c r="I7343"/>
    </row>
    <row r="7344" spans="1:9" x14ac:dyDescent="0.3">
      <c r="A7344" t="s">
        <v>3</v>
      </c>
      <c r="B7344" t="s">
        <v>18</v>
      </c>
      <c r="C7344" t="s">
        <v>80</v>
      </c>
      <c r="D7344" s="9" t="s">
        <v>60</v>
      </c>
      <c r="E7344" t="s">
        <v>42</v>
      </c>
      <c r="F7344" t="s">
        <v>81</v>
      </c>
      <c r="G7344">
        <v>360.3</v>
      </c>
      <c r="I7344"/>
    </row>
    <row r="7345" spans="1:9" x14ac:dyDescent="0.3">
      <c r="A7345" t="s">
        <v>3</v>
      </c>
      <c r="B7345" t="s">
        <v>18</v>
      </c>
      <c r="C7345" t="s">
        <v>82</v>
      </c>
      <c r="D7345" s="9" t="s">
        <v>60</v>
      </c>
      <c r="E7345" t="s">
        <v>43</v>
      </c>
      <c r="F7345" t="s">
        <v>83</v>
      </c>
      <c r="G7345">
        <v>396.2</v>
      </c>
      <c r="I7345"/>
    </row>
    <row r="7346" spans="1:9" x14ac:dyDescent="0.3">
      <c r="A7346" t="s">
        <v>3</v>
      </c>
      <c r="B7346" t="s">
        <v>18</v>
      </c>
      <c r="C7346" t="s">
        <v>84</v>
      </c>
      <c r="D7346" s="9" t="s">
        <v>85</v>
      </c>
      <c r="E7346" t="s">
        <v>32</v>
      </c>
      <c r="F7346" t="s">
        <v>61</v>
      </c>
      <c r="G7346">
        <v>348.6</v>
      </c>
      <c r="H7346" s="9">
        <v>0.17</v>
      </c>
      <c r="I7346"/>
    </row>
    <row r="7347" spans="1:9" x14ac:dyDescent="0.3">
      <c r="A7347" t="s">
        <v>3</v>
      </c>
      <c r="B7347" t="s">
        <v>18</v>
      </c>
      <c r="C7347" t="s">
        <v>86</v>
      </c>
      <c r="D7347" s="9" t="s">
        <v>85</v>
      </c>
      <c r="E7347" t="s">
        <v>33</v>
      </c>
      <c r="F7347" t="s">
        <v>63</v>
      </c>
      <c r="G7347">
        <v>333.3</v>
      </c>
      <c r="H7347" s="9">
        <v>6.69</v>
      </c>
      <c r="I7347"/>
    </row>
    <row r="7348" spans="1:9" x14ac:dyDescent="0.3">
      <c r="A7348" t="s">
        <v>3</v>
      </c>
      <c r="B7348" t="s">
        <v>18</v>
      </c>
      <c r="C7348" t="s">
        <v>87</v>
      </c>
      <c r="D7348" s="9" t="s">
        <v>85</v>
      </c>
      <c r="E7348" t="s">
        <v>34</v>
      </c>
      <c r="F7348" t="s">
        <v>65</v>
      </c>
      <c r="G7348">
        <v>318.7</v>
      </c>
      <c r="H7348" s="9">
        <v>-9.8699999999999992</v>
      </c>
      <c r="I7348"/>
    </row>
    <row r="7349" spans="1:9" x14ac:dyDescent="0.3">
      <c r="A7349" t="s">
        <v>3</v>
      </c>
      <c r="B7349" t="s">
        <v>18</v>
      </c>
      <c r="C7349" t="s">
        <v>88</v>
      </c>
      <c r="D7349" s="9" t="s">
        <v>85</v>
      </c>
      <c r="E7349" t="s">
        <v>35</v>
      </c>
      <c r="F7349" t="s">
        <v>67</v>
      </c>
      <c r="G7349">
        <v>264.60000000000002</v>
      </c>
      <c r="H7349" s="9">
        <v>-19.48</v>
      </c>
      <c r="I7349"/>
    </row>
    <row r="7350" spans="1:9" x14ac:dyDescent="0.3">
      <c r="A7350" t="s">
        <v>3</v>
      </c>
      <c r="B7350" t="s">
        <v>18</v>
      </c>
      <c r="C7350" t="s">
        <v>89</v>
      </c>
      <c r="D7350" s="9" t="s">
        <v>85</v>
      </c>
      <c r="E7350" t="s">
        <v>36</v>
      </c>
      <c r="F7350" t="s">
        <v>69</v>
      </c>
      <c r="G7350">
        <v>324.8</v>
      </c>
      <c r="H7350" s="9">
        <v>-1.49</v>
      </c>
      <c r="I7350"/>
    </row>
    <row r="7351" spans="1:9" x14ac:dyDescent="0.3">
      <c r="A7351" t="s">
        <v>3</v>
      </c>
      <c r="B7351" t="s">
        <v>18</v>
      </c>
      <c r="C7351" t="s">
        <v>90</v>
      </c>
      <c r="D7351" s="9" t="s">
        <v>85</v>
      </c>
      <c r="E7351" t="s">
        <v>37</v>
      </c>
      <c r="F7351" t="s">
        <v>71</v>
      </c>
      <c r="G7351">
        <v>334.5</v>
      </c>
      <c r="H7351" s="9">
        <v>-0.56000000000000005</v>
      </c>
      <c r="I7351"/>
    </row>
    <row r="7352" spans="1:9" x14ac:dyDescent="0.3">
      <c r="A7352" t="s">
        <v>3</v>
      </c>
      <c r="B7352" t="s">
        <v>18</v>
      </c>
      <c r="C7352" t="s">
        <v>91</v>
      </c>
      <c r="D7352" s="9" t="s">
        <v>85</v>
      </c>
      <c r="E7352" t="s">
        <v>38</v>
      </c>
      <c r="F7352" t="s">
        <v>73</v>
      </c>
      <c r="G7352">
        <v>305.8</v>
      </c>
      <c r="H7352" s="9">
        <v>-13.3</v>
      </c>
      <c r="I7352"/>
    </row>
    <row r="7353" spans="1:9" x14ac:dyDescent="0.3">
      <c r="A7353" t="s">
        <v>3</v>
      </c>
      <c r="B7353" t="s">
        <v>18</v>
      </c>
      <c r="C7353" t="s">
        <v>92</v>
      </c>
      <c r="D7353" s="9" t="s">
        <v>85</v>
      </c>
      <c r="E7353" t="s">
        <v>39</v>
      </c>
      <c r="F7353" t="s">
        <v>75</v>
      </c>
      <c r="G7353">
        <v>286.2</v>
      </c>
      <c r="H7353" s="9">
        <v>-20.85</v>
      </c>
      <c r="I7353"/>
    </row>
    <row r="7354" spans="1:9" x14ac:dyDescent="0.3">
      <c r="A7354" t="s">
        <v>3</v>
      </c>
      <c r="B7354" t="s">
        <v>18</v>
      </c>
      <c r="C7354" t="s">
        <v>93</v>
      </c>
      <c r="D7354" s="9" t="s">
        <v>85</v>
      </c>
      <c r="E7354" t="s">
        <v>40</v>
      </c>
      <c r="F7354" t="s">
        <v>77</v>
      </c>
      <c r="G7354">
        <v>305.5</v>
      </c>
      <c r="H7354" s="9">
        <v>-13.72</v>
      </c>
      <c r="I7354"/>
    </row>
    <row r="7355" spans="1:9" x14ac:dyDescent="0.3">
      <c r="A7355" t="s">
        <v>3</v>
      </c>
      <c r="B7355" t="s">
        <v>18</v>
      </c>
      <c r="C7355" t="s">
        <v>94</v>
      </c>
      <c r="D7355" s="9" t="s">
        <v>85</v>
      </c>
      <c r="E7355" t="s">
        <v>41</v>
      </c>
      <c r="F7355" t="s">
        <v>79</v>
      </c>
      <c r="G7355">
        <v>350.3</v>
      </c>
      <c r="H7355" s="9">
        <v>-1.71</v>
      </c>
      <c r="I7355"/>
    </row>
    <row r="7356" spans="1:9" x14ac:dyDescent="0.3">
      <c r="A7356" t="s">
        <v>3</v>
      </c>
      <c r="B7356" t="s">
        <v>18</v>
      </c>
      <c r="C7356" t="s">
        <v>95</v>
      </c>
      <c r="D7356" s="9" t="s">
        <v>85</v>
      </c>
      <c r="E7356" t="s">
        <v>42</v>
      </c>
      <c r="F7356" t="s">
        <v>81</v>
      </c>
      <c r="G7356">
        <v>376.7</v>
      </c>
      <c r="H7356" s="9">
        <v>4.55</v>
      </c>
      <c r="I7356"/>
    </row>
    <row r="7357" spans="1:9" x14ac:dyDescent="0.3">
      <c r="A7357" t="s">
        <v>3</v>
      </c>
      <c r="B7357" t="s">
        <v>18</v>
      </c>
      <c r="C7357" t="s">
        <v>96</v>
      </c>
      <c r="D7357" s="9" t="s">
        <v>85</v>
      </c>
      <c r="E7357" t="s">
        <v>43</v>
      </c>
      <c r="F7357" t="s">
        <v>83</v>
      </c>
      <c r="G7357">
        <v>424.9</v>
      </c>
      <c r="H7357" s="9">
        <v>7.24</v>
      </c>
      <c r="I7357"/>
    </row>
    <row r="7358" spans="1:9" x14ac:dyDescent="0.3">
      <c r="A7358" t="s">
        <v>3</v>
      </c>
      <c r="B7358" t="s">
        <v>18</v>
      </c>
      <c r="C7358" t="s">
        <v>97</v>
      </c>
      <c r="D7358" s="9" t="s">
        <v>98</v>
      </c>
      <c r="E7358" t="s">
        <v>32</v>
      </c>
      <c r="F7358" t="s">
        <v>61</v>
      </c>
      <c r="G7358">
        <v>366.4</v>
      </c>
      <c r="H7358" s="9">
        <v>5.1100000000000003</v>
      </c>
      <c r="I7358"/>
    </row>
    <row r="7359" spans="1:9" x14ac:dyDescent="0.3">
      <c r="A7359" t="s">
        <v>3</v>
      </c>
      <c r="B7359" t="s">
        <v>18</v>
      </c>
      <c r="C7359" t="s">
        <v>99</v>
      </c>
      <c r="D7359" s="9" t="s">
        <v>98</v>
      </c>
      <c r="E7359" t="s">
        <v>33</v>
      </c>
      <c r="F7359" t="s">
        <v>63</v>
      </c>
      <c r="G7359">
        <v>311.89999999999998</v>
      </c>
      <c r="H7359" s="9">
        <v>-6.42</v>
      </c>
      <c r="I7359"/>
    </row>
    <row r="7360" spans="1:9" x14ac:dyDescent="0.3">
      <c r="A7360" t="s">
        <v>3</v>
      </c>
      <c r="B7360" t="s">
        <v>18</v>
      </c>
      <c r="C7360" t="s">
        <v>100</v>
      </c>
      <c r="D7360" s="9" t="s">
        <v>98</v>
      </c>
      <c r="E7360" t="s">
        <v>34</v>
      </c>
      <c r="F7360" t="s">
        <v>65</v>
      </c>
      <c r="G7360">
        <v>381.4</v>
      </c>
      <c r="H7360" s="9">
        <v>19.670000000000002</v>
      </c>
      <c r="I7360"/>
    </row>
    <row r="7361" spans="1:9" x14ac:dyDescent="0.3">
      <c r="A7361" t="s">
        <v>3</v>
      </c>
      <c r="B7361" t="s">
        <v>18</v>
      </c>
      <c r="C7361" t="s">
        <v>101</v>
      </c>
      <c r="D7361" s="9" t="s">
        <v>98</v>
      </c>
      <c r="E7361" t="s">
        <v>35</v>
      </c>
      <c r="F7361" t="s">
        <v>67</v>
      </c>
      <c r="G7361">
        <v>378.7</v>
      </c>
      <c r="H7361" s="9">
        <v>43.12</v>
      </c>
      <c r="I7361"/>
    </row>
    <row r="7362" spans="1:9" x14ac:dyDescent="0.3">
      <c r="A7362" t="s">
        <v>3</v>
      </c>
      <c r="B7362" t="s">
        <v>18</v>
      </c>
      <c r="C7362" t="s">
        <v>102</v>
      </c>
      <c r="D7362" s="9" t="s">
        <v>98</v>
      </c>
      <c r="E7362" t="s">
        <v>36</v>
      </c>
      <c r="F7362" t="s">
        <v>69</v>
      </c>
      <c r="G7362">
        <v>378.9</v>
      </c>
      <c r="H7362" s="9">
        <v>16.66</v>
      </c>
      <c r="I7362"/>
    </row>
    <row r="7363" spans="1:9" x14ac:dyDescent="0.3">
      <c r="A7363" t="s">
        <v>3</v>
      </c>
      <c r="B7363" t="s">
        <v>18</v>
      </c>
      <c r="C7363" t="s">
        <v>103</v>
      </c>
      <c r="D7363" s="9" t="s">
        <v>98</v>
      </c>
      <c r="E7363" t="s">
        <v>37</v>
      </c>
      <c r="F7363" t="s">
        <v>71</v>
      </c>
      <c r="G7363">
        <v>360.6</v>
      </c>
      <c r="H7363" s="9">
        <v>7.8</v>
      </c>
      <c r="I7363"/>
    </row>
    <row r="7364" spans="1:9" x14ac:dyDescent="0.3">
      <c r="A7364" t="s">
        <v>3</v>
      </c>
      <c r="B7364" t="s">
        <v>18</v>
      </c>
      <c r="C7364" t="s">
        <v>104</v>
      </c>
      <c r="D7364" s="9" t="s">
        <v>98</v>
      </c>
      <c r="E7364" t="s">
        <v>38</v>
      </c>
      <c r="F7364" t="s">
        <v>73</v>
      </c>
      <c r="G7364">
        <v>367.5</v>
      </c>
      <c r="H7364" s="9">
        <v>20.18</v>
      </c>
      <c r="I7364"/>
    </row>
    <row r="7365" spans="1:9" x14ac:dyDescent="0.3">
      <c r="A7365" t="s">
        <v>3</v>
      </c>
      <c r="B7365" t="s">
        <v>18</v>
      </c>
      <c r="C7365" t="s">
        <v>105</v>
      </c>
      <c r="D7365" s="9" t="s">
        <v>98</v>
      </c>
      <c r="E7365" t="s">
        <v>39</v>
      </c>
      <c r="F7365" t="s">
        <v>75</v>
      </c>
      <c r="G7365">
        <v>380</v>
      </c>
      <c r="H7365" s="9">
        <v>32.770000000000003</v>
      </c>
      <c r="I7365"/>
    </row>
    <row r="7366" spans="1:9" x14ac:dyDescent="0.3">
      <c r="A7366" t="s">
        <v>3</v>
      </c>
      <c r="B7366" t="s">
        <v>18</v>
      </c>
      <c r="C7366" t="s">
        <v>106</v>
      </c>
      <c r="D7366" s="9" t="s">
        <v>98</v>
      </c>
      <c r="E7366" t="s">
        <v>40</v>
      </c>
      <c r="F7366" t="s">
        <v>77</v>
      </c>
      <c r="G7366">
        <v>357.5</v>
      </c>
      <c r="H7366" s="9">
        <v>17.02</v>
      </c>
      <c r="I7366"/>
    </row>
    <row r="7367" spans="1:9" x14ac:dyDescent="0.3">
      <c r="A7367" t="s">
        <v>3</v>
      </c>
      <c r="B7367" t="s">
        <v>18</v>
      </c>
      <c r="C7367" t="s">
        <v>107</v>
      </c>
      <c r="D7367" s="9" t="s">
        <v>98</v>
      </c>
      <c r="E7367" t="s">
        <v>41</v>
      </c>
      <c r="F7367" t="s">
        <v>79</v>
      </c>
      <c r="G7367">
        <v>413.2</v>
      </c>
      <c r="H7367" s="9">
        <v>17.96</v>
      </c>
      <c r="I7367"/>
    </row>
    <row r="7368" spans="1:9" x14ac:dyDescent="0.3">
      <c r="A7368" t="s">
        <v>3</v>
      </c>
      <c r="B7368" t="s">
        <v>18</v>
      </c>
      <c r="C7368" t="s">
        <v>108</v>
      </c>
      <c r="D7368" s="9" t="s">
        <v>98</v>
      </c>
      <c r="E7368" t="s">
        <v>42</v>
      </c>
      <c r="F7368" t="s">
        <v>81</v>
      </c>
      <c r="G7368">
        <v>418.5</v>
      </c>
      <c r="H7368" s="9">
        <v>11.1</v>
      </c>
      <c r="I7368"/>
    </row>
    <row r="7369" spans="1:9" x14ac:dyDescent="0.3">
      <c r="A7369" t="s">
        <v>3</v>
      </c>
      <c r="B7369" t="s">
        <v>18</v>
      </c>
      <c r="C7369" t="s">
        <v>109</v>
      </c>
      <c r="D7369" s="9" t="s">
        <v>98</v>
      </c>
      <c r="E7369" t="s">
        <v>43</v>
      </c>
      <c r="F7369" t="s">
        <v>83</v>
      </c>
      <c r="G7369">
        <v>419.8</v>
      </c>
      <c r="H7369" s="9">
        <v>-1.2</v>
      </c>
      <c r="I7369"/>
    </row>
    <row r="7370" spans="1:9" x14ac:dyDescent="0.3">
      <c r="A7370" t="s">
        <v>3</v>
      </c>
      <c r="B7370" t="s">
        <v>18</v>
      </c>
      <c r="C7370" t="s">
        <v>110</v>
      </c>
      <c r="D7370" s="9" t="s">
        <v>111</v>
      </c>
      <c r="E7370" t="s">
        <v>32</v>
      </c>
      <c r="F7370" t="s">
        <v>61</v>
      </c>
      <c r="G7370">
        <v>360.4</v>
      </c>
      <c r="H7370" s="9">
        <v>-1.64</v>
      </c>
      <c r="I7370"/>
    </row>
    <row r="7371" spans="1:9" x14ac:dyDescent="0.3">
      <c r="A7371" t="s">
        <v>3</v>
      </c>
      <c r="B7371" t="s">
        <v>18</v>
      </c>
      <c r="C7371" t="s">
        <v>112</v>
      </c>
      <c r="D7371" s="9" t="s">
        <v>111</v>
      </c>
      <c r="E7371" t="s">
        <v>33</v>
      </c>
      <c r="F7371" t="s">
        <v>63</v>
      </c>
      <c r="G7371">
        <v>343.7</v>
      </c>
      <c r="H7371" s="9">
        <v>10.199999999999999</v>
      </c>
      <c r="I7371"/>
    </row>
    <row r="7372" spans="1:9" x14ac:dyDescent="0.3">
      <c r="A7372" t="s">
        <v>3</v>
      </c>
      <c r="B7372" t="s">
        <v>18</v>
      </c>
      <c r="C7372" t="s">
        <v>113</v>
      </c>
      <c r="D7372" s="9" t="s">
        <v>111</v>
      </c>
      <c r="E7372" t="s">
        <v>34</v>
      </c>
      <c r="F7372" t="s">
        <v>65</v>
      </c>
      <c r="G7372">
        <v>397.3</v>
      </c>
      <c r="H7372" s="9">
        <v>4.17</v>
      </c>
      <c r="I7372"/>
    </row>
    <row r="7373" spans="1:9" x14ac:dyDescent="0.3">
      <c r="A7373" t="s">
        <v>3</v>
      </c>
      <c r="B7373" t="s">
        <v>18</v>
      </c>
      <c r="C7373" t="s">
        <v>114</v>
      </c>
      <c r="D7373" s="9" t="s">
        <v>111</v>
      </c>
      <c r="E7373" t="s">
        <v>35</v>
      </c>
      <c r="F7373" t="s">
        <v>67</v>
      </c>
      <c r="G7373">
        <v>405.7</v>
      </c>
      <c r="H7373" s="9">
        <v>7.13</v>
      </c>
      <c r="I7373"/>
    </row>
    <row r="7374" spans="1:9" x14ac:dyDescent="0.3">
      <c r="A7374" t="s">
        <v>3</v>
      </c>
      <c r="B7374" t="s">
        <v>18</v>
      </c>
      <c r="C7374" t="s">
        <v>115</v>
      </c>
      <c r="D7374" s="9" t="s">
        <v>111</v>
      </c>
      <c r="E7374" t="s">
        <v>36</v>
      </c>
      <c r="F7374" t="s">
        <v>69</v>
      </c>
      <c r="G7374">
        <v>417.3</v>
      </c>
      <c r="H7374" s="9">
        <v>10.130000000000001</v>
      </c>
      <c r="I7374"/>
    </row>
    <row r="7375" spans="1:9" x14ac:dyDescent="0.3">
      <c r="A7375" t="s">
        <v>3</v>
      </c>
      <c r="B7375" t="s">
        <v>18</v>
      </c>
      <c r="C7375" t="s">
        <v>116</v>
      </c>
      <c r="D7375" s="9" t="s">
        <v>111</v>
      </c>
      <c r="E7375" t="s">
        <v>37</v>
      </c>
      <c r="F7375" t="s">
        <v>71</v>
      </c>
      <c r="G7375">
        <v>417.3</v>
      </c>
      <c r="H7375" s="9">
        <v>15.72</v>
      </c>
      <c r="I7375"/>
    </row>
    <row r="7376" spans="1:9" x14ac:dyDescent="0.3">
      <c r="A7376" t="s">
        <v>3</v>
      </c>
      <c r="B7376" t="s">
        <v>18</v>
      </c>
      <c r="C7376" t="s">
        <v>117</v>
      </c>
      <c r="D7376" s="9" t="s">
        <v>111</v>
      </c>
      <c r="E7376" t="s">
        <v>38</v>
      </c>
      <c r="F7376" t="s">
        <v>73</v>
      </c>
      <c r="G7376">
        <v>431.7</v>
      </c>
      <c r="H7376" s="9">
        <v>17.47</v>
      </c>
      <c r="I7376"/>
    </row>
    <row r="7377" spans="1:9" x14ac:dyDescent="0.3">
      <c r="A7377" t="s">
        <v>3</v>
      </c>
      <c r="B7377" t="s">
        <v>18</v>
      </c>
      <c r="C7377" t="s">
        <v>118</v>
      </c>
      <c r="D7377" s="9" t="s">
        <v>111</v>
      </c>
      <c r="E7377" t="s">
        <v>39</v>
      </c>
      <c r="F7377" t="s">
        <v>75</v>
      </c>
      <c r="G7377">
        <v>423</v>
      </c>
      <c r="H7377" s="9">
        <v>11.32</v>
      </c>
      <c r="I7377"/>
    </row>
    <row r="7378" spans="1:9" x14ac:dyDescent="0.3">
      <c r="A7378" t="s">
        <v>3</v>
      </c>
      <c r="B7378" t="s">
        <v>18</v>
      </c>
      <c r="C7378" t="s">
        <v>119</v>
      </c>
      <c r="D7378" s="9" t="s">
        <v>111</v>
      </c>
      <c r="E7378" t="s">
        <v>40</v>
      </c>
      <c r="F7378" t="s">
        <v>77</v>
      </c>
      <c r="G7378">
        <v>435.8</v>
      </c>
      <c r="H7378" s="9">
        <v>21.9</v>
      </c>
      <c r="I7378"/>
    </row>
    <row r="7379" spans="1:9" x14ac:dyDescent="0.3">
      <c r="A7379" t="s">
        <v>3</v>
      </c>
      <c r="B7379" t="s">
        <v>18</v>
      </c>
      <c r="C7379" t="s">
        <v>120</v>
      </c>
      <c r="D7379" s="9" t="s">
        <v>111</v>
      </c>
      <c r="E7379" t="s">
        <v>41</v>
      </c>
      <c r="F7379" t="s">
        <v>79</v>
      </c>
      <c r="G7379">
        <v>441.3</v>
      </c>
      <c r="H7379" s="9">
        <v>6.8</v>
      </c>
      <c r="I7379"/>
    </row>
    <row r="7380" spans="1:9" x14ac:dyDescent="0.3">
      <c r="A7380" t="s">
        <v>3</v>
      </c>
      <c r="B7380" t="s">
        <v>18</v>
      </c>
      <c r="C7380" t="s">
        <v>121</v>
      </c>
      <c r="D7380" s="9" t="s">
        <v>111</v>
      </c>
      <c r="E7380" t="s">
        <v>42</v>
      </c>
      <c r="F7380" t="s">
        <v>81</v>
      </c>
      <c r="G7380">
        <v>440.7</v>
      </c>
      <c r="H7380" s="9">
        <v>5.3</v>
      </c>
      <c r="I7380"/>
    </row>
    <row r="7381" spans="1:9" x14ac:dyDescent="0.3">
      <c r="A7381" t="s">
        <v>3</v>
      </c>
      <c r="B7381" t="s">
        <v>18</v>
      </c>
      <c r="C7381" t="s">
        <v>122</v>
      </c>
      <c r="D7381" s="9" t="s">
        <v>111</v>
      </c>
      <c r="E7381" t="s">
        <v>43</v>
      </c>
      <c r="F7381" t="s">
        <v>83</v>
      </c>
      <c r="G7381">
        <v>471.9</v>
      </c>
      <c r="H7381" s="9">
        <v>12.41</v>
      </c>
      <c r="I7381"/>
    </row>
    <row r="7382" spans="1:9" x14ac:dyDescent="0.3">
      <c r="A7382" t="s">
        <v>3</v>
      </c>
      <c r="B7382" t="s">
        <v>18</v>
      </c>
      <c r="C7382" t="s">
        <v>123</v>
      </c>
      <c r="D7382" s="9" t="s">
        <v>124</v>
      </c>
      <c r="E7382" t="s">
        <v>32</v>
      </c>
      <c r="F7382" t="s">
        <v>61</v>
      </c>
      <c r="G7382">
        <v>425.5</v>
      </c>
      <c r="H7382" s="9">
        <v>18.059999999999999</v>
      </c>
      <c r="I7382"/>
    </row>
    <row r="7383" spans="1:9" x14ac:dyDescent="0.3">
      <c r="A7383" t="s">
        <v>3</v>
      </c>
      <c r="B7383" t="s">
        <v>18</v>
      </c>
      <c r="C7383" t="s">
        <v>125</v>
      </c>
      <c r="D7383" s="9" t="s">
        <v>124</v>
      </c>
      <c r="E7383" t="s">
        <v>33</v>
      </c>
      <c r="F7383" t="s">
        <v>63</v>
      </c>
      <c r="G7383">
        <v>397.9</v>
      </c>
      <c r="H7383" s="9">
        <v>15.77</v>
      </c>
      <c r="I7383"/>
    </row>
    <row r="7384" spans="1:9" x14ac:dyDescent="0.3">
      <c r="A7384" t="s">
        <v>3</v>
      </c>
      <c r="B7384" t="s">
        <v>18</v>
      </c>
      <c r="C7384" t="s">
        <v>126</v>
      </c>
      <c r="D7384" s="9" t="s">
        <v>124</v>
      </c>
      <c r="E7384" t="s">
        <v>34</v>
      </c>
      <c r="F7384" t="s">
        <v>65</v>
      </c>
      <c r="G7384">
        <v>459.6</v>
      </c>
      <c r="H7384" s="9">
        <v>15.68</v>
      </c>
      <c r="I7384"/>
    </row>
    <row r="7385" spans="1:9" x14ac:dyDescent="0.3">
      <c r="A7385" t="s">
        <v>3</v>
      </c>
      <c r="B7385" t="s">
        <v>18</v>
      </c>
      <c r="C7385" t="s">
        <v>127</v>
      </c>
      <c r="D7385" s="9" t="s">
        <v>124</v>
      </c>
      <c r="E7385" t="s">
        <v>35</v>
      </c>
      <c r="F7385" t="s">
        <v>67</v>
      </c>
      <c r="G7385">
        <v>470.7</v>
      </c>
      <c r="H7385" s="9">
        <v>16.02</v>
      </c>
      <c r="I7385"/>
    </row>
    <row r="7386" spans="1:9" x14ac:dyDescent="0.3">
      <c r="A7386" t="s">
        <v>3</v>
      </c>
      <c r="B7386" t="s">
        <v>18</v>
      </c>
      <c r="C7386" t="s">
        <v>128</v>
      </c>
      <c r="D7386" s="9" t="s">
        <v>124</v>
      </c>
      <c r="E7386" t="s">
        <v>36</v>
      </c>
      <c r="F7386" t="s">
        <v>69</v>
      </c>
      <c r="G7386">
        <v>468.4</v>
      </c>
      <c r="H7386" s="9">
        <v>12.25</v>
      </c>
      <c r="I7386"/>
    </row>
    <row r="7387" spans="1:9" x14ac:dyDescent="0.3">
      <c r="A7387" t="s">
        <v>3</v>
      </c>
      <c r="B7387" t="s">
        <v>18</v>
      </c>
      <c r="C7387" t="s">
        <v>129</v>
      </c>
      <c r="D7387" s="9" t="s">
        <v>124</v>
      </c>
      <c r="E7387" t="s">
        <v>37</v>
      </c>
      <c r="F7387" t="s">
        <v>71</v>
      </c>
      <c r="G7387">
        <v>458.4</v>
      </c>
      <c r="H7387" s="9">
        <v>9.85</v>
      </c>
      <c r="I7387"/>
    </row>
    <row r="7388" spans="1:9" x14ac:dyDescent="0.3">
      <c r="A7388" t="s">
        <v>3</v>
      </c>
      <c r="B7388" t="s">
        <v>18</v>
      </c>
      <c r="C7388" t="s">
        <v>130</v>
      </c>
      <c r="D7388" s="9" t="s">
        <v>124</v>
      </c>
      <c r="E7388" t="s">
        <v>38</v>
      </c>
      <c r="F7388" t="s">
        <v>73</v>
      </c>
      <c r="G7388">
        <v>482.2</v>
      </c>
      <c r="H7388" s="9">
        <v>11.7</v>
      </c>
      <c r="I7388"/>
    </row>
    <row r="7389" spans="1:9" x14ac:dyDescent="0.3">
      <c r="A7389" t="s">
        <v>3</v>
      </c>
      <c r="B7389" t="s">
        <v>18</v>
      </c>
      <c r="C7389" t="s">
        <v>131</v>
      </c>
      <c r="D7389" s="9" t="s">
        <v>124</v>
      </c>
      <c r="E7389" t="s">
        <v>39</v>
      </c>
      <c r="F7389" t="s">
        <v>75</v>
      </c>
      <c r="G7389">
        <v>486.2</v>
      </c>
      <c r="H7389" s="9">
        <v>14.94</v>
      </c>
      <c r="I7389"/>
    </row>
    <row r="7390" spans="1:9" x14ac:dyDescent="0.3">
      <c r="A7390" t="s">
        <v>3</v>
      </c>
      <c r="B7390" t="s">
        <v>18</v>
      </c>
      <c r="C7390" t="s">
        <v>132</v>
      </c>
      <c r="D7390" s="9" t="s">
        <v>124</v>
      </c>
      <c r="E7390" t="s">
        <v>40</v>
      </c>
      <c r="F7390" t="s">
        <v>77</v>
      </c>
      <c r="G7390">
        <v>488.5</v>
      </c>
      <c r="H7390" s="9">
        <v>12.09</v>
      </c>
      <c r="I7390"/>
    </row>
    <row r="7391" spans="1:9" x14ac:dyDescent="0.3">
      <c r="A7391" t="s">
        <v>3</v>
      </c>
      <c r="B7391" t="s">
        <v>18</v>
      </c>
      <c r="C7391" t="s">
        <v>133</v>
      </c>
      <c r="D7391" s="9" t="s">
        <v>124</v>
      </c>
      <c r="E7391" t="s">
        <v>41</v>
      </c>
      <c r="F7391" t="s">
        <v>79</v>
      </c>
      <c r="G7391">
        <v>490.4</v>
      </c>
      <c r="H7391" s="9">
        <v>11.13</v>
      </c>
      <c r="I7391"/>
    </row>
    <row r="7392" spans="1:9" x14ac:dyDescent="0.3">
      <c r="A7392" t="s">
        <v>3</v>
      </c>
      <c r="B7392" t="s">
        <v>18</v>
      </c>
      <c r="C7392" t="s">
        <v>134</v>
      </c>
      <c r="D7392" s="9" t="s">
        <v>124</v>
      </c>
      <c r="E7392" t="s">
        <v>42</v>
      </c>
      <c r="F7392" t="s">
        <v>81</v>
      </c>
      <c r="G7392">
        <v>473.8</v>
      </c>
      <c r="H7392" s="9">
        <v>7.51</v>
      </c>
      <c r="I7392"/>
    </row>
    <row r="7393" spans="1:9" x14ac:dyDescent="0.3">
      <c r="A7393" t="s">
        <v>3</v>
      </c>
      <c r="B7393" t="s">
        <v>18</v>
      </c>
      <c r="C7393" t="s">
        <v>135</v>
      </c>
      <c r="D7393" s="9" t="s">
        <v>124</v>
      </c>
      <c r="E7393" t="s">
        <v>43</v>
      </c>
      <c r="F7393" t="s">
        <v>83</v>
      </c>
      <c r="G7393">
        <v>503.8</v>
      </c>
      <c r="H7393" s="9">
        <v>6.76</v>
      </c>
      <c r="I7393"/>
    </row>
    <row r="7394" spans="1:9" x14ac:dyDescent="0.3">
      <c r="A7394" t="s">
        <v>3</v>
      </c>
      <c r="B7394" t="s">
        <v>18</v>
      </c>
      <c r="C7394" t="s">
        <v>136</v>
      </c>
      <c r="D7394" s="9" t="s">
        <v>137</v>
      </c>
      <c r="E7394" t="s">
        <v>32</v>
      </c>
      <c r="F7394" t="s">
        <v>61</v>
      </c>
      <c r="G7394">
        <v>442.7</v>
      </c>
      <c r="H7394" s="9">
        <v>4.04</v>
      </c>
      <c r="I7394"/>
    </row>
    <row r="7395" spans="1:9" x14ac:dyDescent="0.3">
      <c r="A7395" t="s">
        <v>3</v>
      </c>
      <c r="B7395" t="s">
        <v>18</v>
      </c>
      <c r="C7395" t="s">
        <v>138</v>
      </c>
      <c r="D7395" s="9" t="s">
        <v>137</v>
      </c>
      <c r="E7395" t="s">
        <v>33</v>
      </c>
      <c r="F7395" t="s">
        <v>63</v>
      </c>
      <c r="G7395">
        <v>443.6</v>
      </c>
      <c r="H7395" s="9">
        <v>11.49</v>
      </c>
      <c r="I7395"/>
    </row>
    <row r="7396" spans="1:9" x14ac:dyDescent="0.3">
      <c r="A7396" t="s">
        <v>3</v>
      </c>
      <c r="B7396" t="s">
        <v>18</v>
      </c>
      <c r="C7396" t="s">
        <v>139</v>
      </c>
      <c r="D7396" s="9" t="s">
        <v>137</v>
      </c>
      <c r="E7396" t="s">
        <v>34</v>
      </c>
      <c r="F7396" t="s">
        <v>65</v>
      </c>
      <c r="G7396">
        <v>474.4</v>
      </c>
      <c r="H7396" s="9">
        <v>3.22</v>
      </c>
      <c r="I7396"/>
    </row>
    <row r="7397" spans="1:9" x14ac:dyDescent="0.3">
      <c r="A7397" t="s">
        <v>3</v>
      </c>
      <c r="B7397" t="s">
        <v>18</v>
      </c>
      <c r="C7397" t="s">
        <v>140</v>
      </c>
      <c r="D7397" s="9" t="s">
        <v>137</v>
      </c>
      <c r="E7397" t="s">
        <v>35</v>
      </c>
      <c r="F7397" t="s">
        <v>67</v>
      </c>
      <c r="G7397">
        <v>456.8</v>
      </c>
      <c r="H7397" s="9">
        <v>-2.95</v>
      </c>
      <c r="I7397"/>
    </row>
    <row r="7398" spans="1:9" x14ac:dyDescent="0.3">
      <c r="A7398" t="s">
        <v>3</v>
      </c>
      <c r="B7398" t="s">
        <v>18</v>
      </c>
      <c r="C7398" t="s">
        <v>141</v>
      </c>
      <c r="D7398" s="9" t="s">
        <v>137</v>
      </c>
      <c r="E7398" t="s">
        <v>36</v>
      </c>
      <c r="F7398" t="s">
        <v>69</v>
      </c>
      <c r="G7398">
        <v>463</v>
      </c>
      <c r="H7398" s="9">
        <v>-1.1499999999999999</v>
      </c>
      <c r="I7398"/>
    </row>
    <row r="7399" spans="1:9" x14ac:dyDescent="0.3">
      <c r="A7399" t="s">
        <v>3</v>
      </c>
      <c r="B7399" t="s">
        <v>18</v>
      </c>
      <c r="C7399" t="s">
        <v>142</v>
      </c>
      <c r="D7399" s="9" t="s">
        <v>137</v>
      </c>
      <c r="E7399" t="s">
        <v>37</v>
      </c>
      <c r="F7399" t="s">
        <v>71</v>
      </c>
      <c r="G7399">
        <v>447.8</v>
      </c>
      <c r="H7399" s="9">
        <v>-2.31</v>
      </c>
      <c r="I7399"/>
    </row>
    <row r="7400" spans="1:9" x14ac:dyDescent="0.3">
      <c r="A7400" t="s">
        <v>3</v>
      </c>
      <c r="B7400" t="s">
        <v>18</v>
      </c>
      <c r="C7400" t="s">
        <v>143</v>
      </c>
      <c r="D7400" s="9" t="s">
        <v>137</v>
      </c>
      <c r="E7400" t="s">
        <v>38</v>
      </c>
      <c r="F7400" t="s">
        <v>73</v>
      </c>
      <c r="G7400">
        <v>460</v>
      </c>
      <c r="H7400" s="9">
        <v>-4.5999999999999996</v>
      </c>
      <c r="I7400"/>
    </row>
    <row r="7401" spans="1:9" x14ac:dyDescent="0.3">
      <c r="A7401" t="s">
        <v>3</v>
      </c>
      <c r="B7401" t="s">
        <v>18</v>
      </c>
      <c r="C7401" t="s">
        <v>144</v>
      </c>
      <c r="D7401" s="9" t="s">
        <v>137</v>
      </c>
      <c r="E7401" t="s">
        <v>39</v>
      </c>
      <c r="F7401" t="s">
        <v>75</v>
      </c>
      <c r="G7401">
        <v>476.6</v>
      </c>
      <c r="H7401" s="9">
        <v>-1.97</v>
      </c>
      <c r="I7401"/>
    </row>
    <row r="7402" spans="1:9" x14ac:dyDescent="0.3">
      <c r="A7402" t="s">
        <v>3</v>
      </c>
      <c r="B7402" t="s">
        <v>18</v>
      </c>
      <c r="C7402" t="s">
        <v>145</v>
      </c>
      <c r="D7402" s="9" t="s">
        <v>137</v>
      </c>
      <c r="E7402" t="s">
        <v>40</v>
      </c>
      <c r="F7402" t="s">
        <v>77</v>
      </c>
      <c r="G7402">
        <v>476</v>
      </c>
      <c r="H7402" s="9">
        <v>-2.56</v>
      </c>
      <c r="I7402"/>
    </row>
    <row r="7403" spans="1:9" x14ac:dyDescent="0.3">
      <c r="A7403" t="s">
        <v>3</v>
      </c>
      <c r="B7403" t="s">
        <v>18</v>
      </c>
      <c r="C7403" t="s">
        <v>146</v>
      </c>
      <c r="D7403" s="9" t="s">
        <v>137</v>
      </c>
      <c r="E7403" t="s">
        <v>41</v>
      </c>
      <c r="F7403" t="s">
        <v>79</v>
      </c>
      <c r="G7403">
        <v>490.3</v>
      </c>
      <c r="H7403" s="9">
        <v>-0.02</v>
      </c>
      <c r="I7403"/>
    </row>
    <row r="7404" spans="1:9" x14ac:dyDescent="0.3">
      <c r="A7404" t="s">
        <v>3</v>
      </c>
      <c r="B7404" t="s">
        <v>18</v>
      </c>
      <c r="C7404" t="s">
        <v>147</v>
      </c>
      <c r="D7404" s="9" t="s">
        <v>137</v>
      </c>
      <c r="E7404" t="s">
        <v>42</v>
      </c>
      <c r="F7404" t="s">
        <v>81</v>
      </c>
      <c r="G7404">
        <v>485.4</v>
      </c>
      <c r="H7404" s="9">
        <v>2.4500000000000002</v>
      </c>
      <c r="I7404"/>
    </row>
    <row r="7405" spans="1:9" x14ac:dyDescent="0.3">
      <c r="A7405" t="s">
        <v>3</v>
      </c>
      <c r="B7405" t="s">
        <v>18</v>
      </c>
      <c r="C7405" t="s">
        <v>148</v>
      </c>
      <c r="D7405" s="9" t="s">
        <v>137</v>
      </c>
      <c r="E7405" t="s">
        <v>43</v>
      </c>
      <c r="F7405" t="s">
        <v>83</v>
      </c>
      <c r="G7405">
        <v>538.9</v>
      </c>
      <c r="H7405" s="9">
        <v>6.97</v>
      </c>
      <c r="I7405"/>
    </row>
    <row r="7406" spans="1:9" x14ac:dyDescent="0.3">
      <c r="A7406" t="s">
        <v>3</v>
      </c>
      <c r="B7406" t="s">
        <v>18</v>
      </c>
      <c r="C7406" t="s">
        <v>149</v>
      </c>
      <c r="D7406" s="9" t="s">
        <v>150</v>
      </c>
      <c r="E7406" t="s">
        <v>32</v>
      </c>
      <c r="F7406" t="s">
        <v>61</v>
      </c>
      <c r="G7406">
        <v>461.2</v>
      </c>
      <c r="H7406" s="9">
        <v>4.18</v>
      </c>
      <c r="I7406"/>
    </row>
    <row r="7407" spans="1:9" x14ac:dyDescent="0.3">
      <c r="A7407" t="s">
        <v>3</v>
      </c>
      <c r="B7407" t="s">
        <v>18</v>
      </c>
      <c r="C7407" t="s">
        <v>151</v>
      </c>
      <c r="D7407" s="9" t="s">
        <v>150</v>
      </c>
      <c r="E7407" t="s">
        <v>33</v>
      </c>
      <c r="F7407" t="s">
        <v>63</v>
      </c>
      <c r="G7407">
        <v>434.4</v>
      </c>
      <c r="H7407" s="9">
        <v>-2.0699999999999998</v>
      </c>
      <c r="I7407"/>
    </row>
    <row r="7408" spans="1:9" x14ac:dyDescent="0.3">
      <c r="A7408" t="s">
        <v>3</v>
      </c>
      <c r="B7408" t="s">
        <v>18</v>
      </c>
      <c r="C7408" t="s">
        <v>152</v>
      </c>
      <c r="D7408" s="9" t="s">
        <v>150</v>
      </c>
      <c r="E7408" t="s">
        <v>34</v>
      </c>
      <c r="F7408" t="s">
        <v>65</v>
      </c>
      <c r="G7408">
        <v>489.2</v>
      </c>
      <c r="H7408" s="9">
        <v>3.12</v>
      </c>
      <c r="I7408"/>
    </row>
    <row r="7409" spans="1:9" x14ac:dyDescent="0.3">
      <c r="A7409" t="s">
        <v>3</v>
      </c>
      <c r="B7409" t="s">
        <v>18</v>
      </c>
      <c r="C7409" t="s">
        <v>153</v>
      </c>
      <c r="D7409" s="9" t="s">
        <v>150</v>
      </c>
      <c r="E7409" t="s">
        <v>35</v>
      </c>
      <c r="F7409" t="s">
        <v>67</v>
      </c>
      <c r="G7409">
        <v>497.2</v>
      </c>
      <c r="H7409" s="9">
        <v>8.84</v>
      </c>
      <c r="I7409"/>
    </row>
    <row r="7410" spans="1:9" x14ac:dyDescent="0.3">
      <c r="A7410" t="s">
        <v>3</v>
      </c>
      <c r="B7410" t="s">
        <v>18</v>
      </c>
      <c r="C7410" t="s">
        <v>154</v>
      </c>
      <c r="D7410" s="9" t="s">
        <v>150</v>
      </c>
      <c r="E7410" t="s">
        <v>36</v>
      </c>
      <c r="F7410" t="s">
        <v>69</v>
      </c>
      <c r="G7410">
        <v>493.9</v>
      </c>
      <c r="H7410" s="9">
        <v>6.67</v>
      </c>
      <c r="I7410"/>
    </row>
    <row r="7411" spans="1:9" x14ac:dyDescent="0.3">
      <c r="A7411" t="s">
        <v>3</v>
      </c>
      <c r="B7411" t="s">
        <v>18</v>
      </c>
      <c r="C7411" t="s">
        <v>155</v>
      </c>
      <c r="D7411" s="9" t="s">
        <v>150</v>
      </c>
      <c r="E7411" t="s">
        <v>37</v>
      </c>
      <c r="F7411" t="s">
        <v>71</v>
      </c>
      <c r="G7411">
        <v>465.8</v>
      </c>
      <c r="H7411" s="9">
        <v>4.0199999999999996</v>
      </c>
      <c r="I7411"/>
    </row>
    <row r="7412" spans="1:9" x14ac:dyDescent="0.3">
      <c r="A7412" t="s">
        <v>5</v>
      </c>
      <c r="B7412" t="s">
        <v>12</v>
      </c>
      <c r="C7412" t="s">
        <v>59</v>
      </c>
      <c r="D7412" s="9" t="s">
        <v>60</v>
      </c>
      <c r="E7412" t="s">
        <v>32</v>
      </c>
      <c r="F7412" t="s">
        <v>61</v>
      </c>
      <c r="G7412">
        <v>282.5</v>
      </c>
      <c r="I7412"/>
    </row>
    <row r="7413" spans="1:9" x14ac:dyDescent="0.3">
      <c r="A7413" t="s">
        <v>5</v>
      </c>
      <c r="B7413" t="s">
        <v>12</v>
      </c>
      <c r="C7413" t="s">
        <v>62</v>
      </c>
      <c r="D7413" s="9" t="s">
        <v>60</v>
      </c>
      <c r="E7413" t="s">
        <v>33</v>
      </c>
      <c r="F7413" t="s">
        <v>63</v>
      </c>
      <c r="G7413">
        <v>275.39999999999998</v>
      </c>
      <c r="I7413"/>
    </row>
    <row r="7414" spans="1:9" x14ac:dyDescent="0.3">
      <c r="A7414" t="s">
        <v>5</v>
      </c>
      <c r="B7414" t="s">
        <v>12</v>
      </c>
      <c r="C7414" t="s">
        <v>64</v>
      </c>
      <c r="D7414" s="9" t="s">
        <v>60</v>
      </c>
      <c r="E7414" t="s">
        <v>34</v>
      </c>
      <c r="F7414" t="s">
        <v>65</v>
      </c>
      <c r="G7414">
        <v>302.8</v>
      </c>
      <c r="I7414"/>
    </row>
    <row r="7415" spans="1:9" x14ac:dyDescent="0.3">
      <c r="A7415" t="s">
        <v>5</v>
      </c>
      <c r="B7415" t="s">
        <v>12</v>
      </c>
      <c r="C7415" t="s">
        <v>66</v>
      </c>
      <c r="D7415" s="9" t="s">
        <v>60</v>
      </c>
      <c r="E7415" t="s">
        <v>35</v>
      </c>
      <c r="F7415" t="s">
        <v>67</v>
      </c>
      <c r="G7415">
        <v>288</v>
      </c>
      <c r="I7415"/>
    </row>
    <row r="7416" spans="1:9" x14ac:dyDescent="0.3">
      <c r="A7416" t="s">
        <v>5</v>
      </c>
      <c r="B7416" t="s">
        <v>12</v>
      </c>
      <c r="C7416" t="s">
        <v>68</v>
      </c>
      <c r="D7416" s="9" t="s">
        <v>60</v>
      </c>
      <c r="E7416" t="s">
        <v>36</v>
      </c>
      <c r="F7416" t="s">
        <v>69</v>
      </c>
      <c r="G7416">
        <v>289.8</v>
      </c>
      <c r="I7416"/>
    </row>
    <row r="7417" spans="1:9" x14ac:dyDescent="0.3">
      <c r="A7417" t="s">
        <v>5</v>
      </c>
      <c r="B7417" t="s">
        <v>12</v>
      </c>
      <c r="C7417" t="s">
        <v>70</v>
      </c>
      <c r="D7417" s="9" t="s">
        <v>60</v>
      </c>
      <c r="E7417" t="s">
        <v>37</v>
      </c>
      <c r="F7417" t="s">
        <v>71</v>
      </c>
      <c r="G7417">
        <v>289.3</v>
      </c>
      <c r="I7417"/>
    </row>
    <row r="7418" spans="1:9" x14ac:dyDescent="0.3">
      <c r="A7418" t="s">
        <v>5</v>
      </c>
      <c r="B7418" t="s">
        <v>12</v>
      </c>
      <c r="C7418" t="s">
        <v>72</v>
      </c>
      <c r="D7418" s="9" t="s">
        <v>60</v>
      </c>
      <c r="E7418" t="s">
        <v>38</v>
      </c>
      <c r="F7418" t="s">
        <v>73</v>
      </c>
      <c r="G7418">
        <v>314.89999999999998</v>
      </c>
      <c r="I7418"/>
    </row>
    <row r="7419" spans="1:9" x14ac:dyDescent="0.3">
      <c r="A7419" t="s">
        <v>5</v>
      </c>
      <c r="B7419" t="s">
        <v>12</v>
      </c>
      <c r="C7419" t="s">
        <v>74</v>
      </c>
      <c r="D7419" s="9" t="s">
        <v>60</v>
      </c>
      <c r="E7419" t="s">
        <v>39</v>
      </c>
      <c r="F7419" t="s">
        <v>75</v>
      </c>
      <c r="G7419">
        <v>300.8</v>
      </c>
      <c r="I7419"/>
    </row>
    <row r="7420" spans="1:9" x14ac:dyDescent="0.3">
      <c r="A7420" t="s">
        <v>5</v>
      </c>
      <c r="B7420" t="s">
        <v>12</v>
      </c>
      <c r="C7420" t="s">
        <v>76</v>
      </c>
      <c r="D7420" s="9" t="s">
        <v>60</v>
      </c>
      <c r="E7420" t="s">
        <v>40</v>
      </c>
      <c r="F7420" t="s">
        <v>77</v>
      </c>
      <c r="G7420">
        <v>308.2</v>
      </c>
      <c r="I7420"/>
    </row>
    <row r="7421" spans="1:9" x14ac:dyDescent="0.3">
      <c r="A7421" t="s">
        <v>5</v>
      </c>
      <c r="B7421" t="s">
        <v>12</v>
      </c>
      <c r="C7421" t="s">
        <v>78</v>
      </c>
      <c r="D7421" s="9" t="s">
        <v>60</v>
      </c>
      <c r="E7421" t="s">
        <v>41</v>
      </c>
      <c r="F7421" t="s">
        <v>79</v>
      </c>
      <c r="G7421">
        <v>315.10000000000002</v>
      </c>
      <c r="I7421"/>
    </row>
    <row r="7422" spans="1:9" x14ac:dyDescent="0.3">
      <c r="A7422" t="s">
        <v>5</v>
      </c>
      <c r="B7422" t="s">
        <v>12</v>
      </c>
      <c r="C7422" t="s">
        <v>80</v>
      </c>
      <c r="D7422" s="9" t="s">
        <v>60</v>
      </c>
      <c r="E7422" t="s">
        <v>42</v>
      </c>
      <c r="F7422" t="s">
        <v>81</v>
      </c>
      <c r="G7422">
        <v>301.7</v>
      </c>
      <c r="I7422"/>
    </row>
    <row r="7423" spans="1:9" x14ac:dyDescent="0.3">
      <c r="A7423" t="s">
        <v>5</v>
      </c>
      <c r="B7423" t="s">
        <v>12</v>
      </c>
      <c r="C7423" t="s">
        <v>82</v>
      </c>
      <c r="D7423" s="9" t="s">
        <v>60</v>
      </c>
      <c r="E7423" t="s">
        <v>43</v>
      </c>
      <c r="F7423" t="s">
        <v>83</v>
      </c>
      <c r="G7423">
        <v>334.8</v>
      </c>
      <c r="I7423"/>
    </row>
    <row r="7424" spans="1:9" x14ac:dyDescent="0.3">
      <c r="A7424" t="s">
        <v>5</v>
      </c>
      <c r="B7424" t="s">
        <v>12</v>
      </c>
      <c r="C7424" t="s">
        <v>84</v>
      </c>
      <c r="D7424" s="9" t="s">
        <v>85</v>
      </c>
      <c r="E7424" t="s">
        <v>32</v>
      </c>
      <c r="F7424" t="s">
        <v>61</v>
      </c>
      <c r="G7424">
        <v>288.7</v>
      </c>
      <c r="H7424" s="9">
        <v>2.19</v>
      </c>
      <c r="I7424"/>
    </row>
    <row r="7425" spans="1:9" x14ac:dyDescent="0.3">
      <c r="A7425" t="s">
        <v>5</v>
      </c>
      <c r="B7425" t="s">
        <v>12</v>
      </c>
      <c r="C7425" t="s">
        <v>86</v>
      </c>
      <c r="D7425" s="9" t="s">
        <v>85</v>
      </c>
      <c r="E7425" t="s">
        <v>33</v>
      </c>
      <c r="F7425" t="s">
        <v>63</v>
      </c>
      <c r="G7425">
        <v>283.7</v>
      </c>
      <c r="H7425" s="9">
        <v>3.01</v>
      </c>
      <c r="I7425"/>
    </row>
    <row r="7426" spans="1:9" x14ac:dyDescent="0.3">
      <c r="A7426" t="s">
        <v>5</v>
      </c>
      <c r="B7426" t="s">
        <v>12</v>
      </c>
      <c r="C7426" t="s">
        <v>87</v>
      </c>
      <c r="D7426" s="9" t="s">
        <v>85</v>
      </c>
      <c r="E7426" t="s">
        <v>34</v>
      </c>
      <c r="F7426" t="s">
        <v>65</v>
      </c>
      <c r="G7426">
        <v>237.5</v>
      </c>
      <c r="H7426" s="9">
        <v>-21.57</v>
      </c>
      <c r="I7426"/>
    </row>
    <row r="7427" spans="1:9" x14ac:dyDescent="0.3">
      <c r="A7427" t="s">
        <v>5</v>
      </c>
      <c r="B7427" t="s">
        <v>12</v>
      </c>
      <c r="C7427" t="s">
        <v>88</v>
      </c>
      <c r="D7427" s="9" t="s">
        <v>85</v>
      </c>
      <c r="E7427" t="s">
        <v>35</v>
      </c>
      <c r="F7427" t="s">
        <v>67</v>
      </c>
      <c r="G7427">
        <v>145.69999999999999</v>
      </c>
      <c r="H7427" s="9">
        <v>-49.41</v>
      </c>
      <c r="I7427"/>
    </row>
    <row r="7428" spans="1:9" x14ac:dyDescent="0.3">
      <c r="A7428" t="s">
        <v>5</v>
      </c>
      <c r="B7428" t="s">
        <v>12</v>
      </c>
      <c r="C7428" t="s">
        <v>89</v>
      </c>
      <c r="D7428" s="9" t="s">
        <v>85</v>
      </c>
      <c r="E7428" t="s">
        <v>36</v>
      </c>
      <c r="F7428" t="s">
        <v>69</v>
      </c>
      <c r="G7428">
        <v>202.7</v>
      </c>
      <c r="H7428" s="9">
        <v>-30.06</v>
      </c>
      <c r="I7428"/>
    </row>
    <row r="7429" spans="1:9" x14ac:dyDescent="0.3">
      <c r="A7429" t="s">
        <v>5</v>
      </c>
      <c r="B7429" t="s">
        <v>12</v>
      </c>
      <c r="C7429" t="s">
        <v>90</v>
      </c>
      <c r="D7429" s="9" t="s">
        <v>85</v>
      </c>
      <c r="E7429" t="s">
        <v>37</v>
      </c>
      <c r="F7429" t="s">
        <v>71</v>
      </c>
      <c r="G7429">
        <v>271.5</v>
      </c>
      <c r="H7429" s="9">
        <v>-6.15</v>
      </c>
      <c r="I7429"/>
    </row>
    <row r="7430" spans="1:9" x14ac:dyDescent="0.3">
      <c r="A7430" t="s">
        <v>5</v>
      </c>
      <c r="B7430" t="s">
        <v>12</v>
      </c>
      <c r="C7430" t="s">
        <v>91</v>
      </c>
      <c r="D7430" s="9" t="s">
        <v>85</v>
      </c>
      <c r="E7430" t="s">
        <v>38</v>
      </c>
      <c r="F7430" t="s">
        <v>73</v>
      </c>
      <c r="G7430">
        <v>311</v>
      </c>
      <c r="H7430" s="9">
        <v>-1.24</v>
      </c>
      <c r="I7430"/>
    </row>
    <row r="7431" spans="1:9" x14ac:dyDescent="0.3">
      <c r="A7431" t="s">
        <v>5</v>
      </c>
      <c r="B7431" t="s">
        <v>12</v>
      </c>
      <c r="C7431" t="s">
        <v>92</v>
      </c>
      <c r="D7431" s="9" t="s">
        <v>85</v>
      </c>
      <c r="E7431" t="s">
        <v>39</v>
      </c>
      <c r="F7431" t="s">
        <v>75</v>
      </c>
      <c r="G7431">
        <v>314.2</v>
      </c>
      <c r="H7431" s="9">
        <v>4.45</v>
      </c>
      <c r="I7431"/>
    </row>
    <row r="7432" spans="1:9" x14ac:dyDescent="0.3">
      <c r="A7432" t="s">
        <v>5</v>
      </c>
      <c r="B7432" t="s">
        <v>12</v>
      </c>
      <c r="C7432" t="s">
        <v>93</v>
      </c>
      <c r="D7432" s="9" t="s">
        <v>85</v>
      </c>
      <c r="E7432" t="s">
        <v>40</v>
      </c>
      <c r="F7432" t="s">
        <v>77</v>
      </c>
      <c r="G7432">
        <v>313.5</v>
      </c>
      <c r="H7432" s="9">
        <v>1.72</v>
      </c>
      <c r="I7432"/>
    </row>
    <row r="7433" spans="1:9" x14ac:dyDescent="0.3">
      <c r="A7433" t="s">
        <v>5</v>
      </c>
      <c r="B7433" t="s">
        <v>12</v>
      </c>
      <c r="C7433" t="s">
        <v>94</v>
      </c>
      <c r="D7433" s="9" t="s">
        <v>85</v>
      </c>
      <c r="E7433" t="s">
        <v>41</v>
      </c>
      <c r="F7433" t="s">
        <v>79</v>
      </c>
      <c r="G7433">
        <v>329.1</v>
      </c>
      <c r="H7433" s="9">
        <v>4.4400000000000004</v>
      </c>
      <c r="I7433"/>
    </row>
    <row r="7434" spans="1:9" x14ac:dyDescent="0.3">
      <c r="A7434" t="s">
        <v>5</v>
      </c>
      <c r="B7434" t="s">
        <v>12</v>
      </c>
      <c r="C7434" t="s">
        <v>95</v>
      </c>
      <c r="D7434" s="9" t="s">
        <v>85</v>
      </c>
      <c r="E7434" t="s">
        <v>42</v>
      </c>
      <c r="F7434" t="s">
        <v>81</v>
      </c>
      <c r="G7434">
        <v>319.10000000000002</v>
      </c>
      <c r="H7434" s="9">
        <v>5.77</v>
      </c>
      <c r="I7434"/>
    </row>
    <row r="7435" spans="1:9" x14ac:dyDescent="0.3">
      <c r="A7435" t="s">
        <v>5</v>
      </c>
      <c r="B7435" t="s">
        <v>12</v>
      </c>
      <c r="C7435" t="s">
        <v>96</v>
      </c>
      <c r="D7435" s="9" t="s">
        <v>85</v>
      </c>
      <c r="E7435" t="s">
        <v>43</v>
      </c>
      <c r="F7435" t="s">
        <v>83</v>
      </c>
      <c r="G7435">
        <v>337.1</v>
      </c>
      <c r="H7435" s="9">
        <v>0.69</v>
      </c>
      <c r="I7435"/>
    </row>
    <row r="7436" spans="1:9" x14ac:dyDescent="0.3">
      <c r="A7436" t="s">
        <v>5</v>
      </c>
      <c r="B7436" t="s">
        <v>12</v>
      </c>
      <c r="C7436" t="s">
        <v>97</v>
      </c>
      <c r="D7436" s="9" t="s">
        <v>98</v>
      </c>
      <c r="E7436" t="s">
        <v>32</v>
      </c>
      <c r="F7436" t="s">
        <v>61</v>
      </c>
      <c r="G7436">
        <v>288.89999999999998</v>
      </c>
      <c r="H7436" s="9">
        <v>7.0000000000000007E-2</v>
      </c>
      <c r="I7436"/>
    </row>
    <row r="7437" spans="1:9" x14ac:dyDescent="0.3">
      <c r="A7437" t="s">
        <v>5</v>
      </c>
      <c r="B7437" t="s">
        <v>12</v>
      </c>
      <c r="C7437" t="s">
        <v>99</v>
      </c>
      <c r="D7437" s="9" t="s">
        <v>98</v>
      </c>
      <c r="E7437" t="s">
        <v>33</v>
      </c>
      <c r="F7437" t="s">
        <v>63</v>
      </c>
      <c r="G7437">
        <v>263.2</v>
      </c>
      <c r="H7437" s="9">
        <v>-7.23</v>
      </c>
      <c r="I7437"/>
    </row>
    <row r="7438" spans="1:9" x14ac:dyDescent="0.3">
      <c r="A7438" t="s">
        <v>5</v>
      </c>
      <c r="B7438" t="s">
        <v>12</v>
      </c>
      <c r="C7438" t="s">
        <v>100</v>
      </c>
      <c r="D7438" s="9" t="s">
        <v>98</v>
      </c>
      <c r="E7438" t="s">
        <v>34</v>
      </c>
      <c r="F7438" t="s">
        <v>65</v>
      </c>
      <c r="G7438">
        <v>336.5</v>
      </c>
      <c r="H7438" s="9">
        <v>41.68</v>
      </c>
      <c r="I7438"/>
    </row>
    <row r="7439" spans="1:9" x14ac:dyDescent="0.3">
      <c r="A7439" t="s">
        <v>5</v>
      </c>
      <c r="B7439" t="s">
        <v>12</v>
      </c>
      <c r="C7439" t="s">
        <v>101</v>
      </c>
      <c r="D7439" s="9" t="s">
        <v>98</v>
      </c>
      <c r="E7439" t="s">
        <v>35</v>
      </c>
      <c r="F7439" t="s">
        <v>67</v>
      </c>
      <c r="G7439">
        <v>301.89999999999998</v>
      </c>
      <c r="H7439" s="9">
        <v>107.21</v>
      </c>
      <c r="I7439"/>
    </row>
    <row r="7440" spans="1:9" x14ac:dyDescent="0.3">
      <c r="A7440" t="s">
        <v>5</v>
      </c>
      <c r="B7440" t="s">
        <v>12</v>
      </c>
      <c r="C7440" t="s">
        <v>102</v>
      </c>
      <c r="D7440" s="9" t="s">
        <v>98</v>
      </c>
      <c r="E7440" t="s">
        <v>36</v>
      </c>
      <c r="F7440" t="s">
        <v>69</v>
      </c>
      <c r="G7440">
        <v>324.10000000000002</v>
      </c>
      <c r="H7440" s="9">
        <v>59.89</v>
      </c>
      <c r="I7440"/>
    </row>
    <row r="7441" spans="1:9" x14ac:dyDescent="0.3">
      <c r="A7441" t="s">
        <v>5</v>
      </c>
      <c r="B7441" t="s">
        <v>12</v>
      </c>
      <c r="C7441" t="s">
        <v>103</v>
      </c>
      <c r="D7441" s="9" t="s">
        <v>98</v>
      </c>
      <c r="E7441" t="s">
        <v>37</v>
      </c>
      <c r="F7441" t="s">
        <v>71</v>
      </c>
      <c r="G7441">
        <v>309.5</v>
      </c>
      <c r="H7441" s="9">
        <v>14</v>
      </c>
      <c r="I7441"/>
    </row>
    <row r="7442" spans="1:9" x14ac:dyDescent="0.3">
      <c r="A7442" t="s">
        <v>5</v>
      </c>
      <c r="B7442" t="s">
        <v>12</v>
      </c>
      <c r="C7442" t="s">
        <v>104</v>
      </c>
      <c r="D7442" s="9" t="s">
        <v>98</v>
      </c>
      <c r="E7442" t="s">
        <v>38</v>
      </c>
      <c r="F7442" t="s">
        <v>73</v>
      </c>
      <c r="G7442">
        <v>319.5</v>
      </c>
      <c r="H7442" s="9">
        <v>2.73</v>
      </c>
      <c r="I7442"/>
    </row>
    <row r="7443" spans="1:9" x14ac:dyDescent="0.3">
      <c r="A7443" t="s">
        <v>5</v>
      </c>
      <c r="B7443" t="s">
        <v>12</v>
      </c>
      <c r="C7443" t="s">
        <v>105</v>
      </c>
      <c r="D7443" s="9" t="s">
        <v>98</v>
      </c>
      <c r="E7443" t="s">
        <v>39</v>
      </c>
      <c r="F7443" t="s">
        <v>75</v>
      </c>
      <c r="G7443">
        <v>354.4</v>
      </c>
      <c r="H7443" s="9">
        <v>12.79</v>
      </c>
      <c r="I7443"/>
    </row>
    <row r="7444" spans="1:9" x14ac:dyDescent="0.3">
      <c r="A7444" t="s">
        <v>5</v>
      </c>
      <c r="B7444" t="s">
        <v>12</v>
      </c>
      <c r="C7444" t="s">
        <v>106</v>
      </c>
      <c r="D7444" s="9" t="s">
        <v>98</v>
      </c>
      <c r="E7444" t="s">
        <v>40</v>
      </c>
      <c r="F7444" t="s">
        <v>77</v>
      </c>
      <c r="G7444">
        <v>363.4</v>
      </c>
      <c r="H7444" s="9">
        <v>15.92</v>
      </c>
      <c r="I7444"/>
    </row>
    <row r="7445" spans="1:9" x14ac:dyDescent="0.3">
      <c r="A7445" t="s">
        <v>5</v>
      </c>
      <c r="B7445" t="s">
        <v>12</v>
      </c>
      <c r="C7445" t="s">
        <v>107</v>
      </c>
      <c r="D7445" s="9" t="s">
        <v>98</v>
      </c>
      <c r="E7445" t="s">
        <v>41</v>
      </c>
      <c r="F7445" t="s">
        <v>79</v>
      </c>
      <c r="G7445">
        <v>393.3</v>
      </c>
      <c r="H7445" s="9">
        <v>19.510000000000002</v>
      </c>
      <c r="I7445"/>
    </row>
    <row r="7446" spans="1:9" x14ac:dyDescent="0.3">
      <c r="A7446" t="s">
        <v>5</v>
      </c>
      <c r="B7446" t="s">
        <v>12</v>
      </c>
      <c r="C7446" t="s">
        <v>108</v>
      </c>
      <c r="D7446" s="9" t="s">
        <v>98</v>
      </c>
      <c r="E7446" t="s">
        <v>42</v>
      </c>
      <c r="F7446" t="s">
        <v>81</v>
      </c>
      <c r="G7446">
        <v>391.3</v>
      </c>
      <c r="H7446" s="9">
        <v>22.63</v>
      </c>
      <c r="I7446"/>
    </row>
    <row r="7447" spans="1:9" x14ac:dyDescent="0.3">
      <c r="A7447" t="s">
        <v>5</v>
      </c>
      <c r="B7447" t="s">
        <v>12</v>
      </c>
      <c r="C7447" t="s">
        <v>109</v>
      </c>
      <c r="D7447" s="9" t="s">
        <v>98</v>
      </c>
      <c r="E7447" t="s">
        <v>43</v>
      </c>
      <c r="F7447" t="s">
        <v>83</v>
      </c>
      <c r="G7447">
        <v>400.8</v>
      </c>
      <c r="H7447" s="9">
        <v>18.899999999999999</v>
      </c>
      <c r="I7447"/>
    </row>
    <row r="7448" spans="1:9" x14ac:dyDescent="0.3">
      <c r="A7448" t="s">
        <v>5</v>
      </c>
      <c r="B7448" t="s">
        <v>12</v>
      </c>
      <c r="C7448" t="s">
        <v>110</v>
      </c>
      <c r="D7448" s="9" t="s">
        <v>111</v>
      </c>
      <c r="E7448" t="s">
        <v>32</v>
      </c>
      <c r="F7448" t="s">
        <v>61</v>
      </c>
      <c r="G7448">
        <v>350.5</v>
      </c>
      <c r="H7448" s="9">
        <v>21.32</v>
      </c>
      <c r="I7448"/>
    </row>
    <row r="7449" spans="1:9" x14ac:dyDescent="0.3">
      <c r="A7449" t="s">
        <v>5</v>
      </c>
      <c r="B7449" t="s">
        <v>12</v>
      </c>
      <c r="C7449" t="s">
        <v>112</v>
      </c>
      <c r="D7449" s="9" t="s">
        <v>111</v>
      </c>
      <c r="E7449" t="s">
        <v>33</v>
      </c>
      <c r="F7449" t="s">
        <v>63</v>
      </c>
      <c r="G7449">
        <v>339.1</v>
      </c>
      <c r="H7449" s="9">
        <v>28.84</v>
      </c>
      <c r="I7449"/>
    </row>
    <row r="7450" spans="1:9" x14ac:dyDescent="0.3">
      <c r="A7450" t="s">
        <v>5</v>
      </c>
      <c r="B7450" t="s">
        <v>12</v>
      </c>
      <c r="C7450" t="s">
        <v>113</v>
      </c>
      <c r="D7450" s="9" t="s">
        <v>111</v>
      </c>
      <c r="E7450" t="s">
        <v>34</v>
      </c>
      <c r="F7450" t="s">
        <v>65</v>
      </c>
      <c r="G7450">
        <v>366.1</v>
      </c>
      <c r="H7450" s="9">
        <v>8.8000000000000007</v>
      </c>
      <c r="I7450"/>
    </row>
    <row r="7451" spans="1:9" x14ac:dyDescent="0.3">
      <c r="A7451" t="s">
        <v>5</v>
      </c>
      <c r="B7451" t="s">
        <v>12</v>
      </c>
      <c r="C7451" t="s">
        <v>114</v>
      </c>
      <c r="D7451" s="9" t="s">
        <v>111</v>
      </c>
      <c r="E7451" t="s">
        <v>35</v>
      </c>
      <c r="F7451" t="s">
        <v>67</v>
      </c>
      <c r="G7451">
        <v>364.5</v>
      </c>
      <c r="H7451" s="9">
        <v>20.74</v>
      </c>
      <c r="I7451"/>
    </row>
    <row r="7452" spans="1:9" x14ac:dyDescent="0.3">
      <c r="A7452" t="s">
        <v>5</v>
      </c>
      <c r="B7452" t="s">
        <v>12</v>
      </c>
      <c r="C7452" t="s">
        <v>115</v>
      </c>
      <c r="D7452" s="9" t="s">
        <v>111</v>
      </c>
      <c r="E7452" t="s">
        <v>36</v>
      </c>
      <c r="F7452" t="s">
        <v>69</v>
      </c>
      <c r="G7452">
        <v>373.1</v>
      </c>
      <c r="H7452" s="9">
        <v>15.12</v>
      </c>
      <c r="I7452"/>
    </row>
    <row r="7453" spans="1:9" x14ac:dyDescent="0.3">
      <c r="A7453" t="s">
        <v>5</v>
      </c>
      <c r="B7453" t="s">
        <v>12</v>
      </c>
      <c r="C7453" t="s">
        <v>116</v>
      </c>
      <c r="D7453" s="9" t="s">
        <v>111</v>
      </c>
      <c r="E7453" t="s">
        <v>37</v>
      </c>
      <c r="F7453" t="s">
        <v>71</v>
      </c>
      <c r="G7453">
        <v>375.7</v>
      </c>
      <c r="H7453" s="9">
        <v>21.39</v>
      </c>
      <c r="I7453"/>
    </row>
    <row r="7454" spans="1:9" x14ac:dyDescent="0.3">
      <c r="A7454" t="s">
        <v>5</v>
      </c>
      <c r="B7454" t="s">
        <v>12</v>
      </c>
      <c r="C7454" t="s">
        <v>117</v>
      </c>
      <c r="D7454" s="9" t="s">
        <v>111</v>
      </c>
      <c r="E7454" t="s">
        <v>38</v>
      </c>
      <c r="F7454" t="s">
        <v>73</v>
      </c>
      <c r="G7454">
        <v>399.8</v>
      </c>
      <c r="H7454" s="9">
        <v>25.13</v>
      </c>
      <c r="I7454"/>
    </row>
    <row r="7455" spans="1:9" x14ac:dyDescent="0.3">
      <c r="A7455" t="s">
        <v>5</v>
      </c>
      <c r="B7455" t="s">
        <v>12</v>
      </c>
      <c r="C7455" t="s">
        <v>118</v>
      </c>
      <c r="D7455" s="9" t="s">
        <v>111</v>
      </c>
      <c r="E7455" t="s">
        <v>39</v>
      </c>
      <c r="F7455" t="s">
        <v>75</v>
      </c>
      <c r="G7455">
        <v>418.8</v>
      </c>
      <c r="H7455" s="9">
        <v>18.170000000000002</v>
      </c>
      <c r="I7455"/>
    </row>
    <row r="7456" spans="1:9" x14ac:dyDescent="0.3">
      <c r="A7456" t="s">
        <v>5</v>
      </c>
      <c r="B7456" t="s">
        <v>12</v>
      </c>
      <c r="C7456" t="s">
        <v>119</v>
      </c>
      <c r="D7456" s="9" t="s">
        <v>111</v>
      </c>
      <c r="E7456" t="s">
        <v>40</v>
      </c>
      <c r="F7456" t="s">
        <v>77</v>
      </c>
      <c r="G7456">
        <v>419</v>
      </c>
      <c r="H7456" s="9">
        <v>15.3</v>
      </c>
      <c r="I7456"/>
    </row>
    <row r="7457" spans="1:9" x14ac:dyDescent="0.3">
      <c r="A7457" t="s">
        <v>5</v>
      </c>
      <c r="B7457" t="s">
        <v>12</v>
      </c>
      <c r="C7457" t="s">
        <v>120</v>
      </c>
      <c r="D7457" s="9" t="s">
        <v>111</v>
      </c>
      <c r="E7457" t="s">
        <v>41</v>
      </c>
      <c r="F7457" t="s">
        <v>79</v>
      </c>
      <c r="G7457">
        <v>430</v>
      </c>
      <c r="H7457" s="9">
        <v>9.33</v>
      </c>
      <c r="I7457"/>
    </row>
    <row r="7458" spans="1:9" x14ac:dyDescent="0.3">
      <c r="A7458" t="s">
        <v>5</v>
      </c>
      <c r="B7458" t="s">
        <v>12</v>
      </c>
      <c r="C7458" t="s">
        <v>121</v>
      </c>
      <c r="D7458" s="9" t="s">
        <v>111</v>
      </c>
      <c r="E7458" t="s">
        <v>42</v>
      </c>
      <c r="F7458" t="s">
        <v>81</v>
      </c>
      <c r="G7458">
        <v>437.6</v>
      </c>
      <c r="H7458" s="9">
        <v>11.83</v>
      </c>
      <c r="I7458"/>
    </row>
    <row r="7459" spans="1:9" x14ac:dyDescent="0.3">
      <c r="A7459" t="s">
        <v>5</v>
      </c>
      <c r="B7459" t="s">
        <v>12</v>
      </c>
      <c r="C7459" t="s">
        <v>122</v>
      </c>
      <c r="D7459" s="9" t="s">
        <v>111</v>
      </c>
      <c r="E7459" t="s">
        <v>43</v>
      </c>
      <c r="F7459" t="s">
        <v>83</v>
      </c>
      <c r="G7459">
        <v>438.6</v>
      </c>
      <c r="H7459" s="9">
        <v>9.43</v>
      </c>
      <c r="I7459"/>
    </row>
    <row r="7460" spans="1:9" x14ac:dyDescent="0.3">
      <c r="A7460" t="s">
        <v>5</v>
      </c>
      <c r="B7460" t="s">
        <v>12</v>
      </c>
      <c r="C7460" t="s">
        <v>123</v>
      </c>
      <c r="D7460" s="9" t="s">
        <v>124</v>
      </c>
      <c r="E7460" t="s">
        <v>32</v>
      </c>
      <c r="F7460" t="s">
        <v>61</v>
      </c>
      <c r="G7460">
        <v>400.7</v>
      </c>
      <c r="H7460" s="9">
        <v>14.32</v>
      </c>
      <c r="I7460"/>
    </row>
    <row r="7461" spans="1:9" x14ac:dyDescent="0.3">
      <c r="A7461" t="s">
        <v>5</v>
      </c>
      <c r="B7461" t="s">
        <v>12</v>
      </c>
      <c r="C7461" t="s">
        <v>125</v>
      </c>
      <c r="D7461" s="9" t="s">
        <v>124</v>
      </c>
      <c r="E7461" t="s">
        <v>33</v>
      </c>
      <c r="F7461" t="s">
        <v>63</v>
      </c>
      <c r="G7461">
        <v>383.9</v>
      </c>
      <c r="H7461" s="9">
        <v>13.21</v>
      </c>
      <c r="I7461"/>
    </row>
    <row r="7462" spans="1:9" x14ac:dyDescent="0.3">
      <c r="A7462" t="s">
        <v>5</v>
      </c>
      <c r="B7462" t="s">
        <v>12</v>
      </c>
      <c r="C7462" t="s">
        <v>126</v>
      </c>
      <c r="D7462" s="9" t="s">
        <v>124</v>
      </c>
      <c r="E7462" t="s">
        <v>34</v>
      </c>
      <c r="F7462" t="s">
        <v>65</v>
      </c>
      <c r="G7462">
        <v>407.4</v>
      </c>
      <c r="H7462" s="9">
        <v>11.28</v>
      </c>
      <c r="I7462"/>
    </row>
    <row r="7463" spans="1:9" x14ac:dyDescent="0.3">
      <c r="A7463" t="s">
        <v>5</v>
      </c>
      <c r="B7463" t="s">
        <v>12</v>
      </c>
      <c r="C7463" t="s">
        <v>127</v>
      </c>
      <c r="D7463" s="9" t="s">
        <v>124</v>
      </c>
      <c r="E7463" t="s">
        <v>35</v>
      </c>
      <c r="F7463" t="s">
        <v>67</v>
      </c>
      <c r="G7463">
        <v>391.3</v>
      </c>
      <c r="H7463" s="9">
        <v>7.35</v>
      </c>
      <c r="I7463"/>
    </row>
    <row r="7464" spans="1:9" x14ac:dyDescent="0.3">
      <c r="A7464" t="s">
        <v>5</v>
      </c>
      <c r="B7464" t="s">
        <v>12</v>
      </c>
      <c r="C7464" t="s">
        <v>128</v>
      </c>
      <c r="D7464" s="9" t="s">
        <v>124</v>
      </c>
      <c r="E7464" t="s">
        <v>36</v>
      </c>
      <c r="F7464" t="s">
        <v>69</v>
      </c>
      <c r="G7464">
        <v>411.7</v>
      </c>
      <c r="H7464" s="9">
        <v>10.35</v>
      </c>
      <c r="I7464"/>
    </row>
    <row r="7465" spans="1:9" x14ac:dyDescent="0.3">
      <c r="A7465" t="s">
        <v>5</v>
      </c>
      <c r="B7465" t="s">
        <v>12</v>
      </c>
      <c r="C7465" t="s">
        <v>129</v>
      </c>
      <c r="D7465" s="9" t="s">
        <v>124</v>
      </c>
      <c r="E7465" t="s">
        <v>37</v>
      </c>
      <c r="F7465" t="s">
        <v>71</v>
      </c>
      <c r="G7465">
        <v>399.9</v>
      </c>
      <c r="H7465" s="9">
        <v>6.44</v>
      </c>
      <c r="I7465"/>
    </row>
    <row r="7466" spans="1:9" x14ac:dyDescent="0.3">
      <c r="A7466" t="s">
        <v>5</v>
      </c>
      <c r="B7466" t="s">
        <v>12</v>
      </c>
      <c r="C7466" t="s">
        <v>130</v>
      </c>
      <c r="D7466" s="9" t="s">
        <v>124</v>
      </c>
      <c r="E7466" t="s">
        <v>38</v>
      </c>
      <c r="F7466" t="s">
        <v>73</v>
      </c>
      <c r="G7466">
        <v>413.8</v>
      </c>
      <c r="H7466" s="9">
        <v>3.5</v>
      </c>
      <c r="I7466"/>
    </row>
    <row r="7467" spans="1:9" x14ac:dyDescent="0.3">
      <c r="A7467" t="s">
        <v>5</v>
      </c>
      <c r="B7467" t="s">
        <v>12</v>
      </c>
      <c r="C7467" t="s">
        <v>131</v>
      </c>
      <c r="D7467" s="9" t="s">
        <v>124</v>
      </c>
      <c r="E7467" t="s">
        <v>39</v>
      </c>
      <c r="F7467" t="s">
        <v>75</v>
      </c>
      <c r="G7467">
        <v>417.8</v>
      </c>
      <c r="H7467" s="9">
        <v>-0.24</v>
      </c>
      <c r="I7467"/>
    </row>
    <row r="7468" spans="1:9" x14ac:dyDescent="0.3">
      <c r="A7468" t="s">
        <v>5</v>
      </c>
      <c r="B7468" t="s">
        <v>12</v>
      </c>
      <c r="C7468" t="s">
        <v>132</v>
      </c>
      <c r="D7468" s="9" t="s">
        <v>124</v>
      </c>
      <c r="E7468" t="s">
        <v>40</v>
      </c>
      <c r="F7468" t="s">
        <v>77</v>
      </c>
      <c r="G7468">
        <v>413.4</v>
      </c>
      <c r="H7468" s="9">
        <v>-1.34</v>
      </c>
      <c r="I7468"/>
    </row>
    <row r="7469" spans="1:9" x14ac:dyDescent="0.3">
      <c r="A7469" t="s">
        <v>5</v>
      </c>
      <c r="B7469" t="s">
        <v>12</v>
      </c>
      <c r="C7469" t="s">
        <v>133</v>
      </c>
      <c r="D7469" s="9" t="s">
        <v>124</v>
      </c>
      <c r="E7469" t="s">
        <v>41</v>
      </c>
      <c r="F7469" t="s">
        <v>79</v>
      </c>
      <c r="G7469">
        <v>427.9</v>
      </c>
      <c r="H7469" s="9">
        <v>-0.49</v>
      </c>
      <c r="I7469"/>
    </row>
    <row r="7470" spans="1:9" x14ac:dyDescent="0.3">
      <c r="A7470" t="s">
        <v>5</v>
      </c>
      <c r="B7470" t="s">
        <v>12</v>
      </c>
      <c r="C7470" t="s">
        <v>134</v>
      </c>
      <c r="D7470" s="9" t="s">
        <v>124</v>
      </c>
      <c r="E7470" t="s">
        <v>42</v>
      </c>
      <c r="F7470" t="s">
        <v>81</v>
      </c>
      <c r="G7470">
        <v>427.9</v>
      </c>
      <c r="H7470" s="9">
        <v>-2.2200000000000002</v>
      </c>
      <c r="I7470"/>
    </row>
    <row r="7471" spans="1:9" x14ac:dyDescent="0.3">
      <c r="A7471" t="s">
        <v>5</v>
      </c>
      <c r="B7471" t="s">
        <v>12</v>
      </c>
      <c r="C7471" t="s">
        <v>135</v>
      </c>
      <c r="D7471" s="9" t="s">
        <v>124</v>
      </c>
      <c r="E7471" t="s">
        <v>43</v>
      </c>
      <c r="F7471" t="s">
        <v>83</v>
      </c>
      <c r="G7471">
        <v>430.2</v>
      </c>
      <c r="H7471" s="9">
        <v>-1.92</v>
      </c>
      <c r="I7471"/>
    </row>
    <row r="7472" spans="1:9" x14ac:dyDescent="0.3">
      <c r="A7472" t="s">
        <v>5</v>
      </c>
      <c r="B7472" t="s">
        <v>12</v>
      </c>
      <c r="C7472" t="s">
        <v>136</v>
      </c>
      <c r="D7472" s="9" t="s">
        <v>137</v>
      </c>
      <c r="E7472" t="s">
        <v>32</v>
      </c>
      <c r="F7472" t="s">
        <v>61</v>
      </c>
      <c r="G7472">
        <v>400.9</v>
      </c>
      <c r="H7472" s="9">
        <v>0.05</v>
      </c>
      <c r="I7472"/>
    </row>
    <row r="7473" spans="1:9" x14ac:dyDescent="0.3">
      <c r="A7473" t="s">
        <v>5</v>
      </c>
      <c r="B7473" t="s">
        <v>12</v>
      </c>
      <c r="C7473" t="s">
        <v>138</v>
      </c>
      <c r="D7473" s="9" t="s">
        <v>137</v>
      </c>
      <c r="E7473" t="s">
        <v>33</v>
      </c>
      <c r="F7473" t="s">
        <v>63</v>
      </c>
      <c r="G7473">
        <v>388.3</v>
      </c>
      <c r="H7473" s="9">
        <v>1.1499999999999999</v>
      </c>
      <c r="I7473"/>
    </row>
    <row r="7474" spans="1:9" x14ac:dyDescent="0.3">
      <c r="A7474" t="s">
        <v>5</v>
      </c>
      <c r="B7474" t="s">
        <v>12</v>
      </c>
      <c r="C7474" t="s">
        <v>139</v>
      </c>
      <c r="D7474" s="9" t="s">
        <v>137</v>
      </c>
      <c r="E7474" t="s">
        <v>34</v>
      </c>
      <c r="F7474" t="s">
        <v>65</v>
      </c>
      <c r="G7474">
        <v>409.2</v>
      </c>
      <c r="H7474" s="9">
        <v>0.44</v>
      </c>
      <c r="I7474"/>
    </row>
    <row r="7475" spans="1:9" x14ac:dyDescent="0.3">
      <c r="A7475" t="s">
        <v>5</v>
      </c>
      <c r="B7475" t="s">
        <v>12</v>
      </c>
      <c r="C7475" t="s">
        <v>140</v>
      </c>
      <c r="D7475" s="9" t="s">
        <v>137</v>
      </c>
      <c r="E7475" t="s">
        <v>35</v>
      </c>
      <c r="F7475" t="s">
        <v>67</v>
      </c>
      <c r="G7475">
        <v>405.7</v>
      </c>
      <c r="H7475" s="9">
        <v>3.68</v>
      </c>
      <c r="I7475"/>
    </row>
    <row r="7476" spans="1:9" x14ac:dyDescent="0.3">
      <c r="A7476" t="s">
        <v>5</v>
      </c>
      <c r="B7476" t="s">
        <v>12</v>
      </c>
      <c r="C7476" t="s">
        <v>141</v>
      </c>
      <c r="D7476" s="9" t="s">
        <v>137</v>
      </c>
      <c r="E7476" t="s">
        <v>36</v>
      </c>
      <c r="F7476" t="s">
        <v>69</v>
      </c>
      <c r="G7476">
        <v>419</v>
      </c>
      <c r="H7476" s="9">
        <v>1.77</v>
      </c>
      <c r="I7476"/>
    </row>
    <row r="7477" spans="1:9" x14ac:dyDescent="0.3">
      <c r="A7477" t="s">
        <v>5</v>
      </c>
      <c r="B7477" t="s">
        <v>12</v>
      </c>
      <c r="C7477" t="s">
        <v>142</v>
      </c>
      <c r="D7477" s="9" t="s">
        <v>137</v>
      </c>
      <c r="E7477" t="s">
        <v>37</v>
      </c>
      <c r="F7477" t="s">
        <v>71</v>
      </c>
      <c r="G7477">
        <v>409.3</v>
      </c>
      <c r="H7477" s="9">
        <v>2.35</v>
      </c>
      <c r="I7477"/>
    </row>
    <row r="7478" spans="1:9" x14ac:dyDescent="0.3">
      <c r="A7478" t="s">
        <v>5</v>
      </c>
      <c r="B7478" t="s">
        <v>12</v>
      </c>
      <c r="C7478" t="s">
        <v>143</v>
      </c>
      <c r="D7478" s="9" t="s">
        <v>137</v>
      </c>
      <c r="E7478" t="s">
        <v>38</v>
      </c>
      <c r="F7478" t="s">
        <v>73</v>
      </c>
      <c r="G7478">
        <v>424.1</v>
      </c>
      <c r="H7478" s="9">
        <v>2.4900000000000002</v>
      </c>
      <c r="I7478"/>
    </row>
    <row r="7479" spans="1:9" x14ac:dyDescent="0.3">
      <c r="A7479" t="s">
        <v>5</v>
      </c>
      <c r="B7479" t="s">
        <v>12</v>
      </c>
      <c r="C7479" t="s">
        <v>144</v>
      </c>
      <c r="D7479" s="9" t="s">
        <v>137</v>
      </c>
      <c r="E7479" t="s">
        <v>39</v>
      </c>
      <c r="F7479" t="s">
        <v>75</v>
      </c>
      <c r="G7479">
        <v>437.5</v>
      </c>
      <c r="H7479" s="9">
        <v>4.72</v>
      </c>
      <c r="I7479"/>
    </row>
    <row r="7480" spans="1:9" x14ac:dyDescent="0.3">
      <c r="A7480" t="s">
        <v>5</v>
      </c>
      <c r="B7480" t="s">
        <v>12</v>
      </c>
      <c r="C7480" t="s">
        <v>145</v>
      </c>
      <c r="D7480" s="9" t="s">
        <v>137</v>
      </c>
      <c r="E7480" t="s">
        <v>40</v>
      </c>
      <c r="F7480" t="s">
        <v>77</v>
      </c>
      <c r="G7480">
        <v>433.9</v>
      </c>
      <c r="H7480" s="9">
        <v>4.96</v>
      </c>
      <c r="I7480"/>
    </row>
    <row r="7481" spans="1:9" x14ac:dyDescent="0.3">
      <c r="A7481" t="s">
        <v>5</v>
      </c>
      <c r="B7481" t="s">
        <v>12</v>
      </c>
      <c r="C7481" t="s">
        <v>146</v>
      </c>
      <c r="D7481" s="9" t="s">
        <v>137</v>
      </c>
      <c r="E7481" t="s">
        <v>41</v>
      </c>
      <c r="F7481" t="s">
        <v>79</v>
      </c>
      <c r="G7481">
        <v>436.4</v>
      </c>
      <c r="H7481" s="9">
        <v>1.99</v>
      </c>
      <c r="I7481"/>
    </row>
    <row r="7482" spans="1:9" x14ac:dyDescent="0.3">
      <c r="A7482" t="s">
        <v>5</v>
      </c>
      <c r="B7482" t="s">
        <v>12</v>
      </c>
      <c r="C7482" t="s">
        <v>147</v>
      </c>
      <c r="D7482" s="9" t="s">
        <v>137</v>
      </c>
      <c r="E7482" t="s">
        <v>42</v>
      </c>
      <c r="F7482" t="s">
        <v>81</v>
      </c>
      <c r="G7482">
        <v>444.3</v>
      </c>
      <c r="H7482" s="9">
        <v>3.83</v>
      </c>
      <c r="I7482"/>
    </row>
    <row r="7483" spans="1:9" x14ac:dyDescent="0.3">
      <c r="A7483" t="s">
        <v>5</v>
      </c>
      <c r="B7483" t="s">
        <v>12</v>
      </c>
      <c r="C7483" t="s">
        <v>148</v>
      </c>
      <c r="D7483" s="9" t="s">
        <v>137</v>
      </c>
      <c r="E7483" t="s">
        <v>43</v>
      </c>
      <c r="F7483" t="s">
        <v>83</v>
      </c>
      <c r="G7483">
        <v>444</v>
      </c>
      <c r="H7483" s="9">
        <v>3.21</v>
      </c>
      <c r="I7483"/>
    </row>
    <row r="7484" spans="1:9" x14ac:dyDescent="0.3">
      <c r="A7484" t="s">
        <v>5</v>
      </c>
      <c r="B7484" t="s">
        <v>12</v>
      </c>
      <c r="C7484" t="s">
        <v>149</v>
      </c>
      <c r="D7484" s="9" t="s">
        <v>150</v>
      </c>
      <c r="E7484" t="s">
        <v>32</v>
      </c>
      <c r="F7484" t="s">
        <v>61</v>
      </c>
      <c r="G7484">
        <v>414.5</v>
      </c>
      <c r="H7484" s="9">
        <v>3.39</v>
      </c>
      <c r="I7484"/>
    </row>
    <row r="7485" spans="1:9" x14ac:dyDescent="0.3">
      <c r="A7485" t="s">
        <v>5</v>
      </c>
      <c r="B7485" t="s">
        <v>12</v>
      </c>
      <c r="C7485" t="s">
        <v>151</v>
      </c>
      <c r="D7485" s="9" t="s">
        <v>150</v>
      </c>
      <c r="E7485" t="s">
        <v>33</v>
      </c>
      <c r="F7485" t="s">
        <v>63</v>
      </c>
      <c r="G7485">
        <v>399.6</v>
      </c>
      <c r="H7485" s="9">
        <v>2.91</v>
      </c>
      <c r="I7485"/>
    </row>
    <row r="7486" spans="1:9" x14ac:dyDescent="0.3">
      <c r="A7486" t="s">
        <v>5</v>
      </c>
      <c r="B7486" t="s">
        <v>12</v>
      </c>
      <c r="C7486" t="s">
        <v>152</v>
      </c>
      <c r="D7486" s="9" t="s">
        <v>150</v>
      </c>
      <c r="E7486" t="s">
        <v>34</v>
      </c>
      <c r="F7486" t="s">
        <v>65</v>
      </c>
      <c r="G7486">
        <v>446.8</v>
      </c>
      <c r="H7486" s="9">
        <v>9.19</v>
      </c>
      <c r="I7486"/>
    </row>
    <row r="7487" spans="1:9" x14ac:dyDescent="0.3">
      <c r="A7487" t="s">
        <v>5</v>
      </c>
      <c r="B7487" t="s">
        <v>12</v>
      </c>
      <c r="C7487" t="s">
        <v>153</v>
      </c>
      <c r="D7487" s="9" t="s">
        <v>150</v>
      </c>
      <c r="E7487" t="s">
        <v>35</v>
      </c>
      <c r="F7487" t="s">
        <v>67</v>
      </c>
      <c r="G7487">
        <v>434.6</v>
      </c>
      <c r="H7487" s="9">
        <v>7.12</v>
      </c>
      <c r="I7487"/>
    </row>
    <row r="7488" spans="1:9" x14ac:dyDescent="0.3">
      <c r="A7488" t="s">
        <v>5</v>
      </c>
      <c r="B7488" t="s">
        <v>12</v>
      </c>
      <c r="C7488" t="s">
        <v>154</v>
      </c>
      <c r="D7488" s="9" t="s">
        <v>150</v>
      </c>
      <c r="E7488" t="s">
        <v>36</v>
      </c>
      <c r="F7488" t="s">
        <v>69</v>
      </c>
      <c r="G7488">
        <v>455.6</v>
      </c>
      <c r="H7488" s="9">
        <v>8.74</v>
      </c>
      <c r="I7488"/>
    </row>
    <row r="7489" spans="1:9" x14ac:dyDescent="0.3">
      <c r="A7489" t="s">
        <v>5</v>
      </c>
      <c r="B7489" t="s">
        <v>12</v>
      </c>
      <c r="C7489" t="s">
        <v>155</v>
      </c>
      <c r="D7489" s="9" t="s">
        <v>150</v>
      </c>
      <c r="E7489" t="s">
        <v>37</v>
      </c>
      <c r="F7489" t="s">
        <v>71</v>
      </c>
      <c r="G7489">
        <v>433.5</v>
      </c>
      <c r="H7489" s="9">
        <v>5.91</v>
      </c>
      <c r="I7489"/>
    </row>
    <row r="7490" spans="1:9" x14ac:dyDescent="0.3">
      <c r="A7490" t="s">
        <v>5</v>
      </c>
      <c r="B7490" t="s">
        <v>19</v>
      </c>
      <c r="C7490" t="s">
        <v>59</v>
      </c>
      <c r="D7490" s="9" t="s">
        <v>60</v>
      </c>
      <c r="E7490" t="s">
        <v>32</v>
      </c>
      <c r="F7490" t="s">
        <v>61</v>
      </c>
      <c r="G7490">
        <v>89.5</v>
      </c>
      <c r="I7490"/>
    </row>
    <row r="7491" spans="1:9" x14ac:dyDescent="0.3">
      <c r="A7491" t="s">
        <v>5</v>
      </c>
      <c r="B7491" t="s">
        <v>19</v>
      </c>
      <c r="C7491" t="s">
        <v>62</v>
      </c>
      <c r="D7491" s="9" t="s">
        <v>60</v>
      </c>
      <c r="E7491" t="s">
        <v>33</v>
      </c>
      <c r="F7491" t="s">
        <v>63</v>
      </c>
      <c r="G7491">
        <v>74</v>
      </c>
      <c r="I7491"/>
    </row>
    <row r="7492" spans="1:9" x14ac:dyDescent="0.3">
      <c r="A7492" t="s">
        <v>5</v>
      </c>
      <c r="B7492" t="s">
        <v>19</v>
      </c>
      <c r="C7492" t="s">
        <v>64</v>
      </c>
      <c r="D7492" s="9" t="s">
        <v>60</v>
      </c>
      <c r="E7492" t="s">
        <v>34</v>
      </c>
      <c r="F7492" t="s">
        <v>65</v>
      </c>
      <c r="G7492">
        <v>88.6</v>
      </c>
      <c r="I7492"/>
    </row>
    <row r="7493" spans="1:9" x14ac:dyDescent="0.3">
      <c r="A7493" t="s">
        <v>5</v>
      </c>
      <c r="B7493" t="s">
        <v>19</v>
      </c>
      <c r="C7493" t="s">
        <v>66</v>
      </c>
      <c r="D7493" s="9" t="s">
        <v>60</v>
      </c>
      <c r="E7493" t="s">
        <v>35</v>
      </c>
      <c r="F7493" t="s">
        <v>67</v>
      </c>
      <c r="G7493">
        <v>92.7</v>
      </c>
      <c r="I7493"/>
    </row>
    <row r="7494" spans="1:9" x14ac:dyDescent="0.3">
      <c r="A7494" t="s">
        <v>5</v>
      </c>
      <c r="B7494" t="s">
        <v>19</v>
      </c>
      <c r="C7494" t="s">
        <v>68</v>
      </c>
      <c r="D7494" s="9" t="s">
        <v>60</v>
      </c>
      <c r="E7494" t="s">
        <v>36</v>
      </c>
      <c r="F7494" t="s">
        <v>69</v>
      </c>
      <c r="G7494">
        <v>101.5</v>
      </c>
      <c r="I7494"/>
    </row>
    <row r="7495" spans="1:9" x14ac:dyDescent="0.3">
      <c r="A7495" t="s">
        <v>5</v>
      </c>
      <c r="B7495" t="s">
        <v>19</v>
      </c>
      <c r="C7495" t="s">
        <v>70</v>
      </c>
      <c r="D7495" s="9" t="s">
        <v>60</v>
      </c>
      <c r="E7495" t="s">
        <v>37</v>
      </c>
      <c r="F7495" t="s">
        <v>71</v>
      </c>
      <c r="G7495">
        <v>98.9</v>
      </c>
      <c r="I7495"/>
    </row>
    <row r="7496" spans="1:9" x14ac:dyDescent="0.3">
      <c r="A7496" t="s">
        <v>5</v>
      </c>
      <c r="B7496" t="s">
        <v>19</v>
      </c>
      <c r="C7496" t="s">
        <v>72</v>
      </c>
      <c r="D7496" s="9" t="s">
        <v>60</v>
      </c>
      <c r="E7496" t="s">
        <v>38</v>
      </c>
      <c r="F7496" t="s">
        <v>73</v>
      </c>
      <c r="G7496">
        <v>93.6</v>
      </c>
      <c r="I7496"/>
    </row>
    <row r="7497" spans="1:9" x14ac:dyDescent="0.3">
      <c r="A7497" t="s">
        <v>5</v>
      </c>
      <c r="B7497" t="s">
        <v>19</v>
      </c>
      <c r="C7497" t="s">
        <v>74</v>
      </c>
      <c r="D7497" s="9" t="s">
        <v>60</v>
      </c>
      <c r="E7497" t="s">
        <v>39</v>
      </c>
      <c r="F7497" t="s">
        <v>75</v>
      </c>
      <c r="G7497">
        <v>88.6</v>
      </c>
      <c r="I7497"/>
    </row>
    <row r="7498" spans="1:9" x14ac:dyDescent="0.3">
      <c r="A7498" t="s">
        <v>5</v>
      </c>
      <c r="B7498" t="s">
        <v>19</v>
      </c>
      <c r="C7498" t="s">
        <v>76</v>
      </c>
      <c r="D7498" s="9" t="s">
        <v>60</v>
      </c>
      <c r="E7498" t="s">
        <v>40</v>
      </c>
      <c r="F7498" t="s">
        <v>77</v>
      </c>
      <c r="G7498">
        <v>87.6</v>
      </c>
      <c r="I7498"/>
    </row>
    <row r="7499" spans="1:9" x14ac:dyDescent="0.3">
      <c r="A7499" t="s">
        <v>5</v>
      </c>
      <c r="B7499" t="s">
        <v>19</v>
      </c>
      <c r="C7499" t="s">
        <v>78</v>
      </c>
      <c r="D7499" s="9" t="s">
        <v>60</v>
      </c>
      <c r="E7499" t="s">
        <v>41</v>
      </c>
      <c r="F7499" t="s">
        <v>79</v>
      </c>
      <c r="G7499">
        <v>93.1</v>
      </c>
      <c r="I7499"/>
    </row>
    <row r="7500" spans="1:9" x14ac:dyDescent="0.3">
      <c r="A7500" t="s">
        <v>5</v>
      </c>
      <c r="B7500" t="s">
        <v>19</v>
      </c>
      <c r="C7500" t="s">
        <v>80</v>
      </c>
      <c r="D7500" s="9" t="s">
        <v>60</v>
      </c>
      <c r="E7500" t="s">
        <v>42</v>
      </c>
      <c r="F7500" t="s">
        <v>81</v>
      </c>
      <c r="G7500">
        <v>112.5</v>
      </c>
      <c r="I7500"/>
    </row>
    <row r="7501" spans="1:9" x14ac:dyDescent="0.3">
      <c r="A7501" t="s">
        <v>5</v>
      </c>
      <c r="B7501" t="s">
        <v>19</v>
      </c>
      <c r="C7501" t="s">
        <v>82</v>
      </c>
      <c r="D7501" s="9" t="s">
        <v>60</v>
      </c>
      <c r="E7501" t="s">
        <v>43</v>
      </c>
      <c r="F7501" t="s">
        <v>83</v>
      </c>
      <c r="G7501">
        <v>152.30000000000001</v>
      </c>
      <c r="I7501"/>
    </row>
    <row r="7502" spans="1:9" x14ac:dyDescent="0.3">
      <c r="A7502" t="s">
        <v>5</v>
      </c>
      <c r="B7502" t="s">
        <v>19</v>
      </c>
      <c r="C7502" t="s">
        <v>84</v>
      </c>
      <c r="D7502" s="9" t="s">
        <v>85</v>
      </c>
      <c r="E7502" t="s">
        <v>32</v>
      </c>
      <c r="F7502" t="s">
        <v>61</v>
      </c>
      <c r="G7502">
        <v>92.7</v>
      </c>
      <c r="H7502" s="9">
        <v>3.58</v>
      </c>
      <c r="I7502"/>
    </row>
    <row r="7503" spans="1:9" x14ac:dyDescent="0.3">
      <c r="A7503" t="s">
        <v>5</v>
      </c>
      <c r="B7503" t="s">
        <v>19</v>
      </c>
      <c r="C7503" t="s">
        <v>86</v>
      </c>
      <c r="D7503" s="9" t="s">
        <v>85</v>
      </c>
      <c r="E7503" t="s">
        <v>33</v>
      </c>
      <c r="F7503" t="s">
        <v>63</v>
      </c>
      <c r="G7503">
        <v>74.8</v>
      </c>
      <c r="H7503" s="9">
        <v>1.08</v>
      </c>
      <c r="I7503"/>
    </row>
    <row r="7504" spans="1:9" x14ac:dyDescent="0.3">
      <c r="A7504" t="s">
        <v>5</v>
      </c>
      <c r="B7504" t="s">
        <v>19</v>
      </c>
      <c r="C7504" t="s">
        <v>87</v>
      </c>
      <c r="D7504" s="9" t="s">
        <v>85</v>
      </c>
      <c r="E7504" t="s">
        <v>34</v>
      </c>
      <c r="F7504" t="s">
        <v>65</v>
      </c>
      <c r="G7504">
        <v>52.5</v>
      </c>
      <c r="H7504" s="9">
        <v>-40.74</v>
      </c>
      <c r="I7504"/>
    </row>
    <row r="7505" spans="1:9" x14ac:dyDescent="0.3">
      <c r="A7505" t="s">
        <v>5</v>
      </c>
      <c r="B7505" t="s">
        <v>19</v>
      </c>
      <c r="C7505" t="s">
        <v>88</v>
      </c>
      <c r="D7505" s="9" t="s">
        <v>85</v>
      </c>
      <c r="E7505" t="s">
        <v>35</v>
      </c>
      <c r="F7505" t="s">
        <v>67</v>
      </c>
      <c r="G7505">
        <v>23</v>
      </c>
      <c r="H7505" s="9">
        <v>-75.19</v>
      </c>
      <c r="I7505"/>
    </row>
    <row r="7506" spans="1:9" x14ac:dyDescent="0.3">
      <c r="A7506" t="s">
        <v>5</v>
      </c>
      <c r="B7506" t="s">
        <v>19</v>
      </c>
      <c r="C7506" t="s">
        <v>89</v>
      </c>
      <c r="D7506" s="9" t="s">
        <v>85</v>
      </c>
      <c r="E7506" t="s">
        <v>36</v>
      </c>
      <c r="F7506" t="s">
        <v>69</v>
      </c>
      <c r="G7506">
        <v>73.5</v>
      </c>
      <c r="H7506" s="9">
        <v>-27.59</v>
      </c>
      <c r="I7506"/>
    </row>
    <row r="7507" spans="1:9" x14ac:dyDescent="0.3">
      <c r="A7507" t="s">
        <v>5</v>
      </c>
      <c r="B7507" t="s">
        <v>19</v>
      </c>
      <c r="C7507" t="s">
        <v>90</v>
      </c>
      <c r="D7507" s="9" t="s">
        <v>85</v>
      </c>
      <c r="E7507" t="s">
        <v>37</v>
      </c>
      <c r="F7507" t="s">
        <v>71</v>
      </c>
      <c r="G7507">
        <v>100.8</v>
      </c>
      <c r="H7507" s="9">
        <v>1.92</v>
      </c>
      <c r="I7507"/>
    </row>
    <row r="7508" spans="1:9" x14ac:dyDescent="0.3">
      <c r="A7508" t="s">
        <v>5</v>
      </c>
      <c r="B7508" t="s">
        <v>19</v>
      </c>
      <c r="C7508" t="s">
        <v>91</v>
      </c>
      <c r="D7508" s="9" t="s">
        <v>85</v>
      </c>
      <c r="E7508" t="s">
        <v>38</v>
      </c>
      <c r="F7508" t="s">
        <v>73</v>
      </c>
      <c r="G7508">
        <v>120.8</v>
      </c>
      <c r="H7508" s="9">
        <v>29.06</v>
      </c>
      <c r="I7508"/>
    </row>
    <row r="7509" spans="1:9" x14ac:dyDescent="0.3">
      <c r="A7509" t="s">
        <v>5</v>
      </c>
      <c r="B7509" t="s">
        <v>19</v>
      </c>
      <c r="C7509" t="s">
        <v>92</v>
      </c>
      <c r="D7509" s="9" t="s">
        <v>85</v>
      </c>
      <c r="E7509" t="s">
        <v>39</v>
      </c>
      <c r="F7509" t="s">
        <v>75</v>
      </c>
      <c r="G7509">
        <v>104.2</v>
      </c>
      <c r="H7509" s="9">
        <v>17.61</v>
      </c>
      <c r="I7509"/>
    </row>
    <row r="7510" spans="1:9" x14ac:dyDescent="0.3">
      <c r="A7510" t="s">
        <v>5</v>
      </c>
      <c r="B7510" t="s">
        <v>19</v>
      </c>
      <c r="C7510" t="s">
        <v>93</v>
      </c>
      <c r="D7510" s="9" t="s">
        <v>85</v>
      </c>
      <c r="E7510" t="s">
        <v>40</v>
      </c>
      <c r="F7510" t="s">
        <v>77</v>
      </c>
      <c r="G7510">
        <v>101.5</v>
      </c>
      <c r="H7510" s="9">
        <v>15.87</v>
      </c>
      <c r="I7510"/>
    </row>
    <row r="7511" spans="1:9" x14ac:dyDescent="0.3">
      <c r="A7511" t="s">
        <v>5</v>
      </c>
      <c r="B7511" t="s">
        <v>19</v>
      </c>
      <c r="C7511" t="s">
        <v>94</v>
      </c>
      <c r="D7511" s="9" t="s">
        <v>85</v>
      </c>
      <c r="E7511" t="s">
        <v>41</v>
      </c>
      <c r="F7511" t="s">
        <v>79</v>
      </c>
      <c r="G7511">
        <v>115.6</v>
      </c>
      <c r="H7511" s="9">
        <v>24.17</v>
      </c>
      <c r="I7511"/>
    </row>
    <row r="7512" spans="1:9" x14ac:dyDescent="0.3">
      <c r="A7512" t="s">
        <v>5</v>
      </c>
      <c r="B7512" t="s">
        <v>19</v>
      </c>
      <c r="C7512" t="s">
        <v>95</v>
      </c>
      <c r="D7512" s="9" t="s">
        <v>85</v>
      </c>
      <c r="E7512" t="s">
        <v>42</v>
      </c>
      <c r="F7512" t="s">
        <v>81</v>
      </c>
      <c r="G7512">
        <v>121.5</v>
      </c>
      <c r="H7512" s="9">
        <v>8</v>
      </c>
      <c r="I7512"/>
    </row>
    <row r="7513" spans="1:9" x14ac:dyDescent="0.3">
      <c r="A7513" t="s">
        <v>5</v>
      </c>
      <c r="B7513" t="s">
        <v>19</v>
      </c>
      <c r="C7513" t="s">
        <v>96</v>
      </c>
      <c r="D7513" s="9" t="s">
        <v>85</v>
      </c>
      <c r="E7513" t="s">
        <v>43</v>
      </c>
      <c r="F7513" t="s">
        <v>83</v>
      </c>
      <c r="G7513">
        <v>174.7</v>
      </c>
      <c r="H7513" s="9">
        <v>14.71</v>
      </c>
      <c r="I7513"/>
    </row>
    <row r="7514" spans="1:9" x14ac:dyDescent="0.3">
      <c r="A7514" t="s">
        <v>5</v>
      </c>
      <c r="B7514" t="s">
        <v>19</v>
      </c>
      <c r="C7514" t="s">
        <v>97</v>
      </c>
      <c r="D7514" s="9" t="s">
        <v>98</v>
      </c>
      <c r="E7514" t="s">
        <v>32</v>
      </c>
      <c r="F7514" t="s">
        <v>61</v>
      </c>
      <c r="G7514">
        <v>102.4</v>
      </c>
      <c r="H7514" s="9">
        <v>10.46</v>
      </c>
      <c r="I7514"/>
    </row>
    <row r="7515" spans="1:9" x14ac:dyDescent="0.3">
      <c r="A7515" t="s">
        <v>5</v>
      </c>
      <c r="B7515" t="s">
        <v>19</v>
      </c>
      <c r="C7515" t="s">
        <v>99</v>
      </c>
      <c r="D7515" s="9" t="s">
        <v>98</v>
      </c>
      <c r="E7515" t="s">
        <v>33</v>
      </c>
      <c r="F7515" t="s">
        <v>63</v>
      </c>
      <c r="G7515">
        <v>70.2</v>
      </c>
      <c r="H7515" s="9">
        <v>-6.15</v>
      </c>
      <c r="I7515"/>
    </row>
    <row r="7516" spans="1:9" x14ac:dyDescent="0.3">
      <c r="A7516" t="s">
        <v>5</v>
      </c>
      <c r="B7516" t="s">
        <v>19</v>
      </c>
      <c r="C7516" t="s">
        <v>100</v>
      </c>
      <c r="D7516" s="9" t="s">
        <v>98</v>
      </c>
      <c r="E7516" t="s">
        <v>34</v>
      </c>
      <c r="F7516" t="s">
        <v>65</v>
      </c>
      <c r="G7516">
        <v>101.4</v>
      </c>
      <c r="H7516" s="9">
        <v>93.14</v>
      </c>
      <c r="I7516"/>
    </row>
    <row r="7517" spans="1:9" x14ac:dyDescent="0.3">
      <c r="A7517" t="s">
        <v>5</v>
      </c>
      <c r="B7517" t="s">
        <v>19</v>
      </c>
      <c r="C7517" t="s">
        <v>101</v>
      </c>
      <c r="D7517" s="9" t="s">
        <v>98</v>
      </c>
      <c r="E7517" t="s">
        <v>35</v>
      </c>
      <c r="F7517" t="s">
        <v>67</v>
      </c>
      <c r="G7517">
        <v>100.1</v>
      </c>
      <c r="H7517" s="9">
        <v>335.22</v>
      </c>
      <c r="I7517"/>
    </row>
    <row r="7518" spans="1:9" x14ac:dyDescent="0.3">
      <c r="A7518" t="s">
        <v>5</v>
      </c>
      <c r="B7518" t="s">
        <v>19</v>
      </c>
      <c r="C7518" t="s">
        <v>102</v>
      </c>
      <c r="D7518" s="9" t="s">
        <v>98</v>
      </c>
      <c r="E7518" t="s">
        <v>36</v>
      </c>
      <c r="F7518" t="s">
        <v>69</v>
      </c>
      <c r="G7518">
        <v>113.3</v>
      </c>
      <c r="H7518" s="9">
        <v>54.15</v>
      </c>
      <c r="I7518"/>
    </row>
    <row r="7519" spans="1:9" x14ac:dyDescent="0.3">
      <c r="A7519" t="s">
        <v>5</v>
      </c>
      <c r="B7519" t="s">
        <v>19</v>
      </c>
      <c r="C7519" t="s">
        <v>103</v>
      </c>
      <c r="D7519" s="9" t="s">
        <v>98</v>
      </c>
      <c r="E7519" t="s">
        <v>37</v>
      </c>
      <c r="F7519" t="s">
        <v>71</v>
      </c>
      <c r="G7519">
        <v>115.6</v>
      </c>
      <c r="H7519" s="9">
        <v>14.68</v>
      </c>
      <c r="I7519"/>
    </row>
    <row r="7520" spans="1:9" x14ac:dyDescent="0.3">
      <c r="A7520" t="s">
        <v>5</v>
      </c>
      <c r="B7520" t="s">
        <v>19</v>
      </c>
      <c r="C7520" t="s">
        <v>104</v>
      </c>
      <c r="D7520" s="9" t="s">
        <v>98</v>
      </c>
      <c r="E7520" t="s">
        <v>38</v>
      </c>
      <c r="F7520" t="s">
        <v>73</v>
      </c>
      <c r="G7520">
        <v>110.6</v>
      </c>
      <c r="H7520" s="9">
        <v>-8.44</v>
      </c>
      <c r="I7520"/>
    </row>
    <row r="7521" spans="1:9" x14ac:dyDescent="0.3">
      <c r="A7521" t="s">
        <v>5</v>
      </c>
      <c r="B7521" t="s">
        <v>19</v>
      </c>
      <c r="C7521" t="s">
        <v>105</v>
      </c>
      <c r="D7521" s="9" t="s">
        <v>98</v>
      </c>
      <c r="E7521" t="s">
        <v>39</v>
      </c>
      <c r="F7521" t="s">
        <v>75</v>
      </c>
      <c r="G7521">
        <v>107.6</v>
      </c>
      <c r="H7521" s="9">
        <v>3.26</v>
      </c>
      <c r="I7521"/>
    </row>
    <row r="7522" spans="1:9" x14ac:dyDescent="0.3">
      <c r="A7522" t="s">
        <v>5</v>
      </c>
      <c r="B7522" t="s">
        <v>19</v>
      </c>
      <c r="C7522" t="s">
        <v>106</v>
      </c>
      <c r="D7522" s="9" t="s">
        <v>98</v>
      </c>
      <c r="E7522" t="s">
        <v>40</v>
      </c>
      <c r="F7522" t="s">
        <v>77</v>
      </c>
      <c r="G7522">
        <v>116.9</v>
      </c>
      <c r="H7522" s="9">
        <v>15.17</v>
      </c>
      <c r="I7522"/>
    </row>
    <row r="7523" spans="1:9" x14ac:dyDescent="0.3">
      <c r="A7523" t="s">
        <v>5</v>
      </c>
      <c r="B7523" t="s">
        <v>19</v>
      </c>
      <c r="C7523" t="s">
        <v>107</v>
      </c>
      <c r="D7523" s="9" t="s">
        <v>98</v>
      </c>
      <c r="E7523" t="s">
        <v>41</v>
      </c>
      <c r="F7523" t="s">
        <v>79</v>
      </c>
      <c r="G7523">
        <v>133.19999999999999</v>
      </c>
      <c r="H7523" s="9">
        <v>15.22</v>
      </c>
      <c r="I7523"/>
    </row>
    <row r="7524" spans="1:9" x14ac:dyDescent="0.3">
      <c r="A7524" t="s">
        <v>5</v>
      </c>
      <c r="B7524" t="s">
        <v>19</v>
      </c>
      <c r="C7524" t="s">
        <v>108</v>
      </c>
      <c r="D7524" s="9" t="s">
        <v>98</v>
      </c>
      <c r="E7524" t="s">
        <v>42</v>
      </c>
      <c r="F7524" t="s">
        <v>81</v>
      </c>
      <c r="G7524">
        <v>147</v>
      </c>
      <c r="H7524" s="9">
        <v>20.99</v>
      </c>
      <c r="I7524"/>
    </row>
    <row r="7525" spans="1:9" x14ac:dyDescent="0.3">
      <c r="A7525" t="s">
        <v>5</v>
      </c>
      <c r="B7525" t="s">
        <v>19</v>
      </c>
      <c r="C7525" t="s">
        <v>109</v>
      </c>
      <c r="D7525" s="9" t="s">
        <v>98</v>
      </c>
      <c r="E7525" t="s">
        <v>43</v>
      </c>
      <c r="F7525" t="s">
        <v>83</v>
      </c>
      <c r="G7525">
        <v>199.4</v>
      </c>
      <c r="H7525" s="9">
        <v>14.14</v>
      </c>
      <c r="I7525"/>
    </row>
    <row r="7526" spans="1:9" x14ac:dyDescent="0.3">
      <c r="A7526" t="s">
        <v>5</v>
      </c>
      <c r="B7526" t="s">
        <v>19</v>
      </c>
      <c r="C7526" t="s">
        <v>110</v>
      </c>
      <c r="D7526" s="9" t="s">
        <v>111</v>
      </c>
      <c r="E7526" t="s">
        <v>32</v>
      </c>
      <c r="F7526" t="s">
        <v>61</v>
      </c>
      <c r="G7526">
        <v>117.4</v>
      </c>
      <c r="H7526" s="9">
        <v>14.65</v>
      </c>
      <c r="I7526"/>
    </row>
    <row r="7527" spans="1:9" x14ac:dyDescent="0.3">
      <c r="A7527" t="s">
        <v>5</v>
      </c>
      <c r="B7527" t="s">
        <v>19</v>
      </c>
      <c r="C7527" t="s">
        <v>112</v>
      </c>
      <c r="D7527" s="9" t="s">
        <v>111</v>
      </c>
      <c r="E7527" t="s">
        <v>33</v>
      </c>
      <c r="F7527" t="s">
        <v>63</v>
      </c>
      <c r="G7527">
        <v>95.3</v>
      </c>
      <c r="H7527" s="9">
        <v>35.75</v>
      </c>
      <c r="I7527"/>
    </row>
    <row r="7528" spans="1:9" x14ac:dyDescent="0.3">
      <c r="A7528" t="s">
        <v>5</v>
      </c>
      <c r="B7528" t="s">
        <v>19</v>
      </c>
      <c r="C7528" t="s">
        <v>113</v>
      </c>
      <c r="D7528" s="9" t="s">
        <v>111</v>
      </c>
      <c r="E7528" t="s">
        <v>34</v>
      </c>
      <c r="F7528" t="s">
        <v>65</v>
      </c>
      <c r="G7528">
        <v>113</v>
      </c>
      <c r="H7528" s="9">
        <v>11.44</v>
      </c>
      <c r="I7528"/>
    </row>
    <row r="7529" spans="1:9" x14ac:dyDescent="0.3">
      <c r="A7529" t="s">
        <v>5</v>
      </c>
      <c r="B7529" t="s">
        <v>19</v>
      </c>
      <c r="C7529" t="s">
        <v>114</v>
      </c>
      <c r="D7529" s="9" t="s">
        <v>111</v>
      </c>
      <c r="E7529" t="s">
        <v>35</v>
      </c>
      <c r="F7529" t="s">
        <v>67</v>
      </c>
      <c r="G7529">
        <v>126.8</v>
      </c>
      <c r="H7529" s="9">
        <v>26.67</v>
      </c>
      <c r="I7529"/>
    </row>
    <row r="7530" spans="1:9" x14ac:dyDescent="0.3">
      <c r="A7530" t="s">
        <v>5</v>
      </c>
      <c r="B7530" t="s">
        <v>19</v>
      </c>
      <c r="C7530" t="s">
        <v>115</v>
      </c>
      <c r="D7530" s="9" t="s">
        <v>111</v>
      </c>
      <c r="E7530" t="s">
        <v>36</v>
      </c>
      <c r="F7530" t="s">
        <v>69</v>
      </c>
      <c r="G7530">
        <v>131</v>
      </c>
      <c r="H7530" s="9">
        <v>15.62</v>
      </c>
      <c r="I7530"/>
    </row>
    <row r="7531" spans="1:9" x14ac:dyDescent="0.3">
      <c r="A7531" t="s">
        <v>5</v>
      </c>
      <c r="B7531" t="s">
        <v>19</v>
      </c>
      <c r="C7531" t="s">
        <v>116</v>
      </c>
      <c r="D7531" s="9" t="s">
        <v>111</v>
      </c>
      <c r="E7531" t="s">
        <v>37</v>
      </c>
      <c r="F7531" t="s">
        <v>71</v>
      </c>
      <c r="G7531">
        <v>133.9</v>
      </c>
      <c r="H7531" s="9">
        <v>15.83</v>
      </c>
      <c r="I7531"/>
    </row>
    <row r="7532" spans="1:9" x14ac:dyDescent="0.3">
      <c r="A7532" t="s">
        <v>5</v>
      </c>
      <c r="B7532" t="s">
        <v>19</v>
      </c>
      <c r="C7532" t="s">
        <v>117</v>
      </c>
      <c r="D7532" s="9" t="s">
        <v>111</v>
      </c>
      <c r="E7532" t="s">
        <v>38</v>
      </c>
      <c r="F7532" t="s">
        <v>73</v>
      </c>
      <c r="G7532">
        <v>131.9</v>
      </c>
      <c r="H7532" s="9">
        <v>19.260000000000002</v>
      </c>
      <c r="I7532"/>
    </row>
    <row r="7533" spans="1:9" x14ac:dyDescent="0.3">
      <c r="A7533" t="s">
        <v>5</v>
      </c>
      <c r="B7533" t="s">
        <v>19</v>
      </c>
      <c r="C7533" t="s">
        <v>118</v>
      </c>
      <c r="D7533" s="9" t="s">
        <v>111</v>
      </c>
      <c r="E7533" t="s">
        <v>39</v>
      </c>
      <c r="F7533" t="s">
        <v>75</v>
      </c>
      <c r="G7533">
        <v>121.1</v>
      </c>
      <c r="H7533" s="9">
        <v>12.55</v>
      </c>
      <c r="I7533"/>
    </row>
    <row r="7534" spans="1:9" x14ac:dyDescent="0.3">
      <c r="A7534" t="s">
        <v>5</v>
      </c>
      <c r="B7534" t="s">
        <v>19</v>
      </c>
      <c r="C7534" t="s">
        <v>119</v>
      </c>
      <c r="D7534" s="9" t="s">
        <v>111</v>
      </c>
      <c r="E7534" t="s">
        <v>40</v>
      </c>
      <c r="F7534" t="s">
        <v>77</v>
      </c>
      <c r="G7534">
        <v>122.5</v>
      </c>
      <c r="H7534" s="9">
        <v>4.79</v>
      </c>
      <c r="I7534"/>
    </row>
    <row r="7535" spans="1:9" x14ac:dyDescent="0.3">
      <c r="A7535" t="s">
        <v>5</v>
      </c>
      <c r="B7535" t="s">
        <v>19</v>
      </c>
      <c r="C7535" t="s">
        <v>120</v>
      </c>
      <c r="D7535" s="9" t="s">
        <v>111</v>
      </c>
      <c r="E7535" t="s">
        <v>41</v>
      </c>
      <c r="F7535" t="s">
        <v>79</v>
      </c>
      <c r="G7535">
        <v>128.9</v>
      </c>
      <c r="H7535" s="9">
        <v>-3.23</v>
      </c>
      <c r="I7535"/>
    </row>
    <row r="7536" spans="1:9" x14ac:dyDescent="0.3">
      <c r="A7536" t="s">
        <v>5</v>
      </c>
      <c r="B7536" t="s">
        <v>19</v>
      </c>
      <c r="C7536" t="s">
        <v>121</v>
      </c>
      <c r="D7536" s="9" t="s">
        <v>111</v>
      </c>
      <c r="E7536" t="s">
        <v>42</v>
      </c>
      <c r="F7536" t="s">
        <v>81</v>
      </c>
      <c r="G7536">
        <v>148.19999999999999</v>
      </c>
      <c r="H7536" s="9">
        <v>0.82</v>
      </c>
      <c r="I7536"/>
    </row>
    <row r="7537" spans="1:9" x14ac:dyDescent="0.3">
      <c r="A7537" t="s">
        <v>5</v>
      </c>
      <c r="B7537" t="s">
        <v>19</v>
      </c>
      <c r="C7537" t="s">
        <v>122</v>
      </c>
      <c r="D7537" s="9" t="s">
        <v>111</v>
      </c>
      <c r="E7537" t="s">
        <v>43</v>
      </c>
      <c r="F7537" t="s">
        <v>83</v>
      </c>
      <c r="G7537">
        <v>201.4</v>
      </c>
      <c r="H7537" s="9">
        <v>1</v>
      </c>
      <c r="I7537"/>
    </row>
    <row r="7538" spans="1:9" x14ac:dyDescent="0.3">
      <c r="A7538" t="s">
        <v>5</v>
      </c>
      <c r="B7538" t="s">
        <v>19</v>
      </c>
      <c r="C7538" t="s">
        <v>123</v>
      </c>
      <c r="D7538" s="9" t="s">
        <v>124</v>
      </c>
      <c r="E7538" t="s">
        <v>32</v>
      </c>
      <c r="F7538" t="s">
        <v>61</v>
      </c>
      <c r="G7538">
        <v>117.9</v>
      </c>
      <c r="H7538" s="9">
        <v>0.43</v>
      </c>
      <c r="I7538"/>
    </row>
    <row r="7539" spans="1:9" x14ac:dyDescent="0.3">
      <c r="A7539" t="s">
        <v>5</v>
      </c>
      <c r="B7539" t="s">
        <v>19</v>
      </c>
      <c r="C7539" t="s">
        <v>125</v>
      </c>
      <c r="D7539" s="9" t="s">
        <v>124</v>
      </c>
      <c r="E7539" t="s">
        <v>33</v>
      </c>
      <c r="F7539" t="s">
        <v>63</v>
      </c>
      <c r="G7539">
        <v>99</v>
      </c>
      <c r="H7539" s="9">
        <v>3.88</v>
      </c>
      <c r="I7539"/>
    </row>
    <row r="7540" spans="1:9" x14ac:dyDescent="0.3">
      <c r="A7540" t="s">
        <v>5</v>
      </c>
      <c r="B7540" t="s">
        <v>19</v>
      </c>
      <c r="C7540" t="s">
        <v>126</v>
      </c>
      <c r="D7540" s="9" t="s">
        <v>124</v>
      </c>
      <c r="E7540" t="s">
        <v>34</v>
      </c>
      <c r="F7540" t="s">
        <v>65</v>
      </c>
      <c r="G7540">
        <v>121.6</v>
      </c>
      <c r="H7540" s="9">
        <v>7.61</v>
      </c>
      <c r="I7540"/>
    </row>
    <row r="7541" spans="1:9" x14ac:dyDescent="0.3">
      <c r="A7541" t="s">
        <v>5</v>
      </c>
      <c r="B7541" t="s">
        <v>19</v>
      </c>
      <c r="C7541" t="s">
        <v>127</v>
      </c>
      <c r="D7541" s="9" t="s">
        <v>124</v>
      </c>
      <c r="E7541" t="s">
        <v>35</v>
      </c>
      <c r="F7541" t="s">
        <v>67</v>
      </c>
      <c r="G7541">
        <v>134.5</v>
      </c>
      <c r="H7541" s="9">
        <v>6.07</v>
      </c>
      <c r="I7541"/>
    </row>
    <row r="7542" spans="1:9" x14ac:dyDescent="0.3">
      <c r="A7542" t="s">
        <v>5</v>
      </c>
      <c r="B7542" t="s">
        <v>19</v>
      </c>
      <c r="C7542" t="s">
        <v>128</v>
      </c>
      <c r="D7542" s="9" t="s">
        <v>124</v>
      </c>
      <c r="E7542" t="s">
        <v>36</v>
      </c>
      <c r="F7542" t="s">
        <v>69</v>
      </c>
      <c r="G7542">
        <v>136.19999999999999</v>
      </c>
      <c r="H7542" s="9">
        <v>3.97</v>
      </c>
      <c r="I7542"/>
    </row>
    <row r="7543" spans="1:9" x14ac:dyDescent="0.3">
      <c r="A7543" t="s">
        <v>5</v>
      </c>
      <c r="B7543" t="s">
        <v>19</v>
      </c>
      <c r="C7543" t="s">
        <v>129</v>
      </c>
      <c r="D7543" s="9" t="s">
        <v>124</v>
      </c>
      <c r="E7543" t="s">
        <v>37</v>
      </c>
      <c r="F7543" t="s">
        <v>71</v>
      </c>
      <c r="G7543">
        <v>138.30000000000001</v>
      </c>
      <c r="H7543" s="9">
        <v>3.29</v>
      </c>
      <c r="I7543"/>
    </row>
    <row r="7544" spans="1:9" x14ac:dyDescent="0.3">
      <c r="A7544" t="s">
        <v>5</v>
      </c>
      <c r="B7544" t="s">
        <v>19</v>
      </c>
      <c r="C7544" t="s">
        <v>130</v>
      </c>
      <c r="D7544" s="9" t="s">
        <v>124</v>
      </c>
      <c r="E7544" t="s">
        <v>38</v>
      </c>
      <c r="F7544" t="s">
        <v>73</v>
      </c>
      <c r="G7544">
        <v>131.1</v>
      </c>
      <c r="H7544" s="9">
        <v>-0.61</v>
      </c>
      <c r="I7544"/>
    </row>
    <row r="7545" spans="1:9" x14ac:dyDescent="0.3">
      <c r="A7545" t="s">
        <v>5</v>
      </c>
      <c r="B7545" t="s">
        <v>19</v>
      </c>
      <c r="C7545" t="s">
        <v>131</v>
      </c>
      <c r="D7545" s="9" t="s">
        <v>124</v>
      </c>
      <c r="E7545" t="s">
        <v>39</v>
      </c>
      <c r="F7545" t="s">
        <v>75</v>
      </c>
      <c r="G7545">
        <v>122.9</v>
      </c>
      <c r="H7545" s="9">
        <v>1.49</v>
      </c>
      <c r="I7545"/>
    </row>
    <row r="7546" spans="1:9" x14ac:dyDescent="0.3">
      <c r="A7546" t="s">
        <v>5</v>
      </c>
      <c r="B7546" t="s">
        <v>19</v>
      </c>
      <c r="C7546" t="s">
        <v>132</v>
      </c>
      <c r="D7546" s="9" t="s">
        <v>124</v>
      </c>
      <c r="E7546" t="s">
        <v>40</v>
      </c>
      <c r="F7546" t="s">
        <v>77</v>
      </c>
      <c r="G7546">
        <v>128.80000000000001</v>
      </c>
      <c r="H7546" s="9">
        <v>5.14</v>
      </c>
      <c r="I7546"/>
    </row>
    <row r="7547" spans="1:9" x14ac:dyDescent="0.3">
      <c r="A7547" t="s">
        <v>5</v>
      </c>
      <c r="B7547" t="s">
        <v>19</v>
      </c>
      <c r="C7547" t="s">
        <v>133</v>
      </c>
      <c r="D7547" s="9" t="s">
        <v>124</v>
      </c>
      <c r="E7547" t="s">
        <v>41</v>
      </c>
      <c r="F7547" t="s">
        <v>79</v>
      </c>
      <c r="G7547">
        <v>138.80000000000001</v>
      </c>
      <c r="H7547" s="9">
        <v>7.68</v>
      </c>
      <c r="I7547"/>
    </row>
    <row r="7548" spans="1:9" x14ac:dyDescent="0.3">
      <c r="A7548" t="s">
        <v>5</v>
      </c>
      <c r="B7548" t="s">
        <v>19</v>
      </c>
      <c r="C7548" t="s">
        <v>134</v>
      </c>
      <c r="D7548" s="9" t="s">
        <v>124</v>
      </c>
      <c r="E7548" t="s">
        <v>42</v>
      </c>
      <c r="F7548" t="s">
        <v>81</v>
      </c>
      <c r="G7548">
        <v>163.80000000000001</v>
      </c>
      <c r="H7548" s="9">
        <v>10.53</v>
      </c>
      <c r="I7548"/>
    </row>
    <row r="7549" spans="1:9" x14ac:dyDescent="0.3">
      <c r="A7549" t="s">
        <v>5</v>
      </c>
      <c r="B7549" t="s">
        <v>19</v>
      </c>
      <c r="C7549" t="s">
        <v>135</v>
      </c>
      <c r="D7549" s="9" t="s">
        <v>124</v>
      </c>
      <c r="E7549" t="s">
        <v>43</v>
      </c>
      <c r="F7549" t="s">
        <v>83</v>
      </c>
      <c r="G7549">
        <v>207.2</v>
      </c>
      <c r="H7549" s="9">
        <v>2.88</v>
      </c>
      <c r="I7549"/>
    </row>
    <row r="7550" spans="1:9" x14ac:dyDescent="0.3">
      <c r="A7550" t="s">
        <v>5</v>
      </c>
      <c r="B7550" t="s">
        <v>19</v>
      </c>
      <c r="C7550" t="s">
        <v>136</v>
      </c>
      <c r="D7550" s="9" t="s">
        <v>137</v>
      </c>
      <c r="E7550" t="s">
        <v>32</v>
      </c>
      <c r="F7550" t="s">
        <v>61</v>
      </c>
      <c r="G7550">
        <v>125.1</v>
      </c>
      <c r="H7550" s="9">
        <v>6.11</v>
      </c>
      <c r="I7550"/>
    </row>
    <row r="7551" spans="1:9" x14ac:dyDescent="0.3">
      <c r="A7551" t="s">
        <v>5</v>
      </c>
      <c r="B7551" t="s">
        <v>19</v>
      </c>
      <c r="C7551" t="s">
        <v>138</v>
      </c>
      <c r="D7551" s="9" t="s">
        <v>137</v>
      </c>
      <c r="E7551" t="s">
        <v>33</v>
      </c>
      <c r="F7551" t="s">
        <v>63</v>
      </c>
      <c r="G7551">
        <v>110.1</v>
      </c>
      <c r="H7551" s="9">
        <v>11.21</v>
      </c>
      <c r="I7551"/>
    </row>
    <row r="7552" spans="1:9" x14ac:dyDescent="0.3">
      <c r="A7552" t="s">
        <v>5</v>
      </c>
      <c r="B7552" t="s">
        <v>19</v>
      </c>
      <c r="C7552" t="s">
        <v>139</v>
      </c>
      <c r="D7552" s="9" t="s">
        <v>137</v>
      </c>
      <c r="E7552" t="s">
        <v>34</v>
      </c>
      <c r="F7552" t="s">
        <v>65</v>
      </c>
      <c r="G7552">
        <v>122.1</v>
      </c>
      <c r="H7552" s="9">
        <v>0.41</v>
      </c>
      <c r="I7552"/>
    </row>
    <row r="7553" spans="1:9" x14ac:dyDescent="0.3">
      <c r="A7553" t="s">
        <v>5</v>
      </c>
      <c r="B7553" t="s">
        <v>19</v>
      </c>
      <c r="C7553" t="s">
        <v>140</v>
      </c>
      <c r="D7553" s="9" t="s">
        <v>137</v>
      </c>
      <c r="E7553" t="s">
        <v>35</v>
      </c>
      <c r="F7553" t="s">
        <v>67</v>
      </c>
      <c r="G7553">
        <v>123.2</v>
      </c>
      <c r="H7553" s="9">
        <v>-8.4</v>
      </c>
      <c r="I7553"/>
    </row>
    <row r="7554" spans="1:9" x14ac:dyDescent="0.3">
      <c r="A7554" t="s">
        <v>5</v>
      </c>
      <c r="B7554" t="s">
        <v>19</v>
      </c>
      <c r="C7554" t="s">
        <v>141</v>
      </c>
      <c r="D7554" s="9" t="s">
        <v>137</v>
      </c>
      <c r="E7554" t="s">
        <v>36</v>
      </c>
      <c r="F7554" t="s">
        <v>69</v>
      </c>
      <c r="G7554">
        <v>134.19999999999999</v>
      </c>
      <c r="H7554" s="9">
        <v>-1.47</v>
      </c>
      <c r="I7554"/>
    </row>
    <row r="7555" spans="1:9" x14ac:dyDescent="0.3">
      <c r="A7555" t="s">
        <v>5</v>
      </c>
      <c r="B7555" t="s">
        <v>19</v>
      </c>
      <c r="C7555" t="s">
        <v>142</v>
      </c>
      <c r="D7555" s="9" t="s">
        <v>137</v>
      </c>
      <c r="E7555" t="s">
        <v>37</v>
      </c>
      <c r="F7555" t="s">
        <v>71</v>
      </c>
      <c r="G7555">
        <v>140</v>
      </c>
      <c r="H7555" s="9">
        <v>1.23</v>
      </c>
      <c r="I7555"/>
    </row>
    <row r="7556" spans="1:9" x14ac:dyDescent="0.3">
      <c r="A7556" t="s">
        <v>5</v>
      </c>
      <c r="B7556" t="s">
        <v>19</v>
      </c>
      <c r="C7556" t="s">
        <v>143</v>
      </c>
      <c r="D7556" s="9" t="s">
        <v>137</v>
      </c>
      <c r="E7556" t="s">
        <v>38</v>
      </c>
      <c r="F7556" t="s">
        <v>73</v>
      </c>
      <c r="G7556">
        <v>129.5</v>
      </c>
      <c r="H7556" s="9">
        <v>-1.22</v>
      </c>
      <c r="I7556"/>
    </row>
    <row r="7557" spans="1:9" x14ac:dyDescent="0.3">
      <c r="A7557" t="s">
        <v>5</v>
      </c>
      <c r="B7557" t="s">
        <v>19</v>
      </c>
      <c r="C7557" t="s">
        <v>144</v>
      </c>
      <c r="D7557" s="9" t="s">
        <v>137</v>
      </c>
      <c r="E7557" t="s">
        <v>39</v>
      </c>
      <c r="F7557" t="s">
        <v>75</v>
      </c>
      <c r="G7557">
        <v>126</v>
      </c>
      <c r="H7557" s="9">
        <v>2.52</v>
      </c>
      <c r="I7557"/>
    </row>
    <row r="7558" spans="1:9" x14ac:dyDescent="0.3">
      <c r="A7558" t="s">
        <v>5</v>
      </c>
      <c r="B7558" t="s">
        <v>19</v>
      </c>
      <c r="C7558" t="s">
        <v>145</v>
      </c>
      <c r="D7558" s="9" t="s">
        <v>137</v>
      </c>
      <c r="E7558" t="s">
        <v>40</v>
      </c>
      <c r="F7558" t="s">
        <v>77</v>
      </c>
      <c r="G7558">
        <v>129.19999999999999</v>
      </c>
      <c r="H7558" s="9">
        <v>0.31</v>
      </c>
      <c r="I7558"/>
    </row>
    <row r="7559" spans="1:9" x14ac:dyDescent="0.3">
      <c r="A7559" t="s">
        <v>5</v>
      </c>
      <c r="B7559" t="s">
        <v>19</v>
      </c>
      <c r="C7559" t="s">
        <v>146</v>
      </c>
      <c r="D7559" s="9" t="s">
        <v>137</v>
      </c>
      <c r="E7559" t="s">
        <v>41</v>
      </c>
      <c r="F7559" t="s">
        <v>79</v>
      </c>
      <c r="G7559">
        <v>136.5</v>
      </c>
      <c r="H7559" s="9">
        <v>-1.66</v>
      </c>
      <c r="I7559"/>
    </row>
    <row r="7560" spans="1:9" x14ac:dyDescent="0.3">
      <c r="A7560" t="s">
        <v>5</v>
      </c>
      <c r="B7560" t="s">
        <v>19</v>
      </c>
      <c r="C7560" t="s">
        <v>147</v>
      </c>
      <c r="D7560" s="9" t="s">
        <v>137</v>
      </c>
      <c r="E7560" t="s">
        <v>42</v>
      </c>
      <c r="F7560" t="s">
        <v>81</v>
      </c>
      <c r="G7560">
        <v>159.9</v>
      </c>
      <c r="H7560" s="9">
        <v>-2.38</v>
      </c>
      <c r="I7560"/>
    </row>
    <row r="7561" spans="1:9" x14ac:dyDescent="0.3">
      <c r="A7561" t="s">
        <v>5</v>
      </c>
      <c r="B7561" t="s">
        <v>19</v>
      </c>
      <c r="C7561" t="s">
        <v>148</v>
      </c>
      <c r="D7561" s="9" t="s">
        <v>137</v>
      </c>
      <c r="E7561" t="s">
        <v>43</v>
      </c>
      <c r="F7561" t="s">
        <v>83</v>
      </c>
      <c r="G7561">
        <v>217.6</v>
      </c>
      <c r="H7561" s="9">
        <v>5.0199999999999996</v>
      </c>
      <c r="I7561"/>
    </row>
    <row r="7562" spans="1:9" x14ac:dyDescent="0.3">
      <c r="A7562" t="s">
        <v>5</v>
      </c>
      <c r="B7562" t="s">
        <v>19</v>
      </c>
      <c r="C7562" t="s">
        <v>149</v>
      </c>
      <c r="D7562" s="9" t="s">
        <v>150</v>
      </c>
      <c r="E7562" t="s">
        <v>32</v>
      </c>
      <c r="F7562" t="s">
        <v>61</v>
      </c>
      <c r="G7562">
        <v>132.1</v>
      </c>
      <c r="H7562" s="9">
        <v>5.6</v>
      </c>
      <c r="I7562"/>
    </row>
    <row r="7563" spans="1:9" x14ac:dyDescent="0.3">
      <c r="A7563" t="s">
        <v>5</v>
      </c>
      <c r="B7563" t="s">
        <v>19</v>
      </c>
      <c r="C7563" t="s">
        <v>151</v>
      </c>
      <c r="D7563" s="9" t="s">
        <v>150</v>
      </c>
      <c r="E7563" t="s">
        <v>33</v>
      </c>
      <c r="F7563" t="s">
        <v>63</v>
      </c>
      <c r="G7563">
        <v>107.8</v>
      </c>
      <c r="H7563" s="9">
        <v>-2.09</v>
      </c>
      <c r="I7563"/>
    </row>
    <row r="7564" spans="1:9" x14ac:dyDescent="0.3">
      <c r="A7564" t="s">
        <v>5</v>
      </c>
      <c r="B7564" t="s">
        <v>19</v>
      </c>
      <c r="C7564" t="s">
        <v>152</v>
      </c>
      <c r="D7564" s="9" t="s">
        <v>150</v>
      </c>
      <c r="E7564" t="s">
        <v>34</v>
      </c>
      <c r="F7564" t="s">
        <v>65</v>
      </c>
      <c r="G7564">
        <v>123.8</v>
      </c>
      <c r="H7564" s="9">
        <v>1.39</v>
      </c>
      <c r="I7564"/>
    </row>
    <row r="7565" spans="1:9" x14ac:dyDescent="0.3">
      <c r="A7565" t="s">
        <v>5</v>
      </c>
      <c r="B7565" t="s">
        <v>19</v>
      </c>
      <c r="C7565" t="s">
        <v>153</v>
      </c>
      <c r="D7565" s="9" t="s">
        <v>150</v>
      </c>
      <c r="E7565" t="s">
        <v>35</v>
      </c>
      <c r="F7565" t="s">
        <v>67</v>
      </c>
      <c r="G7565">
        <v>131.30000000000001</v>
      </c>
      <c r="H7565" s="9">
        <v>6.57</v>
      </c>
      <c r="I7565"/>
    </row>
    <row r="7566" spans="1:9" x14ac:dyDescent="0.3">
      <c r="A7566" t="s">
        <v>5</v>
      </c>
      <c r="B7566" t="s">
        <v>19</v>
      </c>
      <c r="C7566" t="s">
        <v>154</v>
      </c>
      <c r="D7566" s="9" t="s">
        <v>150</v>
      </c>
      <c r="E7566" t="s">
        <v>36</v>
      </c>
      <c r="F7566" t="s">
        <v>69</v>
      </c>
      <c r="G7566">
        <v>144.4</v>
      </c>
      <c r="H7566" s="9">
        <v>7.6</v>
      </c>
      <c r="I7566"/>
    </row>
    <row r="7567" spans="1:9" x14ac:dyDescent="0.3">
      <c r="A7567" t="s">
        <v>5</v>
      </c>
      <c r="B7567" t="s">
        <v>19</v>
      </c>
      <c r="C7567" t="s">
        <v>155</v>
      </c>
      <c r="D7567" s="9" t="s">
        <v>150</v>
      </c>
      <c r="E7567" t="s">
        <v>37</v>
      </c>
      <c r="F7567" t="s">
        <v>71</v>
      </c>
      <c r="G7567">
        <v>143.69999999999999</v>
      </c>
      <c r="H7567" s="9">
        <v>2.64</v>
      </c>
      <c r="I7567"/>
    </row>
    <row r="7568" spans="1:9" x14ac:dyDescent="0.3">
      <c r="A7568" t="s">
        <v>5</v>
      </c>
      <c r="B7568" t="s">
        <v>16</v>
      </c>
      <c r="C7568" t="s">
        <v>59</v>
      </c>
      <c r="D7568" s="9" t="s">
        <v>60</v>
      </c>
      <c r="E7568" t="s">
        <v>32</v>
      </c>
      <c r="F7568" t="s">
        <v>61</v>
      </c>
      <c r="G7568">
        <v>145.5</v>
      </c>
      <c r="I7568"/>
    </row>
    <row r="7569" spans="1:9" x14ac:dyDescent="0.3">
      <c r="A7569" t="s">
        <v>5</v>
      </c>
      <c r="B7569" t="s">
        <v>16</v>
      </c>
      <c r="C7569" t="s">
        <v>62</v>
      </c>
      <c r="D7569" s="9" t="s">
        <v>60</v>
      </c>
      <c r="E7569" t="s">
        <v>33</v>
      </c>
      <c r="F7569" t="s">
        <v>63</v>
      </c>
      <c r="G7569">
        <v>120.6</v>
      </c>
      <c r="I7569"/>
    </row>
    <row r="7570" spans="1:9" x14ac:dyDescent="0.3">
      <c r="A7570" t="s">
        <v>5</v>
      </c>
      <c r="B7570" t="s">
        <v>16</v>
      </c>
      <c r="C7570" t="s">
        <v>64</v>
      </c>
      <c r="D7570" s="9" t="s">
        <v>60</v>
      </c>
      <c r="E7570" t="s">
        <v>34</v>
      </c>
      <c r="F7570" t="s">
        <v>65</v>
      </c>
      <c r="G7570">
        <v>142.30000000000001</v>
      </c>
      <c r="I7570"/>
    </row>
    <row r="7571" spans="1:9" x14ac:dyDescent="0.3">
      <c r="A7571" t="s">
        <v>5</v>
      </c>
      <c r="B7571" t="s">
        <v>16</v>
      </c>
      <c r="C7571" t="s">
        <v>66</v>
      </c>
      <c r="D7571" s="9" t="s">
        <v>60</v>
      </c>
      <c r="E7571" t="s">
        <v>35</v>
      </c>
      <c r="F7571" t="s">
        <v>67</v>
      </c>
      <c r="G7571">
        <v>157.1</v>
      </c>
      <c r="I7571"/>
    </row>
    <row r="7572" spans="1:9" x14ac:dyDescent="0.3">
      <c r="A7572" t="s">
        <v>5</v>
      </c>
      <c r="B7572" t="s">
        <v>16</v>
      </c>
      <c r="C7572" t="s">
        <v>68</v>
      </c>
      <c r="D7572" s="9" t="s">
        <v>60</v>
      </c>
      <c r="E7572" t="s">
        <v>36</v>
      </c>
      <c r="F7572" t="s">
        <v>69</v>
      </c>
      <c r="G7572">
        <v>163.1</v>
      </c>
      <c r="I7572"/>
    </row>
    <row r="7573" spans="1:9" x14ac:dyDescent="0.3">
      <c r="A7573" t="s">
        <v>5</v>
      </c>
      <c r="B7573" t="s">
        <v>16</v>
      </c>
      <c r="C7573" t="s">
        <v>70</v>
      </c>
      <c r="D7573" s="9" t="s">
        <v>60</v>
      </c>
      <c r="E7573" t="s">
        <v>37</v>
      </c>
      <c r="F7573" t="s">
        <v>71</v>
      </c>
      <c r="G7573">
        <v>163.5</v>
      </c>
      <c r="I7573"/>
    </row>
    <row r="7574" spans="1:9" x14ac:dyDescent="0.3">
      <c r="A7574" t="s">
        <v>5</v>
      </c>
      <c r="B7574" t="s">
        <v>16</v>
      </c>
      <c r="C7574" t="s">
        <v>72</v>
      </c>
      <c r="D7574" s="9" t="s">
        <v>60</v>
      </c>
      <c r="E7574" t="s">
        <v>38</v>
      </c>
      <c r="F7574" t="s">
        <v>73</v>
      </c>
      <c r="G7574">
        <v>155.6</v>
      </c>
      <c r="I7574"/>
    </row>
    <row r="7575" spans="1:9" x14ac:dyDescent="0.3">
      <c r="A7575" t="s">
        <v>5</v>
      </c>
      <c r="B7575" t="s">
        <v>16</v>
      </c>
      <c r="C7575" t="s">
        <v>74</v>
      </c>
      <c r="D7575" s="9" t="s">
        <v>60</v>
      </c>
      <c r="E7575" t="s">
        <v>39</v>
      </c>
      <c r="F7575" t="s">
        <v>75</v>
      </c>
      <c r="G7575">
        <v>148.5</v>
      </c>
      <c r="I7575"/>
    </row>
    <row r="7576" spans="1:9" x14ac:dyDescent="0.3">
      <c r="A7576" t="s">
        <v>5</v>
      </c>
      <c r="B7576" t="s">
        <v>16</v>
      </c>
      <c r="C7576" t="s">
        <v>76</v>
      </c>
      <c r="D7576" s="9" t="s">
        <v>60</v>
      </c>
      <c r="E7576" t="s">
        <v>40</v>
      </c>
      <c r="F7576" t="s">
        <v>77</v>
      </c>
      <c r="G7576">
        <v>146.1</v>
      </c>
      <c r="I7576"/>
    </row>
    <row r="7577" spans="1:9" x14ac:dyDescent="0.3">
      <c r="A7577" t="s">
        <v>5</v>
      </c>
      <c r="B7577" t="s">
        <v>16</v>
      </c>
      <c r="C7577" t="s">
        <v>78</v>
      </c>
      <c r="D7577" s="9" t="s">
        <v>60</v>
      </c>
      <c r="E7577" t="s">
        <v>41</v>
      </c>
      <c r="F7577" t="s">
        <v>79</v>
      </c>
      <c r="G7577">
        <v>164.4</v>
      </c>
      <c r="I7577"/>
    </row>
    <row r="7578" spans="1:9" x14ac:dyDescent="0.3">
      <c r="A7578" t="s">
        <v>5</v>
      </c>
      <c r="B7578" t="s">
        <v>16</v>
      </c>
      <c r="C7578" t="s">
        <v>80</v>
      </c>
      <c r="D7578" s="9" t="s">
        <v>60</v>
      </c>
      <c r="E7578" t="s">
        <v>42</v>
      </c>
      <c r="F7578" t="s">
        <v>81</v>
      </c>
      <c r="G7578">
        <v>196.9</v>
      </c>
      <c r="I7578"/>
    </row>
    <row r="7579" spans="1:9" x14ac:dyDescent="0.3">
      <c r="A7579" t="s">
        <v>5</v>
      </c>
      <c r="B7579" t="s">
        <v>16</v>
      </c>
      <c r="C7579" t="s">
        <v>82</v>
      </c>
      <c r="D7579" s="9" t="s">
        <v>60</v>
      </c>
      <c r="E7579" t="s">
        <v>43</v>
      </c>
      <c r="F7579" t="s">
        <v>83</v>
      </c>
      <c r="G7579">
        <v>299.2</v>
      </c>
      <c r="I7579"/>
    </row>
    <row r="7580" spans="1:9" x14ac:dyDescent="0.3">
      <c r="A7580" t="s">
        <v>5</v>
      </c>
      <c r="B7580" t="s">
        <v>16</v>
      </c>
      <c r="C7580" t="s">
        <v>84</v>
      </c>
      <c r="D7580" s="9" t="s">
        <v>85</v>
      </c>
      <c r="E7580" t="s">
        <v>32</v>
      </c>
      <c r="F7580" t="s">
        <v>61</v>
      </c>
      <c r="G7580">
        <v>145.9</v>
      </c>
      <c r="H7580" s="9">
        <v>0.27</v>
      </c>
      <c r="I7580"/>
    </row>
    <row r="7581" spans="1:9" x14ac:dyDescent="0.3">
      <c r="A7581" t="s">
        <v>5</v>
      </c>
      <c r="B7581" t="s">
        <v>16</v>
      </c>
      <c r="C7581" t="s">
        <v>86</v>
      </c>
      <c r="D7581" s="9" t="s">
        <v>85</v>
      </c>
      <c r="E7581" t="s">
        <v>33</v>
      </c>
      <c r="F7581" t="s">
        <v>63</v>
      </c>
      <c r="G7581">
        <v>128.6</v>
      </c>
      <c r="H7581" s="9">
        <v>6.63</v>
      </c>
      <c r="I7581"/>
    </row>
    <row r="7582" spans="1:9" x14ac:dyDescent="0.3">
      <c r="A7582" t="s">
        <v>5</v>
      </c>
      <c r="B7582" t="s">
        <v>16</v>
      </c>
      <c r="C7582" t="s">
        <v>87</v>
      </c>
      <c r="D7582" s="9" t="s">
        <v>85</v>
      </c>
      <c r="E7582" t="s">
        <v>34</v>
      </c>
      <c r="F7582" t="s">
        <v>65</v>
      </c>
      <c r="G7582">
        <v>130.80000000000001</v>
      </c>
      <c r="H7582" s="9">
        <v>-8.08</v>
      </c>
      <c r="I7582"/>
    </row>
    <row r="7583" spans="1:9" x14ac:dyDescent="0.3">
      <c r="A7583" t="s">
        <v>5</v>
      </c>
      <c r="B7583" t="s">
        <v>16</v>
      </c>
      <c r="C7583" t="s">
        <v>88</v>
      </c>
      <c r="D7583" s="9" t="s">
        <v>85</v>
      </c>
      <c r="E7583" t="s">
        <v>35</v>
      </c>
      <c r="F7583" t="s">
        <v>67</v>
      </c>
      <c r="G7583">
        <v>128.4</v>
      </c>
      <c r="H7583" s="9">
        <v>-18.27</v>
      </c>
      <c r="I7583"/>
    </row>
    <row r="7584" spans="1:9" x14ac:dyDescent="0.3">
      <c r="A7584" t="s">
        <v>5</v>
      </c>
      <c r="B7584" t="s">
        <v>16</v>
      </c>
      <c r="C7584" t="s">
        <v>89</v>
      </c>
      <c r="D7584" s="9" t="s">
        <v>85</v>
      </c>
      <c r="E7584" t="s">
        <v>36</v>
      </c>
      <c r="F7584" t="s">
        <v>69</v>
      </c>
      <c r="G7584">
        <v>189.4</v>
      </c>
      <c r="H7584" s="9">
        <v>16.13</v>
      </c>
      <c r="I7584"/>
    </row>
    <row r="7585" spans="1:9" x14ac:dyDescent="0.3">
      <c r="A7585" t="s">
        <v>5</v>
      </c>
      <c r="B7585" t="s">
        <v>16</v>
      </c>
      <c r="C7585" t="s">
        <v>90</v>
      </c>
      <c r="D7585" s="9" t="s">
        <v>85</v>
      </c>
      <c r="E7585" t="s">
        <v>37</v>
      </c>
      <c r="F7585" t="s">
        <v>71</v>
      </c>
      <c r="G7585">
        <v>166.2</v>
      </c>
      <c r="H7585" s="9">
        <v>1.65</v>
      </c>
      <c r="I7585"/>
    </row>
    <row r="7586" spans="1:9" x14ac:dyDescent="0.3">
      <c r="A7586" t="s">
        <v>5</v>
      </c>
      <c r="B7586" t="s">
        <v>16</v>
      </c>
      <c r="C7586" t="s">
        <v>91</v>
      </c>
      <c r="D7586" s="9" t="s">
        <v>85</v>
      </c>
      <c r="E7586" t="s">
        <v>38</v>
      </c>
      <c r="F7586" t="s">
        <v>73</v>
      </c>
      <c r="G7586">
        <v>183.1</v>
      </c>
      <c r="H7586" s="9">
        <v>17.670000000000002</v>
      </c>
      <c r="I7586"/>
    </row>
    <row r="7587" spans="1:9" x14ac:dyDescent="0.3">
      <c r="A7587" t="s">
        <v>5</v>
      </c>
      <c r="B7587" t="s">
        <v>16</v>
      </c>
      <c r="C7587" t="s">
        <v>92</v>
      </c>
      <c r="D7587" s="9" t="s">
        <v>85</v>
      </c>
      <c r="E7587" t="s">
        <v>39</v>
      </c>
      <c r="F7587" t="s">
        <v>75</v>
      </c>
      <c r="G7587">
        <v>160.4</v>
      </c>
      <c r="H7587" s="9">
        <v>8.01</v>
      </c>
      <c r="I7587"/>
    </row>
    <row r="7588" spans="1:9" x14ac:dyDescent="0.3">
      <c r="A7588" t="s">
        <v>5</v>
      </c>
      <c r="B7588" t="s">
        <v>16</v>
      </c>
      <c r="C7588" t="s">
        <v>93</v>
      </c>
      <c r="D7588" s="9" t="s">
        <v>85</v>
      </c>
      <c r="E7588" t="s">
        <v>40</v>
      </c>
      <c r="F7588" t="s">
        <v>77</v>
      </c>
      <c r="G7588">
        <v>166.7</v>
      </c>
      <c r="H7588" s="9">
        <v>14.1</v>
      </c>
      <c r="I7588"/>
    </row>
    <row r="7589" spans="1:9" x14ac:dyDescent="0.3">
      <c r="A7589" t="s">
        <v>5</v>
      </c>
      <c r="B7589" t="s">
        <v>16</v>
      </c>
      <c r="C7589" t="s">
        <v>94</v>
      </c>
      <c r="D7589" s="9" t="s">
        <v>85</v>
      </c>
      <c r="E7589" t="s">
        <v>41</v>
      </c>
      <c r="F7589" t="s">
        <v>79</v>
      </c>
      <c r="G7589">
        <v>192.2</v>
      </c>
      <c r="H7589" s="9">
        <v>16.91</v>
      </c>
      <c r="I7589"/>
    </row>
    <row r="7590" spans="1:9" x14ac:dyDescent="0.3">
      <c r="A7590" t="s">
        <v>5</v>
      </c>
      <c r="B7590" t="s">
        <v>16</v>
      </c>
      <c r="C7590" t="s">
        <v>95</v>
      </c>
      <c r="D7590" s="9" t="s">
        <v>85</v>
      </c>
      <c r="E7590" t="s">
        <v>42</v>
      </c>
      <c r="F7590" t="s">
        <v>81</v>
      </c>
      <c r="G7590">
        <v>221.2</v>
      </c>
      <c r="H7590" s="9">
        <v>12.34</v>
      </c>
      <c r="I7590"/>
    </row>
    <row r="7591" spans="1:9" x14ac:dyDescent="0.3">
      <c r="A7591" t="s">
        <v>5</v>
      </c>
      <c r="B7591" t="s">
        <v>16</v>
      </c>
      <c r="C7591" t="s">
        <v>96</v>
      </c>
      <c r="D7591" s="9" t="s">
        <v>85</v>
      </c>
      <c r="E7591" t="s">
        <v>43</v>
      </c>
      <c r="F7591" t="s">
        <v>83</v>
      </c>
      <c r="G7591">
        <v>336.9</v>
      </c>
      <c r="H7591" s="9">
        <v>12.6</v>
      </c>
      <c r="I7591"/>
    </row>
    <row r="7592" spans="1:9" x14ac:dyDescent="0.3">
      <c r="A7592" t="s">
        <v>5</v>
      </c>
      <c r="B7592" t="s">
        <v>16</v>
      </c>
      <c r="C7592" t="s">
        <v>97</v>
      </c>
      <c r="D7592" s="9" t="s">
        <v>98</v>
      </c>
      <c r="E7592" t="s">
        <v>32</v>
      </c>
      <c r="F7592" t="s">
        <v>61</v>
      </c>
      <c r="G7592">
        <v>167.3</v>
      </c>
      <c r="H7592" s="9">
        <v>14.67</v>
      </c>
      <c r="I7592"/>
    </row>
    <row r="7593" spans="1:9" x14ac:dyDescent="0.3">
      <c r="A7593" t="s">
        <v>5</v>
      </c>
      <c r="B7593" t="s">
        <v>16</v>
      </c>
      <c r="C7593" t="s">
        <v>99</v>
      </c>
      <c r="D7593" s="9" t="s">
        <v>98</v>
      </c>
      <c r="E7593" t="s">
        <v>33</v>
      </c>
      <c r="F7593" t="s">
        <v>63</v>
      </c>
      <c r="G7593">
        <v>124.1</v>
      </c>
      <c r="H7593" s="9">
        <v>-3.5</v>
      </c>
      <c r="I7593"/>
    </row>
    <row r="7594" spans="1:9" x14ac:dyDescent="0.3">
      <c r="A7594" t="s">
        <v>5</v>
      </c>
      <c r="B7594" t="s">
        <v>16</v>
      </c>
      <c r="C7594" t="s">
        <v>100</v>
      </c>
      <c r="D7594" s="9" t="s">
        <v>98</v>
      </c>
      <c r="E7594" t="s">
        <v>34</v>
      </c>
      <c r="F7594" t="s">
        <v>65</v>
      </c>
      <c r="G7594">
        <v>178.2</v>
      </c>
      <c r="H7594" s="9">
        <v>36.24</v>
      </c>
      <c r="I7594"/>
    </row>
    <row r="7595" spans="1:9" x14ac:dyDescent="0.3">
      <c r="A7595" t="s">
        <v>5</v>
      </c>
      <c r="B7595" t="s">
        <v>16</v>
      </c>
      <c r="C7595" t="s">
        <v>101</v>
      </c>
      <c r="D7595" s="9" t="s">
        <v>98</v>
      </c>
      <c r="E7595" t="s">
        <v>35</v>
      </c>
      <c r="F7595" t="s">
        <v>67</v>
      </c>
      <c r="G7595">
        <v>165.5</v>
      </c>
      <c r="H7595" s="9">
        <v>28.89</v>
      </c>
      <c r="I7595"/>
    </row>
    <row r="7596" spans="1:9" x14ac:dyDescent="0.3">
      <c r="A7596" t="s">
        <v>5</v>
      </c>
      <c r="B7596" t="s">
        <v>16</v>
      </c>
      <c r="C7596" t="s">
        <v>102</v>
      </c>
      <c r="D7596" s="9" t="s">
        <v>98</v>
      </c>
      <c r="E7596" t="s">
        <v>36</v>
      </c>
      <c r="F7596" t="s">
        <v>69</v>
      </c>
      <c r="G7596">
        <v>182.6</v>
      </c>
      <c r="H7596" s="9">
        <v>-3.59</v>
      </c>
      <c r="I7596"/>
    </row>
    <row r="7597" spans="1:9" x14ac:dyDescent="0.3">
      <c r="A7597" t="s">
        <v>5</v>
      </c>
      <c r="B7597" t="s">
        <v>16</v>
      </c>
      <c r="C7597" t="s">
        <v>103</v>
      </c>
      <c r="D7597" s="9" t="s">
        <v>98</v>
      </c>
      <c r="E7597" t="s">
        <v>37</v>
      </c>
      <c r="F7597" t="s">
        <v>71</v>
      </c>
      <c r="G7597">
        <v>180.6</v>
      </c>
      <c r="H7597" s="9">
        <v>8.66</v>
      </c>
      <c r="I7597"/>
    </row>
    <row r="7598" spans="1:9" x14ac:dyDescent="0.3">
      <c r="A7598" t="s">
        <v>5</v>
      </c>
      <c r="B7598" t="s">
        <v>16</v>
      </c>
      <c r="C7598" t="s">
        <v>104</v>
      </c>
      <c r="D7598" s="9" t="s">
        <v>98</v>
      </c>
      <c r="E7598" t="s">
        <v>38</v>
      </c>
      <c r="F7598" t="s">
        <v>73</v>
      </c>
      <c r="G7598">
        <v>179.9</v>
      </c>
      <c r="H7598" s="9">
        <v>-1.75</v>
      </c>
      <c r="I7598"/>
    </row>
    <row r="7599" spans="1:9" x14ac:dyDescent="0.3">
      <c r="A7599" t="s">
        <v>5</v>
      </c>
      <c r="B7599" t="s">
        <v>16</v>
      </c>
      <c r="C7599" t="s">
        <v>105</v>
      </c>
      <c r="D7599" s="9" t="s">
        <v>98</v>
      </c>
      <c r="E7599" t="s">
        <v>39</v>
      </c>
      <c r="F7599" t="s">
        <v>75</v>
      </c>
      <c r="G7599">
        <v>168.5</v>
      </c>
      <c r="H7599" s="9">
        <v>5.05</v>
      </c>
      <c r="I7599"/>
    </row>
    <row r="7600" spans="1:9" x14ac:dyDescent="0.3">
      <c r="A7600" t="s">
        <v>5</v>
      </c>
      <c r="B7600" t="s">
        <v>16</v>
      </c>
      <c r="C7600" t="s">
        <v>106</v>
      </c>
      <c r="D7600" s="9" t="s">
        <v>98</v>
      </c>
      <c r="E7600" t="s">
        <v>40</v>
      </c>
      <c r="F7600" t="s">
        <v>77</v>
      </c>
      <c r="G7600">
        <v>181</v>
      </c>
      <c r="H7600" s="9">
        <v>8.58</v>
      </c>
      <c r="I7600"/>
    </row>
    <row r="7601" spans="1:9" x14ac:dyDescent="0.3">
      <c r="A7601" t="s">
        <v>5</v>
      </c>
      <c r="B7601" t="s">
        <v>16</v>
      </c>
      <c r="C7601" t="s">
        <v>107</v>
      </c>
      <c r="D7601" s="9" t="s">
        <v>98</v>
      </c>
      <c r="E7601" t="s">
        <v>41</v>
      </c>
      <c r="F7601" t="s">
        <v>79</v>
      </c>
      <c r="G7601">
        <v>200.8</v>
      </c>
      <c r="H7601" s="9">
        <v>4.47</v>
      </c>
      <c r="I7601"/>
    </row>
    <row r="7602" spans="1:9" x14ac:dyDescent="0.3">
      <c r="A7602" t="s">
        <v>5</v>
      </c>
      <c r="B7602" t="s">
        <v>16</v>
      </c>
      <c r="C7602" t="s">
        <v>108</v>
      </c>
      <c r="D7602" s="9" t="s">
        <v>98</v>
      </c>
      <c r="E7602" t="s">
        <v>42</v>
      </c>
      <c r="F7602" t="s">
        <v>81</v>
      </c>
      <c r="G7602">
        <v>228.6</v>
      </c>
      <c r="H7602" s="9">
        <v>3.35</v>
      </c>
      <c r="I7602"/>
    </row>
    <row r="7603" spans="1:9" x14ac:dyDescent="0.3">
      <c r="A7603" t="s">
        <v>5</v>
      </c>
      <c r="B7603" t="s">
        <v>16</v>
      </c>
      <c r="C7603" t="s">
        <v>109</v>
      </c>
      <c r="D7603" s="9" t="s">
        <v>98</v>
      </c>
      <c r="E7603" t="s">
        <v>43</v>
      </c>
      <c r="F7603" t="s">
        <v>83</v>
      </c>
      <c r="G7603">
        <v>323.2</v>
      </c>
      <c r="H7603" s="9">
        <v>-4.07</v>
      </c>
      <c r="I7603"/>
    </row>
    <row r="7604" spans="1:9" x14ac:dyDescent="0.3">
      <c r="A7604" t="s">
        <v>5</v>
      </c>
      <c r="B7604" t="s">
        <v>16</v>
      </c>
      <c r="C7604" t="s">
        <v>110</v>
      </c>
      <c r="D7604" s="9" t="s">
        <v>111</v>
      </c>
      <c r="E7604" t="s">
        <v>32</v>
      </c>
      <c r="F7604" t="s">
        <v>61</v>
      </c>
      <c r="G7604">
        <v>172</v>
      </c>
      <c r="H7604" s="9">
        <v>2.81</v>
      </c>
      <c r="I7604"/>
    </row>
    <row r="7605" spans="1:9" x14ac:dyDescent="0.3">
      <c r="A7605" t="s">
        <v>5</v>
      </c>
      <c r="B7605" t="s">
        <v>16</v>
      </c>
      <c r="C7605" t="s">
        <v>112</v>
      </c>
      <c r="D7605" s="9" t="s">
        <v>111</v>
      </c>
      <c r="E7605" t="s">
        <v>33</v>
      </c>
      <c r="F7605" t="s">
        <v>63</v>
      </c>
      <c r="G7605">
        <v>132.80000000000001</v>
      </c>
      <c r="H7605" s="9">
        <v>7.01</v>
      </c>
      <c r="I7605"/>
    </row>
    <row r="7606" spans="1:9" x14ac:dyDescent="0.3">
      <c r="A7606" t="s">
        <v>5</v>
      </c>
      <c r="B7606" t="s">
        <v>16</v>
      </c>
      <c r="C7606" t="s">
        <v>113</v>
      </c>
      <c r="D7606" s="9" t="s">
        <v>111</v>
      </c>
      <c r="E7606" t="s">
        <v>34</v>
      </c>
      <c r="F7606" t="s">
        <v>65</v>
      </c>
      <c r="G7606">
        <v>165.4</v>
      </c>
      <c r="H7606" s="9">
        <v>-7.18</v>
      </c>
      <c r="I7606"/>
    </row>
    <row r="7607" spans="1:9" x14ac:dyDescent="0.3">
      <c r="A7607" t="s">
        <v>5</v>
      </c>
      <c r="B7607" t="s">
        <v>16</v>
      </c>
      <c r="C7607" t="s">
        <v>114</v>
      </c>
      <c r="D7607" s="9" t="s">
        <v>111</v>
      </c>
      <c r="E7607" t="s">
        <v>35</v>
      </c>
      <c r="F7607" t="s">
        <v>67</v>
      </c>
      <c r="G7607">
        <v>189.6</v>
      </c>
      <c r="H7607" s="9">
        <v>14.56</v>
      </c>
      <c r="I7607"/>
    </row>
    <row r="7608" spans="1:9" x14ac:dyDescent="0.3">
      <c r="A7608" t="s">
        <v>5</v>
      </c>
      <c r="B7608" t="s">
        <v>16</v>
      </c>
      <c r="C7608" t="s">
        <v>115</v>
      </c>
      <c r="D7608" s="9" t="s">
        <v>111</v>
      </c>
      <c r="E7608" t="s">
        <v>36</v>
      </c>
      <c r="F7608" t="s">
        <v>69</v>
      </c>
      <c r="G7608">
        <v>194.6</v>
      </c>
      <c r="H7608" s="9">
        <v>6.57</v>
      </c>
      <c r="I7608"/>
    </row>
    <row r="7609" spans="1:9" x14ac:dyDescent="0.3">
      <c r="A7609" t="s">
        <v>5</v>
      </c>
      <c r="B7609" t="s">
        <v>16</v>
      </c>
      <c r="C7609" t="s">
        <v>116</v>
      </c>
      <c r="D7609" s="9" t="s">
        <v>111</v>
      </c>
      <c r="E7609" t="s">
        <v>37</v>
      </c>
      <c r="F7609" t="s">
        <v>71</v>
      </c>
      <c r="G7609">
        <v>200.7</v>
      </c>
      <c r="H7609" s="9">
        <v>11.13</v>
      </c>
      <c r="I7609"/>
    </row>
    <row r="7610" spans="1:9" x14ac:dyDescent="0.3">
      <c r="A7610" t="s">
        <v>5</v>
      </c>
      <c r="B7610" t="s">
        <v>16</v>
      </c>
      <c r="C7610" t="s">
        <v>117</v>
      </c>
      <c r="D7610" s="9" t="s">
        <v>111</v>
      </c>
      <c r="E7610" t="s">
        <v>38</v>
      </c>
      <c r="F7610" t="s">
        <v>73</v>
      </c>
      <c r="G7610">
        <v>201.5</v>
      </c>
      <c r="H7610" s="9">
        <v>12.01</v>
      </c>
      <c r="I7610"/>
    </row>
    <row r="7611" spans="1:9" x14ac:dyDescent="0.3">
      <c r="A7611" t="s">
        <v>5</v>
      </c>
      <c r="B7611" t="s">
        <v>16</v>
      </c>
      <c r="C7611" t="s">
        <v>118</v>
      </c>
      <c r="D7611" s="9" t="s">
        <v>111</v>
      </c>
      <c r="E7611" t="s">
        <v>39</v>
      </c>
      <c r="F7611" t="s">
        <v>75</v>
      </c>
      <c r="G7611">
        <v>187.1</v>
      </c>
      <c r="H7611" s="9">
        <v>11.04</v>
      </c>
      <c r="I7611"/>
    </row>
    <row r="7612" spans="1:9" x14ac:dyDescent="0.3">
      <c r="A7612" t="s">
        <v>5</v>
      </c>
      <c r="B7612" t="s">
        <v>16</v>
      </c>
      <c r="C7612" t="s">
        <v>119</v>
      </c>
      <c r="D7612" s="9" t="s">
        <v>111</v>
      </c>
      <c r="E7612" t="s">
        <v>40</v>
      </c>
      <c r="F7612" t="s">
        <v>77</v>
      </c>
      <c r="G7612">
        <v>193.6</v>
      </c>
      <c r="H7612" s="9">
        <v>6.96</v>
      </c>
      <c r="I7612"/>
    </row>
    <row r="7613" spans="1:9" x14ac:dyDescent="0.3">
      <c r="A7613" t="s">
        <v>5</v>
      </c>
      <c r="B7613" t="s">
        <v>16</v>
      </c>
      <c r="C7613" t="s">
        <v>120</v>
      </c>
      <c r="D7613" s="9" t="s">
        <v>111</v>
      </c>
      <c r="E7613" t="s">
        <v>41</v>
      </c>
      <c r="F7613" t="s">
        <v>79</v>
      </c>
      <c r="G7613">
        <v>211.1</v>
      </c>
      <c r="H7613" s="9">
        <v>5.13</v>
      </c>
      <c r="I7613"/>
    </row>
    <row r="7614" spans="1:9" x14ac:dyDescent="0.3">
      <c r="A7614" t="s">
        <v>5</v>
      </c>
      <c r="B7614" t="s">
        <v>16</v>
      </c>
      <c r="C7614" t="s">
        <v>121</v>
      </c>
      <c r="D7614" s="9" t="s">
        <v>111</v>
      </c>
      <c r="E7614" t="s">
        <v>42</v>
      </c>
      <c r="F7614" t="s">
        <v>81</v>
      </c>
      <c r="G7614">
        <v>263.10000000000002</v>
      </c>
      <c r="H7614" s="9">
        <v>15.09</v>
      </c>
      <c r="I7614"/>
    </row>
    <row r="7615" spans="1:9" x14ac:dyDescent="0.3">
      <c r="A7615" t="s">
        <v>5</v>
      </c>
      <c r="B7615" t="s">
        <v>16</v>
      </c>
      <c r="C7615" t="s">
        <v>122</v>
      </c>
      <c r="D7615" s="9" t="s">
        <v>111</v>
      </c>
      <c r="E7615" t="s">
        <v>43</v>
      </c>
      <c r="F7615" t="s">
        <v>83</v>
      </c>
      <c r="G7615">
        <v>358.2</v>
      </c>
      <c r="H7615" s="9">
        <v>10.83</v>
      </c>
      <c r="I7615"/>
    </row>
    <row r="7616" spans="1:9" x14ac:dyDescent="0.3">
      <c r="A7616" t="s">
        <v>5</v>
      </c>
      <c r="B7616" t="s">
        <v>16</v>
      </c>
      <c r="C7616" t="s">
        <v>123</v>
      </c>
      <c r="D7616" s="9" t="s">
        <v>124</v>
      </c>
      <c r="E7616" t="s">
        <v>32</v>
      </c>
      <c r="F7616" t="s">
        <v>61</v>
      </c>
      <c r="G7616">
        <v>192.9</v>
      </c>
      <c r="H7616" s="9">
        <v>12.15</v>
      </c>
      <c r="I7616"/>
    </row>
    <row r="7617" spans="1:9" x14ac:dyDescent="0.3">
      <c r="A7617" t="s">
        <v>5</v>
      </c>
      <c r="B7617" t="s">
        <v>16</v>
      </c>
      <c r="C7617" t="s">
        <v>125</v>
      </c>
      <c r="D7617" s="9" t="s">
        <v>124</v>
      </c>
      <c r="E7617" t="s">
        <v>33</v>
      </c>
      <c r="F7617" t="s">
        <v>63</v>
      </c>
      <c r="G7617">
        <v>159.4</v>
      </c>
      <c r="H7617" s="9">
        <v>20.03</v>
      </c>
      <c r="I7617"/>
    </row>
    <row r="7618" spans="1:9" x14ac:dyDescent="0.3">
      <c r="A7618" t="s">
        <v>5</v>
      </c>
      <c r="B7618" t="s">
        <v>16</v>
      </c>
      <c r="C7618" t="s">
        <v>126</v>
      </c>
      <c r="D7618" s="9" t="s">
        <v>124</v>
      </c>
      <c r="E7618" t="s">
        <v>34</v>
      </c>
      <c r="F7618" t="s">
        <v>65</v>
      </c>
      <c r="G7618">
        <v>194.7</v>
      </c>
      <c r="H7618" s="9">
        <v>17.71</v>
      </c>
      <c r="I7618"/>
    </row>
    <row r="7619" spans="1:9" x14ac:dyDescent="0.3">
      <c r="A7619" t="s">
        <v>5</v>
      </c>
      <c r="B7619" t="s">
        <v>16</v>
      </c>
      <c r="C7619" t="s">
        <v>127</v>
      </c>
      <c r="D7619" s="9" t="s">
        <v>124</v>
      </c>
      <c r="E7619" t="s">
        <v>35</v>
      </c>
      <c r="F7619" t="s">
        <v>67</v>
      </c>
      <c r="G7619">
        <v>212.7</v>
      </c>
      <c r="H7619" s="9">
        <v>12.18</v>
      </c>
      <c r="I7619"/>
    </row>
    <row r="7620" spans="1:9" x14ac:dyDescent="0.3">
      <c r="A7620" t="s">
        <v>5</v>
      </c>
      <c r="B7620" t="s">
        <v>16</v>
      </c>
      <c r="C7620" t="s">
        <v>128</v>
      </c>
      <c r="D7620" s="9" t="s">
        <v>124</v>
      </c>
      <c r="E7620" t="s">
        <v>36</v>
      </c>
      <c r="F7620" t="s">
        <v>69</v>
      </c>
      <c r="G7620">
        <v>204.5</v>
      </c>
      <c r="H7620" s="9">
        <v>5.09</v>
      </c>
      <c r="I7620"/>
    </row>
    <row r="7621" spans="1:9" x14ac:dyDescent="0.3">
      <c r="A7621" t="s">
        <v>5</v>
      </c>
      <c r="B7621" t="s">
        <v>16</v>
      </c>
      <c r="C7621" t="s">
        <v>129</v>
      </c>
      <c r="D7621" s="9" t="s">
        <v>124</v>
      </c>
      <c r="E7621" t="s">
        <v>37</v>
      </c>
      <c r="F7621" t="s">
        <v>71</v>
      </c>
      <c r="G7621">
        <v>212.5</v>
      </c>
      <c r="H7621" s="9">
        <v>5.88</v>
      </c>
      <c r="I7621"/>
    </row>
    <row r="7622" spans="1:9" x14ac:dyDescent="0.3">
      <c r="A7622" t="s">
        <v>5</v>
      </c>
      <c r="B7622" t="s">
        <v>16</v>
      </c>
      <c r="C7622" t="s">
        <v>130</v>
      </c>
      <c r="D7622" s="9" t="s">
        <v>124</v>
      </c>
      <c r="E7622" t="s">
        <v>38</v>
      </c>
      <c r="F7622" t="s">
        <v>73</v>
      </c>
      <c r="G7622">
        <v>206.2</v>
      </c>
      <c r="H7622" s="9">
        <v>2.33</v>
      </c>
      <c r="I7622"/>
    </row>
    <row r="7623" spans="1:9" x14ac:dyDescent="0.3">
      <c r="A7623" t="s">
        <v>5</v>
      </c>
      <c r="B7623" t="s">
        <v>16</v>
      </c>
      <c r="C7623" t="s">
        <v>131</v>
      </c>
      <c r="D7623" s="9" t="s">
        <v>124</v>
      </c>
      <c r="E7623" t="s">
        <v>39</v>
      </c>
      <c r="F7623" t="s">
        <v>75</v>
      </c>
      <c r="G7623">
        <v>190.7</v>
      </c>
      <c r="H7623" s="9">
        <v>1.92</v>
      </c>
      <c r="I7623"/>
    </row>
    <row r="7624" spans="1:9" x14ac:dyDescent="0.3">
      <c r="A7624" t="s">
        <v>5</v>
      </c>
      <c r="B7624" t="s">
        <v>16</v>
      </c>
      <c r="C7624" t="s">
        <v>132</v>
      </c>
      <c r="D7624" s="9" t="s">
        <v>124</v>
      </c>
      <c r="E7624" t="s">
        <v>40</v>
      </c>
      <c r="F7624" t="s">
        <v>77</v>
      </c>
      <c r="G7624">
        <v>203.7</v>
      </c>
      <c r="H7624" s="9">
        <v>5.22</v>
      </c>
      <c r="I7624"/>
    </row>
    <row r="7625" spans="1:9" x14ac:dyDescent="0.3">
      <c r="A7625" t="s">
        <v>5</v>
      </c>
      <c r="B7625" t="s">
        <v>16</v>
      </c>
      <c r="C7625" t="s">
        <v>133</v>
      </c>
      <c r="D7625" s="9" t="s">
        <v>124</v>
      </c>
      <c r="E7625" t="s">
        <v>41</v>
      </c>
      <c r="F7625" t="s">
        <v>79</v>
      </c>
      <c r="G7625">
        <v>221.4</v>
      </c>
      <c r="H7625" s="9">
        <v>4.88</v>
      </c>
      <c r="I7625"/>
    </row>
    <row r="7626" spans="1:9" x14ac:dyDescent="0.3">
      <c r="A7626" t="s">
        <v>5</v>
      </c>
      <c r="B7626" t="s">
        <v>16</v>
      </c>
      <c r="C7626" t="s">
        <v>134</v>
      </c>
      <c r="D7626" s="9" t="s">
        <v>124</v>
      </c>
      <c r="E7626" t="s">
        <v>42</v>
      </c>
      <c r="F7626" t="s">
        <v>81</v>
      </c>
      <c r="G7626">
        <v>276.7</v>
      </c>
      <c r="H7626" s="9">
        <v>5.17</v>
      </c>
      <c r="I7626"/>
    </row>
    <row r="7627" spans="1:9" x14ac:dyDescent="0.3">
      <c r="A7627" t="s">
        <v>5</v>
      </c>
      <c r="B7627" t="s">
        <v>16</v>
      </c>
      <c r="C7627" t="s">
        <v>135</v>
      </c>
      <c r="D7627" s="9" t="s">
        <v>124</v>
      </c>
      <c r="E7627" t="s">
        <v>43</v>
      </c>
      <c r="F7627" t="s">
        <v>83</v>
      </c>
      <c r="G7627">
        <v>370.3</v>
      </c>
      <c r="H7627" s="9">
        <v>3.38</v>
      </c>
      <c r="I7627"/>
    </row>
    <row r="7628" spans="1:9" x14ac:dyDescent="0.3">
      <c r="A7628" t="s">
        <v>5</v>
      </c>
      <c r="B7628" t="s">
        <v>16</v>
      </c>
      <c r="C7628" t="s">
        <v>136</v>
      </c>
      <c r="D7628" s="9" t="s">
        <v>137</v>
      </c>
      <c r="E7628" t="s">
        <v>32</v>
      </c>
      <c r="F7628" t="s">
        <v>61</v>
      </c>
      <c r="G7628">
        <v>191.5</v>
      </c>
      <c r="H7628" s="9">
        <v>-0.73</v>
      </c>
      <c r="I7628"/>
    </row>
    <row r="7629" spans="1:9" x14ac:dyDescent="0.3">
      <c r="A7629" t="s">
        <v>5</v>
      </c>
      <c r="B7629" t="s">
        <v>16</v>
      </c>
      <c r="C7629" t="s">
        <v>138</v>
      </c>
      <c r="D7629" s="9" t="s">
        <v>137</v>
      </c>
      <c r="E7629" t="s">
        <v>33</v>
      </c>
      <c r="F7629" t="s">
        <v>63</v>
      </c>
      <c r="G7629">
        <v>168.3</v>
      </c>
      <c r="H7629" s="9">
        <v>5.58</v>
      </c>
      <c r="I7629"/>
    </row>
    <row r="7630" spans="1:9" x14ac:dyDescent="0.3">
      <c r="A7630" t="s">
        <v>5</v>
      </c>
      <c r="B7630" t="s">
        <v>16</v>
      </c>
      <c r="C7630" t="s">
        <v>139</v>
      </c>
      <c r="D7630" s="9" t="s">
        <v>137</v>
      </c>
      <c r="E7630" t="s">
        <v>34</v>
      </c>
      <c r="F7630" t="s">
        <v>65</v>
      </c>
      <c r="G7630">
        <v>201</v>
      </c>
      <c r="H7630" s="9">
        <v>3.24</v>
      </c>
      <c r="I7630"/>
    </row>
    <row r="7631" spans="1:9" x14ac:dyDescent="0.3">
      <c r="A7631" t="s">
        <v>5</v>
      </c>
      <c r="B7631" t="s">
        <v>16</v>
      </c>
      <c r="C7631" t="s">
        <v>140</v>
      </c>
      <c r="D7631" s="9" t="s">
        <v>137</v>
      </c>
      <c r="E7631" t="s">
        <v>35</v>
      </c>
      <c r="F7631" t="s">
        <v>67</v>
      </c>
      <c r="G7631">
        <v>189</v>
      </c>
      <c r="H7631" s="9">
        <v>-11.14</v>
      </c>
      <c r="I7631"/>
    </row>
    <row r="7632" spans="1:9" x14ac:dyDescent="0.3">
      <c r="A7632" t="s">
        <v>5</v>
      </c>
      <c r="B7632" t="s">
        <v>16</v>
      </c>
      <c r="C7632" t="s">
        <v>141</v>
      </c>
      <c r="D7632" s="9" t="s">
        <v>137</v>
      </c>
      <c r="E7632" t="s">
        <v>36</v>
      </c>
      <c r="F7632" t="s">
        <v>69</v>
      </c>
      <c r="G7632">
        <v>205.8</v>
      </c>
      <c r="H7632" s="9">
        <v>0.64</v>
      </c>
      <c r="I7632"/>
    </row>
    <row r="7633" spans="1:9" x14ac:dyDescent="0.3">
      <c r="A7633" t="s">
        <v>5</v>
      </c>
      <c r="B7633" t="s">
        <v>16</v>
      </c>
      <c r="C7633" t="s">
        <v>142</v>
      </c>
      <c r="D7633" s="9" t="s">
        <v>137</v>
      </c>
      <c r="E7633" t="s">
        <v>37</v>
      </c>
      <c r="F7633" t="s">
        <v>71</v>
      </c>
      <c r="G7633">
        <v>218.3</v>
      </c>
      <c r="H7633" s="9">
        <v>2.73</v>
      </c>
      <c r="I7633"/>
    </row>
    <row r="7634" spans="1:9" x14ac:dyDescent="0.3">
      <c r="A7634" t="s">
        <v>5</v>
      </c>
      <c r="B7634" t="s">
        <v>16</v>
      </c>
      <c r="C7634" t="s">
        <v>143</v>
      </c>
      <c r="D7634" s="9" t="s">
        <v>137</v>
      </c>
      <c r="E7634" t="s">
        <v>38</v>
      </c>
      <c r="F7634" t="s">
        <v>73</v>
      </c>
      <c r="G7634">
        <v>207.2</v>
      </c>
      <c r="H7634" s="9">
        <v>0.48</v>
      </c>
      <c r="I7634"/>
    </row>
    <row r="7635" spans="1:9" x14ac:dyDescent="0.3">
      <c r="A7635" t="s">
        <v>5</v>
      </c>
      <c r="B7635" t="s">
        <v>16</v>
      </c>
      <c r="C7635" t="s">
        <v>144</v>
      </c>
      <c r="D7635" s="9" t="s">
        <v>137</v>
      </c>
      <c r="E7635" t="s">
        <v>39</v>
      </c>
      <c r="F7635" t="s">
        <v>75</v>
      </c>
      <c r="G7635">
        <v>201.1</v>
      </c>
      <c r="H7635" s="9">
        <v>5.45</v>
      </c>
      <c r="I7635"/>
    </row>
    <row r="7636" spans="1:9" x14ac:dyDescent="0.3">
      <c r="A7636" t="s">
        <v>5</v>
      </c>
      <c r="B7636" t="s">
        <v>16</v>
      </c>
      <c r="C7636" t="s">
        <v>145</v>
      </c>
      <c r="D7636" s="9" t="s">
        <v>137</v>
      </c>
      <c r="E7636" t="s">
        <v>40</v>
      </c>
      <c r="F7636" t="s">
        <v>77</v>
      </c>
      <c r="G7636">
        <v>203.8</v>
      </c>
      <c r="H7636" s="9">
        <v>0.05</v>
      </c>
      <c r="I7636"/>
    </row>
    <row r="7637" spans="1:9" x14ac:dyDescent="0.3">
      <c r="A7637" t="s">
        <v>5</v>
      </c>
      <c r="B7637" t="s">
        <v>16</v>
      </c>
      <c r="C7637" t="s">
        <v>146</v>
      </c>
      <c r="D7637" s="9" t="s">
        <v>137</v>
      </c>
      <c r="E7637" t="s">
        <v>41</v>
      </c>
      <c r="F7637" t="s">
        <v>79</v>
      </c>
      <c r="G7637">
        <v>223.4</v>
      </c>
      <c r="H7637" s="9">
        <v>0.9</v>
      </c>
      <c r="I7637"/>
    </row>
    <row r="7638" spans="1:9" x14ac:dyDescent="0.3">
      <c r="A7638" t="s">
        <v>5</v>
      </c>
      <c r="B7638" t="s">
        <v>16</v>
      </c>
      <c r="C7638" t="s">
        <v>147</v>
      </c>
      <c r="D7638" s="9" t="s">
        <v>137</v>
      </c>
      <c r="E7638" t="s">
        <v>42</v>
      </c>
      <c r="F7638" t="s">
        <v>81</v>
      </c>
      <c r="G7638">
        <v>278.39999999999998</v>
      </c>
      <c r="H7638" s="9">
        <v>0.61</v>
      </c>
      <c r="I7638"/>
    </row>
    <row r="7639" spans="1:9" x14ac:dyDescent="0.3">
      <c r="A7639" t="s">
        <v>5</v>
      </c>
      <c r="B7639" t="s">
        <v>16</v>
      </c>
      <c r="C7639" t="s">
        <v>148</v>
      </c>
      <c r="D7639" s="9" t="s">
        <v>137</v>
      </c>
      <c r="E7639" t="s">
        <v>43</v>
      </c>
      <c r="F7639" t="s">
        <v>83</v>
      </c>
      <c r="G7639">
        <v>378.4</v>
      </c>
      <c r="H7639" s="9">
        <v>2.19</v>
      </c>
      <c r="I7639"/>
    </row>
    <row r="7640" spans="1:9" x14ac:dyDescent="0.3">
      <c r="A7640" t="s">
        <v>5</v>
      </c>
      <c r="B7640" t="s">
        <v>16</v>
      </c>
      <c r="C7640" t="s">
        <v>149</v>
      </c>
      <c r="D7640" s="9" t="s">
        <v>150</v>
      </c>
      <c r="E7640" t="s">
        <v>32</v>
      </c>
      <c r="F7640" t="s">
        <v>61</v>
      </c>
      <c r="G7640">
        <v>201.2</v>
      </c>
      <c r="H7640" s="9">
        <v>5.07</v>
      </c>
      <c r="I7640"/>
    </row>
    <row r="7641" spans="1:9" x14ac:dyDescent="0.3">
      <c r="A7641" t="s">
        <v>5</v>
      </c>
      <c r="B7641" t="s">
        <v>16</v>
      </c>
      <c r="C7641" t="s">
        <v>151</v>
      </c>
      <c r="D7641" s="9" t="s">
        <v>150</v>
      </c>
      <c r="E7641" t="s">
        <v>33</v>
      </c>
      <c r="F7641" t="s">
        <v>63</v>
      </c>
      <c r="G7641">
        <v>172.3</v>
      </c>
      <c r="H7641" s="9">
        <v>2.38</v>
      </c>
      <c r="I7641"/>
    </row>
    <row r="7642" spans="1:9" x14ac:dyDescent="0.3">
      <c r="A7642" t="s">
        <v>5</v>
      </c>
      <c r="B7642" t="s">
        <v>16</v>
      </c>
      <c r="C7642" t="s">
        <v>152</v>
      </c>
      <c r="D7642" s="9" t="s">
        <v>150</v>
      </c>
      <c r="E7642" t="s">
        <v>34</v>
      </c>
      <c r="F7642" t="s">
        <v>65</v>
      </c>
      <c r="G7642">
        <v>200.3</v>
      </c>
      <c r="H7642" s="9">
        <v>-0.35</v>
      </c>
      <c r="I7642"/>
    </row>
    <row r="7643" spans="1:9" x14ac:dyDescent="0.3">
      <c r="A7643" t="s">
        <v>5</v>
      </c>
      <c r="B7643" t="s">
        <v>16</v>
      </c>
      <c r="C7643" t="s">
        <v>153</v>
      </c>
      <c r="D7643" s="9" t="s">
        <v>150</v>
      </c>
      <c r="E7643" t="s">
        <v>35</v>
      </c>
      <c r="F7643" t="s">
        <v>67</v>
      </c>
      <c r="G7643">
        <v>208.5</v>
      </c>
      <c r="H7643" s="9">
        <v>10.32</v>
      </c>
      <c r="I7643"/>
    </row>
    <row r="7644" spans="1:9" x14ac:dyDescent="0.3">
      <c r="A7644" t="s">
        <v>5</v>
      </c>
      <c r="B7644" t="s">
        <v>16</v>
      </c>
      <c r="C7644" t="s">
        <v>154</v>
      </c>
      <c r="D7644" s="9" t="s">
        <v>150</v>
      </c>
      <c r="E7644" t="s">
        <v>36</v>
      </c>
      <c r="F7644" t="s">
        <v>69</v>
      </c>
      <c r="G7644">
        <v>222.5</v>
      </c>
      <c r="H7644" s="9">
        <v>8.11</v>
      </c>
      <c r="I7644"/>
    </row>
    <row r="7645" spans="1:9" x14ac:dyDescent="0.3">
      <c r="A7645" t="s">
        <v>5</v>
      </c>
      <c r="B7645" t="s">
        <v>16</v>
      </c>
      <c r="C7645" t="s">
        <v>155</v>
      </c>
      <c r="D7645" s="9" t="s">
        <v>150</v>
      </c>
      <c r="E7645" t="s">
        <v>37</v>
      </c>
      <c r="F7645" t="s">
        <v>71</v>
      </c>
      <c r="G7645">
        <v>223.2</v>
      </c>
      <c r="H7645" s="9">
        <v>2.2400000000000002</v>
      </c>
      <c r="I7645"/>
    </row>
    <row r="7646" spans="1:9" x14ac:dyDescent="0.3">
      <c r="A7646" t="s">
        <v>5</v>
      </c>
      <c r="B7646" t="s">
        <v>13</v>
      </c>
      <c r="C7646" t="s">
        <v>59</v>
      </c>
      <c r="D7646" s="9" t="s">
        <v>60</v>
      </c>
      <c r="E7646" t="s">
        <v>32</v>
      </c>
      <c r="F7646" t="s">
        <v>61</v>
      </c>
      <c r="G7646">
        <v>159.1</v>
      </c>
      <c r="I7646"/>
    </row>
    <row r="7647" spans="1:9" x14ac:dyDescent="0.3">
      <c r="A7647" t="s">
        <v>5</v>
      </c>
      <c r="B7647" t="s">
        <v>13</v>
      </c>
      <c r="C7647" t="s">
        <v>62</v>
      </c>
      <c r="D7647" s="9" t="s">
        <v>60</v>
      </c>
      <c r="E7647" t="s">
        <v>33</v>
      </c>
      <c r="F7647" t="s">
        <v>63</v>
      </c>
      <c r="G7647">
        <v>140.19999999999999</v>
      </c>
      <c r="I7647"/>
    </row>
    <row r="7648" spans="1:9" x14ac:dyDescent="0.3">
      <c r="A7648" t="s">
        <v>5</v>
      </c>
      <c r="B7648" t="s">
        <v>13</v>
      </c>
      <c r="C7648" t="s">
        <v>64</v>
      </c>
      <c r="D7648" s="9" t="s">
        <v>60</v>
      </c>
      <c r="E7648" t="s">
        <v>34</v>
      </c>
      <c r="F7648" t="s">
        <v>65</v>
      </c>
      <c r="G7648">
        <v>151.4</v>
      </c>
      <c r="I7648"/>
    </row>
    <row r="7649" spans="1:9" x14ac:dyDescent="0.3">
      <c r="A7649" t="s">
        <v>5</v>
      </c>
      <c r="B7649" t="s">
        <v>13</v>
      </c>
      <c r="C7649" t="s">
        <v>66</v>
      </c>
      <c r="D7649" s="9" t="s">
        <v>60</v>
      </c>
      <c r="E7649" t="s">
        <v>35</v>
      </c>
      <c r="F7649" t="s">
        <v>67</v>
      </c>
      <c r="G7649">
        <v>137.9</v>
      </c>
      <c r="I7649"/>
    </row>
    <row r="7650" spans="1:9" x14ac:dyDescent="0.3">
      <c r="A7650" t="s">
        <v>5</v>
      </c>
      <c r="B7650" t="s">
        <v>13</v>
      </c>
      <c r="C7650" t="s">
        <v>68</v>
      </c>
      <c r="D7650" s="9" t="s">
        <v>60</v>
      </c>
      <c r="E7650" t="s">
        <v>36</v>
      </c>
      <c r="F7650" t="s">
        <v>69</v>
      </c>
      <c r="G7650">
        <v>156.5</v>
      </c>
      <c r="I7650"/>
    </row>
    <row r="7651" spans="1:9" x14ac:dyDescent="0.3">
      <c r="A7651" t="s">
        <v>5</v>
      </c>
      <c r="B7651" t="s">
        <v>13</v>
      </c>
      <c r="C7651" t="s">
        <v>70</v>
      </c>
      <c r="D7651" s="9" t="s">
        <v>60</v>
      </c>
      <c r="E7651" t="s">
        <v>37</v>
      </c>
      <c r="F7651" t="s">
        <v>71</v>
      </c>
      <c r="G7651">
        <v>175</v>
      </c>
      <c r="I7651"/>
    </row>
    <row r="7652" spans="1:9" x14ac:dyDescent="0.3">
      <c r="A7652" t="s">
        <v>5</v>
      </c>
      <c r="B7652" t="s">
        <v>13</v>
      </c>
      <c r="C7652" t="s">
        <v>72</v>
      </c>
      <c r="D7652" s="9" t="s">
        <v>60</v>
      </c>
      <c r="E7652" t="s">
        <v>38</v>
      </c>
      <c r="F7652" t="s">
        <v>73</v>
      </c>
      <c r="G7652">
        <v>162.6</v>
      </c>
      <c r="I7652"/>
    </row>
    <row r="7653" spans="1:9" x14ac:dyDescent="0.3">
      <c r="A7653" t="s">
        <v>5</v>
      </c>
      <c r="B7653" t="s">
        <v>13</v>
      </c>
      <c r="C7653" t="s">
        <v>74</v>
      </c>
      <c r="D7653" s="9" t="s">
        <v>60</v>
      </c>
      <c r="E7653" t="s">
        <v>39</v>
      </c>
      <c r="F7653" t="s">
        <v>75</v>
      </c>
      <c r="G7653">
        <v>161.1</v>
      </c>
      <c r="I7653"/>
    </row>
    <row r="7654" spans="1:9" x14ac:dyDescent="0.3">
      <c r="A7654" t="s">
        <v>5</v>
      </c>
      <c r="B7654" t="s">
        <v>13</v>
      </c>
      <c r="C7654" t="s">
        <v>76</v>
      </c>
      <c r="D7654" s="9" t="s">
        <v>60</v>
      </c>
      <c r="E7654" t="s">
        <v>40</v>
      </c>
      <c r="F7654" t="s">
        <v>77</v>
      </c>
      <c r="G7654">
        <v>150.19999999999999</v>
      </c>
      <c r="I7654"/>
    </row>
    <row r="7655" spans="1:9" x14ac:dyDescent="0.3">
      <c r="A7655" t="s">
        <v>5</v>
      </c>
      <c r="B7655" t="s">
        <v>13</v>
      </c>
      <c r="C7655" t="s">
        <v>78</v>
      </c>
      <c r="D7655" s="9" t="s">
        <v>60</v>
      </c>
      <c r="E7655" t="s">
        <v>41</v>
      </c>
      <c r="F7655" t="s">
        <v>79</v>
      </c>
      <c r="G7655">
        <v>169.2</v>
      </c>
      <c r="I7655"/>
    </row>
    <row r="7656" spans="1:9" x14ac:dyDescent="0.3">
      <c r="A7656" t="s">
        <v>5</v>
      </c>
      <c r="B7656" t="s">
        <v>13</v>
      </c>
      <c r="C7656" t="s">
        <v>80</v>
      </c>
      <c r="D7656" s="9" t="s">
        <v>60</v>
      </c>
      <c r="E7656" t="s">
        <v>42</v>
      </c>
      <c r="F7656" t="s">
        <v>81</v>
      </c>
      <c r="G7656">
        <v>197.6</v>
      </c>
      <c r="I7656"/>
    </row>
    <row r="7657" spans="1:9" x14ac:dyDescent="0.3">
      <c r="A7657" t="s">
        <v>5</v>
      </c>
      <c r="B7657" t="s">
        <v>13</v>
      </c>
      <c r="C7657" t="s">
        <v>82</v>
      </c>
      <c r="D7657" s="9" t="s">
        <v>60</v>
      </c>
      <c r="E7657" t="s">
        <v>43</v>
      </c>
      <c r="F7657" t="s">
        <v>83</v>
      </c>
      <c r="G7657">
        <v>267.89999999999998</v>
      </c>
      <c r="I7657"/>
    </row>
    <row r="7658" spans="1:9" x14ac:dyDescent="0.3">
      <c r="A7658" t="s">
        <v>5</v>
      </c>
      <c r="B7658" t="s">
        <v>13</v>
      </c>
      <c r="C7658" t="s">
        <v>84</v>
      </c>
      <c r="D7658" s="9" t="s">
        <v>85</v>
      </c>
      <c r="E7658" t="s">
        <v>32</v>
      </c>
      <c r="F7658" t="s">
        <v>61</v>
      </c>
      <c r="G7658">
        <v>162.6</v>
      </c>
      <c r="H7658" s="9">
        <v>2.2000000000000002</v>
      </c>
      <c r="I7658"/>
    </row>
    <row r="7659" spans="1:9" x14ac:dyDescent="0.3">
      <c r="A7659" t="s">
        <v>5</v>
      </c>
      <c r="B7659" t="s">
        <v>13</v>
      </c>
      <c r="C7659" t="s">
        <v>86</v>
      </c>
      <c r="D7659" s="9" t="s">
        <v>85</v>
      </c>
      <c r="E7659" t="s">
        <v>33</v>
      </c>
      <c r="F7659" t="s">
        <v>63</v>
      </c>
      <c r="G7659">
        <v>151.69999999999999</v>
      </c>
      <c r="H7659" s="9">
        <v>8.1999999999999993</v>
      </c>
      <c r="I7659"/>
    </row>
    <row r="7660" spans="1:9" x14ac:dyDescent="0.3">
      <c r="A7660" t="s">
        <v>5</v>
      </c>
      <c r="B7660" t="s">
        <v>13</v>
      </c>
      <c r="C7660" t="s">
        <v>87</v>
      </c>
      <c r="D7660" s="9" t="s">
        <v>85</v>
      </c>
      <c r="E7660" t="s">
        <v>34</v>
      </c>
      <c r="F7660" t="s">
        <v>65</v>
      </c>
      <c r="G7660">
        <v>183.8</v>
      </c>
      <c r="H7660" s="9">
        <v>21.4</v>
      </c>
      <c r="I7660"/>
    </row>
    <row r="7661" spans="1:9" x14ac:dyDescent="0.3">
      <c r="A7661" t="s">
        <v>5</v>
      </c>
      <c r="B7661" t="s">
        <v>13</v>
      </c>
      <c r="C7661" t="s">
        <v>88</v>
      </c>
      <c r="D7661" s="9" t="s">
        <v>85</v>
      </c>
      <c r="E7661" t="s">
        <v>35</v>
      </c>
      <c r="F7661" t="s">
        <v>67</v>
      </c>
      <c r="G7661">
        <v>156.30000000000001</v>
      </c>
      <c r="H7661" s="9">
        <v>13.34</v>
      </c>
      <c r="I7661"/>
    </row>
    <row r="7662" spans="1:9" x14ac:dyDescent="0.3">
      <c r="A7662" t="s">
        <v>5</v>
      </c>
      <c r="B7662" t="s">
        <v>13</v>
      </c>
      <c r="C7662" t="s">
        <v>89</v>
      </c>
      <c r="D7662" s="9" t="s">
        <v>85</v>
      </c>
      <c r="E7662" t="s">
        <v>36</v>
      </c>
      <c r="F7662" t="s">
        <v>69</v>
      </c>
      <c r="G7662">
        <v>218.2</v>
      </c>
      <c r="H7662" s="9">
        <v>39.42</v>
      </c>
      <c r="I7662"/>
    </row>
    <row r="7663" spans="1:9" x14ac:dyDescent="0.3">
      <c r="A7663" t="s">
        <v>5</v>
      </c>
      <c r="B7663" t="s">
        <v>13</v>
      </c>
      <c r="C7663" t="s">
        <v>90</v>
      </c>
      <c r="D7663" s="9" t="s">
        <v>85</v>
      </c>
      <c r="E7663" t="s">
        <v>37</v>
      </c>
      <c r="F7663" t="s">
        <v>71</v>
      </c>
      <c r="G7663">
        <v>237</v>
      </c>
      <c r="H7663" s="9">
        <v>35.43</v>
      </c>
      <c r="I7663"/>
    </row>
    <row r="7664" spans="1:9" x14ac:dyDescent="0.3">
      <c r="A7664" t="s">
        <v>5</v>
      </c>
      <c r="B7664" t="s">
        <v>13</v>
      </c>
      <c r="C7664" t="s">
        <v>91</v>
      </c>
      <c r="D7664" s="9" t="s">
        <v>85</v>
      </c>
      <c r="E7664" t="s">
        <v>38</v>
      </c>
      <c r="F7664" t="s">
        <v>73</v>
      </c>
      <c r="G7664">
        <v>236.2</v>
      </c>
      <c r="H7664" s="9">
        <v>45.26</v>
      </c>
      <c r="I7664"/>
    </row>
    <row r="7665" spans="1:9" x14ac:dyDescent="0.3">
      <c r="A7665" t="s">
        <v>5</v>
      </c>
      <c r="B7665" t="s">
        <v>13</v>
      </c>
      <c r="C7665" t="s">
        <v>92</v>
      </c>
      <c r="D7665" s="9" t="s">
        <v>85</v>
      </c>
      <c r="E7665" t="s">
        <v>39</v>
      </c>
      <c r="F7665" t="s">
        <v>75</v>
      </c>
      <c r="G7665">
        <v>224.7</v>
      </c>
      <c r="H7665" s="9">
        <v>39.479999999999997</v>
      </c>
      <c r="I7665"/>
    </row>
    <row r="7666" spans="1:9" x14ac:dyDescent="0.3">
      <c r="A7666" t="s">
        <v>5</v>
      </c>
      <c r="B7666" t="s">
        <v>13</v>
      </c>
      <c r="C7666" t="s">
        <v>93</v>
      </c>
      <c r="D7666" s="9" t="s">
        <v>85</v>
      </c>
      <c r="E7666" t="s">
        <v>40</v>
      </c>
      <c r="F7666" t="s">
        <v>77</v>
      </c>
      <c r="G7666">
        <v>197.6</v>
      </c>
      <c r="H7666" s="9">
        <v>31.56</v>
      </c>
      <c r="I7666"/>
    </row>
    <row r="7667" spans="1:9" x14ac:dyDescent="0.3">
      <c r="A7667" t="s">
        <v>5</v>
      </c>
      <c r="B7667" t="s">
        <v>13</v>
      </c>
      <c r="C7667" t="s">
        <v>94</v>
      </c>
      <c r="D7667" s="9" t="s">
        <v>85</v>
      </c>
      <c r="E7667" t="s">
        <v>41</v>
      </c>
      <c r="F7667" t="s">
        <v>79</v>
      </c>
      <c r="G7667">
        <v>206</v>
      </c>
      <c r="H7667" s="9">
        <v>21.75</v>
      </c>
      <c r="I7667"/>
    </row>
    <row r="7668" spans="1:9" x14ac:dyDescent="0.3">
      <c r="A7668" t="s">
        <v>5</v>
      </c>
      <c r="B7668" t="s">
        <v>13</v>
      </c>
      <c r="C7668" t="s">
        <v>95</v>
      </c>
      <c r="D7668" s="9" t="s">
        <v>85</v>
      </c>
      <c r="E7668" t="s">
        <v>42</v>
      </c>
      <c r="F7668" t="s">
        <v>81</v>
      </c>
      <c r="G7668">
        <v>259</v>
      </c>
      <c r="H7668" s="9">
        <v>31.07</v>
      </c>
      <c r="I7668"/>
    </row>
    <row r="7669" spans="1:9" x14ac:dyDescent="0.3">
      <c r="A7669" t="s">
        <v>5</v>
      </c>
      <c r="B7669" t="s">
        <v>13</v>
      </c>
      <c r="C7669" t="s">
        <v>96</v>
      </c>
      <c r="D7669" s="9" t="s">
        <v>85</v>
      </c>
      <c r="E7669" t="s">
        <v>43</v>
      </c>
      <c r="F7669" t="s">
        <v>83</v>
      </c>
      <c r="G7669">
        <v>309.60000000000002</v>
      </c>
      <c r="H7669" s="9">
        <v>15.57</v>
      </c>
      <c r="I7669"/>
    </row>
    <row r="7670" spans="1:9" x14ac:dyDescent="0.3">
      <c r="A7670" t="s">
        <v>5</v>
      </c>
      <c r="B7670" t="s">
        <v>13</v>
      </c>
      <c r="C7670" t="s">
        <v>97</v>
      </c>
      <c r="D7670" s="9" t="s">
        <v>98</v>
      </c>
      <c r="E7670" t="s">
        <v>32</v>
      </c>
      <c r="F7670" t="s">
        <v>61</v>
      </c>
      <c r="G7670">
        <v>209.4</v>
      </c>
      <c r="H7670" s="9">
        <v>28.78</v>
      </c>
      <c r="I7670"/>
    </row>
    <row r="7671" spans="1:9" x14ac:dyDescent="0.3">
      <c r="A7671" t="s">
        <v>5</v>
      </c>
      <c r="B7671" t="s">
        <v>13</v>
      </c>
      <c r="C7671" t="s">
        <v>99</v>
      </c>
      <c r="D7671" s="9" t="s">
        <v>98</v>
      </c>
      <c r="E7671" t="s">
        <v>33</v>
      </c>
      <c r="F7671" t="s">
        <v>63</v>
      </c>
      <c r="G7671">
        <v>172.9</v>
      </c>
      <c r="H7671" s="9">
        <v>13.97</v>
      </c>
      <c r="I7671"/>
    </row>
    <row r="7672" spans="1:9" x14ac:dyDescent="0.3">
      <c r="A7672" t="s">
        <v>5</v>
      </c>
      <c r="B7672" t="s">
        <v>13</v>
      </c>
      <c r="C7672" t="s">
        <v>100</v>
      </c>
      <c r="D7672" s="9" t="s">
        <v>98</v>
      </c>
      <c r="E7672" t="s">
        <v>34</v>
      </c>
      <c r="F7672" t="s">
        <v>65</v>
      </c>
      <c r="G7672">
        <v>199.3</v>
      </c>
      <c r="H7672" s="9">
        <v>8.43</v>
      </c>
      <c r="I7672"/>
    </row>
    <row r="7673" spans="1:9" x14ac:dyDescent="0.3">
      <c r="A7673" t="s">
        <v>5</v>
      </c>
      <c r="B7673" t="s">
        <v>13</v>
      </c>
      <c r="C7673" t="s">
        <v>101</v>
      </c>
      <c r="D7673" s="9" t="s">
        <v>98</v>
      </c>
      <c r="E7673" t="s">
        <v>35</v>
      </c>
      <c r="F7673" t="s">
        <v>67</v>
      </c>
      <c r="G7673">
        <v>172.1</v>
      </c>
      <c r="H7673" s="9">
        <v>10.11</v>
      </c>
      <c r="I7673"/>
    </row>
    <row r="7674" spans="1:9" x14ac:dyDescent="0.3">
      <c r="A7674" t="s">
        <v>5</v>
      </c>
      <c r="B7674" t="s">
        <v>13</v>
      </c>
      <c r="C7674" t="s">
        <v>102</v>
      </c>
      <c r="D7674" s="9" t="s">
        <v>98</v>
      </c>
      <c r="E7674" t="s">
        <v>36</v>
      </c>
      <c r="F7674" t="s">
        <v>69</v>
      </c>
      <c r="G7674">
        <v>203.8</v>
      </c>
      <c r="H7674" s="9">
        <v>-6.6</v>
      </c>
      <c r="I7674"/>
    </row>
    <row r="7675" spans="1:9" x14ac:dyDescent="0.3">
      <c r="A7675" t="s">
        <v>5</v>
      </c>
      <c r="B7675" t="s">
        <v>13</v>
      </c>
      <c r="C7675" t="s">
        <v>103</v>
      </c>
      <c r="D7675" s="9" t="s">
        <v>98</v>
      </c>
      <c r="E7675" t="s">
        <v>37</v>
      </c>
      <c r="F7675" t="s">
        <v>71</v>
      </c>
      <c r="G7675">
        <v>223.2</v>
      </c>
      <c r="H7675" s="9">
        <v>-5.82</v>
      </c>
      <c r="I7675"/>
    </row>
    <row r="7676" spans="1:9" x14ac:dyDescent="0.3">
      <c r="A7676" t="s">
        <v>5</v>
      </c>
      <c r="B7676" t="s">
        <v>13</v>
      </c>
      <c r="C7676" t="s">
        <v>104</v>
      </c>
      <c r="D7676" s="9" t="s">
        <v>98</v>
      </c>
      <c r="E7676" t="s">
        <v>38</v>
      </c>
      <c r="F7676" t="s">
        <v>73</v>
      </c>
      <c r="G7676">
        <v>221.5</v>
      </c>
      <c r="H7676" s="9">
        <v>-6.22</v>
      </c>
      <c r="I7676"/>
    </row>
    <row r="7677" spans="1:9" x14ac:dyDescent="0.3">
      <c r="A7677" t="s">
        <v>5</v>
      </c>
      <c r="B7677" t="s">
        <v>13</v>
      </c>
      <c r="C7677" t="s">
        <v>105</v>
      </c>
      <c r="D7677" s="9" t="s">
        <v>98</v>
      </c>
      <c r="E7677" t="s">
        <v>39</v>
      </c>
      <c r="F7677" t="s">
        <v>75</v>
      </c>
      <c r="G7677">
        <v>221</v>
      </c>
      <c r="H7677" s="9">
        <v>-1.65</v>
      </c>
      <c r="I7677"/>
    </row>
    <row r="7678" spans="1:9" x14ac:dyDescent="0.3">
      <c r="A7678" t="s">
        <v>5</v>
      </c>
      <c r="B7678" t="s">
        <v>13</v>
      </c>
      <c r="C7678" t="s">
        <v>106</v>
      </c>
      <c r="D7678" s="9" t="s">
        <v>98</v>
      </c>
      <c r="E7678" t="s">
        <v>40</v>
      </c>
      <c r="F7678" t="s">
        <v>77</v>
      </c>
      <c r="G7678">
        <v>226.1</v>
      </c>
      <c r="H7678" s="9">
        <v>14.42</v>
      </c>
      <c r="I7678"/>
    </row>
    <row r="7679" spans="1:9" x14ac:dyDescent="0.3">
      <c r="A7679" t="s">
        <v>5</v>
      </c>
      <c r="B7679" t="s">
        <v>13</v>
      </c>
      <c r="C7679" t="s">
        <v>107</v>
      </c>
      <c r="D7679" s="9" t="s">
        <v>98</v>
      </c>
      <c r="E7679" t="s">
        <v>41</v>
      </c>
      <c r="F7679" t="s">
        <v>79</v>
      </c>
      <c r="G7679">
        <v>229.2</v>
      </c>
      <c r="H7679" s="9">
        <v>11.26</v>
      </c>
      <c r="I7679"/>
    </row>
    <row r="7680" spans="1:9" x14ac:dyDescent="0.3">
      <c r="A7680" t="s">
        <v>5</v>
      </c>
      <c r="B7680" t="s">
        <v>13</v>
      </c>
      <c r="C7680" t="s">
        <v>108</v>
      </c>
      <c r="D7680" s="9" t="s">
        <v>98</v>
      </c>
      <c r="E7680" t="s">
        <v>42</v>
      </c>
      <c r="F7680" t="s">
        <v>81</v>
      </c>
      <c r="G7680">
        <v>265.2</v>
      </c>
      <c r="H7680" s="9">
        <v>2.39</v>
      </c>
      <c r="I7680"/>
    </row>
    <row r="7681" spans="1:9" x14ac:dyDescent="0.3">
      <c r="A7681" t="s">
        <v>5</v>
      </c>
      <c r="B7681" t="s">
        <v>13</v>
      </c>
      <c r="C7681" t="s">
        <v>109</v>
      </c>
      <c r="D7681" s="9" t="s">
        <v>98</v>
      </c>
      <c r="E7681" t="s">
        <v>43</v>
      </c>
      <c r="F7681" t="s">
        <v>83</v>
      </c>
      <c r="G7681">
        <v>323.10000000000002</v>
      </c>
      <c r="H7681" s="9">
        <v>4.3600000000000003</v>
      </c>
      <c r="I7681"/>
    </row>
    <row r="7682" spans="1:9" x14ac:dyDescent="0.3">
      <c r="A7682" t="s">
        <v>5</v>
      </c>
      <c r="B7682" t="s">
        <v>13</v>
      </c>
      <c r="C7682" t="s">
        <v>110</v>
      </c>
      <c r="D7682" s="9" t="s">
        <v>111</v>
      </c>
      <c r="E7682" t="s">
        <v>32</v>
      </c>
      <c r="F7682" t="s">
        <v>61</v>
      </c>
      <c r="G7682">
        <v>227.2</v>
      </c>
      <c r="H7682" s="9">
        <v>8.5</v>
      </c>
      <c r="I7682"/>
    </row>
    <row r="7683" spans="1:9" x14ac:dyDescent="0.3">
      <c r="A7683" t="s">
        <v>5</v>
      </c>
      <c r="B7683" t="s">
        <v>13</v>
      </c>
      <c r="C7683" t="s">
        <v>112</v>
      </c>
      <c r="D7683" s="9" t="s">
        <v>111</v>
      </c>
      <c r="E7683" t="s">
        <v>33</v>
      </c>
      <c r="F7683" t="s">
        <v>63</v>
      </c>
      <c r="G7683">
        <v>203.5</v>
      </c>
      <c r="H7683" s="9">
        <v>17.7</v>
      </c>
      <c r="I7683"/>
    </row>
    <row r="7684" spans="1:9" x14ac:dyDescent="0.3">
      <c r="A7684" t="s">
        <v>5</v>
      </c>
      <c r="B7684" t="s">
        <v>13</v>
      </c>
      <c r="C7684" t="s">
        <v>113</v>
      </c>
      <c r="D7684" s="9" t="s">
        <v>111</v>
      </c>
      <c r="E7684" t="s">
        <v>34</v>
      </c>
      <c r="F7684" t="s">
        <v>65</v>
      </c>
      <c r="G7684">
        <v>226.5</v>
      </c>
      <c r="H7684" s="9">
        <v>13.65</v>
      </c>
      <c r="I7684"/>
    </row>
    <row r="7685" spans="1:9" x14ac:dyDescent="0.3">
      <c r="A7685" t="s">
        <v>5</v>
      </c>
      <c r="B7685" t="s">
        <v>13</v>
      </c>
      <c r="C7685" t="s">
        <v>114</v>
      </c>
      <c r="D7685" s="9" t="s">
        <v>111</v>
      </c>
      <c r="E7685" t="s">
        <v>35</v>
      </c>
      <c r="F7685" t="s">
        <v>67</v>
      </c>
      <c r="G7685">
        <v>210.3</v>
      </c>
      <c r="H7685" s="9">
        <v>22.2</v>
      </c>
      <c r="I7685"/>
    </row>
    <row r="7686" spans="1:9" x14ac:dyDescent="0.3">
      <c r="A7686" t="s">
        <v>5</v>
      </c>
      <c r="B7686" t="s">
        <v>13</v>
      </c>
      <c r="C7686" t="s">
        <v>115</v>
      </c>
      <c r="D7686" s="9" t="s">
        <v>111</v>
      </c>
      <c r="E7686" t="s">
        <v>36</v>
      </c>
      <c r="F7686" t="s">
        <v>69</v>
      </c>
      <c r="G7686">
        <v>225.6</v>
      </c>
      <c r="H7686" s="9">
        <v>10.7</v>
      </c>
      <c r="I7686"/>
    </row>
    <row r="7687" spans="1:9" x14ac:dyDescent="0.3">
      <c r="A7687" t="s">
        <v>5</v>
      </c>
      <c r="B7687" t="s">
        <v>13</v>
      </c>
      <c r="C7687" t="s">
        <v>116</v>
      </c>
      <c r="D7687" s="9" t="s">
        <v>111</v>
      </c>
      <c r="E7687" t="s">
        <v>37</v>
      </c>
      <c r="F7687" t="s">
        <v>71</v>
      </c>
      <c r="G7687">
        <v>252.7</v>
      </c>
      <c r="H7687" s="9">
        <v>13.22</v>
      </c>
      <c r="I7687"/>
    </row>
    <row r="7688" spans="1:9" x14ac:dyDescent="0.3">
      <c r="A7688" t="s">
        <v>5</v>
      </c>
      <c r="B7688" t="s">
        <v>13</v>
      </c>
      <c r="C7688" t="s">
        <v>117</v>
      </c>
      <c r="D7688" s="9" t="s">
        <v>111</v>
      </c>
      <c r="E7688" t="s">
        <v>38</v>
      </c>
      <c r="F7688" t="s">
        <v>73</v>
      </c>
      <c r="G7688">
        <v>232.7</v>
      </c>
      <c r="H7688" s="9">
        <v>5.0599999999999996</v>
      </c>
      <c r="I7688"/>
    </row>
    <row r="7689" spans="1:9" x14ac:dyDescent="0.3">
      <c r="A7689" t="s">
        <v>5</v>
      </c>
      <c r="B7689" t="s">
        <v>13</v>
      </c>
      <c r="C7689" t="s">
        <v>118</v>
      </c>
      <c r="D7689" s="9" t="s">
        <v>111</v>
      </c>
      <c r="E7689" t="s">
        <v>39</v>
      </c>
      <c r="F7689" t="s">
        <v>75</v>
      </c>
      <c r="G7689">
        <v>223.4</v>
      </c>
      <c r="H7689" s="9">
        <v>1.0900000000000001</v>
      </c>
      <c r="I7689"/>
    </row>
    <row r="7690" spans="1:9" x14ac:dyDescent="0.3">
      <c r="A7690" t="s">
        <v>5</v>
      </c>
      <c r="B7690" t="s">
        <v>13</v>
      </c>
      <c r="C7690" t="s">
        <v>119</v>
      </c>
      <c r="D7690" s="9" t="s">
        <v>111</v>
      </c>
      <c r="E7690" t="s">
        <v>40</v>
      </c>
      <c r="F7690" t="s">
        <v>77</v>
      </c>
      <c r="G7690">
        <v>222.5</v>
      </c>
      <c r="H7690" s="9">
        <v>-1.59</v>
      </c>
      <c r="I7690"/>
    </row>
    <row r="7691" spans="1:9" x14ac:dyDescent="0.3">
      <c r="A7691" t="s">
        <v>5</v>
      </c>
      <c r="B7691" t="s">
        <v>13</v>
      </c>
      <c r="C7691" t="s">
        <v>120</v>
      </c>
      <c r="D7691" s="9" t="s">
        <v>111</v>
      </c>
      <c r="E7691" t="s">
        <v>41</v>
      </c>
      <c r="F7691" t="s">
        <v>79</v>
      </c>
      <c r="G7691">
        <v>230.1</v>
      </c>
      <c r="H7691" s="9">
        <v>0.39</v>
      </c>
      <c r="I7691"/>
    </row>
    <row r="7692" spans="1:9" x14ac:dyDescent="0.3">
      <c r="A7692" t="s">
        <v>5</v>
      </c>
      <c r="B7692" t="s">
        <v>13</v>
      </c>
      <c r="C7692" t="s">
        <v>121</v>
      </c>
      <c r="D7692" s="9" t="s">
        <v>111</v>
      </c>
      <c r="E7692" t="s">
        <v>42</v>
      </c>
      <c r="F7692" t="s">
        <v>81</v>
      </c>
      <c r="G7692">
        <v>286.10000000000002</v>
      </c>
      <c r="H7692" s="9">
        <v>7.88</v>
      </c>
      <c r="I7692"/>
    </row>
    <row r="7693" spans="1:9" x14ac:dyDescent="0.3">
      <c r="A7693" t="s">
        <v>5</v>
      </c>
      <c r="B7693" t="s">
        <v>13</v>
      </c>
      <c r="C7693" t="s">
        <v>122</v>
      </c>
      <c r="D7693" s="9" t="s">
        <v>111</v>
      </c>
      <c r="E7693" t="s">
        <v>43</v>
      </c>
      <c r="F7693" t="s">
        <v>83</v>
      </c>
      <c r="G7693">
        <v>316.89999999999998</v>
      </c>
      <c r="H7693" s="9">
        <v>-1.92</v>
      </c>
      <c r="I7693"/>
    </row>
    <row r="7694" spans="1:9" x14ac:dyDescent="0.3">
      <c r="A7694" t="s">
        <v>5</v>
      </c>
      <c r="B7694" t="s">
        <v>13</v>
      </c>
      <c r="C7694" t="s">
        <v>123</v>
      </c>
      <c r="D7694" s="9" t="s">
        <v>124</v>
      </c>
      <c r="E7694" t="s">
        <v>32</v>
      </c>
      <c r="F7694" t="s">
        <v>61</v>
      </c>
      <c r="G7694">
        <v>215.1</v>
      </c>
      <c r="H7694" s="9">
        <v>-5.33</v>
      </c>
      <c r="I7694"/>
    </row>
    <row r="7695" spans="1:9" x14ac:dyDescent="0.3">
      <c r="A7695" t="s">
        <v>5</v>
      </c>
      <c r="B7695" t="s">
        <v>13</v>
      </c>
      <c r="C7695" t="s">
        <v>125</v>
      </c>
      <c r="D7695" s="9" t="s">
        <v>124</v>
      </c>
      <c r="E7695" t="s">
        <v>33</v>
      </c>
      <c r="F7695" t="s">
        <v>63</v>
      </c>
      <c r="G7695">
        <v>200.3</v>
      </c>
      <c r="H7695" s="9">
        <v>-1.57</v>
      </c>
      <c r="I7695"/>
    </row>
    <row r="7696" spans="1:9" x14ac:dyDescent="0.3">
      <c r="A7696" t="s">
        <v>5</v>
      </c>
      <c r="B7696" t="s">
        <v>13</v>
      </c>
      <c r="C7696" t="s">
        <v>126</v>
      </c>
      <c r="D7696" s="9" t="s">
        <v>124</v>
      </c>
      <c r="E7696" t="s">
        <v>34</v>
      </c>
      <c r="F7696" t="s">
        <v>65</v>
      </c>
      <c r="G7696">
        <v>207.4</v>
      </c>
      <c r="H7696" s="9">
        <v>-8.43</v>
      </c>
      <c r="I7696"/>
    </row>
    <row r="7697" spans="1:9" x14ac:dyDescent="0.3">
      <c r="A7697" t="s">
        <v>5</v>
      </c>
      <c r="B7697" t="s">
        <v>13</v>
      </c>
      <c r="C7697" t="s">
        <v>127</v>
      </c>
      <c r="D7697" s="9" t="s">
        <v>124</v>
      </c>
      <c r="E7697" t="s">
        <v>35</v>
      </c>
      <c r="F7697" t="s">
        <v>67</v>
      </c>
      <c r="G7697">
        <v>186.5</v>
      </c>
      <c r="H7697" s="9">
        <v>-11.32</v>
      </c>
      <c r="I7697"/>
    </row>
    <row r="7698" spans="1:9" x14ac:dyDescent="0.3">
      <c r="A7698" t="s">
        <v>5</v>
      </c>
      <c r="B7698" t="s">
        <v>13</v>
      </c>
      <c r="C7698" t="s">
        <v>128</v>
      </c>
      <c r="D7698" s="9" t="s">
        <v>124</v>
      </c>
      <c r="E7698" t="s">
        <v>36</v>
      </c>
      <c r="F7698" t="s">
        <v>69</v>
      </c>
      <c r="G7698">
        <v>206.4</v>
      </c>
      <c r="H7698" s="9">
        <v>-8.51</v>
      </c>
      <c r="I7698"/>
    </row>
    <row r="7699" spans="1:9" x14ac:dyDescent="0.3">
      <c r="A7699" t="s">
        <v>5</v>
      </c>
      <c r="B7699" t="s">
        <v>13</v>
      </c>
      <c r="C7699" t="s">
        <v>129</v>
      </c>
      <c r="D7699" s="9" t="s">
        <v>124</v>
      </c>
      <c r="E7699" t="s">
        <v>37</v>
      </c>
      <c r="F7699" t="s">
        <v>71</v>
      </c>
      <c r="G7699">
        <v>244.4</v>
      </c>
      <c r="H7699" s="9">
        <v>-3.28</v>
      </c>
      <c r="I7699"/>
    </row>
    <row r="7700" spans="1:9" x14ac:dyDescent="0.3">
      <c r="A7700" t="s">
        <v>5</v>
      </c>
      <c r="B7700" t="s">
        <v>13</v>
      </c>
      <c r="C7700" t="s">
        <v>130</v>
      </c>
      <c r="D7700" s="9" t="s">
        <v>124</v>
      </c>
      <c r="E7700" t="s">
        <v>38</v>
      </c>
      <c r="F7700" t="s">
        <v>73</v>
      </c>
      <c r="G7700">
        <v>209</v>
      </c>
      <c r="H7700" s="9">
        <v>-10.18</v>
      </c>
      <c r="I7700"/>
    </row>
    <row r="7701" spans="1:9" x14ac:dyDescent="0.3">
      <c r="A7701" t="s">
        <v>5</v>
      </c>
      <c r="B7701" t="s">
        <v>13</v>
      </c>
      <c r="C7701" t="s">
        <v>131</v>
      </c>
      <c r="D7701" s="9" t="s">
        <v>124</v>
      </c>
      <c r="E7701" t="s">
        <v>39</v>
      </c>
      <c r="F7701" t="s">
        <v>75</v>
      </c>
      <c r="G7701">
        <v>210.5</v>
      </c>
      <c r="H7701" s="9">
        <v>-5.77</v>
      </c>
      <c r="I7701"/>
    </row>
    <row r="7702" spans="1:9" x14ac:dyDescent="0.3">
      <c r="A7702" t="s">
        <v>5</v>
      </c>
      <c r="B7702" t="s">
        <v>13</v>
      </c>
      <c r="C7702" t="s">
        <v>132</v>
      </c>
      <c r="D7702" s="9" t="s">
        <v>124</v>
      </c>
      <c r="E7702" t="s">
        <v>40</v>
      </c>
      <c r="F7702" t="s">
        <v>77</v>
      </c>
      <c r="G7702">
        <v>216.6</v>
      </c>
      <c r="H7702" s="9">
        <v>-2.65</v>
      </c>
      <c r="I7702"/>
    </row>
    <row r="7703" spans="1:9" x14ac:dyDescent="0.3">
      <c r="A7703" t="s">
        <v>5</v>
      </c>
      <c r="B7703" t="s">
        <v>13</v>
      </c>
      <c r="C7703" t="s">
        <v>133</v>
      </c>
      <c r="D7703" s="9" t="s">
        <v>124</v>
      </c>
      <c r="E7703" t="s">
        <v>41</v>
      </c>
      <c r="F7703" t="s">
        <v>79</v>
      </c>
      <c r="G7703">
        <v>223.4</v>
      </c>
      <c r="H7703" s="9">
        <v>-2.91</v>
      </c>
      <c r="I7703"/>
    </row>
    <row r="7704" spans="1:9" x14ac:dyDescent="0.3">
      <c r="A7704" t="s">
        <v>5</v>
      </c>
      <c r="B7704" t="s">
        <v>13</v>
      </c>
      <c r="C7704" t="s">
        <v>134</v>
      </c>
      <c r="D7704" s="9" t="s">
        <v>124</v>
      </c>
      <c r="E7704" t="s">
        <v>42</v>
      </c>
      <c r="F7704" t="s">
        <v>81</v>
      </c>
      <c r="G7704">
        <v>302.8</v>
      </c>
      <c r="H7704" s="9">
        <v>5.84</v>
      </c>
      <c r="I7704"/>
    </row>
    <row r="7705" spans="1:9" x14ac:dyDescent="0.3">
      <c r="A7705" t="s">
        <v>5</v>
      </c>
      <c r="B7705" t="s">
        <v>13</v>
      </c>
      <c r="C7705" t="s">
        <v>135</v>
      </c>
      <c r="D7705" s="9" t="s">
        <v>124</v>
      </c>
      <c r="E7705" t="s">
        <v>43</v>
      </c>
      <c r="F7705" t="s">
        <v>83</v>
      </c>
      <c r="G7705">
        <v>309.2</v>
      </c>
      <c r="H7705" s="9">
        <v>-2.4300000000000002</v>
      </c>
      <c r="I7705"/>
    </row>
    <row r="7706" spans="1:9" x14ac:dyDescent="0.3">
      <c r="A7706" t="s">
        <v>5</v>
      </c>
      <c r="B7706" t="s">
        <v>13</v>
      </c>
      <c r="C7706" t="s">
        <v>136</v>
      </c>
      <c r="D7706" s="9" t="s">
        <v>137</v>
      </c>
      <c r="E7706" t="s">
        <v>32</v>
      </c>
      <c r="F7706" t="s">
        <v>61</v>
      </c>
      <c r="G7706">
        <v>212</v>
      </c>
      <c r="H7706" s="9">
        <v>-1.44</v>
      </c>
      <c r="I7706"/>
    </row>
    <row r="7707" spans="1:9" x14ac:dyDescent="0.3">
      <c r="A7707" t="s">
        <v>5</v>
      </c>
      <c r="B7707" t="s">
        <v>13</v>
      </c>
      <c r="C7707" t="s">
        <v>138</v>
      </c>
      <c r="D7707" s="9" t="s">
        <v>137</v>
      </c>
      <c r="E7707" t="s">
        <v>33</v>
      </c>
      <c r="F7707" t="s">
        <v>63</v>
      </c>
      <c r="G7707">
        <v>200.1</v>
      </c>
      <c r="H7707" s="9">
        <v>-0.1</v>
      </c>
      <c r="I7707"/>
    </row>
    <row r="7708" spans="1:9" x14ac:dyDescent="0.3">
      <c r="A7708" t="s">
        <v>5</v>
      </c>
      <c r="B7708" t="s">
        <v>13</v>
      </c>
      <c r="C7708" t="s">
        <v>139</v>
      </c>
      <c r="D7708" s="9" t="s">
        <v>137</v>
      </c>
      <c r="E7708" t="s">
        <v>34</v>
      </c>
      <c r="F7708" t="s">
        <v>65</v>
      </c>
      <c r="G7708">
        <v>202.2</v>
      </c>
      <c r="H7708" s="9">
        <v>-2.5099999999999998</v>
      </c>
      <c r="I7708"/>
    </row>
    <row r="7709" spans="1:9" x14ac:dyDescent="0.3">
      <c r="A7709" t="s">
        <v>5</v>
      </c>
      <c r="B7709" t="s">
        <v>13</v>
      </c>
      <c r="C7709" t="s">
        <v>140</v>
      </c>
      <c r="D7709" s="9" t="s">
        <v>137</v>
      </c>
      <c r="E7709" t="s">
        <v>35</v>
      </c>
      <c r="F7709" t="s">
        <v>67</v>
      </c>
      <c r="G7709">
        <v>185.7</v>
      </c>
      <c r="H7709" s="9">
        <v>-0.43</v>
      </c>
      <c r="I7709"/>
    </row>
    <row r="7710" spans="1:9" x14ac:dyDescent="0.3">
      <c r="A7710" t="s">
        <v>5</v>
      </c>
      <c r="B7710" t="s">
        <v>13</v>
      </c>
      <c r="C7710" t="s">
        <v>141</v>
      </c>
      <c r="D7710" s="9" t="s">
        <v>137</v>
      </c>
      <c r="E7710" t="s">
        <v>36</v>
      </c>
      <c r="F7710" t="s">
        <v>69</v>
      </c>
      <c r="G7710">
        <v>208.7</v>
      </c>
      <c r="H7710" s="9">
        <v>1.1100000000000001</v>
      </c>
      <c r="I7710"/>
    </row>
    <row r="7711" spans="1:9" x14ac:dyDescent="0.3">
      <c r="A7711" t="s">
        <v>5</v>
      </c>
      <c r="B7711" t="s">
        <v>13</v>
      </c>
      <c r="C7711" t="s">
        <v>142</v>
      </c>
      <c r="D7711" s="9" t="s">
        <v>137</v>
      </c>
      <c r="E7711" t="s">
        <v>37</v>
      </c>
      <c r="F7711" t="s">
        <v>71</v>
      </c>
      <c r="G7711">
        <v>254.9</v>
      </c>
      <c r="H7711" s="9">
        <v>4.3</v>
      </c>
      <c r="I7711"/>
    </row>
    <row r="7712" spans="1:9" x14ac:dyDescent="0.3">
      <c r="A7712" t="s">
        <v>5</v>
      </c>
      <c r="B7712" t="s">
        <v>13</v>
      </c>
      <c r="C7712" t="s">
        <v>143</v>
      </c>
      <c r="D7712" s="9" t="s">
        <v>137</v>
      </c>
      <c r="E7712" t="s">
        <v>38</v>
      </c>
      <c r="F7712" t="s">
        <v>73</v>
      </c>
      <c r="G7712">
        <v>220.8</v>
      </c>
      <c r="H7712" s="9">
        <v>5.65</v>
      </c>
      <c r="I7712"/>
    </row>
    <row r="7713" spans="1:9" x14ac:dyDescent="0.3">
      <c r="A7713" t="s">
        <v>5</v>
      </c>
      <c r="B7713" t="s">
        <v>13</v>
      </c>
      <c r="C7713" t="s">
        <v>144</v>
      </c>
      <c r="D7713" s="9" t="s">
        <v>137</v>
      </c>
      <c r="E7713" t="s">
        <v>39</v>
      </c>
      <c r="F7713" t="s">
        <v>75</v>
      </c>
      <c r="G7713">
        <v>216</v>
      </c>
      <c r="H7713" s="9">
        <v>2.61</v>
      </c>
      <c r="I7713"/>
    </row>
    <row r="7714" spans="1:9" x14ac:dyDescent="0.3">
      <c r="A7714" t="s">
        <v>5</v>
      </c>
      <c r="B7714" t="s">
        <v>13</v>
      </c>
      <c r="C7714" t="s">
        <v>145</v>
      </c>
      <c r="D7714" s="9" t="s">
        <v>137</v>
      </c>
      <c r="E7714" t="s">
        <v>40</v>
      </c>
      <c r="F7714" t="s">
        <v>77</v>
      </c>
      <c r="G7714">
        <v>210.2</v>
      </c>
      <c r="H7714" s="9">
        <v>-2.95</v>
      </c>
      <c r="I7714"/>
    </row>
    <row r="7715" spans="1:9" x14ac:dyDescent="0.3">
      <c r="A7715" t="s">
        <v>5</v>
      </c>
      <c r="B7715" t="s">
        <v>13</v>
      </c>
      <c r="C7715" t="s">
        <v>146</v>
      </c>
      <c r="D7715" s="9" t="s">
        <v>137</v>
      </c>
      <c r="E7715" t="s">
        <v>41</v>
      </c>
      <c r="F7715" t="s">
        <v>79</v>
      </c>
      <c r="G7715">
        <v>234.1</v>
      </c>
      <c r="H7715" s="9">
        <v>4.79</v>
      </c>
      <c r="I7715"/>
    </row>
    <row r="7716" spans="1:9" x14ac:dyDescent="0.3">
      <c r="A7716" t="s">
        <v>5</v>
      </c>
      <c r="B7716" t="s">
        <v>13</v>
      </c>
      <c r="C7716" t="s">
        <v>147</v>
      </c>
      <c r="D7716" s="9" t="s">
        <v>137</v>
      </c>
      <c r="E7716" t="s">
        <v>42</v>
      </c>
      <c r="F7716" t="s">
        <v>81</v>
      </c>
      <c r="G7716">
        <v>307.7</v>
      </c>
      <c r="H7716" s="9">
        <v>1.62</v>
      </c>
      <c r="I7716"/>
    </row>
    <row r="7717" spans="1:9" x14ac:dyDescent="0.3">
      <c r="A7717" t="s">
        <v>5</v>
      </c>
      <c r="B7717" t="s">
        <v>13</v>
      </c>
      <c r="C7717" t="s">
        <v>148</v>
      </c>
      <c r="D7717" s="9" t="s">
        <v>137</v>
      </c>
      <c r="E7717" t="s">
        <v>43</v>
      </c>
      <c r="F7717" t="s">
        <v>83</v>
      </c>
      <c r="G7717">
        <v>351.4</v>
      </c>
      <c r="H7717" s="9">
        <v>13.65</v>
      </c>
      <c r="I7717"/>
    </row>
    <row r="7718" spans="1:9" x14ac:dyDescent="0.3">
      <c r="A7718" t="s">
        <v>5</v>
      </c>
      <c r="B7718" t="s">
        <v>13</v>
      </c>
      <c r="C7718" t="s">
        <v>149</v>
      </c>
      <c r="D7718" s="9" t="s">
        <v>150</v>
      </c>
      <c r="E7718" t="s">
        <v>32</v>
      </c>
      <c r="F7718" t="s">
        <v>61</v>
      </c>
      <c r="G7718">
        <v>221.1</v>
      </c>
      <c r="H7718" s="9">
        <v>4.29</v>
      </c>
      <c r="I7718"/>
    </row>
    <row r="7719" spans="1:9" x14ac:dyDescent="0.3">
      <c r="A7719" t="s">
        <v>5</v>
      </c>
      <c r="B7719" t="s">
        <v>13</v>
      </c>
      <c r="C7719" t="s">
        <v>151</v>
      </c>
      <c r="D7719" s="9" t="s">
        <v>150</v>
      </c>
      <c r="E7719" t="s">
        <v>33</v>
      </c>
      <c r="F7719" t="s">
        <v>63</v>
      </c>
      <c r="G7719">
        <v>208</v>
      </c>
      <c r="H7719" s="9">
        <v>3.95</v>
      </c>
      <c r="I7719"/>
    </row>
    <row r="7720" spans="1:9" x14ac:dyDescent="0.3">
      <c r="A7720" t="s">
        <v>5</v>
      </c>
      <c r="B7720" t="s">
        <v>13</v>
      </c>
      <c r="C7720" t="s">
        <v>152</v>
      </c>
      <c r="D7720" s="9" t="s">
        <v>150</v>
      </c>
      <c r="E7720" t="s">
        <v>34</v>
      </c>
      <c r="F7720" t="s">
        <v>65</v>
      </c>
      <c r="G7720">
        <v>216.5</v>
      </c>
      <c r="H7720" s="9">
        <v>7.07</v>
      </c>
      <c r="I7720"/>
    </row>
    <row r="7721" spans="1:9" x14ac:dyDescent="0.3">
      <c r="A7721" t="s">
        <v>5</v>
      </c>
      <c r="B7721" t="s">
        <v>13</v>
      </c>
      <c r="C7721" t="s">
        <v>153</v>
      </c>
      <c r="D7721" s="9" t="s">
        <v>150</v>
      </c>
      <c r="E7721" t="s">
        <v>35</v>
      </c>
      <c r="F7721" t="s">
        <v>67</v>
      </c>
      <c r="G7721">
        <v>199.2</v>
      </c>
      <c r="H7721" s="9">
        <v>7.27</v>
      </c>
      <c r="I7721"/>
    </row>
    <row r="7722" spans="1:9" x14ac:dyDescent="0.3">
      <c r="A7722" t="s">
        <v>5</v>
      </c>
      <c r="B7722" t="s">
        <v>13</v>
      </c>
      <c r="C7722" t="s">
        <v>154</v>
      </c>
      <c r="D7722" s="9" t="s">
        <v>150</v>
      </c>
      <c r="E7722" t="s">
        <v>36</v>
      </c>
      <c r="F7722" t="s">
        <v>69</v>
      </c>
      <c r="G7722">
        <v>229.3</v>
      </c>
      <c r="H7722" s="9">
        <v>9.8699999999999992</v>
      </c>
      <c r="I7722"/>
    </row>
    <row r="7723" spans="1:9" x14ac:dyDescent="0.3">
      <c r="A7723" t="s">
        <v>5</v>
      </c>
      <c r="B7723" t="s">
        <v>13</v>
      </c>
      <c r="C7723" t="s">
        <v>155</v>
      </c>
      <c r="D7723" s="9" t="s">
        <v>150</v>
      </c>
      <c r="E7723" t="s">
        <v>37</v>
      </c>
      <c r="F7723" t="s">
        <v>71</v>
      </c>
      <c r="G7723">
        <v>276.3</v>
      </c>
      <c r="H7723" s="9">
        <v>8.4</v>
      </c>
      <c r="I7723"/>
    </row>
    <row r="7724" spans="1:9" x14ac:dyDescent="0.3">
      <c r="A7724" t="s">
        <v>5</v>
      </c>
      <c r="B7724" t="s">
        <v>22</v>
      </c>
      <c r="C7724" t="s">
        <v>59</v>
      </c>
      <c r="D7724" s="9" t="s">
        <v>60</v>
      </c>
      <c r="E7724" t="s">
        <v>32</v>
      </c>
      <c r="F7724" t="s">
        <v>61</v>
      </c>
      <c r="G7724">
        <v>68.099999999999994</v>
      </c>
      <c r="I7724"/>
    </row>
    <row r="7725" spans="1:9" x14ac:dyDescent="0.3">
      <c r="A7725" t="s">
        <v>5</v>
      </c>
      <c r="B7725" t="s">
        <v>22</v>
      </c>
      <c r="C7725" t="s">
        <v>62</v>
      </c>
      <c r="D7725" s="9" t="s">
        <v>60</v>
      </c>
      <c r="E7725" t="s">
        <v>33</v>
      </c>
      <c r="F7725" t="s">
        <v>63</v>
      </c>
      <c r="G7725">
        <v>62.4</v>
      </c>
      <c r="I7725"/>
    </row>
    <row r="7726" spans="1:9" x14ac:dyDescent="0.3">
      <c r="A7726" t="s">
        <v>5</v>
      </c>
      <c r="B7726" t="s">
        <v>22</v>
      </c>
      <c r="C7726" t="s">
        <v>64</v>
      </c>
      <c r="D7726" s="9" t="s">
        <v>60</v>
      </c>
      <c r="E7726" t="s">
        <v>34</v>
      </c>
      <c r="F7726" t="s">
        <v>65</v>
      </c>
      <c r="G7726">
        <v>67.900000000000006</v>
      </c>
      <c r="I7726"/>
    </row>
    <row r="7727" spans="1:9" x14ac:dyDescent="0.3">
      <c r="A7727" t="s">
        <v>5</v>
      </c>
      <c r="B7727" t="s">
        <v>22</v>
      </c>
      <c r="C7727" t="s">
        <v>66</v>
      </c>
      <c r="D7727" s="9" t="s">
        <v>60</v>
      </c>
      <c r="E7727" t="s">
        <v>35</v>
      </c>
      <c r="F7727" t="s">
        <v>67</v>
      </c>
      <c r="G7727">
        <v>63.2</v>
      </c>
      <c r="I7727"/>
    </row>
    <row r="7728" spans="1:9" x14ac:dyDescent="0.3">
      <c r="A7728" t="s">
        <v>5</v>
      </c>
      <c r="B7728" t="s">
        <v>22</v>
      </c>
      <c r="C7728" t="s">
        <v>68</v>
      </c>
      <c r="D7728" s="9" t="s">
        <v>60</v>
      </c>
      <c r="E7728" t="s">
        <v>36</v>
      </c>
      <c r="F7728" t="s">
        <v>69</v>
      </c>
      <c r="G7728">
        <v>75.099999999999994</v>
      </c>
      <c r="I7728"/>
    </row>
    <row r="7729" spans="1:9" x14ac:dyDescent="0.3">
      <c r="A7729" t="s">
        <v>5</v>
      </c>
      <c r="B7729" t="s">
        <v>22</v>
      </c>
      <c r="C7729" t="s">
        <v>70</v>
      </c>
      <c r="D7729" s="9" t="s">
        <v>60</v>
      </c>
      <c r="E7729" t="s">
        <v>37</v>
      </c>
      <c r="F7729" t="s">
        <v>71</v>
      </c>
      <c r="G7729">
        <v>67.400000000000006</v>
      </c>
      <c r="I7729"/>
    </row>
    <row r="7730" spans="1:9" x14ac:dyDescent="0.3">
      <c r="A7730" t="s">
        <v>5</v>
      </c>
      <c r="B7730" t="s">
        <v>22</v>
      </c>
      <c r="C7730" t="s">
        <v>72</v>
      </c>
      <c r="D7730" s="9" t="s">
        <v>60</v>
      </c>
      <c r="E7730" t="s">
        <v>38</v>
      </c>
      <c r="F7730" t="s">
        <v>73</v>
      </c>
      <c r="G7730">
        <v>71.099999999999994</v>
      </c>
      <c r="I7730"/>
    </row>
    <row r="7731" spans="1:9" x14ac:dyDescent="0.3">
      <c r="A7731" t="s">
        <v>5</v>
      </c>
      <c r="B7731" t="s">
        <v>22</v>
      </c>
      <c r="C7731" t="s">
        <v>74</v>
      </c>
      <c r="D7731" s="9" t="s">
        <v>60</v>
      </c>
      <c r="E7731" t="s">
        <v>39</v>
      </c>
      <c r="F7731" t="s">
        <v>75</v>
      </c>
      <c r="G7731">
        <v>73.8</v>
      </c>
      <c r="I7731"/>
    </row>
    <row r="7732" spans="1:9" x14ac:dyDescent="0.3">
      <c r="A7732" t="s">
        <v>5</v>
      </c>
      <c r="B7732" t="s">
        <v>22</v>
      </c>
      <c r="C7732" t="s">
        <v>76</v>
      </c>
      <c r="D7732" s="9" t="s">
        <v>60</v>
      </c>
      <c r="E7732" t="s">
        <v>40</v>
      </c>
      <c r="F7732" t="s">
        <v>77</v>
      </c>
      <c r="G7732">
        <v>69.099999999999994</v>
      </c>
      <c r="I7732"/>
    </row>
    <row r="7733" spans="1:9" x14ac:dyDescent="0.3">
      <c r="A7733" t="s">
        <v>5</v>
      </c>
      <c r="B7733" t="s">
        <v>22</v>
      </c>
      <c r="C7733" t="s">
        <v>78</v>
      </c>
      <c r="D7733" s="9" t="s">
        <v>60</v>
      </c>
      <c r="E7733" t="s">
        <v>41</v>
      </c>
      <c r="F7733" t="s">
        <v>79</v>
      </c>
      <c r="G7733">
        <v>72.900000000000006</v>
      </c>
      <c r="I7733"/>
    </row>
    <row r="7734" spans="1:9" x14ac:dyDescent="0.3">
      <c r="A7734" t="s">
        <v>5</v>
      </c>
      <c r="B7734" t="s">
        <v>22</v>
      </c>
      <c r="C7734" t="s">
        <v>80</v>
      </c>
      <c r="D7734" s="9" t="s">
        <v>60</v>
      </c>
      <c r="E7734" t="s">
        <v>42</v>
      </c>
      <c r="F7734" t="s">
        <v>81</v>
      </c>
      <c r="G7734">
        <v>77.7</v>
      </c>
      <c r="I7734"/>
    </row>
    <row r="7735" spans="1:9" x14ac:dyDescent="0.3">
      <c r="A7735" t="s">
        <v>5</v>
      </c>
      <c r="B7735" t="s">
        <v>22</v>
      </c>
      <c r="C7735" t="s">
        <v>82</v>
      </c>
      <c r="D7735" s="9" t="s">
        <v>60</v>
      </c>
      <c r="E7735" t="s">
        <v>43</v>
      </c>
      <c r="F7735" t="s">
        <v>83</v>
      </c>
      <c r="G7735">
        <v>125</v>
      </c>
      <c r="I7735"/>
    </row>
    <row r="7736" spans="1:9" x14ac:dyDescent="0.3">
      <c r="A7736" t="s">
        <v>5</v>
      </c>
      <c r="B7736" t="s">
        <v>22</v>
      </c>
      <c r="C7736" t="s">
        <v>84</v>
      </c>
      <c r="D7736" s="9" t="s">
        <v>85</v>
      </c>
      <c r="E7736" t="s">
        <v>32</v>
      </c>
      <c r="F7736" t="s">
        <v>61</v>
      </c>
      <c r="G7736">
        <v>68.400000000000006</v>
      </c>
      <c r="H7736" s="9">
        <v>0.44</v>
      </c>
      <c r="I7736"/>
    </row>
    <row r="7737" spans="1:9" x14ac:dyDescent="0.3">
      <c r="A7737" t="s">
        <v>5</v>
      </c>
      <c r="B7737" t="s">
        <v>22</v>
      </c>
      <c r="C7737" t="s">
        <v>86</v>
      </c>
      <c r="D7737" s="9" t="s">
        <v>85</v>
      </c>
      <c r="E7737" t="s">
        <v>33</v>
      </c>
      <c r="F7737" t="s">
        <v>63</v>
      </c>
      <c r="G7737">
        <v>61.6</v>
      </c>
      <c r="H7737" s="9">
        <v>-1.28</v>
      </c>
      <c r="I7737"/>
    </row>
    <row r="7738" spans="1:9" x14ac:dyDescent="0.3">
      <c r="A7738" t="s">
        <v>5</v>
      </c>
      <c r="B7738" t="s">
        <v>22</v>
      </c>
      <c r="C7738" t="s">
        <v>87</v>
      </c>
      <c r="D7738" s="9" t="s">
        <v>85</v>
      </c>
      <c r="E7738" t="s">
        <v>34</v>
      </c>
      <c r="F7738" t="s">
        <v>65</v>
      </c>
      <c r="G7738">
        <v>53</v>
      </c>
      <c r="H7738" s="9">
        <v>-21.94</v>
      </c>
      <c r="I7738"/>
    </row>
    <row r="7739" spans="1:9" x14ac:dyDescent="0.3">
      <c r="A7739" t="s">
        <v>5</v>
      </c>
      <c r="B7739" t="s">
        <v>22</v>
      </c>
      <c r="C7739" t="s">
        <v>88</v>
      </c>
      <c r="D7739" s="9" t="s">
        <v>85</v>
      </c>
      <c r="E7739" t="s">
        <v>35</v>
      </c>
      <c r="F7739" t="s">
        <v>67</v>
      </c>
      <c r="G7739">
        <v>21.2</v>
      </c>
      <c r="H7739" s="9">
        <v>-66.459999999999994</v>
      </c>
      <c r="I7739"/>
    </row>
    <row r="7740" spans="1:9" x14ac:dyDescent="0.3">
      <c r="A7740" t="s">
        <v>5</v>
      </c>
      <c r="B7740" t="s">
        <v>22</v>
      </c>
      <c r="C7740" t="s">
        <v>89</v>
      </c>
      <c r="D7740" s="9" t="s">
        <v>85</v>
      </c>
      <c r="E7740" t="s">
        <v>36</v>
      </c>
      <c r="F7740" t="s">
        <v>69</v>
      </c>
      <c r="G7740">
        <v>58.4</v>
      </c>
      <c r="H7740" s="9">
        <v>-22.24</v>
      </c>
      <c r="I7740"/>
    </row>
    <row r="7741" spans="1:9" x14ac:dyDescent="0.3">
      <c r="A7741" t="s">
        <v>5</v>
      </c>
      <c r="B7741" t="s">
        <v>22</v>
      </c>
      <c r="C7741" t="s">
        <v>90</v>
      </c>
      <c r="D7741" s="9" t="s">
        <v>85</v>
      </c>
      <c r="E7741" t="s">
        <v>37</v>
      </c>
      <c r="F7741" t="s">
        <v>71</v>
      </c>
      <c r="G7741">
        <v>64.900000000000006</v>
      </c>
      <c r="H7741" s="9">
        <v>-3.71</v>
      </c>
      <c r="I7741"/>
    </row>
    <row r="7742" spans="1:9" x14ac:dyDescent="0.3">
      <c r="A7742" t="s">
        <v>5</v>
      </c>
      <c r="B7742" t="s">
        <v>22</v>
      </c>
      <c r="C7742" t="s">
        <v>91</v>
      </c>
      <c r="D7742" s="9" t="s">
        <v>85</v>
      </c>
      <c r="E7742" t="s">
        <v>38</v>
      </c>
      <c r="F7742" t="s">
        <v>73</v>
      </c>
      <c r="G7742">
        <v>82.2</v>
      </c>
      <c r="H7742" s="9">
        <v>15.61</v>
      </c>
      <c r="I7742"/>
    </row>
    <row r="7743" spans="1:9" x14ac:dyDescent="0.3">
      <c r="A7743" t="s">
        <v>5</v>
      </c>
      <c r="B7743" t="s">
        <v>22</v>
      </c>
      <c r="C7743" t="s">
        <v>92</v>
      </c>
      <c r="D7743" s="9" t="s">
        <v>85</v>
      </c>
      <c r="E7743" t="s">
        <v>39</v>
      </c>
      <c r="F7743" t="s">
        <v>75</v>
      </c>
      <c r="G7743">
        <v>80.7</v>
      </c>
      <c r="H7743" s="9">
        <v>9.35</v>
      </c>
      <c r="I7743"/>
    </row>
    <row r="7744" spans="1:9" x14ac:dyDescent="0.3">
      <c r="A7744" t="s">
        <v>5</v>
      </c>
      <c r="B7744" t="s">
        <v>22</v>
      </c>
      <c r="C7744" t="s">
        <v>93</v>
      </c>
      <c r="D7744" s="9" t="s">
        <v>85</v>
      </c>
      <c r="E7744" t="s">
        <v>40</v>
      </c>
      <c r="F7744" t="s">
        <v>77</v>
      </c>
      <c r="G7744">
        <v>77.5</v>
      </c>
      <c r="H7744" s="9">
        <v>12.16</v>
      </c>
      <c r="I7744"/>
    </row>
    <row r="7745" spans="1:9" x14ac:dyDescent="0.3">
      <c r="A7745" t="s">
        <v>5</v>
      </c>
      <c r="B7745" t="s">
        <v>22</v>
      </c>
      <c r="C7745" t="s">
        <v>94</v>
      </c>
      <c r="D7745" s="9" t="s">
        <v>85</v>
      </c>
      <c r="E7745" t="s">
        <v>41</v>
      </c>
      <c r="F7745" t="s">
        <v>79</v>
      </c>
      <c r="G7745">
        <v>83.2</v>
      </c>
      <c r="H7745" s="9">
        <v>14.13</v>
      </c>
      <c r="I7745"/>
    </row>
    <row r="7746" spans="1:9" x14ac:dyDescent="0.3">
      <c r="A7746" t="s">
        <v>5</v>
      </c>
      <c r="B7746" t="s">
        <v>22</v>
      </c>
      <c r="C7746" t="s">
        <v>95</v>
      </c>
      <c r="D7746" s="9" t="s">
        <v>85</v>
      </c>
      <c r="E7746" t="s">
        <v>42</v>
      </c>
      <c r="F7746" t="s">
        <v>81</v>
      </c>
      <c r="G7746">
        <v>90.3</v>
      </c>
      <c r="H7746" s="9">
        <v>16.22</v>
      </c>
      <c r="I7746"/>
    </row>
    <row r="7747" spans="1:9" x14ac:dyDescent="0.3">
      <c r="A7747" t="s">
        <v>5</v>
      </c>
      <c r="B7747" t="s">
        <v>22</v>
      </c>
      <c r="C7747" t="s">
        <v>96</v>
      </c>
      <c r="D7747" s="9" t="s">
        <v>85</v>
      </c>
      <c r="E7747" t="s">
        <v>43</v>
      </c>
      <c r="F7747" t="s">
        <v>83</v>
      </c>
      <c r="G7747">
        <v>144.69999999999999</v>
      </c>
      <c r="H7747" s="9">
        <v>15.76</v>
      </c>
      <c r="I7747"/>
    </row>
    <row r="7748" spans="1:9" x14ac:dyDescent="0.3">
      <c r="A7748" t="s">
        <v>5</v>
      </c>
      <c r="B7748" t="s">
        <v>22</v>
      </c>
      <c r="C7748" t="s">
        <v>97</v>
      </c>
      <c r="D7748" s="9" t="s">
        <v>98</v>
      </c>
      <c r="E7748" t="s">
        <v>32</v>
      </c>
      <c r="F7748" t="s">
        <v>61</v>
      </c>
      <c r="G7748">
        <v>79.5</v>
      </c>
      <c r="H7748" s="9">
        <v>16.23</v>
      </c>
      <c r="I7748"/>
    </row>
    <row r="7749" spans="1:9" x14ac:dyDescent="0.3">
      <c r="A7749" t="s">
        <v>5</v>
      </c>
      <c r="B7749" t="s">
        <v>22</v>
      </c>
      <c r="C7749" t="s">
        <v>99</v>
      </c>
      <c r="D7749" s="9" t="s">
        <v>98</v>
      </c>
      <c r="E7749" t="s">
        <v>33</v>
      </c>
      <c r="F7749" t="s">
        <v>63</v>
      </c>
      <c r="G7749">
        <v>58.5</v>
      </c>
      <c r="H7749" s="9">
        <v>-5.03</v>
      </c>
      <c r="I7749"/>
    </row>
    <row r="7750" spans="1:9" x14ac:dyDescent="0.3">
      <c r="A7750" t="s">
        <v>5</v>
      </c>
      <c r="B7750" t="s">
        <v>22</v>
      </c>
      <c r="C7750" t="s">
        <v>100</v>
      </c>
      <c r="D7750" s="9" t="s">
        <v>98</v>
      </c>
      <c r="E7750" t="s">
        <v>34</v>
      </c>
      <c r="F7750" t="s">
        <v>65</v>
      </c>
      <c r="G7750">
        <v>71.599999999999994</v>
      </c>
      <c r="H7750" s="9">
        <v>35.090000000000003</v>
      </c>
      <c r="I7750"/>
    </row>
    <row r="7751" spans="1:9" x14ac:dyDescent="0.3">
      <c r="A7751" t="s">
        <v>5</v>
      </c>
      <c r="B7751" t="s">
        <v>22</v>
      </c>
      <c r="C7751" t="s">
        <v>101</v>
      </c>
      <c r="D7751" s="9" t="s">
        <v>98</v>
      </c>
      <c r="E7751" t="s">
        <v>35</v>
      </c>
      <c r="F7751" t="s">
        <v>67</v>
      </c>
      <c r="G7751">
        <v>65.599999999999994</v>
      </c>
      <c r="H7751" s="9">
        <v>209.43</v>
      </c>
      <c r="I7751"/>
    </row>
    <row r="7752" spans="1:9" x14ac:dyDescent="0.3">
      <c r="A7752" t="s">
        <v>5</v>
      </c>
      <c r="B7752" t="s">
        <v>22</v>
      </c>
      <c r="C7752" t="s">
        <v>102</v>
      </c>
      <c r="D7752" s="9" t="s">
        <v>98</v>
      </c>
      <c r="E7752" t="s">
        <v>36</v>
      </c>
      <c r="F7752" t="s">
        <v>69</v>
      </c>
      <c r="G7752">
        <v>74.099999999999994</v>
      </c>
      <c r="H7752" s="9">
        <v>26.88</v>
      </c>
      <c r="I7752"/>
    </row>
    <row r="7753" spans="1:9" x14ac:dyDescent="0.3">
      <c r="A7753" t="s">
        <v>5</v>
      </c>
      <c r="B7753" t="s">
        <v>22</v>
      </c>
      <c r="C7753" t="s">
        <v>103</v>
      </c>
      <c r="D7753" s="9" t="s">
        <v>98</v>
      </c>
      <c r="E7753" t="s">
        <v>37</v>
      </c>
      <c r="F7753" t="s">
        <v>71</v>
      </c>
      <c r="G7753">
        <v>71.8</v>
      </c>
      <c r="H7753" s="9">
        <v>10.63</v>
      </c>
      <c r="I7753"/>
    </row>
    <row r="7754" spans="1:9" x14ac:dyDescent="0.3">
      <c r="A7754" t="s">
        <v>5</v>
      </c>
      <c r="B7754" t="s">
        <v>22</v>
      </c>
      <c r="C7754" t="s">
        <v>104</v>
      </c>
      <c r="D7754" s="9" t="s">
        <v>98</v>
      </c>
      <c r="E7754" t="s">
        <v>38</v>
      </c>
      <c r="F7754" t="s">
        <v>73</v>
      </c>
      <c r="G7754">
        <v>79.900000000000006</v>
      </c>
      <c r="H7754" s="9">
        <v>-2.8</v>
      </c>
      <c r="I7754"/>
    </row>
    <row r="7755" spans="1:9" x14ac:dyDescent="0.3">
      <c r="A7755" t="s">
        <v>5</v>
      </c>
      <c r="B7755" t="s">
        <v>22</v>
      </c>
      <c r="C7755" t="s">
        <v>105</v>
      </c>
      <c r="D7755" s="9" t="s">
        <v>98</v>
      </c>
      <c r="E7755" t="s">
        <v>39</v>
      </c>
      <c r="F7755" t="s">
        <v>75</v>
      </c>
      <c r="G7755">
        <v>78.8</v>
      </c>
      <c r="H7755" s="9">
        <v>-2.35</v>
      </c>
      <c r="I7755"/>
    </row>
    <row r="7756" spans="1:9" x14ac:dyDescent="0.3">
      <c r="A7756" t="s">
        <v>5</v>
      </c>
      <c r="B7756" t="s">
        <v>22</v>
      </c>
      <c r="C7756" t="s">
        <v>106</v>
      </c>
      <c r="D7756" s="9" t="s">
        <v>98</v>
      </c>
      <c r="E7756" t="s">
        <v>40</v>
      </c>
      <c r="F7756" t="s">
        <v>77</v>
      </c>
      <c r="G7756">
        <v>85.1</v>
      </c>
      <c r="H7756" s="9">
        <v>9.81</v>
      </c>
      <c r="I7756"/>
    </row>
    <row r="7757" spans="1:9" x14ac:dyDescent="0.3">
      <c r="A7757" t="s">
        <v>5</v>
      </c>
      <c r="B7757" t="s">
        <v>22</v>
      </c>
      <c r="C7757" t="s">
        <v>107</v>
      </c>
      <c r="D7757" s="9" t="s">
        <v>98</v>
      </c>
      <c r="E7757" t="s">
        <v>41</v>
      </c>
      <c r="F7757" t="s">
        <v>79</v>
      </c>
      <c r="G7757">
        <v>91.9</v>
      </c>
      <c r="H7757" s="9">
        <v>10.46</v>
      </c>
      <c r="I7757"/>
    </row>
    <row r="7758" spans="1:9" x14ac:dyDescent="0.3">
      <c r="A7758" t="s">
        <v>5</v>
      </c>
      <c r="B7758" t="s">
        <v>22</v>
      </c>
      <c r="C7758" t="s">
        <v>108</v>
      </c>
      <c r="D7758" s="9" t="s">
        <v>98</v>
      </c>
      <c r="E7758" t="s">
        <v>42</v>
      </c>
      <c r="F7758" t="s">
        <v>81</v>
      </c>
      <c r="G7758">
        <v>99.9</v>
      </c>
      <c r="H7758" s="9">
        <v>10.63</v>
      </c>
      <c r="I7758"/>
    </row>
    <row r="7759" spans="1:9" x14ac:dyDescent="0.3">
      <c r="A7759" t="s">
        <v>5</v>
      </c>
      <c r="B7759" t="s">
        <v>22</v>
      </c>
      <c r="C7759" t="s">
        <v>109</v>
      </c>
      <c r="D7759" s="9" t="s">
        <v>98</v>
      </c>
      <c r="E7759" t="s">
        <v>43</v>
      </c>
      <c r="F7759" t="s">
        <v>83</v>
      </c>
      <c r="G7759">
        <v>148.4</v>
      </c>
      <c r="H7759" s="9">
        <v>2.56</v>
      </c>
      <c r="I7759"/>
    </row>
    <row r="7760" spans="1:9" x14ac:dyDescent="0.3">
      <c r="A7760" t="s">
        <v>5</v>
      </c>
      <c r="B7760" t="s">
        <v>22</v>
      </c>
      <c r="C7760" t="s">
        <v>110</v>
      </c>
      <c r="D7760" s="9" t="s">
        <v>111</v>
      </c>
      <c r="E7760" t="s">
        <v>32</v>
      </c>
      <c r="F7760" t="s">
        <v>61</v>
      </c>
      <c r="G7760">
        <v>79.400000000000006</v>
      </c>
      <c r="H7760" s="9">
        <v>-0.13</v>
      </c>
      <c r="I7760"/>
    </row>
    <row r="7761" spans="1:9" x14ac:dyDescent="0.3">
      <c r="A7761" t="s">
        <v>5</v>
      </c>
      <c r="B7761" t="s">
        <v>22</v>
      </c>
      <c r="C7761" t="s">
        <v>112</v>
      </c>
      <c r="D7761" s="9" t="s">
        <v>111</v>
      </c>
      <c r="E7761" t="s">
        <v>33</v>
      </c>
      <c r="F7761" t="s">
        <v>63</v>
      </c>
      <c r="G7761">
        <v>69.8</v>
      </c>
      <c r="H7761" s="9">
        <v>19.32</v>
      </c>
      <c r="I7761"/>
    </row>
    <row r="7762" spans="1:9" x14ac:dyDescent="0.3">
      <c r="A7762" t="s">
        <v>5</v>
      </c>
      <c r="B7762" t="s">
        <v>22</v>
      </c>
      <c r="C7762" t="s">
        <v>113</v>
      </c>
      <c r="D7762" s="9" t="s">
        <v>111</v>
      </c>
      <c r="E7762" t="s">
        <v>34</v>
      </c>
      <c r="F7762" t="s">
        <v>65</v>
      </c>
      <c r="G7762">
        <v>72.099999999999994</v>
      </c>
      <c r="H7762" s="9">
        <v>0.7</v>
      </c>
      <c r="I7762"/>
    </row>
    <row r="7763" spans="1:9" x14ac:dyDescent="0.3">
      <c r="A7763" t="s">
        <v>5</v>
      </c>
      <c r="B7763" t="s">
        <v>22</v>
      </c>
      <c r="C7763" t="s">
        <v>114</v>
      </c>
      <c r="D7763" s="9" t="s">
        <v>111</v>
      </c>
      <c r="E7763" t="s">
        <v>35</v>
      </c>
      <c r="F7763" t="s">
        <v>67</v>
      </c>
      <c r="G7763">
        <v>76.7</v>
      </c>
      <c r="H7763" s="9">
        <v>16.920000000000002</v>
      </c>
      <c r="I7763"/>
    </row>
    <row r="7764" spans="1:9" x14ac:dyDescent="0.3">
      <c r="A7764" t="s">
        <v>5</v>
      </c>
      <c r="B7764" t="s">
        <v>22</v>
      </c>
      <c r="C7764" t="s">
        <v>115</v>
      </c>
      <c r="D7764" s="9" t="s">
        <v>111</v>
      </c>
      <c r="E7764" t="s">
        <v>36</v>
      </c>
      <c r="F7764" t="s">
        <v>69</v>
      </c>
      <c r="G7764">
        <v>88.2</v>
      </c>
      <c r="H7764" s="9">
        <v>19.03</v>
      </c>
      <c r="I7764"/>
    </row>
    <row r="7765" spans="1:9" x14ac:dyDescent="0.3">
      <c r="A7765" t="s">
        <v>5</v>
      </c>
      <c r="B7765" t="s">
        <v>22</v>
      </c>
      <c r="C7765" t="s">
        <v>116</v>
      </c>
      <c r="D7765" s="9" t="s">
        <v>111</v>
      </c>
      <c r="E7765" t="s">
        <v>37</v>
      </c>
      <c r="F7765" t="s">
        <v>71</v>
      </c>
      <c r="G7765">
        <v>89.4</v>
      </c>
      <c r="H7765" s="9">
        <v>24.51</v>
      </c>
      <c r="I7765"/>
    </row>
    <row r="7766" spans="1:9" x14ac:dyDescent="0.3">
      <c r="A7766" t="s">
        <v>5</v>
      </c>
      <c r="B7766" t="s">
        <v>22</v>
      </c>
      <c r="C7766" t="s">
        <v>117</v>
      </c>
      <c r="D7766" s="9" t="s">
        <v>111</v>
      </c>
      <c r="E7766" t="s">
        <v>38</v>
      </c>
      <c r="F7766" t="s">
        <v>73</v>
      </c>
      <c r="G7766">
        <v>89.6</v>
      </c>
      <c r="H7766" s="9">
        <v>12.14</v>
      </c>
      <c r="I7766"/>
    </row>
    <row r="7767" spans="1:9" x14ac:dyDescent="0.3">
      <c r="A7767" t="s">
        <v>5</v>
      </c>
      <c r="B7767" t="s">
        <v>22</v>
      </c>
      <c r="C7767" t="s">
        <v>118</v>
      </c>
      <c r="D7767" s="9" t="s">
        <v>111</v>
      </c>
      <c r="E7767" t="s">
        <v>39</v>
      </c>
      <c r="F7767" t="s">
        <v>75</v>
      </c>
      <c r="G7767">
        <v>88.4</v>
      </c>
      <c r="H7767" s="9">
        <v>12.18</v>
      </c>
      <c r="I7767"/>
    </row>
    <row r="7768" spans="1:9" x14ac:dyDescent="0.3">
      <c r="A7768" t="s">
        <v>5</v>
      </c>
      <c r="B7768" t="s">
        <v>22</v>
      </c>
      <c r="C7768" t="s">
        <v>119</v>
      </c>
      <c r="D7768" s="9" t="s">
        <v>111</v>
      </c>
      <c r="E7768" t="s">
        <v>40</v>
      </c>
      <c r="F7768" t="s">
        <v>77</v>
      </c>
      <c r="G7768">
        <v>90.8</v>
      </c>
      <c r="H7768" s="9">
        <v>6.7</v>
      </c>
      <c r="I7768"/>
    </row>
    <row r="7769" spans="1:9" x14ac:dyDescent="0.3">
      <c r="A7769" t="s">
        <v>5</v>
      </c>
      <c r="B7769" t="s">
        <v>22</v>
      </c>
      <c r="C7769" t="s">
        <v>120</v>
      </c>
      <c r="D7769" s="9" t="s">
        <v>111</v>
      </c>
      <c r="E7769" t="s">
        <v>41</v>
      </c>
      <c r="F7769" t="s">
        <v>79</v>
      </c>
      <c r="G7769">
        <v>97.2</v>
      </c>
      <c r="H7769" s="9">
        <v>5.77</v>
      </c>
      <c r="I7769"/>
    </row>
    <row r="7770" spans="1:9" x14ac:dyDescent="0.3">
      <c r="A7770" t="s">
        <v>5</v>
      </c>
      <c r="B7770" t="s">
        <v>22</v>
      </c>
      <c r="C7770" t="s">
        <v>121</v>
      </c>
      <c r="D7770" s="9" t="s">
        <v>111</v>
      </c>
      <c r="E7770" t="s">
        <v>42</v>
      </c>
      <c r="F7770" t="s">
        <v>81</v>
      </c>
      <c r="G7770">
        <v>111</v>
      </c>
      <c r="H7770" s="9">
        <v>11.11</v>
      </c>
      <c r="I7770"/>
    </row>
    <row r="7771" spans="1:9" x14ac:dyDescent="0.3">
      <c r="A7771" t="s">
        <v>5</v>
      </c>
      <c r="B7771" t="s">
        <v>22</v>
      </c>
      <c r="C7771" t="s">
        <v>122</v>
      </c>
      <c r="D7771" s="9" t="s">
        <v>111</v>
      </c>
      <c r="E7771" t="s">
        <v>43</v>
      </c>
      <c r="F7771" t="s">
        <v>83</v>
      </c>
      <c r="G7771">
        <v>156.80000000000001</v>
      </c>
      <c r="H7771" s="9">
        <v>5.66</v>
      </c>
      <c r="I7771"/>
    </row>
    <row r="7772" spans="1:9" x14ac:dyDescent="0.3">
      <c r="A7772" t="s">
        <v>5</v>
      </c>
      <c r="B7772" t="s">
        <v>22</v>
      </c>
      <c r="C7772" t="s">
        <v>123</v>
      </c>
      <c r="D7772" s="9" t="s">
        <v>124</v>
      </c>
      <c r="E7772" t="s">
        <v>32</v>
      </c>
      <c r="F7772" t="s">
        <v>61</v>
      </c>
      <c r="G7772">
        <v>94.5</v>
      </c>
      <c r="H7772" s="9">
        <v>19.02</v>
      </c>
      <c r="I7772"/>
    </row>
    <row r="7773" spans="1:9" x14ac:dyDescent="0.3">
      <c r="A7773" t="s">
        <v>5</v>
      </c>
      <c r="B7773" t="s">
        <v>22</v>
      </c>
      <c r="C7773" t="s">
        <v>125</v>
      </c>
      <c r="D7773" s="9" t="s">
        <v>124</v>
      </c>
      <c r="E7773" t="s">
        <v>33</v>
      </c>
      <c r="F7773" t="s">
        <v>63</v>
      </c>
      <c r="G7773">
        <v>80.7</v>
      </c>
      <c r="H7773" s="9">
        <v>15.62</v>
      </c>
      <c r="I7773"/>
    </row>
    <row r="7774" spans="1:9" x14ac:dyDescent="0.3">
      <c r="A7774" t="s">
        <v>5</v>
      </c>
      <c r="B7774" t="s">
        <v>22</v>
      </c>
      <c r="C7774" t="s">
        <v>126</v>
      </c>
      <c r="D7774" s="9" t="s">
        <v>124</v>
      </c>
      <c r="E7774" t="s">
        <v>34</v>
      </c>
      <c r="F7774" t="s">
        <v>65</v>
      </c>
      <c r="G7774">
        <v>82.9</v>
      </c>
      <c r="H7774" s="9">
        <v>14.98</v>
      </c>
      <c r="I7774"/>
    </row>
    <row r="7775" spans="1:9" x14ac:dyDescent="0.3">
      <c r="A7775" t="s">
        <v>5</v>
      </c>
      <c r="B7775" t="s">
        <v>22</v>
      </c>
      <c r="C7775" t="s">
        <v>127</v>
      </c>
      <c r="D7775" s="9" t="s">
        <v>124</v>
      </c>
      <c r="E7775" t="s">
        <v>35</v>
      </c>
      <c r="F7775" t="s">
        <v>67</v>
      </c>
      <c r="G7775">
        <v>82.3</v>
      </c>
      <c r="H7775" s="9">
        <v>7.3</v>
      </c>
      <c r="I7775"/>
    </row>
    <row r="7776" spans="1:9" x14ac:dyDescent="0.3">
      <c r="A7776" t="s">
        <v>5</v>
      </c>
      <c r="B7776" t="s">
        <v>22</v>
      </c>
      <c r="C7776" t="s">
        <v>128</v>
      </c>
      <c r="D7776" s="9" t="s">
        <v>124</v>
      </c>
      <c r="E7776" t="s">
        <v>36</v>
      </c>
      <c r="F7776" t="s">
        <v>69</v>
      </c>
      <c r="G7776">
        <v>90.3</v>
      </c>
      <c r="H7776" s="9">
        <v>2.38</v>
      </c>
      <c r="I7776"/>
    </row>
    <row r="7777" spans="1:9" x14ac:dyDescent="0.3">
      <c r="A7777" t="s">
        <v>5</v>
      </c>
      <c r="B7777" t="s">
        <v>22</v>
      </c>
      <c r="C7777" t="s">
        <v>129</v>
      </c>
      <c r="D7777" s="9" t="s">
        <v>124</v>
      </c>
      <c r="E7777" t="s">
        <v>37</v>
      </c>
      <c r="F7777" t="s">
        <v>71</v>
      </c>
      <c r="G7777">
        <v>90.1</v>
      </c>
      <c r="H7777" s="9">
        <v>0.78</v>
      </c>
      <c r="I7777"/>
    </row>
    <row r="7778" spans="1:9" x14ac:dyDescent="0.3">
      <c r="A7778" t="s">
        <v>5</v>
      </c>
      <c r="B7778" t="s">
        <v>22</v>
      </c>
      <c r="C7778" t="s">
        <v>130</v>
      </c>
      <c r="D7778" s="9" t="s">
        <v>124</v>
      </c>
      <c r="E7778" t="s">
        <v>38</v>
      </c>
      <c r="F7778" t="s">
        <v>73</v>
      </c>
      <c r="G7778">
        <v>86.8</v>
      </c>
      <c r="H7778" s="9">
        <v>-3.13</v>
      </c>
      <c r="I7778"/>
    </row>
    <row r="7779" spans="1:9" x14ac:dyDescent="0.3">
      <c r="A7779" t="s">
        <v>5</v>
      </c>
      <c r="B7779" t="s">
        <v>22</v>
      </c>
      <c r="C7779" t="s">
        <v>131</v>
      </c>
      <c r="D7779" s="9" t="s">
        <v>124</v>
      </c>
      <c r="E7779" t="s">
        <v>39</v>
      </c>
      <c r="F7779" t="s">
        <v>75</v>
      </c>
      <c r="G7779">
        <v>89.7</v>
      </c>
      <c r="H7779" s="9">
        <v>1.47</v>
      </c>
      <c r="I7779"/>
    </row>
    <row r="7780" spans="1:9" x14ac:dyDescent="0.3">
      <c r="A7780" t="s">
        <v>5</v>
      </c>
      <c r="B7780" t="s">
        <v>22</v>
      </c>
      <c r="C7780" t="s">
        <v>132</v>
      </c>
      <c r="D7780" s="9" t="s">
        <v>124</v>
      </c>
      <c r="E7780" t="s">
        <v>40</v>
      </c>
      <c r="F7780" t="s">
        <v>77</v>
      </c>
      <c r="G7780">
        <v>89.6</v>
      </c>
      <c r="H7780" s="9">
        <v>-1.32</v>
      </c>
      <c r="I7780"/>
    </row>
    <row r="7781" spans="1:9" x14ac:dyDescent="0.3">
      <c r="A7781" t="s">
        <v>5</v>
      </c>
      <c r="B7781" t="s">
        <v>22</v>
      </c>
      <c r="C7781" t="s">
        <v>133</v>
      </c>
      <c r="D7781" s="9" t="s">
        <v>124</v>
      </c>
      <c r="E7781" t="s">
        <v>41</v>
      </c>
      <c r="F7781" t="s">
        <v>79</v>
      </c>
      <c r="G7781">
        <v>96.6</v>
      </c>
      <c r="H7781" s="9">
        <v>-0.62</v>
      </c>
      <c r="I7781"/>
    </row>
    <row r="7782" spans="1:9" x14ac:dyDescent="0.3">
      <c r="A7782" t="s">
        <v>5</v>
      </c>
      <c r="B7782" t="s">
        <v>22</v>
      </c>
      <c r="C7782" t="s">
        <v>134</v>
      </c>
      <c r="D7782" s="9" t="s">
        <v>124</v>
      </c>
      <c r="E7782" t="s">
        <v>42</v>
      </c>
      <c r="F7782" t="s">
        <v>81</v>
      </c>
      <c r="G7782">
        <v>112.1</v>
      </c>
      <c r="H7782" s="9">
        <v>0.99</v>
      </c>
      <c r="I7782"/>
    </row>
    <row r="7783" spans="1:9" x14ac:dyDescent="0.3">
      <c r="A7783" t="s">
        <v>5</v>
      </c>
      <c r="B7783" t="s">
        <v>22</v>
      </c>
      <c r="C7783" t="s">
        <v>135</v>
      </c>
      <c r="D7783" s="9" t="s">
        <v>124</v>
      </c>
      <c r="E7783" t="s">
        <v>43</v>
      </c>
      <c r="F7783" t="s">
        <v>83</v>
      </c>
      <c r="G7783">
        <v>158.30000000000001</v>
      </c>
      <c r="H7783" s="9">
        <v>0.96</v>
      </c>
      <c r="I7783"/>
    </row>
    <row r="7784" spans="1:9" x14ac:dyDescent="0.3">
      <c r="A7784" t="s">
        <v>5</v>
      </c>
      <c r="B7784" t="s">
        <v>22</v>
      </c>
      <c r="C7784" t="s">
        <v>136</v>
      </c>
      <c r="D7784" s="9" t="s">
        <v>137</v>
      </c>
      <c r="E7784" t="s">
        <v>32</v>
      </c>
      <c r="F7784" t="s">
        <v>61</v>
      </c>
      <c r="G7784">
        <v>89.3</v>
      </c>
      <c r="H7784" s="9">
        <v>-5.5</v>
      </c>
      <c r="I7784"/>
    </row>
    <row r="7785" spans="1:9" x14ac:dyDescent="0.3">
      <c r="A7785" t="s">
        <v>5</v>
      </c>
      <c r="B7785" t="s">
        <v>22</v>
      </c>
      <c r="C7785" t="s">
        <v>138</v>
      </c>
      <c r="D7785" s="9" t="s">
        <v>137</v>
      </c>
      <c r="E7785" t="s">
        <v>33</v>
      </c>
      <c r="F7785" t="s">
        <v>63</v>
      </c>
      <c r="G7785">
        <v>81</v>
      </c>
      <c r="H7785" s="9">
        <v>0.37</v>
      </c>
      <c r="I7785"/>
    </row>
    <row r="7786" spans="1:9" x14ac:dyDescent="0.3">
      <c r="A7786" t="s">
        <v>5</v>
      </c>
      <c r="B7786" t="s">
        <v>22</v>
      </c>
      <c r="C7786" t="s">
        <v>139</v>
      </c>
      <c r="D7786" s="9" t="s">
        <v>137</v>
      </c>
      <c r="E7786" t="s">
        <v>34</v>
      </c>
      <c r="F7786" t="s">
        <v>65</v>
      </c>
      <c r="G7786">
        <v>84.8</v>
      </c>
      <c r="H7786" s="9">
        <v>2.29</v>
      </c>
      <c r="I7786"/>
    </row>
    <row r="7787" spans="1:9" x14ac:dyDescent="0.3">
      <c r="A7787" t="s">
        <v>5</v>
      </c>
      <c r="B7787" t="s">
        <v>22</v>
      </c>
      <c r="C7787" t="s">
        <v>140</v>
      </c>
      <c r="D7787" s="9" t="s">
        <v>137</v>
      </c>
      <c r="E7787" t="s">
        <v>35</v>
      </c>
      <c r="F7787" t="s">
        <v>67</v>
      </c>
      <c r="G7787">
        <v>82.8</v>
      </c>
      <c r="H7787" s="9">
        <v>0.61</v>
      </c>
      <c r="I7787"/>
    </row>
    <row r="7788" spans="1:9" x14ac:dyDescent="0.3">
      <c r="A7788" t="s">
        <v>5</v>
      </c>
      <c r="B7788" t="s">
        <v>22</v>
      </c>
      <c r="C7788" t="s">
        <v>141</v>
      </c>
      <c r="D7788" s="9" t="s">
        <v>137</v>
      </c>
      <c r="E7788" t="s">
        <v>36</v>
      </c>
      <c r="F7788" t="s">
        <v>69</v>
      </c>
      <c r="G7788">
        <v>91</v>
      </c>
      <c r="H7788" s="9">
        <v>0.78</v>
      </c>
      <c r="I7788"/>
    </row>
    <row r="7789" spans="1:9" x14ac:dyDescent="0.3">
      <c r="A7789" t="s">
        <v>5</v>
      </c>
      <c r="B7789" t="s">
        <v>22</v>
      </c>
      <c r="C7789" t="s">
        <v>142</v>
      </c>
      <c r="D7789" s="9" t="s">
        <v>137</v>
      </c>
      <c r="E7789" t="s">
        <v>37</v>
      </c>
      <c r="F7789" t="s">
        <v>71</v>
      </c>
      <c r="G7789">
        <v>88.4</v>
      </c>
      <c r="H7789" s="9">
        <v>-1.89</v>
      </c>
      <c r="I7789"/>
    </row>
    <row r="7790" spans="1:9" x14ac:dyDescent="0.3">
      <c r="A7790" t="s">
        <v>5</v>
      </c>
      <c r="B7790" t="s">
        <v>22</v>
      </c>
      <c r="C7790" t="s">
        <v>143</v>
      </c>
      <c r="D7790" s="9" t="s">
        <v>137</v>
      </c>
      <c r="E7790" t="s">
        <v>38</v>
      </c>
      <c r="F7790" t="s">
        <v>73</v>
      </c>
      <c r="G7790">
        <v>88.7</v>
      </c>
      <c r="H7790" s="9">
        <v>2.19</v>
      </c>
      <c r="I7790"/>
    </row>
    <row r="7791" spans="1:9" x14ac:dyDescent="0.3">
      <c r="A7791" t="s">
        <v>5</v>
      </c>
      <c r="B7791" t="s">
        <v>22</v>
      </c>
      <c r="C7791" t="s">
        <v>144</v>
      </c>
      <c r="D7791" s="9" t="s">
        <v>137</v>
      </c>
      <c r="E7791" t="s">
        <v>39</v>
      </c>
      <c r="F7791" t="s">
        <v>75</v>
      </c>
      <c r="G7791">
        <v>90.9</v>
      </c>
      <c r="H7791" s="9">
        <v>1.34</v>
      </c>
      <c r="I7791"/>
    </row>
    <row r="7792" spans="1:9" x14ac:dyDescent="0.3">
      <c r="A7792" t="s">
        <v>5</v>
      </c>
      <c r="B7792" t="s">
        <v>22</v>
      </c>
      <c r="C7792" t="s">
        <v>145</v>
      </c>
      <c r="D7792" s="9" t="s">
        <v>137</v>
      </c>
      <c r="E7792" t="s">
        <v>40</v>
      </c>
      <c r="F7792" t="s">
        <v>77</v>
      </c>
      <c r="G7792">
        <v>93</v>
      </c>
      <c r="H7792" s="9">
        <v>3.79</v>
      </c>
      <c r="I7792"/>
    </row>
    <row r="7793" spans="1:9" x14ac:dyDescent="0.3">
      <c r="A7793" t="s">
        <v>5</v>
      </c>
      <c r="B7793" t="s">
        <v>22</v>
      </c>
      <c r="C7793" t="s">
        <v>146</v>
      </c>
      <c r="D7793" s="9" t="s">
        <v>137</v>
      </c>
      <c r="E7793" t="s">
        <v>41</v>
      </c>
      <c r="F7793" t="s">
        <v>79</v>
      </c>
      <c r="G7793">
        <v>99.7</v>
      </c>
      <c r="H7793" s="9">
        <v>3.21</v>
      </c>
      <c r="I7793"/>
    </row>
    <row r="7794" spans="1:9" x14ac:dyDescent="0.3">
      <c r="A7794" t="s">
        <v>5</v>
      </c>
      <c r="B7794" t="s">
        <v>22</v>
      </c>
      <c r="C7794" t="s">
        <v>147</v>
      </c>
      <c r="D7794" s="9" t="s">
        <v>137</v>
      </c>
      <c r="E7794" t="s">
        <v>42</v>
      </c>
      <c r="F7794" t="s">
        <v>81</v>
      </c>
      <c r="G7794">
        <v>120.1</v>
      </c>
      <c r="H7794" s="9">
        <v>7.14</v>
      </c>
      <c r="I7794"/>
    </row>
    <row r="7795" spans="1:9" x14ac:dyDescent="0.3">
      <c r="A7795" t="s">
        <v>5</v>
      </c>
      <c r="B7795" t="s">
        <v>22</v>
      </c>
      <c r="C7795" t="s">
        <v>148</v>
      </c>
      <c r="D7795" s="9" t="s">
        <v>137</v>
      </c>
      <c r="E7795" t="s">
        <v>43</v>
      </c>
      <c r="F7795" t="s">
        <v>83</v>
      </c>
      <c r="G7795">
        <v>170.5</v>
      </c>
      <c r="H7795" s="9">
        <v>7.71</v>
      </c>
      <c r="I7795"/>
    </row>
    <row r="7796" spans="1:9" x14ac:dyDescent="0.3">
      <c r="A7796" t="s">
        <v>5</v>
      </c>
      <c r="B7796" t="s">
        <v>22</v>
      </c>
      <c r="C7796" t="s">
        <v>149</v>
      </c>
      <c r="D7796" s="9" t="s">
        <v>150</v>
      </c>
      <c r="E7796" t="s">
        <v>32</v>
      </c>
      <c r="F7796" t="s">
        <v>61</v>
      </c>
      <c r="G7796">
        <v>99.6</v>
      </c>
      <c r="H7796" s="9">
        <v>11.53</v>
      </c>
      <c r="I7796"/>
    </row>
    <row r="7797" spans="1:9" x14ac:dyDescent="0.3">
      <c r="A7797" t="s">
        <v>5</v>
      </c>
      <c r="B7797" t="s">
        <v>22</v>
      </c>
      <c r="C7797" t="s">
        <v>151</v>
      </c>
      <c r="D7797" s="9" t="s">
        <v>150</v>
      </c>
      <c r="E7797" t="s">
        <v>33</v>
      </c>
      <c r="F7797" t="s">
        <v>63</v>
      </c>
      <c r="G7797">
        <v>90.9</v>
      </c>
      <c r="H7797" s="9">
        <v>12.22</v>
      </c>
      <c r="I7797"/>
    </row>
    <row r="7798" spans="1:9" x14ac:dyDescent="0.3">
      <c r="A7798" t="s">
        <v>5</v>
      </c>
      <c r="B7798" t="s">
        <v>22</v>
      </c>
      <c r="C7798" t="s">
        <v>152</v>
      </c>
      <c r="D7798" s="9" t="s">
        <v>150</v>
      </c>
      <c r="E7798" t="s">
        <v>34</v>
      </c>
      <c r="F7798" t="s">
        <v>65</v>
      </c>
      <c r="G7798">
        <v>92.5</v>
      </c>
      <c r="H7798" s="9">
        <v>9.08</v>
      </c>
      <c r="I7798"/>
    </row>
    <row r="7799" spans="1:9" x14ac:dyDescent="0.3">
      <c r="A7799" t="s">
        <v>5</v>
      </c>
      <c r="B7799" t="s">
        <v>22</v>
      </c>
      <c r="C7799" t="s">
        <v>153</v>
      </c>
      <c r="D7799" s="9" t="s">
        <v>150</v>
      </c>
      <c r="E7799" t="s">
        <v>35</v>
      </c>
      <c r="F7799" t="s">
        <v>67</v>
      </c>
      <c r="G7799">
        <v>89</v>
      </c>
      <c r="H7799" s="9">
        <v>7.49</v>
      </c>
      <c r="I7799"/>
    </row>
    <row r="7800" spans="1:9" x14ac:dyDescent="0.3">
      <c r="A7800" t="s">
        <v>5</v>
      </c>
      <c r="B7800" t="s">
        <v>22</v>
      </c>
      <c r="C7800" t="s">
        <v>154</v>
      </c>
      <c r="D7800" s="9" t="s">
        <v>150</v>
      </c>
      <c r="E7800" t="s">
        <v>36</v>
      </c>
      <c r="F7800" t="s">
        <v>69</v>
      </c>
      <c r="G7800">
        <v>105.7</v>
      </c>
      <c r="H7800" s="9">
        <v>16.149999999999999</v>
      </c>
      <c r="I7800"/>
    </row>
    <row r="7801" spans="1:9" x14ac:dyDescent="0.3">
      <c r="A7801" t="s">
        <v>5</v>
      </c>
      <c r="B7801" t="s">
        <v>22</v>
      </c>
      <c r="C7801" t="s">
        <v>155</v>
      </c>
      <c r="D7801" s="9" t="s">
        <v>150</v>
      </c>
      <c r="E7801" t="s">
        <v>37</v>
      </c>
      <c r="F7801" t="s">
        <v>71</v>
      </c>
      <c r="G7801">
        <v>100.7</v>
      </c>
      <c r="H7801" s="9">
        <v>13.91</v>
      </c>
      <c r="I7801"/>
    </row>
    <row r="7802" spans="1:9" x14ac:dyDescent="0.3">
      <c r="A7802" t="s">
        <v>5</v>
      </c>
      <c r="B7802" t="s">
        <v>20</v>
      </c>
      <c r="C7802" t="s">
        <v>59</v>
      </c>
      <c r="D7802" s="9" t="s">
        <v>60</v>
      </c>
      <c r="E7802" t="s">
        <v>32</v>
      </c>
      <c r="F7802" t="s">
        <v>61</v>
      </c>
      <c r="G7802">
        <v>123.6</v>
      </c>
      <c r="I7802"/>
    </row>
    <row r="7803" spans="1:9" x14ac:dyDescent="0.3">
      <c r="A7803" t="s">
        <v>5</v>
      </c>
      <c r="B7803" t="s">
        <v>20</v>
      </c>
      <c r="C7803" t="s">
        <v>62</v>
      </c>
      <c r="D7803" s="9" t="s">
        <v>60</v>
      </c>
      <c r="E7803" t="s">
        <v>33</v>
      </c>
      <c r="F7803" t="s">
        <v>63</v>
      </c>
      <c r="G7803">
        <v>103.6</v>
      </c>
      <c r="I7803"/>
    </row>
    <row r="7804" spans="1:9" x14ac:dyDescent="0.3">
      <c r="A7804" t="s">
        <v>5</v>
      </c>
      <c r="B7804" t="s">
        <v>20</v>
      </c>
      <c r="C7804" t="s">
        <v>64</v>
      </c>
      <c r="D7804" s="9" t="s">
        <v>60</v>
      </c>
      <c r="E7804" t="s">
        <v>34</v>
      </c>
      <c r="F7804" t="s">
        <v>65</v>
      </c>
      <c r="G7804">
        <v>115.8</v>
      </c>
      <c r="I7804"/>
    </row>
    <row r="7805" spans="1:9" x14ac:dyDescent="0.3">
      <c r="A7805" t="s">
        <v>5</v>
      </c>
      <c r="B7805" t="s">
        <v>20</v>
      </c>
      <c r="C7805" t="s">
        <v>66</v>
      </c>
      <c r="D7805" s="9" t="s">
        <v>60</v>
      </c>
      <c r="E7805" t="s">
        <v>35</v>
      </c>
      <c r="F7805" t="s">
        <v>67</v>
      </c>
      <c r="G7805">
        <v>106.1</v>
      </c>
      <c r="I7805"/>
    </row>
    <row r="7806" spans="1:9" x14ac:dyDescent="0.3">
      <c r="A7806" t="s">
        <v>5</v>
      </c>
      <c r="B7806" t="s">
        <v>20</v>
      </c>
      <c r="C7806" t="s">
        <v>68</v>
      </c>
      <c r="D7806" s="9" t="s">
        <v>60</v>
      </c>
      <c r="E7806" t="s">
        <v>36</v>
      </c>
      <c r="F7806" t="s">
        <v>69</v>
      </c>
      <c r="G7806">
        <v>118.3</v>
      </c>
      <c r="I7806"/>
    </row>
    <row r="7807" spans="1:9" x14ac:dyDescent="0.3">
      <c r="A7807" t="s">
        <v>5</v>
      </c>
      <c r="B7807" t="s">
        <v>20</v>
      </c>
      <c r="C7807" t="s">
        <v>70</v>
      </c>
      <c r="D7807" s="9" t="s">
        <v>60</v>
      </c>
      <c r="E7807" t="s">
        <v>37</v>
      </c>
      <c r="F7807" t="s">
        <v>71</v>
      </c>
      <c r="G7807">
        <v>125.5</v>
      </c>
      <c r="I7807"/>
    </row>
    <row r="7808" spans="1:9" x14ac:dyDescent="0.3">
      <c r="A7808" t="s">
        <v>5</v>
      </c>
      <c r="B7808" t="s">
        <v>20</v>
      </c>
      <c r="C7808" t="s">
        <v>72</v>
      </c>
      <c r="D7808" s="9" t="s">
        <v>60</v>
      </c>
      <c r="E7808" t="s">
        <v>38</v>
      </c>
      <c r="F7808" t="s">
        <v>73</v>
      </c>
      <c r="G7808">
        <v>127.2</v>
      </c>
      <c r="I7808"/>
    </row>
    <row r="7809" spans="1:9" x14ac:dyDescent="0.3">
      <c r="A7809" t="s">
        <v>5</v>
      </c>
      <c r="B7809" t="s">
        <v>20</v>
      </c>
      <c r="C7809" t="s">
        <v>74</v>
      </c>
      <c r="D7809" s="9" t="s">
        <v>60</v>
      </c>
      <c r="E7809" t="s">
        <v>39</v>
      </c>
      <c r="F7809" t="s">
        <v>75</v>
      </c>
      <c r="G7809">
        <v>125.9</v>
      </c>
      <c r="I7809"/>
    </row>
    <row r="7810" spans="1:9" x14ac:dyDescent="0.3">
      <c r="A7810" t="s">
        <v>5</v>
      </c>
      <c r="B7810" t="s">
        <v>20</v>
      </c>
      <c r="C7810" t="s">
        <v>76</v>
      </c>
      <c r="D7810" s="9" t="s">
        <v>60</v>
      </c>
      <c r="E7810" t="s">
        <v>40</v>
      </c>
      <c r="F7810" t="s">
        <v>77</v>
      </c>
      <c r="G7810">
        <v>116.9</v>
      </c>
      <c r="I7810"/>
    </row>
    <row r="7811" spans="1:9" x14ac:dyDescent="0.3">
      <c r="A7811" t="s">
        <v>5</v>
      </c>
      <c r="B7811" t="s">
        <v>20</v>
      </c>
      <c r="C7811" t="s">
        <v>78</v>
      </c>
      <c r="D7811" s="9" t="s">
        <v>60</v>
      </c>
      <c r="E7811" t="s">
        <v>41</v>
      </c>
      <c r="F7811" t="s">
        <v>79</v>
      </c>
      <c r="G7811">
        <v>134.5</v>
      </c>
      <c r="I7811"/>
    </row>
    <row r="7812" spans="1:9" x14ac:dyDescent="0.3">
      <c r="A7812" t="s">
        <v>5</v>
      </c>
      <c r="B7812" t="s">
        <v>20</v>
      </c>
      <c r="C7812" t="s">
        <v>80</v>
      </c>
      <c r="D7812" s="9" t="s">
        <v>60</v>
      </c>
      <c r="E7812" t="s">
        <v>42</v>
      </c>
      <c r="F7812" t="s">
        <v>81</v>
      </c>
      <c r="G7812">
        <v>132.1</v>
      </c>
      <c r="I7812"/>
    </row>
    <row r="7813" spans="1:9" x14ac:dyDescent="0.3">
      <c r="A7813" t="s">
        <v>5</v>
      </c>
      <c r="B7813" t="s">
        <v>20</v>
      </c>
      <c r="C7813" t="s">
        <v>82</v>
      </c>
      <c r="D7813" s="9" t="s">
        <v>60</v>
      </c>
      <c r="E7813" t="s">
        <v>43</v>
      </c>
      <c r="F7813" t="s">
        <v>83</v>
      </c>
      <c r="G7813">
        <v>145.80000000000001</v>
      </c>
      <c r="I7813"/>
    </row>
    <row r="7814" spans="1:9" x14ac:dyDescent="0.3">
      <c r="A7814" t="s">
        <v>5</v>
      </c>
      <c r="B7814" t="s">
        <v>20</v>
      </c>
      <c r="C7814" t="s">
        <v>84</v>
      </c>
      <c r="D7814" s="9" t="s">
        <v>85</v>
      </c>
      <c r="E7814" t="s">
        <v>32</v>
      </c>
      <c r="F7814" t="s">
        <v>61</v>
      </c>
      <c r="G7814">
        <v>120.1</v>
      </c>
      <c r="H7814" s="9">
        <v>-2.83</v>
      </c>
      <c r="I7814"/>
    </row>
    <row r="7815" spans="1:9" x14ac:dyDescent="0.3">
      <c r="A7815" t="s">
        <v>5</v>
      </c>
      <c r="B7815" t="s">
        <v>20</v>
      </c>
      <c r="C7815" t="s">
        <v>86</v>
      </c>
      <c r="D7815" s="9" t="s">
        <v>85</v>
      </c>
      <c r="E7815" t="s">
        <v>33</v>
      </c>
      <c r="F7815" t="s">
        <v>63</v>
      </c>
      <c r="G7815">
        <v>109.4</v>
      </c>
      <c r="H7815" s="9">
        <v>5.6</v>
      </c>
      <c r="I7815"/>
    </row>
    <row r="7816" spans="1:9" x14ac:dyDescent="0.3">
      <c r="A7816" t="s">
        <v>5</v>
      </c>
      <c r="B7816" t="s">
        <v>20</v>
      </c>
      <c r="C7816" t="s">
        <v>87</v>
      </c>
      <c r="D7816" s="9" t="s">
        <v>85</v>
      </c>
      <c r="E7816" t="s">
        <v>34</v>
      </c>
      <c r="F7816" t="s">
        <v>65</v>
      </c>
      <c r="G7816">
        <v>110.4</v>
      </c>
      <c r="H7816" s="9">
        <v>-4.66</v>
      </c>
      <c r="I7816"/>
    </row>
    <row r="7817" spans="1:9" x14ac:dyDescent="0.3">
      <c r="A7817" t="s">
        <v>5</v>
      </c>
      <c r="B7817" t="s">
        <v>20</v>
      </c>
      <c r="C7817" t="s">
        <v>88</v>
      </c>
      <c r="D7817" s="9" t="s">
        <v>85</v>
      </c>
      <c r="E7817" t="s">
        <v>35</v>
      </c>
      <c r="F7817" t="s">
        <v>67</v>
      </c>
      <c r="G7817">
        <v>100.5</v>
      </c>
      <c r="H7817" s="9">
        <v>-5.28</v>
      </c>
      <c r="I7817"/>
    </row>
    <row r="7818" spans="1:9" x14ac:dyDescent="0.3">
      <c r="A7818" t="s">
        <v>5</v>
      </c>
      <c r="B7818" t="s">
        <v>20</v>
      </c>
      <c r="C7818" t="s">
        <v>89</v>
      </c>
      <c r="D7818" s="9" t="s">
        <v>85</v>
      </c>
      <c r="E7818" t="s">
        <v>36</v>
      </c>
      <c r="F7818" t="s">
        <v>69</v>
      </c>
      <c r="G7818">
        <v>153.4</v>
      </c>
      <c r="H7818" s="9">
        <v>29.67</v>
      </c>
      <c r="I7818"/>
    </row>
    <row r="7819" spans="1:9" x14ac:dyDescent="0.3">
      <c r="A7819" t="s">
        <v>5</v>
      </c>
      <c r="B7819" t="s">
        <v>20</v>
      </c>
      <c r="C7819" t="s">
        <v>90</v>
      </c>
      <c r="D7819" s="9" t="s">
        <v>85</v>
      </c>
      <c r="E7819" t="s">
        <v>37</v>
      </c>
      <c r="F7819" t="s">
        <v>71</v>
      </c>
      <c r="G7819">
        <v>166.7</v>
      </c>
      <c r="H7819" s="9">
        <v>32.83</v>
      </c>
      <c r="I7819"/>
    </row>
    <row r="7820" spans="1:9" x14ac:dyDescent="0.3">
      <c r="A7820" t="s">
        <v>5</v>
      </c>
      <c r="B7820" t="s">
        <v>20</v>
      </c>
      <c r="C7820" t="s">
        <v>91</v>
      </c>
      <c r="D7820" s="9" t="s">
        <v>85</v>
      </c>
      <c r="E7820" t="s">
        <v>38</v>
      </c>
      <c r="F7820" t="s">
        <v>73</v>
      </c>
      <c r="G7820">
        <v>178.6</v>
      </c>
      <c r="H7820" s="9">
        <v>40.409999999999997</v>
      </c>
      <c r="I7820"/>
    </row>
    <row r="7821" spans="1:9" x14ac:dyDescent="0.3">
      <c r="A7821" t="s">
        <v>5</v>
      </c>
      <c r="B7821" t="s">
        <v>20</v>
      </c>
      <c r="C7821" t="s">
        <v>92</v>
      </c>
      <c r="D7821" s="9" t="s">
        <v>85</v>
      </c>
      <c r="E7821" t="s">
        <v>39</v>
      </c>
      <c r="F7821" t="s">
        <v>75</v>
      </c>
      <c r="G7821">
        <v>175.4</v>
      </c>
      <c r="H7821" s="9">
        <v>39.32</v>
      </c>
      <c r="I7821"/>
    </row>
    <row r="7822" spans="1:9" x14ac:dyDescent="0.3">
      <c r="A7822" t="s">
        <v>5</v>
      </c>
      <c r="B7822" t="s">
        <v>20</v>
      </c>
      <c r="C7822" t="s">
        <v>93</v>
      </c>
      <c r="D7822" s="9" t="s">
        <v>85</v>
      </c>
      <c r="E7822" t="s">
        <v>40</v>
      </c>
      <c r="F7822" t="s">
        <v>77</v>
      </c>
      <c r="G7822">
        <v>166.2</v>
      </c>
      <c r="H7822" s="9">
        <v>42.17</v>
      </c>
      <c r="I7822"/>
    </row>
    <row r="7823" spans="1:9" x14ac:dyDescent="0.3">
      <c r="A7823" t="s">
        <v>5</v>
      </c>
      <c r="B7823" t="s">
        <v>20</v>
      </c>
      <c r="C7823" t="s">
        <v>94</v>
      </c>
      <c r="D7823" s="9" t="s">
        <v>85</v>
      </c>
      <c r="E7823" t="s">
        <v>41</v>
      </c>
      <c r="F7823" t="s">
        <v>79</v>
      </c>
      <c r="G7823">
        <v>173.9</v>
      </c>
      <c r="H7823" s="9">
        <v>29.29</v>
      </c>
      <c r="I7823"/>
    </row>
    <row r="7824" spans="1:9" x14ac:dyDescent="0.3">
      <c r="A7824" t="s">
        <v>5</v>
      </c>
      <c r="B7824" t="s">
        <v>20</v>
      </c>
      <c r="C7824" t="s">
        <v>95</v>
      </c>
      <c r="D7824" s="9" t="s">
        <v>85</v>
      </c>
      <c r="E7824" t="s">
        <v>42</v>
      </c>
      <c r="F7824" t="s">
        <v>81</v>
      </c>
      <c r="G7824">
        <v>176.7</v>
      </c>
      <c r="H7824" s="9">
        <v>33.76</v>
      </c>
      <c r="I7824"/>
    </row>
    <row r="7825" spans="1:9" x14ac:dyDescent="0.3">
      <c r="A7825" t="s">
        <v>5</v>
      </c>
      <c r="B7825" t="s">
        <v>20</v>
      </c>
      <c r="C7825" t="s">
        <v>96</v>
      </c>
      <c r="D7825" s="9" t="s">
        <v>85</v>
      </c>
      <c r="E7825" t="s">
        <v>43</v>
      </c>
      <c r="F7825" t="s">
        <v>83</v>
      </c>
      <c r="G7825">
        <v>191.3</v>
      </c>
      <c r="H7825" s="9">
        <v>31.21</v>
      </c>
      <c r="I7825"/>
    </row>
    <row r="7826" spans="1:9" x14ac:dyDescent="0.3">
      <c r="A7826" t="s">
        <v>5</v>
      </c>
      <c r="B7826" t="s">
        <v>20</v>
      </c>
      <c r="C7826" t="s">
        <v>97</v>
      </c>
      <c r="D7826" s="9" t="s">
        <v>98</v>
      </c>
      <c r="E7826" t="s">
        <v>32</v>
      </c>
      <c r="F7826" t="s">
        <v>61</v>
      </c>
      <c r="G7826">
        <v>160.4</v>
      </c>
      <c r="H7826" s="9">
        <v>33.56</v>
      </c>
      <c r="I7826"/>
    </row>
    <row r="7827" spans="1:9" x14ac:dyDescent="0.3">
      <c r="A7827" t="s">
        <v>5</v>
      </c>
      <c r="B7827" t="s">
        <v>20</v>
      </c>
      <c r="C7827" t="s">
        <v>99</v>
      </c>
      <c r="D7827" s="9" t="s">
        <v>98</v>
      </c>
      <c r="E7827" t="s">
        <v>33</v>
      </c>
      <c r="F7827" t="s">
        <v>63</v>
      </c>
      <c r="G7827">
        <v>137.9</v>
      </c>
      <c r="H7827" s="9">
        <v>26.05</v>
      </c>
      <c r="I7827"/>
    </row>
    <row r="7828" spans="1:9" x14ac:dyDescent="0.3">
      <c r="A7828" t="s">
        <v>5</v>
      </c>
      <c r="B7828" t="s">
        <v>20</v>
      </c>
      <c r="C7828" t="s">
        <v>100</v>
      </c>
      <c r="D7828" s="9" t="s">
        <v>98</v>
      </c>
      <c r="E7828" t="s">
        <v>34</v>
      </c>
      <c r="F7828" t="s">
        <v>65</v>
      </c>
      <c r="G7828">
        <v>164.3</v>
      </c>
      <c r="H7828" s="9">
        <v>48.82</v>
      </c>
      <c r="I7828"/>
    </row>
    <row r="7829" spans="1:9" x14ac:dyDescent="0.3">
      <c r="A7829" t="s">
        <v>5</v>
      </c>
      <c r="B7829" t="s">
        <v>20</v>
      </c>
      <c r="C7829" t="s">
        <v>101</v>
      </c>
      <c r="D7829" s="9" t="s">
        <v>98</v>
      </c>
      <c r="E7829" t="s">
        <v>35</v>
      </c>
      <c r="F7829" t="s">
        <v>67</v>
      </c>
      <c r="G7829">
        <v>153.19999999999999</v>
      </c>
      <c r="H7829" s="9">
        <v>52.44</v>
      </c>
      <c r="I7829"/>
    </row>
    <row r="7830" spans="1:9" x14ac:dyDescent="0.3">
      <c r="A7830" t="s">
        <v>5</v>
      </c>
      <c r="B7830" t="s">
        <v>20</v>
      </c>
      <c r="C7830" t="s">
        <v>102</v>
      </c>
      <c r="D7830" s="9" t="s">
        <v>98</v>
      </c>
      <c r="E7830" t="s">
        <v>36</v>
      </c>
      <c r="F7830" t="s">
        <v>69</v>
      </c>
      <c r="G7830">
        <v>172.9</v>
      </c>
      <c r="H7830" s="9">
        <v>12.71</v>
      </c>
      <c r="I7830"/>
    </row>
    <row r="7831" spans="1:9" x14ac:dyDescent="0.3">
      <c r="A7831" t="s">
        <v>5</v>
      </c>
      <c r="B7831" t="s">
        <v>20</v>
      </c>
      <c r="C7831" t="s">
        <v>103</v>
      </c>
      <c r="D7831" s="9" t="s">
        <v>98</v>
      </c>
      <c r="E7831" t="s">
        <v>37</v>
      </c>
      <c r="F7831" t="s">
        <v>71</v>
      </c>
      <c r="G7831">
        <v>175.7</v>
      </c>
      <c r="H7831" s="9">
        <v>5.4</v>
      </c>
      <c r="I7831"/>
    </row>
    <row r="7832" spans="1:9" x14ac:dyDescent="0.3">
      <c r="A7832" t="s">
        <v>5</v>
      </c>
      <c r="B7832" t="s">
        <v>20</v>
      </c>
      <c r="C7832" t="s">
        <v>104</v>
      </c>
      <c r="D7832" s="9" t="s">
        <v>98</v>
      </c>
      <c r="E7832" t="s">
        <v>38</v>
      </c>
      <c r="F7832" t="s">
        <v>73</v>
      </c>
      <c r="G7832">
        <v>182.6</v>
      </c>
      <c r="H7832" s="9">
        <v>2.2400000000000002</v>
      </c>
      <c r="I7832"/>
    </row>
    <row r="7833" spans="1:9" x14ac:dyDescent="0.3">
      <c r="A7833" t="s">
        <v>5</v>
      </c>
      <c r="B7833" t="s">
        <v>20</v>
      </c>
      <c r="C7833" t="s">
        <v>105</v>
      </c>
      <c r="D7833" s="9" t="s">
        <v>98</v>
      </c>
      <c r="E7833" t="s">
        <v>39</v>
      </c>
      <c r="F7833" t="s">
        <v>75</v>
      </c>
      <c r="G7833">
        <v>186.4</v>
      </c>
      <c r="H7833" s="9">
        <v>6.27</v>
      </c>
      <c r="I7833"/>
    </row>
    <row r="7834" spans="1:9" x14ac:dyDescent="0.3">
      <c r="A7834" t="s">
        <v>5</v>
      </c>
      <c r="B7834" t="s">
        <v>20</v>
      </c>
      <c r="C7834" t="s">
        <v>106</v>
      </c>
      <c r="D7834" s="9" t="s">
        <v>98</v>
      </c>
      <c r="E7834" t="s">
        <v>40</v>
      </c>
      <c r="F7834" t="s">
        <v>77</v>
      </c>
      <c r="G7834">
        <v>179.3</v>
      </c>
      <c r="H7834" s="9">
        <v>7.88</v>
      </c>
      <c r="I7834"/>
    </row>
    <row r="7835" spans="1:9" x14ac:dyDescent="0.3">
      <c r="A7835" t="s">
        <v>5</v>
      </c>
      <c r="B7835" t="s">
        <v>20</v>
      </c>
      <c r="C7835" t="s">
        <v>107</v>
      </c>
      <c r="D7835" s="9" t="s">
        <v>98</v>
      </c>
      <c r="E7835" t="s">
        <v>41</v>
      </c>
      <c r="F7835" t="s">
        <v>79</v>
      </c>
      <c r="G7835">
        <v>182.2</v>
      </c>
      <c r="H7835" s="9">
        <v>4.7699999999999996</v>
      </c>
      <c r="I7835"/>
    </row>
    <row r="7836" spans="1:9" x14ac:dyDescent="0.3">
      <c r="A7836" t="s">
        <v>5</v>
      </c>
      <c r="B7836" t="s">
        <v>20</v>
      </c>
      <c r="C7836" t="s">
        <v>108</v>
      </c>
      <c r="D7836" s="9" t="s">
        <v>98</v>
      </c>
      <c r="E7836" t="s">
        <v>42</v>
      </c>
      <c r="F7836" t="s">
        <v>81</v>
      </c>
      <c r="G7836">
        <v>195.1</v>
      </c>
      <c r="H7836" s="9">
        <v>10.41</v>
      </c>
      <c r="I7836"/>
    </row>
    <row r="7837" spans="1:9" x14ac:dyDescent="0.3">
      <c r="A7837" t="s">
        <v>5</v>
      </c>
      <c r="B7837" t="s">
        <v>20</v>
      </c>
      <c r="C7837" t="s">
        <v>109</v>
      </c>
      <c r="D7837" s="9" t="s">
        <v>98</v>
      </c>
      <c r="E7837" t="s">
        <v>43</v>
      </c>
      <c r="F7837" t="s">
        <v>83</v>
      </c>
      <c r="G7837">
        <v>203.1</v>
      </c>
      <c r="H7837" s="9">
        <v>6.17</v>
      </c>
      <c r="I7837"/>
    </row>
    <row r="7838" spans="1:9" x14ac:dyDescent="0.3">
      <c r="A7838" t="s">
        <v>5</v>
      </c>
      <c r="B7838" t="s">
        <v>20</v>
      </c>
      <c r="C7838" t="s">
        <v>110</v>
      </c>
      <c r="D7838" s="9" t="s">
        <v>111</v>
      </c>
      <c r="E7838" t="s">
        <v>32</v>
      </c>
      <c r="F7838" t="s">
        <v>61</v>
      </c>
      <c r="G7838">
        <v>160.5</v>
      </c>
      <c r="H7838" s="9">
        <v>0.06</v>
      </c>
      <c r="I7838"/>
    </row>
    <row r="7839" spans="1:9" x14ac:dyDescent="0.3">
      <c r="A7839" t="s">
        <v>5</v>
      </c>
      <c r="B7839" t="s">
        <v>20</v>
      </c>
      <c r="C7839" t="s">
        <v>112</v>
      </c>
      <c r="D7839" s="9" t="s">
        <v>111</v>
      </c>
      <c r="E7839" t="s">
        <v>33</v>
      </c>
      <c r="F7839" t="s">
        <v>63</v>
      </c>
      <c r="G7839">
        <v>141.9</v>
      </c>
      <c r="H7839" s="9">
        <v>2.9</v>
      </c>
      <c r="I7839"/>
    </row>
    <row r="7840" spans="1:9" x14ac:dyDescent="0.3">
      <c r="A7840" t="s">
        <v>5</v>
      </c>
      <c r="B7840" t="s">
        <v>20</v>
      </c>
      <c r="C7840" t="s">
        <v>113</v>
      </c>
      <c r="D7840" s="9" t="s">
        <v>111</v>
      </c>
      <c r="E7840" t="s">
        <v>34</v>
      </c>
      <c r="F7840" t="s">
        <v>65</v>
      </c>
      <c r="G7840">
        <v>169.8</v>
      </c>
      <c r="H7840" s="9">
        <v>3.35</v>
      </c>
      <c r="I7840"/>
    </row>
    <row r="7841" spans="1:9" x14ac:dyDescent="0.3">
      <c r="A7841" t="s">
        <v>5</v>
      </c>
      <c r="B7841" t="s">
        <v>20</v>
      </c>
      <c r="C7841" t="s">
        <v>114</v>
      </c>
      <c r="D7841" s="9" t="s">
        <v>111</v>
      </c>
      <c r="E7841" t="s">
        <v>35</v>
      </c>
      <c r="F7841" t="s">
        <v>67</v>
      </c>
      <c r="G7841">
        <v>148.9</v>
      </c>
      <c r="H7841" s="9">
        <v>-2.81</v>
      </c>
      <c r="I7841"/>
    </row>
    <row r="7842" spans="1:9" x14ac:dyDescent="0.3">
      <c r="A7842" t="s">
        <v>5</v>
      </c>
      <c r="B7842" t="s">
        <v>20</v>
      </c>
      <c r="C7842" t="s">
        <v>115</v>
      </c>
      <c r="D7842" s="9" t="s">
        <v>111</v>
      </c>
      <c r="E7842" t="s">
        <v>36</v>
      </c>
      <c r="F7842" t="s">
        <v>69</v>
      </c>
      <c r="G7842">
        <v>172.2</v>
      </c>
      <c r="H7842" s="9">
        <v>-0.4</v>
      </c>
      <c r="I7842"/>
    </row>
    <row r="7843" spans="1:9" x14ac:dyDescent="0.3">
      <c r="A7843" t="s">
        <v>5</v>
      </c>
      <c r="B7843" t="s">
        <v>20</v>
      </c>
      <c r="C7843" t="s">
        <v>116</v>
      </c>
      <c r="D7843" s="9" t="s">
        <v>111</v>
      </c>
      <c r="E7843" t="s">
        <v>37</v>
      </c>
      <c r="F7843" t="s">
        <v>71</v>
      </c>
      <c r="G7843">
        <v>177.8</v>
      </c>
      <c r="H7843" s="9">
        <v>1.2</v>
      </c>
      <c r="I7843"/>
    </row>
    <row r="7844" spans="1:9" x14ac:dyDescent="0.3">
      <c r="A7844" t="s">
        <v>5</v>
      </c>
      <c r="B7844" t="s">
        <v>20</v>
      </c>
      <c r="C7844" t="s">
        <v>117</v>
      </c>
      <c r="D7844" s="9" t="s">
        <v>111</v>
      </c>
      <c r="E7844" t="s">
        <v>38</v>
      </c>
      <c r="F7844" t="s">
        <v>73</v>
      </c>
      <c r="G7844">
        <v>178.6</v>
      </c>
      <c r="H7844" s="9">
        <v>-2.19</v>
      </c>
      <c r="I7844"/>
    </row>
    <row r="7845" spans="1:9" x14ac:dyDescent="0.3">
      <c r="A7845" t="s">
        <v>5</v>
      </c>
      <c r="B7845" t="s">
        <v>20</v>
      </c>
      <c r="C7845" t="s">
        <v>118</v>
      </c>
      <c r="D7845" s="9" t="s">
        <v>111</v>
      </c>
      <c r="E7845" t="s">
        <v>39</v>
      </c>
      <c r="F7845" t="s">
        <v>75</v>
      </c>
      <c r="G7845">
        <v>184.3</v>
      </c>
      <c r="H7845" s="9">
        <v>-1.1299999999999999</v>
      </c>
      <c r="I7845"/>
    </row>
    <row r="7846" spans="1:9" x14ac:dyDescent="0.3">
      <c r="A7846" t="s">
        <v>5</v>
      </c>
      <c r="B7846" t="s">
        <v>20</v>
      </c>
      <c r="C7846" t="s">
        <v>119</v>
      </c>
      <c r="D7846" s="9" t="s">
        <v>111</v>
      </c>
      <c r="E7846" t="s">
        <v>40</v>
      </c>
      <c r="F7846" t="s">
        <v>77</v>
      </c>
      <c r="G7846">
        <v>170.4</v>
      </c>
      <c r="H7846" s="9">
        <v>-4.96</v>
      </c>
      <c r="I7846"/>
    </row>
    <row r="7847" spans="1:9" x14ac:dyDescent="0.3">
      <c r="A7847" t="s">
        <v>5</v>
      </c>
      <c r="B7847" t="s">
        <v>20</v>
      </c>
      <c r="C7847" t="s">
        <v>120</v>
      </c>
      <c r="D7847" s="9" t="s">
        <v>111</v>
      </c>
      <c r="E7847" t="s">
        <v>41</v>
      </c>
      <c r="F7847" t="s">
        <v>79</v>
      </c>
      <c r="G7847">
        <v>188.1</v>
      </c>
      <c r="H7847" s="9">
        <v>3.24</v>
      </c>
      <c r="I7847"/>
    </row>
    <row r="7848" spans="1:9" x14ac:dyDescent="0.3">
      <c r="A7848" t="s">
        <v>5</v>
      </c>
      <c r="B7848" t="s">
        <v>20</v>
      </c>
      <c r="C7848" t="s">
        <v>121</v>
      </c>
      <c r="D7848" s="9" t="s">
        <v>111</v>
      </c>
      <c r="E7848" t="s">
        <v>42</v>
      </c>
      <c r="F7848" t="s">
        <v>81</v>
      </c>
      <c r="G7848">
        <v>213.6</v>
      </c>
      <c r="H7848" s="9">
        <v>9.48</v>
      </c>
      <c r="I7848"/>
    </row>
    <row r="7849" spans="1:9" x14ac:dyDescent="0.3">
      <c r="A7849" t="s">
        <v>5</v>
      </c>
      <c r="B7849" t="s">
        <v>20</v>
      </c>
      <c r="C7849" t="s">
        <v>122</v>
      </c>
      <c r="D7849" s="9" t="s">
        <v>111</v>
      </c>
      <c r="E7849" t="s">
        <v>43</v>
      </c>
      <c r="F7849" t="s">
        <v>83</v>
      </c>
      <c r="G7849">
        <v>215.1</v>
      </c>
      <c r="H7849" s="9">
        <v>5.91</v>
      </c>
      <c r="I7849"/>
    </row>
    <row r="7850" spans="1:9" x14ac:dyDescent="0.3">
      <c r="A7850" t="s">
        <v>5</v>
      </c>
      <c r="B7850" t="s">
        <v>20</v>
      </c>
      <c r="C7850" t="s">
        <v>123</v>
      </c>
      <c r="D7850" s="9" t="s">
        <v>124</v>
      </c>
      <c r="E7850" t="s">
        <v>32</v>
      </c>
      <c r="F7850" t="s">
        <v>61</v>
      </c>
      <c r="G7850">
        <v>171.4</v>
      </c>
      <c r="H7850" s="9">
        <v>6.79</v>
      </c>
      <c r="I7850"/>
    </row>
    <row r="7851" spans="1:9" x14ac:dyDescent="0.3">
      <c r="A7851" t="s">
        <v>5</v>
      </c>
      <c r="B7851" t="s">
        <v>20</v>
      </c>
      <c r="C7851" t="s">
        <v>125</v>
      </c>
      <c r="D7851" s="9" t="s">
        <v>124</v>
      </c>
      <c r="E7851" t="s">
        <v>33</v>
      </c>
      <c r="F7851" t="s">
        <v>63</v>
      </c>
      <c r="G7851">
        <v>149.80000000000001</v>
      </c>
      <c r="H7851" s="9">
        <v>5.57</v>
      </c>
      <c r="I7851"/>
    </row>
    <row r="7852" spans="1:9" x14ac:dyDescent="0.3">
      <c r="A7852" t="s">
        <v>5</v>
      </c>
      <c r="B7852" t="s">
        <v>20</v>
      </c>
      <c r="C7852" t="s">
        <v>126</v>
      </c>
      <c r="D7852" s="9" t="s">
        <v>124</v>
      </c>
      <c r="E7852" t="s">
        <v>34</v>
      </c>
      <c r="F7852" t="s">
        <v>65</v>
      </c>
      <c r="G7852">
        <v>166.3</v>
      </c>
      <c r="H7852" s="9">
        <v>-2.06</v>
      </c>
      <c r="I7852"/>
    </row>
    <row r="7853" spans="1:9" x14ac:dyDescent="0.3">
      <c r="A7853" t="s">
        <v>5</v>
      </c>
      <c r="B7853" t="s">
        <v>20</v>
      </c>
      <c r="C7853" t="s">
        <v>127</v>
      </c>
      <c r="D7853" s="9" t="s">
        <v>124</v>
      </c>
      <c r="E7853" t="s">
        <v>35</v>
      </c>
      <c r="F7853" t="s">
        <v>67</v>
      </c>
      <c r="G7853">
        <v>160.80000000000001</v>
      </c>
      <c r="H7853" s="9">
        <v>7.99</v>
      </c>
      <c r="I7853"/>
    </row>
    <row r="7854" spans="1:9" x14ac:dyDescent="0.3">
      <c r="A7854" t="s">
        <v>5</v>
      </c>
      <c r="B7854" t="s">
        <v>20</v>
      </c>
      <c r="C7854" t="s">
        <v>128</v>
      </c>
      <c r="D7854" s="9" t="s">
        <v>124</v>
      </c>
      <c r="E7854" t="s">
        <v>36</v>
      </c>
      <c r="F7854" t="s">
        <v>69</v>
      </c>
      <c r="G7854">
        <v>169</v>
      </c>
      <c r="H7854" s="9">
        <v>-1.86</v>
      </c>
      <c r="I7854"/>
    </row>
    <row r="7855" spans="1:9" x14ac:dyDescent="0.3">
      <c r="A7855" t="s">
        <v>5</v>
      </c>
      <c r="B7855" t="s">
        <v>20</v>
      </c>
      <c r="C7855" t="s">
        <v>129</v>
      </c>
      <c r="D7855" s="9" t="s">
        <v>124</v>
      </c>
      <c r="E7855" t="s">
        <v>37</v>
      </c>
      <c r="F7855" t="s">
        <v>71</v>
      </c>
      <c r="G7855">
        <v>171.7</v>
      </c>
      <c r="H7855" s="9">
        <v>-3.43</v>
      </c>
      <c r="I7855"/>
    </row>
    <row r="7856" spans="1:9" x14ac:dyDescent="0.3">
      <c r="A7856" t="s">
        <v>5</v>
      </c>
      <c r="B7856" t="s">
        <v>20</v>
      </c>
      <c r="C7856" t="s">
        <v>130</v>
      </c>
      <c r="D7856" s="9" t="s">
        <v>124</v>
      </c>
      <c r="E7856" t="s">
        <v>38</v>
      </c>
      <c r="F7856" t="s">
        <v>73</v>
      </c>
      <c r="G7856">
        <v>165.9</v>
      </c>
      <c r="H7856" s="9">
        <v>-7.11</v>
      </c>
      <c r="I7856"/>
    </row>
    <row r="7857" spans="1:9" x14ac:dyDescent="0.3">
      <c r="A7857" t="s">
        <v>5</v>
      </c>
      <c r="B7857" t="s">
        <v>20</v>
      </c>
      <c r="C7857" t="s">
        <v>131</v>
      </c>
      <c r="D7857" s="9" t="s">
        <v>124</v>
      </c>
      <c r="E7857" t="s">
        <v>39</v>
      </c>
      <c r="F7857" t="s">
        <v>75</v>
      </c>
      <c r="G7857">
        <v>169.3</v>
      </c>
      <c r="H7857" s="9">
        <v>-8.14</v>
      </c>
      <c r="I7857"/>
    </row>
    <row r="7858" spans="1:9" x14ac:dyDescent="0.3">
      <c r="A7858" t="s">
        <v>5</v>
      </c>
      <c r="B7858" t="s">
        <v>20</v>
      </c>
      <c r="C7858" t="s">
        <v>132</v>
      </c>
      <c r="D7858" s="9" t="s">
        <v>124</v>
      </c>
      <c r="E7858" t="s">
        <v>40</v>
      </c>
      <c r="F7858" t="s">
        <v>77</v>
      </c>
      <c r="G7858">
        <v>161.69999999999999</v>
      </c>
      <c r="H7858" s="9">
        <v>-5.1100000000000003</v>
      </c>
      <c r="I7858"/>
    </row>
    <row r="7859" spans="1:9" x14ac:dyDescent="0.3">
      <c r="A7859" t="s">
        <v>5</v>
      </c>
      <c r="B7859" t="s">
        <v>20</v>
      </c>
      <c r="C7859" t="s">
        <v>133</v>
      </c>
      <c r="D7859" s="9" t="s">
        <v>124</v>
      </c>
      <c r="E7859" t="s">
        <v>41</v>
      </c>
      <c r="F7859" t="s">
        <v>79</v>
      </c>
      <c r="G7859">
        <v>176.4</v>
      </c>
      <c r="H7859" s="9">
        <v>-6.22</v>
      </c>
      <c r="I7859"/>
    </row>
    <row r="7860" spans="1:9" x14ac:dyDescent="0.3">
      <c r="A7860" t="s">
        <v>5</v>
      </c>
      <c r="B7860" t="s">
        <v>20</v>
      </c>
      <c r="C7860" t="s">
        <v>134</v>
      </c>
      <c r="D7860" s="9" t="s">
        <v>124</v>
      </c>
      <c r="E7860" t="s">
        <v>42</v>
      </c>
      <c r="F7860" t="s">
        <v>81</v>
      </c>
      <c r="G7860">
        <v>205.3</v>
      </c>
      <c r="H7860" s="9">
        <v>-3.89</v>
      </c>
      <c r="I7860"/>
    </row>
    <row r="7861" spans="1:9" x14ac:dyDescent="0.3">
      <c r="A7861" t="s">
        <v>5</v>
      </c>
      <c r="B7861" t="s">
        <v>20</v>
      </c>
      <c r="C7861" t="s">
        <v>135</v>
      </c>
      <c r="D7861" s="9" t="s">
        <v>124</v>
      </c>
      <c r="E7861" t="s">
        <v>43</v>
      </c>
      <c r="F7861" t="s">
        <v>83</v>
      </c>
      <c r="G7861">
        <v>200.7</v>
      </c>
      <c r="H7861" s="9">
        <v>-6.69</v>
      </c>
      <c r="I7861"/>
    </row>
    <row r="7862" spans="1:9" x14ac:dyDescent="0.3">
      <c r="A7862" t="s">
        <v>5</v>
      </c>
      <c r="B7862" t="s">
        <v>20</v>
      </c>
      <c r="C7862" t="s">
        <v>136</v>
      </c>
      <c r="D7862" s="9" t="s">
        <v>137</v>
      </c>
      <c r="E7862" t="s">
        <v>32</v>
      </c>
      <c r="F7862" t="s">
        <v>61</v>
      </c>
      <c r="G7862">
        <v>165.6</v>
      </c>
      <c r="H7862" s="9">
        <v>-3.38</v>
      </c>
      <c r="I7862"/>
    </row>
    <row r="7863" spans="1:9" x14ac:dyDescent="0.3">
      <c r="A7863" t="s">
        <v>5</v>
      </c>
      <c r="B7863" t="s">
        <v>20</v>
      </c>
      <c r="C7863" t="s">
        <v>138</v>
      </c>
      <c r="D7863" s="9" t="s">
        <v>137</v>
      </c>
      <c r="E7863" t="s">
        <v>33</v>
      </c>
      <c r="F7863" t="s">
        <v>63</v>
      </c>
      <c r="G7863">
        <v>152.69999999999999</v>
      </c>
      <c r="H7863" s="9">
        <v>1.94</v>
      </c>
      <c r="I7863"/>
    </row>
    <row r="7864" spans="1:9" x14ac:dyDescent="0.3">
      <c r="A7864" t="s">
        <v>5</v>
      </c>
      <c r="B7864" t="s">
        <v>20</v>
      </c>
      <c r="C7864" t="s">
        <v>139</v>
      </c>
      <c r="D7864" s="9" t="s">
        <v>137</v>
      </c>
      <c r="E7864" t="s">
        <v>34</v>
      </c>
      <c r="F7864" t="s">
        <v>65</v>
      </c>
      <c r="G7864">
        <v>161.30000000000001</v>
      </c>
      <c r="H7864" s="9">
        <v>-3.01</v>
      </c>
      <c r="I7864"/>
    </row>
    <row r="7865" spans="1:9" x14ac:dyDescent="0.3">
      <c r="A7865" t="s">
        <v>5</v>
      </c>
      <c r="B7865" t="s">
        <v>20</v>
      </c>
      <c r="C7865" t="s">
        <v>140</v>
      </c>
      <c r="D7865" s="9" t="s">
        <v>137</v>
      </c>
      <c r="E7865" t="s">
        <v>35</v>
      </c>
      <c r="F7865" t="s">
        <v>67</v>
      </c>
      <c r="G7865">
        <v>158.4</v>
      </c>
      <c r="H7865" s="9">
        <v>-1.49</v>
      </c>
      <c r="I7865"/>
    </row>
    <row r="7866" spans="1:9" x14ac:dyDescent="0.3">
      <c r="A7866" t="s">
        <v>5</v>
      </c>
      <c r="B7866" t="s">
        <v>20</v>
      </c>
      <c r="C7866" t="s">
        <v>141</v>
      </c>
      <c r="D7866" s="9" t="s">
        <v>137</v>
      </c>
      <c r="E7866" t="s">
        <v>36</v>
      </c>
      <c r="F7866" t="s">
        <v>69</v>
      </c>
      <c r="G7866">
        <v>183.9</v>
      </c>
      <c r="H7866" s="9">
        <v>8.82</v>
      </c>
      <c r="I7866"/>
    </row>
    <row r="7867" spans="1:9" x14ac:dyDescent="0.3">
      <c r="A7867" t="s">
        <v>5</v>
      </c>
      <c r="B7867" t="s">
        <v>20</v>
      </c>
      <c r="C7867" t="s">
        <v>142</v>
      </c>
      <c r="D7867" s="9" t="s">
        <v>137</v>
      </c>
      <c r="E7867" t="s">
        <v>37</v>
      </c>
      <c r="F7867" t="s">
        <v>71</v>
      </c>
      <c r="G7867">
        <v>198.9</v>
      </c>
      <c r="H7867" s="9">
        <v>15.84</v>
      </c>
      <c r="I7867"/>
    </row>
    <row r="7868" spans="1:9" x14ac:dyDescent="0.3">
      <c r="A7868" t="s">
        <v>5</v>
      </c>
      <c r="B7868" t="s">
        <v>20</v>
      </c>
      <c r="C7868" t="s">
        <v>143</v>
      </c>
      <c r="D7868" s="9" t="s">
        <v>137</v>
      </c>
      <c r="E7868" t="s">
        <v>38</v>
      </c>
      <c r="F7868" t="s">
        <v>73</v>
      </c>
      <c r="G7868">
        <v>190.5</v>
      </c>
      <c r="H7868" s="9">
        <v>14.83</v>
      </c>
      <c r="I7868"/>
    </row>
    <row r="7869" spans="1:9" x14ac:dyDescent="0.3">
      <c r="A7869" t="s">
        <v>5</v>
      </c>
      <c r="B7869" t="s">
        <v>20</v>
      </c>
      <c r="C7869" t="s">
        <v>144</v>
      </c>
      <c r="D7869" s="9" t="s">
        <v>137</v>
      </c>
      <c r="E7869" t="s">
        <v>39</v>
      </c>
      <c r="F7869" t="s">
        <v>75</v>
      </c>
      <c r="G7869">
        <v>190.4</v>
      </c>
      <c r="H7869" s="9">
        <v>12.46</v>
      </c>
      <c r="I7869"/>
    </row>
    <row r="7870" spans="1:9" x14ac:dyDescent="0.3">
      <c r="A7870" t="s">
        <v>5</v>
      </c>
      <c r="B7870" t="s">
        <v>20</v>
      </c>
      <c r="C7870" t="s">
        <v>145</v>
      </c>
      <c r="D7870" s="9" t="s">
        <v>137</v>
      </c>
      <c r="E7870" t="s">
        <v>40</v>
      </c>
      <c r="F7870" t="s">
        <v>77</v>
      </c>
      <c r="G7870">
        <v>175.1</v>
      </c>
      <c r="H7870" s="9">
        <v>8.2899999999999991</v>
      </c>
      <c r="I7870"/>
    </row>
    <row r="7871" spans="1:9" x14ac:dyDescent="0.3">
      <c r="A7871" t="s">
        <v>5</v>
      </c>
      <c r="B7871" t="s">
        <v>20</v>
      </c>
      <c r="C7871" t="s">
        <v>146</v>
      </c>
      <c r="D7871" s="9" t="s">
        <v>137</v>
      </c>
      <c r="E7871" t="s">
        <v>41</v>
      </c>
      <c r="F7871" t="s">
        <v>79</v>
      </c>
      <c r="G7871">
        <v>196.6</v>
      </c>
      <c r="H7871" s="9">
        <v>11.45</v>
      </c>
      <c r="I7871"/>
    </row>
    <row r="7872" spans="1:9" x14ac:dyDescent="0.3">
      <c r="A7872" t="s">
        <v>5</v>
      </c>
      <c r="B7872" t="s">
        <v>20</v>
      </c>
      <c r="C7872" t="s">
        <v>147</v>
      </c>
      <c r="D7872" s="9" t="s">
        <v>137</v>
      </c>
      <c r="E7872" t="s">
        <v>42</v>
      </c>
      <c r="F7872" t="s">
        <v>81</v>
      </c>
      <c r="G7872">
        <v>236.1</v>
      </c>
      <c r="H7872" s="9">
        <v>15</v>
      </c>
      <c r="I7872"/>
    </row>
    <row r="7873" spans="1:9" x14ac:dyDescent="0.3">
      <c r="A7873" t="s">
        <v>5</v>
      </c>
      <c r="B7873" t="s">
        <v>20</v>
      </c>
      <c r="C7873" t="s">
        <v>148</v>
      </c>
      <c r="D7873" s="9" t="s">
        <v>137</v>
      </c>
      <c r="E7873" t="s">
        <v>43</v>
      </c>
      <c r="F7873" t="s">
        <v>83</v>
      </c>
      <c r="G7873">
        <v>237.3</v>
      </c>
      <c r="H7873" s="9">
        <v>18.239999999999998</v>
      </c>
      <c r="I7873"/>
    </row>
    <row r="7874" spans="1:9" x14ac:dyDescent="0.3">
      <c r="A7874" t="s">
        <v>5</v>
      </c>
      <c r="B7874" t="s">
        <v>20</v>
      </c>
      <c r="C7874" t="s">
        <v>149</v>
      </c>
      <c r="D7874" s="9" t="s">
        <v>150</v>
      </c>
      <c r="E7874" t="s">
        <v>32</v>
      </c>
      <c r="F7874" t="s">
        <v>61</v>
      </c>
      <c r="G7874">
        <v>184.7</v>
      </c>
      <c r="H7874" s="9">
        <v>11.53</v>
      </c>
      <c r="I7874"/>
    </row>
    <row r="7875" spans="1:9" x14ac:dyDescent="0.3">
      <c r="A7875" t="s">
        <v>5</v>
      </c>
      <c r="B7875" t="s">
        <v>20</v>
      </c>
      <c r="C7875" t="s">
        <v>151</v>
      </c>
      <c r="D7875" s="9" t="s">
        <v>150</v>
      </c>
      <c r="E7875" t="s">
        <v>33</v>
      </c>
      <c r="F7875" t="s">
        <v>63</v>
      </c>
      <c r="G7875">
        <v>158.69999999999999</v>
      </c>
      <c r="H7875" s="9">
        <v>3.93</v>
      </c>
      <c r="I7875"/>
    </row>
    <row r="7876" spans="1:9" x14ac:dyDescent="0.3">
      <c r="A7876" t="s">
        <v>5</v>
      </c>
      <c r="B7876" t="s">
        <v>20</v>
      </c>
      <c r="C7876" t="s">
        <v>152</v>
      </c>
      <c r="D7876" s="9" t="s">
        <v>150</v>
      </c>
      <c r="E7876" t="s">
        <v>34</v>
      </c>
      <c r="F7876" t="s">
        <v>65</v>
      </c>
      <c r="G7876">
        <v>181.2</v>
      </c>
      <c r="H7876" s="9">
        <v>12.34</v>
      </c>
      <c r="I7876"/>
    </row>
    <row r="7877" spans="1:9" x14ac:dyDescent="0.3">
      <c r="A7877" t="s">
        <v>5</v>
      </c>
      <c r="B7877" t="s">
        <v>20</v>
      </c>
      <c r="C7877" t="s">
        <v>153</v>
      </c>
      <c r="D7877" s="9" t="s">
        <v>150</v>
      </c>
      <c r="E7877" t="s">
        <v>35</v>
      </c>
      <c r="F7877" t="s">
        <v>67</v>
      </c>
      <c r="G7877">
        <v>167</v>
      </c>
      <c r="H7877" s="9">
        <v>5.43</v>
      </c>
      <c r="I7877"/>
    </row>
    <row r="7878" spans="1:9" x14ac:dyDescent="0.3">
      <c r="A7878" t="s">
        <v>5</v>
      </c>
      <c r="B7878" t="s">
        <v>20</v>
      </c>
      <c r="C7878" t="s">
        <v>154</v>
      </c>
      <c r="D7878" s="9" t="s">
        <v>150</v>
      </c>
      <c r="E7878" t="s">
        <v>36</v>
      </c>
      <c r="F7878" t="s">
        <v>69</v>
      </c>
      <c r="G7878">
        <v>188.5</v>
      </c>
      <c r="H7878" s="9">
        <v>2.5</v>
      </c>
      <c r="I7878"/>
    </row>
    <row r="7879" spans="1:9" x14ac:dyDescent="0.3">
      <c r="A7879" t="s">
        <v>5</v>
      </c>
      <c r="B7879" t="s">
        <v>20</v>
      </c>
      <c r="C7879" t="s">
        <v>155</v>
      </c>
      <c r="D7879" s="9" t="s">
        <v>150</v>
      </c>
      <c r="E7879" t="s">
        <v>37</v>
      </c>
      <c r="F7879" t="s">
        <v>71</v>
      </c>
      <c r="G7879">
        <v>211.5</v>
      </c>
      <c r="H7879" s="9">
        <v>6.33</v>
      </c>
      <c r="I7879"/>
    </row>
    <row r="7880" spans="1:9" x14ac:dyDescent="0.3">
      <c r="A7880" t="s">
        <v>5</v>
      </c>
      <c r="B7880" t="s">
        <v>15</v>
      </c>
      <c r="C7880" t="s">
        <v>59</v>
      </c>
      <c r="D7880" s="9" t="s">
        <v>60</v>
      </c>
      <c r="E7880" t="s">
        <v>32</v>
      </c>
      <c r="F7880" t="s">
        <v>61</v>
      </c>
      <c r="G7880">
        <v>163.5</v>
      </c>
      <c r="I7880"/>
    </row>
    <row r="7881" spans="1:9" x14ac:dyDescent="0.3">
      <c r="A7881" t="s">
        <v>5</v>
      </c>
      <c r="B7881" t="s">
        <v>15</v>
      </c>
      <c r="C7881" t="s">
        <v>62</v>
      </c>
      <c r="D7881" s="9" t="s">
        <v>60</v>
      </c>
      <c r="E7881" t="s">
        <v>33</v>
      </c>
      <c r="F7881" t="s">
        <v>63</v>
      </c>
      <c r="G7881">
        <v>148.80000000000001</v>
      </c>
      <c r="I7881"/>
    </row>
    <row r="7882" spans="1:9" x14ac:dyDescent="0.3">
      <c r="A7882" t="s">
        <v>5</v>
      </c>
      <c r="B7882" t="s">
        <v>15</v>
      </c>
      <c r="C7882" t="s">
        <v>64</v>
      </c>
      <c r="D7882" s="9" t="s">
        <v>60</v>
      </c>
      <c r="E7882" t="s">
        <v>34</v>
      </c>
      <c r="F7882" t="s">
        <v>65</v>
      </c>
      <c r="G7882">
        <v>161.9</v>
      </c>
      <c r="I7882"/>
    </row>
    <row r="7883" spans="1:9" x14ac:dyDescent="0.3">
      <c r="A7883" t="s">
        <v>5</v>
      </c>
      <c r="B7883" t="s">
        <v>15</v>
      </c>
      <c r="C7883" t="s">
        <v>66</v>
      </c>
      <c r="D7883" s="9" t="s">
        <v>60</v>
      </c>
      <c r="E7883" t="s">
        <v>35</v>
      </c>
      <c r="F7883" t="s">
        <v>67</v>
      </c>
      <c r="G7883">
        <v>153.30000000000001</v>
      </c>
      <c r="I7883"/>
    </row>
    <row r="7884" spans="1:9" x14ac:dyDescent="0.3">
      <c r="A7884" t="s">
        <v>5</v>
      </c>
      <c r="B7884" t="s">
        <v>15</v>
      </c>
      <c r="C7884" t="s">
        <v>68</v>
      </c>
      <c r="D7884" s="9" t="s">
        <v>60</v>
      </c>
      <c r="E7884" t="s">
        <v>36</v>
      </c>
      <c r="F7884" t="s">
        <v>69</v>
      </c>
      <c r="G7884">
        <v>150.9</v>
      </c>
      <c r="I7884"/>
    </row>
    <row r="7885" spans="1:9" x14ac:dyDescent="0.3">
      <c r="A7885" t="s">
        <v>5</v>
      </c>
      <c r="B7885" t="s">
        <v>15</v>
      </c>
      <c r="C7885" t="s">
        <v>70</v>
      </c>
      <c r="D7885" s="9" t="s">
        <v>60</v>
      </c>
      <c r="E7885" t="s">
        <v>37</v>
      </c>
      <c r="F7885" t="s">
        <v>71</v>
      </c>
      <c r="G7885">
        <v>151.19999999999999</v>
      </c>
      <c r="I7885"/>
    </row>
    <row r="7886" spans="1:9" x14ac:dyDescent="0.3">
      <c r="A7886" t="s">
        <v>5</v>
      </c>
      <c r="B7886" t="s">
        <v>15</v>
      </c>
      <c r="C7886" t="s">
        <v>72</v>
      </c>
      <c r="D7886" s="9" t="s">
        <v>60</v>
      </c>
      <c r="E7886" t="s">
        <v>38</v>
      </c>
      <c r="F7886" t="s">
        <v>73</v>
      </c>
      <c r="G7886">
        <v>152.80000000000001</v>
      </c>
      <c r="I7886"/>
    </row>
    <row r="7887" spans="1:9" x14ac:dyDescent="0.3">
      <c r="A7887" t="s">
        <v>5</v>
      </c>
      <c r="B7887" t="s">
        <v>15</v>
      </c>
      <c r="C7887" t="s">
        <v>74</v>
      </c>
      <c r="D7887" s="9" t="s">
        <v>60</v>
      </c>
      <c r="E7887" t="s">
        <v>39</v>
      </c>
      <c r="F7887" t="s">
        <v>75</v>
      </c>
      <c r="G7887">
        <v>160.19999999999999</v>
      </c>
      <c r="I7887"/>
    </row>
    <row r="7888" spans="1:9" x14ac:dyDescent="0.3">
      <c r="A7888" t="s">
        <v>5</v>
      </c>
      <c r="B7888" t="s">
        <v>15</v>
      </c>
      <c r="C7888" t="s">
        <v>76</v>
      </c>
      <c r="D7888" s="9" t="s">
        <v>60</v>
      </c>
      <c r="E7888" t="s">
        <v>40</v>
      </c>
      <c r="F7888" t="s">
        <v>77</v>
      </c>
      <c r="G7888">
        <v>174.3</v>
      </c>
      <c r="I7888"/>
    </row>
    <row r="7889" spans="1:9" x14ac:dyDescent="0.3">
      <c r="A7889" t="s">
        <v>5</v>
      </c>
      <c r="B7889" t="s">
        <v>15</v>
      </c>
      <c r="C7889" t="s">
        <v>78</v>
      </c>
      <c r="D7889" s="9" t="s">
        <v>60</v>
      </c>
      <c r="E7889" t="s">
        <v>41</v>
      </c>
      <c r="F7889" t="s">
        <v>79</v>
      </c>
      <c r="G7889">
        <v>187.5</v>
      </c>
      <c r="I7889"/>
    </row>
    <row r="7890" spans="1:9" x14ac:dyDescent="0.3">
      <c r="A7890" t="s">
        <v>5</v>
      </c>
      <c r="B7890" t="s">
        <v>15</v>
      </c>
      <c r="C7890" t="s">
        <v>80</v>
      </c>
      <c r="D7890" s="9" t="s">
        <v>60</v>
      </c>
      <c r="E7890" t="s">
        <v>42</v>
      </c>
      <c r="F7890" t="s">
        <v>81</v>
      </c>
      <c r="G7890">
        <v>189.5</v>
      </c>
      <c r="I7890"/>
    </row>
    <row r="7891" spans="1:9" x14ac:dyDescent="0.3">
      <c r="A7891" t="s">
        <v>5</v>
      </c>
      <c r="B7891" t="s">
        <v>15</v>
      </c>
      <c r="C7891" t="s">
        <v>82</v>
      </c>
      <c r="D7891" s="9" t="s">
        <v>60</v>
      </c>
      <c r="E7891" t="s">
        <v>43</v>
      </c>
      <c r="F7891" t="s">
        <v>83</v>
      </c>
      <c r="G7891">
        <v>197.3</v>
      </c>
      <c r="I7891"/>
    </row>
    <row r="7892" spans="1:9" x14ac:dyDescent="0.3">
      <c r="A7892" t="s">
        <v>5</v>
      </c>
      <c r="B7892" t="s">
        <v>15</v>
      </c>
      <c r="C7892" t="s">
        <v>84</v>
      </c>
      <c r="D7892" s="9" t="s">
        <v>85</v>
      </c>
      <c r="E7892" t="s">
        <v>32</v>
      </c>
      <c r="F7892" t="s">
        <v>61</v>
      </c>
      <c r="G7892">
        <v>169.2</v>
      </c>
      <c r="H7892" s="9">
        <v>3.49</v>
      </c>
      <c r="I7892"/>
    </row>
    <row r="7893" spans="1:9" x14ac:dyDescent="0.3">
      <c r="A7893" t="s">
        <v>5</v>
      </c>
      <c r="B7893" t="s">
        <v>15</v>
      </c>
      <c r="C7893" t="s">
        <v>86</v>
      </c>
      <c r="D7893" s="9" t="s">
        <v>85</v>
      </c>
      <c r="E7893" t="s">
        <v>33</v>
      </c>
      <c r="F7893" t="s">
        <v>63</v>
      </c>
      <c r="G7893">
        <v>161.5</v>
      </c>
      <c r="H7893" s="9">
        <v>8.5299999999999994</v>
      </c>
      <c r="I7893"/>
    </row>
    <row r="7894" spans="1:9" x14ac:dyDescent="0.3">
      <c r="A7894" t="s">
        <v>5</v>
      </c>
      <c r="B7894" t="s">
        <v>15</v>
      </c>
      <c r="C7894" t="s">
        <v>87</v>
      </c>
      <c r="D7894" s="9" t="s">
        <v>85</v>
      </c>
      <c r="E7894" t="s">
        <v>34</v>
      </c>
      <c r="F7894" t="s">
        <v>65</v>
      </c>
      <c r="G7894">
        <v>187.2</v>
      </c>
      <c r="H7894" s="9">
        <v>15.63</v>
      </c>
      <c r="I7894"/>
    </row>
    <row r="7895" spans="1:9" x14ac:dyDescent="0.3">
      <c r="A7895" t="s">
        <v>5</v>
      </c>
      <c r="B7895" t="s">
        <v>15</v>
      </c>
      <c r="C7895" t="s">
        <v>88</v>
      </c>
      <c r="D7895" s="9" t="s">
        <v>85</v>
      </c>
      <c r="E7895" t="s">
        <v>35</v>
      </c>
      <c r="F7895" t="s">
        <v>67</v>
      </c>
      <c r="G7895">
        <v>196.9</v>
      </c>
      <c r="H7895" s="9">
        <v>28.44</v>
      </c>
      <c r="I7895"/>
    </row>
    <row r="7896" spans="1:9" x14ac:dyDescent="0.3">
      <c r="A7896" t="s">
        <v>5</v>
      </c>
      <c r="B7896" t="s">
        <v>15</v>
      </c>
      <c r="C7896" t="s">
        <v>89</v>
      </c>
      <c r="D7896" s="9" t="s">
        <v>85</v>
      </c>
      <c r="E7896" t="s">
        <v>36</v>
      </c>
      <c r="F7896" t="s">
        <v>69</v>
      </c>
      <c r="G7896">
        <v>211.9</v>
      </c>
      <c r="H7896" s="9">
        <v>40.42</v>
      </c>
      <c r="I7896"/>
    </row>
    <row r="7897" spans="1:9" x14ac:dyDescent="0.3">
      <c r="A7897" t="s">
        <v>5</v>
      </c>
      <c r="B7897" t="s">
        <v>15</v>
      </c>
      <c r="C7897" t="s">
        <v>90</v>
      </c>
      <c r="D7897" s="9" t="s">
        <v>85</v>
      </c>
      <c r="E7897" t="s">
        <v>37</v>
      </c>
      <c r="F7897" t="s">
        <v>71</v>
      </c>
      <c r="G7897">
        <v>192.4</v>
      </c>
      <c r="H7897" s="9">
        <v>27.25</v>
      </c>
      <c r="I7897"/>
    </row>
    <row r="7898" spans="1:9" x14ac:dyDescent="0.3">
      <c r="A7898" t="s">
        <v>5</v>
      </c>
      <c r="B7898" t="s">
        <v>15</v>
      </c>
      <c r="C7898" t="s">
        <v>91</v>
      </c>
      <c r="D7898" s="9" t="s">
        <v>85</v>
      </c>
      <c r="E7898" t="s">
        <v>38</v>
      </c>
      <c r="F7898" t="s">
        <v>73</v>
      </c>
      <c r="G7898">
        <v>193.3</v>
      </c>
      <c r="H7898" s="9">
        <v>26.51</v>
      </c>
      <c r="I7898"/>
    </row>
    <row r="7899" spans="1:9" x14ac:dyDescent="0.3">
      <c r="A7899" t="s">
        <v>5</v>
      </c>
      <c r="B7899" t="s">
        <v>15</v>
      </c>
      <c r="C7899" t="s">
        <v>92</v>
      </c>
      <c r="D7899" s="9" t="s">
        <v>85</v>
      </c>
      <c r="E7899" t="s">
        <v>39</v>
      </c>
      <c r="F7899" t="s">
        <v>75</v>
      </c>
      <c r="G7899">
        <v>192.5</v>
      </c>
      <c r="H7899" s="9">
        <v>20.16</v>
      </c>
      <c r="I7899"/>
    </row>
    <row r="7900" spans="1:9" x14ac:dyDescent="0.3">
      <c r="A7900" t="s">
        <v>5</v>
      </c>
      <c r="B7900" t="s">
        <v>15</v>
      </c>
      <c r="C7900" t="s">
        <v>93</v>
      </c>
      <c r="D7900" s="9" t="s">
        <v>85</v>
      </c>
      <c r="E7900" t="s">
        <v>40</v>
      </c>
      <c r="F7900" t="s">
        <v>77</v>
      </c>
      <c r="G7900">
        <v>201.7</v>
      </c>
      <c r="H7900" s="9">
        <v>15.72</v>
      </c>
      <c r="I7900"/>
    </row>
    <row r="7901" spans="1:9" x14ac:dyDescent="0.3">
      <c r="A7901" t="s">
        <v>5</v>
      </c>
      <c r="B7901" t="s">
        <v>15</v>
      </c>
      <c r="C7901" t="s">
        <v>94</v>
      </c>
      <c r="D7901" s="9" t="s">
        <v>85</v>
      </c>
      <c r="E7901" t="s">
        <v>41</v>
      </c>
      <c r="F7901" t="s">
        <v>79</v>
      </c>
      <c r="G7901">
        <v>228.6</v>
      </c>
      <c r="H7901" s="9">
        <v>21.92</v>
      </c>
      <c r="I7901"/>
    </row>
    <row r="7902" spans="1:9" x14ac:dyDescent="0.3">
      <c r="A7902" t="s">
        <v>5</v>
      </c>
      <c r="B7902" t="s">
        <v>15</v>
      </c>
      <c r="C7902" t="s">
        <v>95</v>
      </c>
      <c r="D7902" s="9" t="s">
        <v>85</v>
      </c>
      <c r="E7902" t="s">
        <v>42</v>
      </c>
      <c r="F7902" t="s">
        <v>81</v>
      </c>
      <c r="G7902">
        <v>212.9</v>
      </c>
      <c r="H7902" s="9">
        <v>12.35</v>
      </c>
      <c r="I7902"/>
    </row>
    <row r="7903" spans="1:9" x14ac:dyDescent="0.3">
      <c r="A7903" t="s">
        <v>5</v>
      </c>
      <c r="B7903" t="s">
        <v>15</v>
      </c>
      <c r="C7903" t="s">
        <v>96</v>
      </c>
      <c r="D7903" s="9" t="s">
        <v>85</v>
      </c>
      <c r="E7903" t="s">
        <v>43</v>
      </c>
      <c r="F7903" t="s">
        <v>83</v>
      </c>
      <c r="G7903">
        <v>235.9</v>
      </c>
      <c r="H7903" s="9">
        <v>19.559999999999999</v>
      </c>
      <c r="I7903"/>
    </row>
    <row r="7904" spans="1:9" x14ac:dyDescent="0.3">
      <c r="A7904" t="s">
        <v>5</v>
      </c>
      <c r="B7904" t="s">
        <v>15</v>
      </c>
      <c r="C7904" t="s">
        <v>97</v>
      </c>
      <c r="D7904" s="9" t="s">
        <v>98</v>
      </c>
      <c r="E7904" t="s">
        <v>32</v>
      </c>
      <c r="F7904" t="s">
        <v>61</v>
      </c>
      <c r="G7904">
        <v>201.6</v>
      </c>
      <c r="H7904" s="9">
        <v>19.149999999999999</v>
      </c>
      <c r="I7904"/>
    </row>
    <row r="7905" spans="1:9" x14ac:dyDescent="0.3">
      <c r="A7905" t="s">
        <v>5</v>
      </c>
      <c r="B7905" t="s">
        <v>15</v>
      </c>
      <c r="C7905" t="s">
        <v>99</v>
      </c>
      <c r="D7905" s="9" t="s">
        <v>98</v>
      </c>
      <c r="E7905" t="s">
        <v>33</v>
      </c>
      <c r="F7905" t="s">
        <v>63</v>
      </c>
      <c r="G7905">
        <v>174</v>
      </c>
      <c r="H7905" s="9">
        <v>7.74</v>
      </c>
      <c r="I7905"/>
    </row>
    <row r="7906" spans="1:9" x14ac:dyDescent="0.3">
      <c r="A7906" t="s">
        <v>5</v>
      </c>
      <c r="B7906" t="s">
        <v>15</v>
      </c>
      <c r="C7906" t="s">
        <v>100</v>
      </c>
      <c r="D7906" s="9" t="s">
        <v>98</v>
      </c>
      <c r="E7906" t="s">
        <v>34</v>
      </c>
      <c r="F7906" t="s">
        <v>65</v>
      </c>
      <c r="G7906">
        <v>195.4</v>
      </c>
      <c r="H7906" s="9">
        <v>4.38</v>
      </c>
      <c r="I7906"/>
    </row>
    <row r="7907" spans="1:9" x14ac:dyDescent="0.3">
      <c r="A7907" t="s">
        <v>5</v>
      </c>
      <c r="B7907" t="s">
        <v>15</v>
      </c>
      <c r="C7907" t="s">
        <v>101</v>
      </c>
      <c r="D7907" s="9" t="s">
        <v>98</v>
      </c>
      <c r="E7907" t="s">
        <v>35</v>
      </c>
      <c r="F7907" t="s">
        <v>67</v>
      </c>
      <c r="G7907">
        <v>189.4</v>
      </c>
      <c r="H7907" s="9">
        <v>-3.81</v>
      </c>
      <c r="I7907"/>
    </row>
    <row r="7908" spans="1:9" x14ac:dyDescent="0.3">
      <c r="A7908" t="s">
        <v>5</v>
      </c>
      <c r="B7908" t="s">
        <v>15</v>
      </c>
      <c r="C7908" t="s">
        <v>102</v>
      </c>
      <c r="D7908" s="9" t="s">
        <v>98</v>
      </c>
      <c r="E7908" t="s">
        <v>36</v>
      </c>
      <c r="F7908" t="s">
        <v>69</v>
      </c>
      <c r="G7908">
        <v>187.1</v>
      </c>
      <c r="H7908" s="9">
        <v>-11.7</v>
      </c>
      <c r="I7908"/>
    </row>
    <row r="7909" spans="1:9" x14ac:dyDescent="0.3">
      <c r="A7909" t="s">
        <v>5</v>
      </c>
      <c r="B7909" t="s">
        <v>15</v>
      </c>
      <c r="C7909" t="s">
        <v>103</v>
      </c>
      <c r="D7909" s="9" t="s">
        <v>98</v>
      </c>
      <c r="E7909" t="s">
        <v>37</v>
      </c>
      <c r="F7909" t="s">
        <v>71</v>
      </c>
      <c r="G7909">
        <v>184.3</v>
      </c>
      <c r="H7909" s="9">
        <v>-4.21</v>
      </c>
      <c r="I7909"/>
    </row>
    <row r="7910" spans="1:9" x14ac:dyDescent="0.3">
      <c r="A7910" t="s">
        <v>5</v>
      </c>
      <c r="B7910" t="s">
        <v>15</v>
      </c>
      <c r="C7910" t="s">
        <v>104</v>
      </c>
      <c r="D7910" s="9" t="s">
        <v>98</v>
      </c>
      <c r="E7910" t="s">
        <v>38</v>
      </c>
      <c r="F7910" t="s">
        <v>73</v>
      </c>
      <c r="G7910">
        <v>190.6</v>
      </c>
      <c r="H7910" s="9">
        <v>-1.4</v>
      </c>
      <c r="I7910"/>
    </row>
    <row r="7911" spans="1:9" x14ac:dyDescent="0.3">
      <c r="A7911" t="s">
        <v>5</v>
      </c>
      <c r="B7911" t="s">
        <v>15</v>
      </c>
      <c r="C7911" t="s">
        <v>105</v>
      </c>
      <c r="D7911" s="9" t="s">
        <v>98</v>
      </c>
      <c r="E7911" t="s">
        <v>39</v>
      </c>
      <c r="F7911" t="s">
        <v>75</v>
      </c>
      <c r="G7911">
        <v>201.7</v>
      </c>
      <c r="H7911" s="9">
        <v>4.78</v>
      </c>
      <c r="I7911"/>
    </row>
    <row r="7912" spans="1:9" x14ac:dyDescent="0.3">
      <c r="A7912" t="s">
        <v>5</v>
      </c>
      <c r="B7912" t="s">
        <v>15</v>
      </c>
      <c r="C7912" t="s">
        <v>106</v>
      </c>
      <c r="D7912" s="9" t="s">
        <v>98</v>
      </c>
      <c r="E7912" t="s">
        <v>40</v>
      </c>
      <c r="F7912" t="s">
        <v>77</v>
      </c>
      <c r="G7912">
        <v>221.7</v>
      </c>
      <c r="H7912" s="9">
        <v>9.92</v>
      </c>
      <c r="I7912"/>
    </row>
    <row r="7913" spans="1:9" x14ac:dyDescent="0.3">
      <c r="A7913" t="s">
        <v>5</v>
      </c>
      <c r="B7913" t="s">
        <v>15</v>
      </c>
      <c r="C7913" t="s">
        <v>107</v>
      </c>
      <c r="D7913" s="9" t="s">
        <v>98</v>
      </c>
      <c r="E7913" t="s">
        <v>41</v>
      </c>
      <c r="F7913" t="s">
        <v>79</v>
      </c>
      <c r="G7913">
        <v>239.6</v>
      </c>
      <c r="H7913" s="9">
        <v>4.8099999999999996</v>
      </c>
      <c r="I7913"/>
    </row>
    <row r="7914" spans="1:9" x14ac:dyDescent="0.3">
      <c r="A7914" t="s">
        <v>5</v>
      </c>
      <c r="B7914" t="s">
        <v>15</v>
      </c>
      <c r="C7914" t="s">
        <v>108</v>
      </c>
      <c r="D7914" s="9" t="s">
        <v>98</v>
      </c>
      <c r="E7914" t="s">
        <v>42</v>
      </c>
      <c r="F7914" t="s">
        <v>81</v>
      </c>
      <c r="G7914">
        <v>243.1</v>
      </c>
      <c r="H7914" s="9">
        <v>14.19</v>
      </c>
      <c r="I7914"/>
    </row>
    <row r="7915" spans="1:9" x14ac:dyDescent="0.3">
      <c r="A7915" t="s">
        <v>5</v>
      </c>
      <c r="B7915" t="s">
        <v>15</v>
      </c>
      <c r="C7915" t="s">
        <v>109</v>
      </c>
      <c r="D7915" s="9" t="s">
        <v>98</v>
      </c>
      <c r="E7915" t="s">
        <v>43</v>
      </c>
      <c r="F7915" t="s">
        <v>83</v>
      </c>
      <c r="G7915">
        <v>255.8</v>
      </c>
      <c r="H7915" s="9">
        <v>8.44</v>
      </c>
      <c r="I7915"/>
    </row>
    <row r="7916" spans="1:9" x14ac:dyDescent="0.3">
      <c r="A7916" t="s">
        <v>5</v>
      </c>
      <c r="B7916" t="s">
        <v>15</v>
      </c>
      <c r="C7916" t="s">
        <v>110</v>
      </c>
      <c r="D7916" s="9" t="s">
        <v>111</v>
      </c>
      <c r="E7916" t="s">
        <v>32</v>
      </c>
      <c r="F7916" t="s">
        <v>61</v>
      </c>
      <c r="G7916">
        <v>219.7</v>
      </c>
      <c r="H7916" s="9">
        <v>8.98</v>
      </c>
      <c r="I7916"/>
    </row>
    <row r="7917" spans="1:9" x14ac:dyDescent="0.3">
      <c r="A7917" t="s">
        <v>5</v>
      </c>
      <c r="B7917" t="s">
        <v>15</v>
      </c>
      <c r="C7917" t="s">
        <v>112</v>
      </c>
      <c r="D7917" s="9" t="s">
        <v>111</v>
      </c>
      <c r="E7917" t="s">
        <v>33</v>
      </c>
      <c r="F7917" t="s">
        <v>63</v>
      </c>
      <c r="G7917">
        <v>190.6</v>
      </c>
      <c r="H7917" s="9">
        <v>9.5399999999999991</v>
      </c>
      <c r="I7917"/>
    </row>
    <row r="7918" spans="1:9" x14ac:dyDescent="0.3">
      <c r="A7918" t="s">
        <v>5</v>
      </c>
      <c r="B7918" t="s">
        <v>15</v>
      </c>
      <c r="C7918" t="s">
        <v>113</v>
      </c>
      <c r="D7918" s="9" t="s">
        <v>111</v>
      </c>
      <c r="E7918" t="s">
        <v>34</v>
      </c>
      <c r="F7918" t="s">
        <v>65</v>
      </c>
      <c r="G7918">
        <v>219.9</v>
      </c>
      <c r="H7918" s="9">
        <v>12.54</v>
      </c>
      <c r="I7918"/>
    </row>
    <row r="7919" spans="1:9" x14ac:dyDescent="0.3">
      <c r="A7919" t="s">
        <v>5</v>
      </c>
      <c r="B7919" t="s">
        <v>15</v>
      </c>
      <c r="C7919" t="s">
        <v>114</v>
      </c>
      <c r="D7919" s="9" t="s">
        <v>111</v>
      </c>
      <c r="E7919" t="s">
        <v>35</v>
      </c>
      <c r="F7919" t="s">
        <v>67</v>
      </c>
      <c r="G7919">
        <v>215.8</v>
      </c>
      <c r="H7919" s="9">
        <v>13.94</v>
      </c>
      <c r="I7919"/>
    </row>
    <row r="7920" spans="1:9" x14ac:dyDescent="0.3">
      <c r="A7920" t="s">
        <v>5</v>
      </c>
      <c r="B7920" t="s">
        <v>15</v>
      </c>
      <c r="C7920" t="s">
        <v>115</v>
      </c>
      <c r="D7920" s="9" t="s">
        <v>111</v>
      </c>
      <c r="E7920" t="s">
        <v>36</v>
      </c>
      <c r="F7920" t="s">
        <v>69</v>
      </c>
      <c r="G7920">
        <v>208.7</v>
      </c>
      <c r="H7920" s="9">
        <v>11.54</v>
      </c>
      <c r="I7920"/>
    </row>
    <row r="7921" spans="1:9" x14ac:dyDescent="0.3">
      <c r="A7921" t="s">
        <v>5</v>
      </c>
      <c r="B7921" t="s">
        <v>15</v>
      </c>
      <c r="C7921" t="s">
        <v>116</v>
      </c>
      <c r="D7921" s="9" t="s">
        <v>111</v>
      </c>
      <c r="E7921" t="s">
        <v>37</v>
      </c>
      <c r="F7921" t="s">
        <v>71</v>
      </c>
      <c r="G7921">
        <v>195.9</v>
      </c>
      <c r="H7921" s="9">
        <v>6.29</v>
      </c>
      <c r="I7921"/>
    </row>
    <row r="7922" spans="1:9" x14ac:dyDescent="0.3">
      <c r="A7922" t="s">
        <v>5</v>
      </c>
      <c r="B7922" t="s">
        <v>15</v>
      </c>
      <c r="C7922" t="s">
        <v>117</v>
      </c>
      <c r="D7922" s="9" t="s">
        <v>111</v>
      </c>
      <c r="E7922" t="s">
        <v>38</v>
      </c>
      <c r="F7922" t="s">
        <v>73</v>
      </c>
      <c r="G7922">
        <v>208.1</v>
      </c>
      <c r="H7922" s="9">
        <v>9.18</v>
      </c>
      <c r="I7922"/>
    </row>
    <row r="7923" spans="1:9" x14ac:dyDescent="0.3">
      <c r="A7923" t="s">
        <v>5</v>
      </c>
      <c r="B7923" t="s">
        <v>15</v>
      </c>
      <c r="C7923" t="s">
        <v>118</v>
      </c>
      <c r="D7923" s="9" t="s">
        <v>111</v>
      </c>
      <c r="E7923" t="s">
        <v>39</v>
      </c>
      <c r="F7923" t="s">
        <v>75</v>
      </c>
      <c r="G7923">
        <v>224.1</v>
      </c>
      <c r="H7923" s="9">
        <v>11.11</v>
      </c>
      <c r="I7923"/>
    </row>
    <row r="7924" spans="1:9" x14ac:dyDescent="0.3">
      <c r="A7924" t="s">
        <v>5</v>
      </c>
      <c r="B7924" t="s">
        <v>15</v>
      </c>
      <c r="C7924" t="s">
        <v>119</v>
      </c>
      <c r="D7924" s="9" t="s">
        <v>111</v>
      </c>
      <c r="E7924" t="s">
        <v>40</v>
      </c>
      <c r="F7924" t="s">
        <v>77</v>
      </c>
      <c r="G7924">
        <v>241.6</v>
      </c>
      <c r="H7924" s="9">
        <v>8.98</v>
      </c>
      <c r="I7924"/>
    </row>
    <row r="7925" spans="1:9" x14ac:dyDescent="0.3">
      <c r="A7925" t="s">
        <v>5</v>
      </c>
      <c r="B7925" t="s">
        <v>15</v>
      </c>
      <c r="C7925" t="s">
        <v>120</v>
      </c>
      <c r="D7925" s="9" t="s">
        <v>111</v>
      </c>
      <c r="E7925" t="s">
        <v>41</v>
      </c>
      <c r="F7925" t="s">
        <v>79</v>
      </c>
      <c r="G7925">
        <v>262.10000000000002</v>
      </c>
      <c r="H7925" s="9">
        <v>9.39</v>
      </c>
      <c r="I7925"/>
    </row>
    <row r="7926" spans="1:9" x14ac:dyDescent="0.3">
      <c r="A7926" t="s">
        <v>5</v>
      </c>
      <c r="B7926" t="s">
        <v>15</v>
      </c>
      <c r="C7926" t="s">
        <v>121</v>
      </c>
      <c r="D7926" s="9" t="s">
        <v>111</v>
      </c>
      <c r="E7926" t="s">
        <v>42</v>
      </c>
      <c r="F7926" t="s">
        <v>81</v>
      </c>
      <c r="G7926">
        <v>257.2</v>
      </c>
      <c r="H7926" s="9">
        <v>5.8</v>
      </c>
      <c r="I7926"/>
    </row>
    <row r="7927" spans="1:9" x14ac:dyDescent="0.3">
      <c r="A7927" t="s">
        <v>5</v>
      </c>
      <c r="B7927" t="s">
        <v>15</v>
      </c>
      <c r="C7927" t="s">
        <v>122</v>
      </c>
      <c r="D7927" s="9" t="s">
        <v>111</v>
      </c>
      <c r="E7927" t="s">
        <v>43</v>
      </c>
      <c r="F7927" t="s">
        <v>83</v>
      </c>
      <c r="G7927">
        <v>269</v>
      </c>
      <c r="H7927" s="9">
        <v>5.16</v>
      </c>
      <c r="I7927"/>
    </row>
    <row r="7928" spans="1:9" x14ac:dyDescent="0.3">
      <c r="A7928" t="s">
        <v>5</v>
      </c>
      <c r="B7928" t="s">
        <v>15</v>
      </c>
      <c r="C7928" t="s">
        <v>123</v>
      </c>
      <c r="D7928" s="9" t="s">
        <v>124</v>
      </c>
      <c r="E7928" t="s">
        <v>32</v>
      </c>
      <c r="F7928" t="s">
        <v>61</v>
      </c>
      <c r="G7928">
        <v>226.9</v>
      </c>
      <c r="H7928" s="9">
        <v>3.28</v>
      </c>
      <c r="I7928"/>
    </row>
    <row r="7929" spans="1:9" x14ac:dyDescent="0.3">
      <c r="A7929" t="s">
        <v>5</v>
      </c>
      <c r="B7929" t="s">
        <v>15</v>
      </c>
      <c r="C7929" t="s">
        <v>125</v>
      </c>
      <c r="D7929" s="9" t="s">
        <v>124</v>
      </c>
      <c r="E7929" t="s">
        <v>33</v>
      </c>
      <c r="F7929" t="s">
        <v>63</v>
      </c>
      <c r="G7929">
        <v>205.7</v>
      </c>
      <c r="H7929" s="9">
        <v>7.92</v>
      </c>
      <c r="I7929"/>
    </row>
    <row r="7930" spans="1:9" x14ac:dyDescent="0.3">
      <c r="A7930" t="s">
        <v>5</v>
      </c>
      <c r="B7930" t="s">
        <v>15</v>
      </c>
      <c r="C7930" t="s">
        <v>126</v>
      </c>
      <c r="D7930" s="9" t="s">
        <v>124</v>
      </c>
      <c r="E7930" t="s">
        <v>34</v>
      </c>
      <c r="F7930" t="s">
        <v>65</v>
      </c>
      <c r="G7930">
        <v>226.1</v>
      </c>
      <c r="H7930" s="9">
        <v>2.82</v>
      </c>
      <c r="I7930"/>
    </row>
    <row r="7931" spans="1:9" x14ac:dyDescent="0.3">
      <c r="A7931" t="s">
        <v>5</v>
      </c>
      <c r="B7931" t="s">
        <v>15</v>
      </c>
      <c r="C7931" t="s">
        <v>127</v>
      </c>
      <c r="D7931" s="9" t="s">
        <v>124</v>
      </c>
      <c r="E7931" t="s">
        <v>35</v>
      </c>
      <c r="F7931" t="s">
        <v>67</v>
      </c>
      <c r="G7931">
        <v>209.9</v>
      </c>
      <c r="H7931" s="9">
        <v>-2.73</v>
      </c>
      <c r="I7931"/>
    </row>
    <row r="7932" spans="1:9" x14ac:dyDescent="0.3">
      <c r="A7932" t="s">
        <v>5</v>
      </c>
      <c r="B7932" t="s">
        <v>15</v>
      </c>
      <c r="C7932" t="s">
        <v>128</v>
      </c>
      <c r="D7932" s="9" t="s">
        <v>124</v>
      </c>
      <c r="E7932" t="s">
        <v>36</v>
      </c>
      <c r="F7932" t="s">
        <v>69</v>
      </c>
      <c r="G7932">
        <v>214.5</v>
      </c>
      <c r="H7932" s="9">
        <v>2.78</v>
      </c>
      <c r="I7932"/>
    </row>
    <row r="7933" spans="1:9" x14ac:dyDescent="0.3">
      <c r="A7933" t="s">
        <v>5</v>
      </c>
      <c r="B7933" t="s">
        <v>15</v>
      </c>
      <c r="C7933" t="s">
        <v>129</v>
      </c>
      <c r="D7933" s="9" t="s">
        <v>124</v>
      </c>
      <c r="E7933" t="s">
        <v>37</v>
      </c>
      <c r="F7933" t="s">
        <v>71</v>
      </c>
      <c r="G7933">
        <v>203.6</v>
      </c>
      <c r="H7933" s="9">
        <v>3.93</v>
      </c>
      <c r="I7933"/>
    </row>
    <row r="7934" spans="1:9" x14ac:dyDescent="0.3">
      <c r="A7934" t="s">
        <v>5</v>
      </c>
      <c r="B7934" t="s">
        <v>15</v>
      </c>
      <c r="C7934" t="s">
        <v>130</v>
      </c>
      <c r="D7934" s="9" t="s">
        <v>124</v>
      </c>
      <c r="E7934" t="s">
        <v>38</v>
      </c>
      <c r="F7934" t="s">
        <v>73</v>
      </c>
      <c r="G7934">
        <v>211.1</v>
      </c>
      <c r="H7934" s="9">
        <v>1.44</v>
      </c>
      <c r="I7934"/>
    </row>
    <row r="7935" spans="1:9" x14ac:dyDescent="0.3">
      <c r="A7935" t="s">
        <v>5</v>
      </c>
      <c r="B7935" t="s">
        <v>15</v>
      </c>
      <c r="C7935" t="s">
        <v>131</v>
      </c>
      <c r="D7935" s="9" t="s">
        <v>124</v>
      </c>
      <c r="E7935" t="s">
        <v>39</v>
      </c>
      <c r="F7935" t="s">
        <v>75</v>
      </c>
      <c r="G7935">
        <v>232.7</v>
      </c>
      <c r="H7935" s="9">
        <v>3.84</v>
      </c>
      <c r="I7935"/>
    </row>
    <row r="7936" spans="1:9" x14ac:dyDescent="0.3">
      <c r="A7936" t="s">
        <v>5</v>
      </c>
      <c r="B7936" t="s">
        <v>15</v>
      </c>
      <c r="C7936" t="s">
        <v>132</v>
      </c>
      <c r="D7936" s="9" t="s">
        <v>124</v>
      </c>
      <c r="E7936" t="s">
        <v>40</v>
      </c>
      <c r="F7936" t="s">
        <v>77</v>
      </c>
      <c r="G7936">
        <v>247.5</v>
      </c>
      <c r="H7936" s="9">
        <v>2.44</v>
      </c>
      <c r="I7936"/>
    </row>
    <row r="7937" spans="1:9" x14ac:dyDescent="0.3">
      <c r="A7937" t="s">
        <v>5</v>
      </c>
      <c r="B7937" t="s">
        <v>15</v>
      </c>
      <c r="C7937" t="s">
        <v>133</v>
      </c>
      <c r="D7937" s="9" t="s">
        <v>124</v>
      </c>
      <c r="E7937" t="s">
        <v>41</v>
      </c>
      <c r="F7937" t="s">
        <v>79</v>
      </c>
      <c r="G7937">
        <v>271.7</v>
      </c>
      <c r="H7937" s="9">
        <v>3.66</v>
      </c>
      <c r="I7937"/>
    </row>
    <row r="7938" spans="1:9" x14ac:dyDescent="0.3">
      <c r="A7938" t="s">
        <v>5</v>
      </c>
      <c r="B7938" t="s">
        <v>15</v>
      </c>
      <c r="C7938" t="s">
        <v>134</v>
      </c>
      <c r="D7938" s="9" t="s">
        <v>124</v>
      </c>
      <c r="E7938" t="s">
        <v>42</v>
      </c>
      <c r="F7938" t="s">
        <v>81</v>
      </c>
      <c r="G7938">
        <v>263.3</v>
      </c>
      <c r="H7938" s="9">
        <v>2.37</v>
      </c>
      <c r="I7938"/>
    </row>
    <row r="7939" spans="1:9" x14ac:dyDescent="0.3">
      <c r="A7939" t="s">
        <v>5</v>
      </c>
      <c r="B7939" t="s">
        <v>15</v>
      </c>
      <c r="C7939" t="s">
        <v>135</v>
      </c>
      <c r="D7939" s="9" t="s">
        <v>124</v>
      </c>
      <c r="E7939" t="s">
        <v>43</v>
      </c>
      <c r="F7939" t="s">
        <v>83</v>
      </c>
      <c r="G7939">
        <v>270.39999999999998</v>
      </c>
      <c r="H7939" s="9">
        <v>0.52</v>
      </c>
      <c r="I7939"/>
    </row>
    <row r="7940" spans="1:9" x14ac:dyDescent="0.3">
      <c r="A7940" t="s">
        <v>5</v>
      </c>
      <c r="B7940" t="s">
        <v>15</v>
      </c>
      <c r="C7940" t="s">
        <v>136</v>
      </c>
      <c r="D7940" s="9" t="s">
        <v>137</v>
      </c>
      <c r="E7940" t="s">
        <v>32</v>
      </c>
      <c r="F7940" t="s">
        <v>61</v>
      </c>
      <c r="G7940">
        <v>236.8</v>
      </c>
      <c r="H7940" s="9">
        <v>4.3600000000000003</v>
      </c>
      <c r="I7940"/>
    </row>
    <row r="7941" spans="1:9" x14ac:dyDescent="0.3">
      <c r="A7941" t="s">
        <v>5</v>
      </c>
      <c r="B7941" t="s">
        <v>15</v>
      </c>
      <c r="C7941" t="s">
        <v>138</v>
      </c>
      <c r="D7941" s="9" t="s">
        <v>137</v>
      </c>
      <c r="E7941" t="s">
        <v>33</v>
      </c>
      <c r="F7941" t="s">
        <v>63</v>
      </c>
      <c r="G7941">
        <v>215.7</v>
      </c>
      <c r="H7941" s="9">
        <v>4.8600000000000003</v>
      </c>
      <c r="I7941"/>
    </row>
    <row r="7942" spans="1:9" x14ac:dyDescent="0.3">
      <c r="A7942" t="s">
        <v>5</v>
      </c>
      <c r="B7942" t="s">
        <v>15</v>
      </c>
      <c r="C7942" t="s">
        <v>139</v>
      </c>
      <c r="D7942" s="9" t="s">
        <v>137</v>
      </c>
      <c r="E7942" t="s">
        <v>34</v>
      </c>
      <c r="F7942" t="s">
        <v>65</v>
      </c>
      <c r="G7942">
        <v>228.5</v>
      </c>
      <c r="H7942" s="9">
        <v>1.06</v>
      </c>
      <c r="I7942"/>
    </row>
    <row r="7943" spans="1:9" x14ac:dyDescent="0.3">
      <c r="A7943" t="s">
        <v>5</v>
      </c>
      <c r="B7943" t="s">
        <v>15</v>
      </c>
      <c r="C7943" t="s">
        <v>140</v>
      </c>
      <c r="D7943" s="9" t="s">
        <v>137</v>
      </c>
      <c r="E7943" t="s">
        <v>35</v>
      </c>
      <c r="F7943" t="s">
        <v>67</v>
      </c>
      <c r="G7943">
        <v>228.4</v>
      </c>
      <c r="H7943" s="9">
        <v>8.81</v>
      </c>
      <c r="I7943"/>
    </row>
    <row r="7944" spans="1:9" x14ac:dyDescent="0.3">
      <c r="A7944" t="s">
        <v>5</v>
      </c>
      <c r="B7944" t="s">
        <v>15</v>
      </c>
      <c r="C7944" t="s">
        <v>141</v>
      </c>
      <c r="D7944" s="9" t="s">
        <v>137</v>
      </c>
      <c r="E7944" t="s">
        <v>36</v>
      </c>
      <c r="F7944" t="s">
        <v>69</v>
      </c>
      <c r="G7944">
        <v>230.7</v>
      </c>
      <c r="H7944" s="9">
        <v>7.55</v>
      </c>
      <c r="I7944"/>
    </row>
    <row r="7945" spans="1:9" x14ac:dyDescent="0.3">
      <c r="A7945" t="s">
        <v>5</v>
      </c>
      <c r="B7945" t="s">
        <v>15</v>
      </c>
      <c r="C7945" t="s">
        <v>142</v>
      </c>
      <c r="D7945" s="9" t="s">
        <v>137</v>
      </c>
      <c r="E7945" t="s">
        <v>37</v>
      </c>
      <c r="F7945" t="s">
        <v>71</v>
      </c>
      <c r="G7945">
        <v>222.4</v>
      </c>
      <c r="H7945" s="9">
        <v>9.23</v>
      </c>
      <c r="I7945"/>
    </row>
    <row r="7946" spans="1:9" x14ac:dyDescent="0.3">
      <c r="A7946" t="s">
        <v>5</v>
      </c>
      <c r="B7946" t="s">
        <v>15</v>
      </c>
      <c r="C7946" t="s">
        <v>143</v>
      </c>
      <c r="D7946" s="9" t="s">
        <v>137</v>
      </c>
      <c r="E7946" t="s">
        <v>38</v>
      </c>
      <c r="F7946" t="s">
        <v>73</v>
      </c>
      <c r="G7946">
        <v>219.8</v>
      </c>
      <c r="H7946" s="9">
        <v>4.12</v>
      </c>
      <c r="I7946"/>
    </row>
    <row r="7947" spans="1:9" x14ac:dyDescent="0.3">
      <c r="A7947" t="s">
        <v>5</v>
      </c>
      <c r="B7947" t="s">
        <v>15</v>
      </c>
      <c r="C7947" t="s">
        <v>144</v>
      </c>
      <c r="D7947" s="9" t="s">
        <v>137</v>
      </c>
      <c r="E7947" t="s">
        <v>39</v>
      </c>
      <c r="F7947" t="s">
        <v>75</v>
      </c>
      <c r="G7947">
        <v>228.1</v>
      </c>
      <c r="H7947" s="9">
        <v>-1.98</v>
      </c>
      <c r="I7947"/>
    </row>
    <row r="7948" spans="1:9" x14ac:dyDescent="0.3">
      <c r="A7948" t="s">
        <v>5</v>
      </c>
      <c r="B7948" t="s">
        <v>15</v>
      </c>
      <c r="C7948" t="s">
        <v>145</v>
      </c>
      <c r="D7948" s="9" t="s">
        <v>137</v>
      </c>
      <c r="E7948" t="s">
        <v>40</v>
      </c>
      <c r="F7948" t="s">
        <v>77</v>
      </c>
      <c r="G7948">
        <v>271.39999999999998</v>
      </c>
      <c r="H7948" s="9">
        <v>9.66</v>
      </c>
      <c r="I7948"/>
    </row>
    <row r="7949" spans="1:9" x14ac:dyDescent="0.3">
      <c r="A7949" t="s">
        <v>5</v>
      </c>
      <c r="B7949" t="s">
        <v>15</v>
      </c>
      <c r="C7949" t="s">
        <v>146</v>
      </c>
      <c r="D7949" s="9" t="s">
        <v>137</v>
      </c>
      <c r="E7949" t="s">
        <v>41</v>
      </c>
      <c r="F7949" t="s">
        <v>79</v>
      </c>
      <c r="G7949">
        <v>286.39999999999998</v>
      </c>
      <c r="H7949" s="9">
        <v>5.41</v>
      </c>
      <c r="I7949"/>
    </row>
    <row r="7950" spans="1:9" x14ac:dyDescent="0.3">
      <c r="A7950" t="s">
        <v>5</v>
      </c>
      <c r="B7950" t="s">
        <v>15</v>
      </c>
      <c r="C7950" t="s">
        <v>147</v>
      </c>
      <c r="D7950" s="9" t="s">
        <v>137</v>
      </c>
      <c r="E7950" t="s">
        <v>42</v>
      </c>
      <c r="F7950" t="s">
        <v>81</v>
      </c>
      <c r="G7950">
        <v>283.5</v>
      </c>
      <c r="H7950" s="9">
        <v>7.67</v>
      </c>
      <c r="I7950"/>
    </row>
    <row r="7951" spans="1:9" x14ac:dyDescent="0.3">
      <c r="A7951" t="s">
        <v>5</v>
      </c>
      <c r="B7951" t="s">
        <v>15</v>
      </c>
      <c r="C7951" t="s">
        <v>148</v>
      </c>
      <c r="D7951" s="9" t="s">
        <v>137</v>
      </c>
      <c r="E7951" t="s">
        <v>43</v>
      </c>
      <c r="F7951" t="s">
        <v>83</v>
      </c>
      <c r="G7951">
        <v>287.89999999999998</v>
      </c>
      <c r="H7951" s="9">
        <v>6.47</v>
      </c>
      <c r="I7951"/>
    </row>
    <row r="7952" spans="1:9" x14ac:dyDescent="0.3">
      <c r="A7952" t="s">
        <v>5</v>
      </c>
      <c r="B7952" t="s">
        <v>15</v>
      </c>
      <c r="C7952" t="s">
        <v>149</v>
      </c>
      <c r="D7952" s="9" t="s">
        <v>150</v>
      </c>
      <c r="E7952" t="s">
        <v>32</v>
      </c>
      <c r="F7952" t="s">
        <v>61</v>
      </c>
      <c r="G7952">
        <v>249.4</v>
      </c>
      <c r="H7952" s="9">
        <v>5.32</v>
      </c>
      <c r="I7952"/>
    </row>
    <row r="7953" spans="1:9" x14ac:dyDescent="0.3">
      <c r="A7953" t="s">
        <v>5</v>
      </c>
      <c r="B7953" t="s">
        <v>15</v>
      </c>
      <c r="C7953" t="s">
        <v>151</v>
      </c>
      <c r="D7953" s="9" t="s">
        <v>150</v>
      </c>
      <c r="E7953" t="s">
        <v>33</v>
      </c>
      <c r="F7953" t="s">
        <v>63</v>
      </c>
      <c r="G7953">
        <v>228.5</v>
      </c>
      <c r="H7953" s="9">
        <v>5.93</v>
      </c>
      <c r="I7953"/>
    </row>
    <row r="7954" spans="1:9" x14ac:dyDescent="0.3">
      <c r="A7954" t="s">
        <v>5</v>
      </c>
      <c r="B7954" t="s">
        <v>15</v>
      </c>
      <c r="C7954" t="s">
        <v>152</v>
      </c>
      <c r="D7954" s="9" t="s">
        <v>150</v>
      </c>
      <c r="E7954" t="s">
        <v>34</v>
      </c>
      <c r="F7954" t="s">
        <v>65</v>
      </c>
      <c r="G7954">
        <v>250</v>
      </c>
      <c r="H7954" s="9">
        <v>9.41</v>
      </c>
      <c r="I7954"/>
    </row>
    <row r="7955" spans="1:9" x14ac:dyDescent="0.3">
      <c r="A7955" t="s">
        <v>5</v>
      </c>
      <c r="B7955" t="s">
        <v>15</v>
      </c>
      <c r="C7955" t="s">
        <v>153</v>
      </c>
      <c r="D7955" s="9" t="s">
        <v>150</v>
      </c>
      <c r="E7955" t="s">
        <v>35</v>
      </c>
      <c r="F7955" t="s">
        <v>67</v>
      </c>
      <c r="G7955">
        <v>240.4</v>
      </c>
      <c r="H7955" s="9">
        <v>5.25</v>
      </c>
      <c r="I7955"/>
    </row>
    <row r="7956" spans="1:9" x14ac:dyDescent="0.3">
      <c r="A7956" t="s">
        <v>5</v>
      </c>
      <c r="B7956" t="s">
        <v>15</v>
      </c>
      <c r="C7956" t="s">
        <v>154</v>
      </c>
      <c r="D7956" s="9" t="s">
        <v>150</v>
      </c>
      <c r="E7956" t="s">
        <v>36</v>
      </c>
      <c r="F7956" t="s">
        <v>69</v>
      </c>
      <c r="G7956">
        <v>246.8</v>
      </c>
      <c r="H7956" s="9">
        <v>6.98</v>
      </c>
      <c r="I7956"/>
    </row>
    <row r="7957" spans="1:9" x14ac:dyDescent="0.3">
      <c r="A7957" t="s">
        <v>5</v>
      </c>
      <c r="B7957" t="s">
        <v>15</v>
      </c>
      <c r="C7957" t="s">
        <v>155</v>
      </c>
      <c r="D7957" s="9" t="s">
        <v>150</v>
      </c>
      <c r="E7957" t="s">
        <v>37</v>
      </c>
      <c r="F7957" t="s">
        <v>71</v>
      </c>
      <c r="G7957">
        <v>231.5</v>
      </c>
      <c r="H7957" s="9">
        <v>4.09</v>
      </c>
      <c r="I7957"/>
    </row>
    <row r="7958" spans="1:9" x14ac:dyDescent="0.3">
      <c r="A7958" t="s">
        <v>5</v>
      </c>
      <c r="B7958" t="s">
        <v>21</v>
      </c>
      <c r="C7958" t="s">
        <v>59</v>
      </c>
      <c r="D7958" s="9" t="s">
        <v>60</v>
      </c>
      <c r="E7958" t="s">
        <v>32</v>
      </c>
      <c r="F7958" t="s">
        <v>61</v>
      </c>
      <c r="G7958">
        <v>128.4</v>
      </c>
      <c r="I7958"/>
    </row>
    <row r="7959" spans="1:9" x14ac:dyDescent="0.3">
      <c r="A7959" t="s">
        <v>5</v>
      </c>
      <c r="B7959" t="s">
        <v>21</v>
      </c>
      <c r="C7959" t="s">
        <v>62</v>
      </c>
      <c r="D7959" s="9" t="s">
        <v>60</v>
      </c>
      <c r="E7959" t="s">
        <v>33</v>
      </c>
      <c r="F7959" t="s">
        <v>63</v>
      </c>
      <c r="G7959">
        <v>113.4</v>
      </c>
      <c r="I7959"/>
    </row>
    <row r="7960" spans="1:9" x14ac:dyDescent="0.3">
      <c r="A7960" t="s">
        <v>5</v>
      </c>
      <c r="B7960" t="s">
        <v>21</v>
      </c>
      <c r="C7960" t="s">
        <v>64</v>
      </c>
      <c r="D7960" s="9" t="s">
        <v>60</v>
      </c>
      <c r="E7960" t="s">
        <v>34</v>
      </c>
      <c r="F7960" t="s">
        <v>65</v>
      </c>
      <c r="G7960">
        <v>128.6</v>
      </c>
      <c r="I7960"/>
    </row>
    <row r="7961" spans="1:9" x14ac:dyDescent="0.3">
      <c r="A7961" t="s">
        <v>5</v>
      </c>
      <c r="B7961" t="s">
        <v>21</v>
      </c>
      <c r="C7961" t="s">
        <v>66</v>
      </c>
      <c r="D7961" s="9" t="s">
        <v>60</v>
      </c>
      <c r="E7961" t="s">
        <v>35</v>
      </c>
      <c r="F7961" t="s">
        <v>67</v>
      </c>
      <c r="G7961">
        <v>123.3</v>
      </c>
      <c r="I7961"/>
    </row>
    <row r="7962" spans="1:9" x14ac:dyDescent="0.3">
      <c r="A7962" t="s">
        <v>5</v>
      </c>
      <c r="B7962" t="s">
        <v>21</v>
      </c>
      <c r="C7962" t="s">
        <v>68</v>
      </c>
      <c r="D7962" s="9" t="s">
        <v>60</v>
      </c>
      <c r="E7962" t="s">
        <v>36</v>
      </c>
      <c r="F7962" t="s">
        <v>69</v>
      </c>
      <c r="G7962">
        <v>121</v>
      </c>
      <c r="I7962"/>
    </row>
    <row r="7963" spans="1:9" x14ac:dyDescent="0.3">
      <c r="A7963" t="s">
        <v>5</v>
      </c>
      <c r="B7963" t="s">
        <v>21</v>
      </c>
      <c r="C7963" t="s">
        <v>70</v>
      </c>
      <c r="D7963" s="9" t="s">
        <v>60</v>
      </c>
      <c r="E7963" t="s">
        <v>37</v>
      </c>
      <c r="F7963" t="s">
        <v>71</v>
      </c>
      <c r="G7963">
        <v>114.2</v>
      </c>
      <c r="I7963"/>
    </row>
    <row r="7964" spans="1:9" x14ac:dyDescent="0.3">
      <c r="A7964" t="s">
        <v>5</v>
      </c>
      <c r="B7964" t="s">
        <v>21</v>
      </c>
      <c r="C7964" t="s">
        <v>72</v>
      </c>
      <c r="D7964" s="9" t="s">
        <v>60</v>
      </c>
      <c r="E7964" t="s">
        <v>38</v>
      </c>
      <c r="F7964" t="s">
        <v>73</v>
      </c>
      <c r="G7964">
        <v>119.7</v>
      </c>
      <c r="I7964"/>
    </row>
    <row r="7965" spans="1:9" x14ac:dyDescent="0.3">
      <c r="A7965" t="s">
        <v>5</v>
      </c>
      <c r="B7965" t="s">
        <v>21</v>
      </c>
      <c r="C7965" t="s">
        <v>74</v>
      </c>
      <c r="D7965" s="9" t="s">
        <v>60</v>
      </c>
      <c r="E7965" t="s">
        <v>39</v>
      </c>
      <c r="F7965" t="s">
        <v>75</v>
      </c>
      <c r="G7965">
        <v>127.2</v>
      </c>
      <c r="I7965"/>
    </row>
    <row r="7966" spans="1:9" x14ac:dyDescent="0.3">
      <c r="A7966" t="s">
        <v>5</v>
      </c>
      <c r="B7966" t="s">
        <v>21</v>
      </c>
      <c r="C7966" t="s">
        <v>76</v>
      </c>
      <c r="D7966" s="9" t="s">
        <v>60</v>
      </c>
      <c r="E7966" t="s">
        <v>40</v>
      </c>
      <c r="F7966" t="s">
        <v>77</v>
      </c>
      <c r="G7966">
        <v>130</v>
      </c>
      <c r="I7966"/>
    </row>
    <row r="7967" spans="1:9" x14ac:dyDescent="0.3">
      <c r="A7967" t="s">
        <v>5</v>
      </c>
      <c r="B7967" t="s">
        <v>21</v>
      </c>
      <c r="C7967" t="s">
        <v>78</v>
      </c>
      <c r="D7967" s="9" t="s">
        <v>60</v>
      </c>
      <c r="E7967" t="s">
        <v>41</v>
      </c>
      <c r="F7967" t="s">
        <v>79</v>
      </c>
      <c r="G7967">
        <v>131.19999999999999</v>
      </c>
      <c r="I7967"/>
    </row>
    <row r="7968" spans="1:9" x14ac:dyDescent="0.3">
      <c r="A7968" t="s">
        <v>5</v>
      </c>
      <c r="B7968" t="s">
        <v>21</v>
      </c>
      <c r="C7968" t="s">
        <v>80</v>
      </c>
      <c r="D7968" s="9" t="s">
        <v>60</v>
      </c>
      <c r="E7968" t="s">
        <v>42</v>
      </c>
      <c r="F7968" t="s">
        <v>81</v>
      </c>
      <c r="G7968">
        <v>143.6</v>
      </c>
      <c r="I7968"/>
    </row>
    <row r="7969" spans="1:9" x14ac:dyDescent="0.3">
      <c r="A7969" t="s">
        <v>5</v>
      </c>
      <c r="B7969" t="s">
        <v>21</v>
      </c>
      <c r="C7969" t="s">
        <v>82</v>
      </c>
      <c r="D7969" s="9" t="s">
        <v>60</v>
      </c>
      <c r="E7969" t="s">
        <v>43</v>
      </c>
      <c r="F7969" t="s">
        <v>83</v>
      </c>
      <c r="G7969">
        <v>195.8</v>
      </c>
      <c r="I7969"/>
    </row>
    <row r="7970" spans="1:9" x14ac:dyDescent="0.3">
      <c r="A7970" t="s">
        <v>5</v>
      </c>
      <c r="B7970" t="s">
        <v>21</v>
      </c>
      <c r="C7970" t="s">
        <v>84</v>
      </c>
      <c r="D7970" s="9" t="s">
        <v>85</v>
      </c>
      <c r="E7970" t="s">
        <v>32</v>
      </c>
      <c r="F7970" t="s">
        <v>61</v>
      </c>
      <c r="G7970">
        <v>134.6</v>
      </c>
      <c r="H7970" s="9">
        <v>4.83</v>
      </c>
      <c r="I7970"/>
    </row>
    <row r="7971" spans="1:9" x14ac:dyDescent="0.3">
      <c r="A7971" t="s">
        <v>5</v>
      </c>
      <c r="B7971" t="s">
        <v>21</v>
      </c>
      <c r="C7971" t="s">
        <v>86</v>
      </c>
      <c r="D7971" s="9" t="s">
        <v>85</v>
      </c>
      <c r="E7971" t="s">
        <v>33</v>
      </c>
      <c r="F7971" t="s">
        <v>63</v>
      </c>
      <c r="G7971">
        <v>127.5</v>
      </c>
      <c r="H7971" s="9">
        <v>12.43</v>
      </c>
      <c r="I7971"/>
    </row>
    <row r="7972" spans="1:9" x14ac:dyDescent="0.3">
      <c r="A7972" t="s">
        <v>5</v>
      </c>
      <c r="B7972" t="s">
        <v>21</v>
      </c>
      <c r="C7972" t="s">
        <v>87</v>
      </c>
      <c r="D7972" s="9" t="s">
        <v>85</v>
      </c>
      <c r="E7972" t="s">
        <v>34</v>
      </c>
      <c r="F7972" t="s">
        <v>65</v>
      </c>
      <c r="G7972">
        <v>168.7</v>
      </c>
      <c r="H7972" s="9">
        <v>31.18</v>
      </c>
      <c r="I7972"/>
    </row>
    <row r="7973" spans="1:9" x14ac:dyDescent="0.3">
      <c r="A7973" t="s">
        <v>5</v>
      </c>
      <c r="B7973" t="s">
        <v>21</v>
      </c>
      <c r="C7973" t="s">
        <v>88</v>
      </c>
      <c r="D7973" s="9" t="s">
        <v>85</v>
      </c>
      <c r="E7973" t="s">
        <v>35</v>
      </c>
      <c r="F7973" t="s">
        <v>67</v>
      </c>
      <c r="G7973">
        <v>146.9</v>
      </c>
      <c r="H7973" s="9">
        <v>19.14</v>
      </c>
      <c r="I7973"/>
    </row>
    <row r="7974" spans="1:9" x14ac:dyDescent="0.3">
      <c r="A7974" t="s">
        <v>5</v>
      </c>
      <c r="B7974" t="s">
        <v>21</v>
      </c>
      <c r="C7974" t="s">
        <v>89</v>
      </c>
      <c r="D7974" s="9" t="s">
        <v>85</v>
      </c>
      <c r="E7974" t="s">
        <v>36</v>
      </c>
      <c r="F7974" t="s">
        <v>69</v>
      </c>
      <c r="G7974">
        <v>182.9</v>
      </c>
      <c r="H7974" s="9">
        <v>51.16</v>
      </c>
      <c r="I7974"/>
    </row>
    <row r="7975" spans="1:9" x14ac:dyDescent="0.3">
      <c r="A7975" t="s">
        <v>5</v>
      </c>
      <c r="B7975" t="s">
        <v>21</v>
      </c>
      <c r="C7975" t="s">
        <v>90</v>
      </c>
      <c r="D7975" s="9" t="s">
        <v>85</v>
      </c>
      <c r="E7975" t="s">
        <v>37</v>
      </c>
      <c r="F7975" t="s">
        <v>71</v>
      </c>
      <c r="G7975">
        <v>162.80000000000001</v>
      </c>
      <c r="H7975" s="9">
        <v>42.56</v>
      </c>
      <c r="I7975"/>
    </row>
    <row r="7976" spans="1:9" x14ac:dyDescent="0.3">
      <c r="A7976" t="s">
        <v>5</v>
      </c>
      <c r="B7976" t="s">
        <v>21</v>
      </c>
      <c r="C7976" t="s">
        <v>91</v>
      </c>
      <c r="D7976" s="9" t="s">
        <v>85</v>
      </c>
      <c r="E7976" t="s">
        <v>38</v>
      </c>
      <c r="F7976" t="s">
        <v>73</v>
      </c>
      <c r="G7976">
        <v>169.1</v>
      </c>
      <c r="H7976" s="9">
        <v>41.27</v>
      </c>
      <c r="I7976"/>
    </row>
    <row r="7977" spans="1:9" x14ac:dyDescent="0.3">
      <c r="A7977" t="s">
        <v>5</v>
      </c>
      <c r="B7977" t="s">
        <v>21</v>
      </c>
      <c r="C7977" t="s">
        <v>92</v>
      </c>
      <c r="D7977" s="9" t="s">
        <v>85</v>
      </c>
      <c r="E7977" t="s">
        <v>39</v>
      </c>
      <c r="F7977" t="s">
        <v>75</v>
      </c>
      <c r="G7977">
        <v>167.2</v>
      </c>
      <c r="H7977" s="9">
        <v>31.45</v>
      </c>
      <c r="I7977"/>
    </row>
    <row r="7978" spans="1:9" x14ac:dyDescent="0.3">
      <c r="A7978" t="s">
        <v>5</v>
      </c>
      <c r="B7978" t="s">
        <v>21</v>
      </c>
      <c r="C7978" t="s">
        <v>93</v>
      </c>
      <c r="D7978" s="9" t="s">
        <v>85</v>
      </c>
      <c r="E7978" t="s">
        <v>40</v>
      </c>
      <c r="F7978" t="s">
        <v>77</v>
      </c>
      <c r="G7978">
        <v>169.9</v>
      </c>
      <c r="H7978" s="9">
        <v>30.69</v>
      </c>
      <c r="I7978"/>
    </row>
    <row r="7979" spans="1:9" x14ac:dyDescent="0.3">
      <c r="A7979" t="s">
        <v>5</v>
      </c>
      <c r="B7979" t="s">
        <v>21</v>
      </c>
      <c r="C7979" t="s">
        <v>94</v>
      </c>
      <c r="D7979" s="9" t="s">
        <v>85</v>
      </c>
      <c r="E7979" t="s">
        <v>41</v>
      </c>
      <c r="F7979" t="s">
        <v>79</v>
      </c>
      <c r="G7979">
        <v>182.4</v>
      </c>
      <c r="H7979" s="9">
        <v>39.020000000000003</v>
      </c>
      <c r="I7979"/>
    </row>
    <row r="7980" spans="1:9" x14ac:dyDescent="0.3">
      <c r="A7980" t="s">
        <v>5</v>
      </c>
      <c r="B7980" t="s">
        <v>21</v>
      </c>
      <c r="C7980" t="s">
        <v>95</v>
      </c>
      <c r="D7980" s="9" t="s">
        <v>85</v>
      </c>
      <c r="E7980" t="s">
        <v>42</v>
      </c>
      <c r="F7980" t="s">
        <v>81</v>
      </c>
      <c r="G7980">
        <v>174.2</v>
      </c>
      <c r="H7980" s="9">
        <v>21.31</v>
      </c>
      <c r="I7980"/>
    </row>
    <row r="7981" spans="1:9" x14ac:dyDescent="0.3">
      <c r="A7981" t="s">
        <v>5</v>
      </c>
      <c r="B7981" t="s">
        <v>21</v>
      </c>
      <c r="C7981" t="s">
        <v>96</v>
      </c>
      <c r="D7981" s="9" t="s">
        <v>85</v>
      </c>
      <c r="E7981" t="s">
        <v>43</v>
      </c>
      <c r="F7981" t="s">
        <v>83</v>
      </c>
      <c r="G7981">
        <v>267.10000000000002</v>
      </c>
      <c r="H7981" s="9">
        <v>36.409999999999997</v>
      </c>
      <c r="I7981"/>
    </row>
    <row r="7982" spans="1:9" x14ac:dyDescent="0.3">
      <c r="A7982" t="s">
        <v>5</v>
      </c>
      <c r="B7982" t="s">
        <v>21</v>
      </c>
      <c r="C7982" t="s">
        <v>97</v>
      </c>
      <c r="D7982" s="9" t="s">
        <v>98</v>
      </c>
      <c r="E7982" t="s">
        <v>32</v>
      </c>
      <c r="F7982" t="s">
        <v>61</v>
      </c>
      <c r="G7982">
        <v>191.6</v>
      </c>
      <c r="H7982" s="9">
        <v>42.35</v>
      </c>
      <c r="I7982"/>
    </row>
    <row r="7983" spans="1:9" x14ac:dyDescent="0.3">
      <c r="A7983" t="s">
        <v>5</v>
      </c>
      <c r="B7983" t="s">
        <v>21</v>
      </c>
      <c r="C7983" t="s">
        <v>99</v>
      </c>
      <c r="D7983" s="9" t="s">
        <v>98</v>
      </c>
      <c r="E7983" t="s">
        <v>33</v>
      </c>
      <c r="F7983" t="s">
        <v>63</v>
      </c>
      <c r="G7983">
        <v>155.19999999999999</v>
      </c>
      <c r="H7983" s="9">
        <v>21.73</v>
      </c>
      <c r="I7983"/>
    </row>
    <row r="7984" spans="1:9" x14ac:dyDescent="0.3">
      <c r="A7984" t="s">
        <v>5</v>
      </c>
      <c r="B7984" t="s">
        <v>21</v>
      </c>
      <c r="C7984" t="s">
        <v>100</v>
      </c>
      <c r="D7984" s="9" t="s">
        <v>98</v>
      </c>
      <c r="E7984" t="s">
        <v>34</v>
      </c>
      <c r="F7984" t="s">
        <v>65</v>
      </c>
      <c r="G7984">
        <v>177.5</v>
      </c>
      <c r="H7984" s="9">
        <v>5.22</v>
      </c>
      <c r="I7984"/>
    </row>
    <row r="7985" spans="1:9" x14ac:dyDescent="0.3">
      <c r="A7985" t="s">
        <v>5</v>
      </c>
      <c r="B7985" t="s">
        <v>21</v>
      </c>
      <c r="C7985" t="s">
        <v>101</v>
      </c>
      <c r="D7985" s="9" t="s">
        <v>98</v>
      </c>
      <c r="E7985" t="s">
        <v>35</v>
      </c>
      <c r="F7985" t="s">
        <v>67</v>
      </c>
      <c r="G7985">
        <v>173</v>
      </c>
      <c r="H7985" s="9">
        <v>17.77</v>
      </c>
      <c r="I7985"/>
    </row>
    <row r="7986" spans="1:9" x14ac:dyDescent="0.3">
      <c r="A7986" t="s">
        <v>5</v>
      </c>
      <c r="B7986" t="s">
        <v>21</v>
      </c>
      <c r="C7986" t="s">
        <v>102</v>
      </c>
      <c r="D7986" s="9" t="s">
        <v>98</v>
      </c>
      <c r="E7986" t="s">
        <v>36</v>
      </c>
      <c r="F7986" t="s">
        <v>69</v>
      </c>
      <c r="G7986">
        <v>160.30000000000001</v>
      </c>
      <c r="H7986" s="9">
        <v>-12.36</v>
      </c>
      <c r="I7986"/>
    </row>
    <row r="7987" spans="1:9" x14ac:dyDescent="0.3">
      <c r="A7987" t="s">
        <v>5</v>
      </c>
      <c r="B7987" t="s">
        <v>21</v>
      </c>
      <c r="C7987" t="s">
        <v>103</v>
      </c>
      <c r="D7987" s="9" t="s">
        <v>98</v>
      </c>
      <c r="E7987" t="s">
        <v>37</v>
      </c>
      <c r="F7987" t="s">
        <v>71</v>
      </c>
      <c r="G7987">
        <v>153.19999999999999</v>
      </c>
      <c r="H7987" s="9">
        <v>-5.9</v>
      </c>
      <c r="I7987"/>
    </row>
    <row r="7988" spans="1:9" x14ac:dyDescent="0.3">
      <c r="A7988" t="s">
        <v>5</v>
      </c>
      <c r="B7988" t="s">
        <v>21</v>
      </c>
      <c r="C7988" t="s">
        <v>104</v>
      </c>
      <c r="D7988" s="9" t="s">
        <v>98</v>
      </c>
      <c r="E7988" t="s">
        <v>38</v>
      </c>
      <c r="F7988" t="s">
        <v>73</v>
      </c>
      <c r="G7988">
        <v>166.4</v>
      </c>
      <c r="H7988" s="9">
        <v>-1.6</v>
      </c>
      <c r="I7988"/>
    </row>
    <row r="7989" spans="1:9" x14ac:dyDescent="0.3">
      <c r="A7989" t="s">
        <v>5</v>
      </c>
      <c r="B7989" t="s">
        <v>21</v>
      </c>
      <c r="C7989" t="s">
        <v>105</v>
      </c>
      <c r="D7989" s="9" t="s">
        <v>98</v>
      </c>
      <c r="E7989" t="s">
        <v>39</v>
      </c>
      <c r="F7989" t="s">
        <v>75</v>
      </c>
      <c r="G7989">
        <v>154</v>
      </c>
      <c r="H7989" s="9">
        <v>-7.89</v>
      </c>
      <c r="I7989"/>
    </row>
    <row r="7990" spans="1:9" x14ac:dyDescent="0.3">
      <c r="A7990" t="s">
        <v>5</v>
      </c>
      <c r="B7990" t="s">
        <v>21</v>
      </c>
      <c r="C7990" t="s">
        <v>106</v>
      </c>
      <c r="D7990" s="9" t="s">
        <v>98</v>
      </c>
      <c r="E7990" t="s">
        <v>40</v>
      </c>
      <c r="F7990" t="s">
        <v>77</v>
      </c>
      <c r="G7990">
        <v>166</v>
      </c>
      <c r="H7990" s="9">
        <v>-2.2999999999999998</v>
      </c>
      <c r="I7990"/>
    </row>
    <row r="7991" spans="1:9" x14ac:dyDescent="0.3">
      <c r="A7991" t="s">
        <v>5</v>
      </c>
      <c r="B7991" t="s">
        <v>21</v>
      </c>
      <c r="C7991" t="s">
        <v>107</v>
      </c>
      <c r="D7991" s="9" t="s">
        <v>98</v>
      </c>
      <c r="E7991" t="s">
        <v>41</v>
      </c>
      <c r="F7991" t="s">
        <v>79</v>
      </c>
      <c r="G7991">
        <v>168</v>
      </c>
      <c r="H7991" s="9">
        <v>-7.89</v>
      </c>
      <c r="I7991"/>
    </row>
    <row r="7992" spans="1:9" x14ac:dyDescent="0.3">
      <c r="A7992" t="s">
        <v>5</v>
      </c>
      <c r="B7992" t="s">
        <v>21</v>
      </c>
      <c r="C7992" t="s">
        <v>108</v>
      </c>
      <c r="D7992" s="9" t="s">
        <v>98</v>
      </c>
      <c r="E7992" t="s">
        <v>42</v>
      </c>
      <c r="F7992" t="s">
        <v>81</v>
      </c>
      <c r="G7992">
        <v>174.4</v>
      </c>
      <c r="H7992" s="9">
        <v>0.11</v>
      </c>
      <c r="I7992"/>
    </row>
    <row r="7993" spans="1:9" x14ac:dyDescent="0.3">
      <c r="A7993" t="s">
        <v>5</v>
      </c>
      <c r="B7993" t="s">
        <v>21</v>
      </c>
      <c r="C7993" t="s">
        <v>109</v>
      </c>
      <c r="D7993" s="9" t="s">
        <v>98</v>
      </c>
      <c r="E7993" t="s">
        <v>43</v>
      </c>
      <c r="F7993" t="s">
        <v>83</v>
      </c>
      <c r="G7993">
        <v>275.3</v>
      </c>
      <c r="H7993" s="9">
        <v>3.07</v>
      </c>
      <c r="I7993"/>
    </row>
    <row r="7994" spans="1:9" x14ac:dyDescent="0.3">
      <c r="A7994" t="s">
        <v>5</v>
      </c>
      <c r="B7994" t="s">
        <v>21</v>
      </c>
      <c r="C7994" t="s">
        <v>110</v>
      </c>
      <c r="D7994" s="9" t="s">
        <v>111</v>
      </c>
      <c r="E7994" t="s">
        <v>32</v>
      </c>
      <c r="F7994" t="s">
        <v>61</v>
      </c>
      <c r="G7994">
        <v>179.2</v>
      </c>
      <c r="H7994" s="9">
        <v>-6.47</v>
      </c>
      <c r="I7994"/>
    </row>
    <row r="7995" spans="1:9" x14ac:dyDescent="0.3">
      <c r="A7995" t="s">
        <v>5</v>
      </c>
      <c r="B7995" t="s">
        <v>21</v>
      </c>
      <c r="C7995" t="s">
        <v>112</v>
      </c>
      <c r="D7995" s="9" t="s">
        <v>111</v>
      </c>
      <c r="E7995" t="s">
        <v>33</v>
      </c>
      <c r="F7995" t="s">
        <v>63</v>
      </c>
      <c r="G7995">
        <v>158.69999999999999</v>
      </c>
      <c r="H7995" s="9">
        <v>2.2599999999999998</v>
      </c>
      <c r="I7995"/>
    </row>
    <row r="7996" spans="1:9" x14ac:dyDescent="0.3">
      <c r="A7996" t="s">
        <v>5</v>
      </c>
      <c r="B7996" t="s">
        <v>21</v>
      </c>
      <c r="C7996" t="s">
        <v>113</v>
      </c>
      <c r="D7996" s="9" t="s">
        <v>111</v>
      </c>
      <c r="E7996" t="s">
        <v>34</v>
      </c>
      <c r="F7996" t="s">
        <v>65</v>
      </c>
      <c r="G7996">
        <v>179.1</v>
      </c>
      <c r="H7996" s="9">
        <v>0.9</v>
      </c>
      <c r="I7996"/>
    </row>
    <row r="7997" spans="1:9" x14ac:dyDescent="0.3">
      <c r="A7997" t="s">
        <v>5</v>
      </c>
      <c r="B7997" t="s">
        <v>21</v>
      </c>
      <c r="C7997" t="s">
        <v>114</v>
      </c>
      <c r="D7997" s="9" t="s">
        <v>111</v>
      </c>
      <c r="E7997" t="s">
        <v>35</v>
      </c>
      <c r="F7997" t="s">
        <v>67</v>
      </c>
      <c r="G7997">
        <v>185.9</v>
      </c>
      <c r="H7997" s="9">
        <v>7.46</v>
      </c>
      <c r="I7997"/>
    </row>
    <row r="7998" spans="1:9" x14ac:dyDescent="0.3">
      <c r="A7998" t="s">
        <v>5</v>
      </c>
      <c r="B7998" t="s">
        <v>21</v>
      </c>
      <c r="C7998" t="s">
        <v>115</v>
      </c>
      <c r="D7998" s="9" t="s">
        <v>111</v>
      </c>
      <c r="E7998" t="s">
        <v>36</v>
      </c>
      <c r="F7998" t="s">
        <v>69</v>
      </c>
      <c r="G7998">
        <v>162</v>
      </c>
      <c r="H7998" s="9">
        <v>1.06</v>
      </c>
      <c r="I7998"/>
    </row>
    <row r="7999" spans="1:9" x14ac:dyDescent="0.3">
      <c r="A7999" t="s">
        <v>5</v>
      </c>
      <c r="B7999" t="s">
        <v>21</v>
      </c>
      <c r="C7999" t="s">
        <v>116</v>
      </c>
      <c r="D7999" s="9" t="s">
        <v>111</v>
      </c>
      <c r="E7999" t="s">
        <v>37</v>
      </c>
      <c r="F7999" t="s">
        <v>71</v>
      </c>
      <c r="G7999">
        <v>158.9</v>
      </c>
      <c r="H7999" s="9">
        <v>3.72</v>
      </c>
      <c r="I7999"/>
    </row>
    <row r="8000" spans="1:9" x14ac:dyDescent="0.3">
      <c r="A8000" t="s">
        <v>5</v>
      </c>
      <c r="B8000" t="s">
        <v>21</v>
      </c>
      <c r="C8000" t="s">
        <v>117</v>
      </c>
      <c r="D8000" s="9" t="s">
        <v>111</v>
      </c>
      <c r="E8000" t="s">
        <v>38</v>
      </c>
      <c r="F8000" t="s">
        <v>73</v>
      </c>
      <c r="G8000">
        <v>161.80000000000001</v>
      </c>
      <c r="H8000" s="9">
        <v>-2.76</v>
      </c>
      <c r="I8000"/>
    </row>
    <row r="8001" spans="1:9" x14ac:dyDescent="0.3">
      <c r="A8001" t="s">
        <v>5</v>
      </c>
      <c r="B8001" t="s">
        <v>21</v>
      </c>
      <c r="C8001" t="s">
        <v>118</v>
      </c>
      <c r="D8001" s="9" t="s">
        <v>111</v>
      </c>
      <c r="E8001" t="s">
        <v>39</v>
      </c>
      <c r="F8001" t="s">
        <v>75</v>
      </c>
      <c r="G8001">
        <v>160.19999999999999</v>
      </c>
      <c r="H8001" s="9">
        <v>4.03</v>
      </c>
      <c r="I8001"/>
    </row>
    <row r="8002" spans="1:9" x14ac:dyDescent="0.3">
      <c r="A8002" t="s">
        <v>5</v>
      </c>
      <c r="B8002" t="s">
        <v>21</v>
      </c>
      <c r="C8002" t="s">
        <v>119</v>
      </c>
      <c r="D8002" s="9" t="s">
        <v>111</v>
      </c>
      <c r="E8002" t="s">
        <v>40</v>
      </c>
      <c r="F8002" t="s">
        <v>77</v>
      </c>
      <c r="G8002">
        <v>174.2</v>
      </c>
      <c r="H8002" s="9">
        <v>4.9400000000000004</v>
      </c>
      <c r="I8002"/>
    </row>
    <row r="8003" spans="1:9" x14ac:dyDescent="0.3">
      <c r="A8003" t="s">
        <v>5</v>
      </c>
      <c r="B8003" t="s">
        <v>21</v>
      </c>
      <c r="C8003" t="s">
        <v>120</v>
      </c>
      <c r="D8003" s="9" t="s">
        <v>111</v>
      </c>
      <c r="E8003" t="s">
        <v>41</v>
      </c>
      <c r="F8003" t="s">
        <v>79</v>
      </c>
      <c r="G8003">
        <v>171.4</v>
      </c>
      <c r="H8003" s="9">
        <v>2.02</v>
      </c>
      <c r="I8003"/>
    </row>
    <row r="8004" spans="1:9" x14ac:dyDescent="0.3">
      <c r="A8004" t="s">
        <v>5</v>
      </c>
      <c r="B8004" t="s">
        <v>21</v>
      </c>
      <c r="C8004" t="s">
        <v>121</v>
      </c>
      <c r="D8004" s="9" t="s">
        <v>111</v>
      </c>
      <c r="E8004" t="s">
        <v>42</v>
      </c>
      <c r="F8004" t="s">
        <v>81</v>
      </c>
      <c r="G8004">
        <v>175.1</v>
      </c>
      <c r="H8004" s="9">
        <v>0.4</v>
      </c>
      <c r="I8004"/>
    </row>
    <row r="8005" spans="1:9" x14ac:dyDescent="0.3">
      <c r="A8005" t="s">
        <v>5</v>
      </c>
      <c r="B8005" t="s">
        <v>21</v>
      </c>
      <c r="C8005" t="s">
        <v>122</v>
      </c>
      <c r="D8005" s="9" t="s">
        <v>111</v>
      </c>
      <c r="E8005" t="s">
        <v>43</v>
      </c>
      <c r="F8005" t="s">
        <v>83</v>
      </c>
      <c r="G8005">
        <v>269.2</v>
      </c>
      <c r="H8005" s="9">
        <v>-2.2200000000000002</v>
      </c>
      <c r="I8005"/>
    </row>
    <row r="8006" spans="1:9" x14ac:dyDescent="0.3">
      <c r="A8006" t="s">
        <v>5</v>
      </c>
      <c r="B8006" t="s">
        <v>21</v>
      </c>
      <c r="C8006" t="s">
        <v>123</v>
      </c>
      <c r="D8006" s="9" t="s">
        <v>124</v>
      </c>
      <c r="E8006" t="s">
        <v>32</v>
      </c>
      <c r="F8006" t="s">
        <v>61</v>
      </c>
      <c r="G8006">
        <v>169.6</v>
      </c>
      <c r="H8006" s="9">
        <v>-5.36</v>
      </c>
      <c r="I8006"/>
    </row>
    <row r="8007" spans="1:9" x14ac:dyDescent="0.3">
      <c r="A8007" t="s">
        <v>5</v>
      </c>
      <c r="B8007" t="s">
        <v>21</v>
      </c>
      <c r="C8007" t="s">
        <v>125</v>
      </c>
      <c r="D8007" s="9" t="s">
        <v>124</v>
      </c>
      <c r="E8007" t="s">
        <v>33</v>
      </c>
      <c r="F8007" t="s">
        <v>63</v>
      </c>
      <c r="G8007">
        <v>156</v>
      </c>
      <c r="H8007" s="9">
        <v>-1.7</v>
      </c>
      <c r="I8007"/>
    </row>
    <row r="8008" spans="1:9" x14ac:dyDescent="0.3">
      <c r="A8008" t="s">
        <v>5</v>
      </c>
      <c r="B8008" t="s">
        <v>21</v>
      </c>
      <c r="C8008" t="s">
        <v>126</v>
      </c>
      <c r="D8008" s="9" t="s">
        <v>124</v>
      </c>
      <c r="E8008" t="s">
        <v>34</v>
      </c>
      <c r="F8008" t="s">
        <v>65</v>
      </c>
      <c r="G8008">
        <v>177</v>
      </c>
      <c r="H8008" s="9">
        <v>-1.17</v>
      </c>
      <c r="I8008"/>
    </row>
    <row r="8009" spans="1:9" x14ac:dyDescent="0.3">
      <c r="A8009" t="s">
        <v>5</v>
      </c>
      <c r="B8009" t="s">
        <v>21</v>
      </c>
      <c r="C8009" t="s">
        <v>127</v>
      </c>
      <c r="D8009" s="9" t="s">
        <v>124</v>
      </c>
      <c r="E8009" t="s">
        <v>35</v>
      </c>
      <c r="F8009" t="s">
        <v>67</v>
      </c>
      <c r="G8009">
        <v>171.9</v>
      </c>
      <c r="H8009" s="9">
        <v>-7.53</v>
      </c>
      <c r="I8009"/>
    </row>
    <row r="8010" spans="1:9" x14ac:dyDescent="0.3">
      <c r="A8010" t="s">
        <v>5</v>
      </c>
      <c r="B8010" t="s">
        <v>21</v>
      </c>
      <c r="C8010" t="s">
        <v>128</v>
      </c>
      <c r="D8010" s="9" t="s">
        <v>124</v>
      </c>
      <c r="E8010" t="s">
        <v>36</v>
      </c>
      <c r="F8010" t="s">
        <v>69</v>
      </c>
      <c r="G8010">
        <v>157.6</v>
      </c>
      <c r="H8010" s="9">
        <v>-2.72</v>
      </c>
      <c r="I8010"/>
    </row>
    <row r="8011" spans="1:9" x14ac:dyDescent="0.3">
      <c r="A8011" t="s">
        <v>5</v>
      </c>
      <c r="B8011" t="s">
        <v>21</v>
      </c>
      <c r="C8011" t="s">
        <v>129</v>
      </c>
      <c r="D8011" s="9" t="s">
        <v>124</v>
      </c>
      <c r="E8011" t="s">
        <v>37</v>
      </c>
      <c r="F8011" t="s">
        <v>71</v>
      </c>
      <c r="G8011">
        <v>155.19999999999999</v>
      </c>
      <c r="H8011" s="9">
        <v>-2.33</v>
      </c>
      <c r="I8011"/>
    </row>
    <row r="8012" spans="1:9" x14ac:dyDescent="0.3">
      <c r="A8012" t="s">
        <v>5</v>
      </c>
      <c r="B8012" t="s">
        <v>21</v>
      </c>
      <c r="C8012" t="s">
        <v>130</v>
      </c>
      <c r="D8012" s="9" t="s">
        <v>124</v>
      </c>
      <c r="E8012" t="s">
        <v>38</v>
      </c>
      <c r="F8012" t="s">
        <v>73</v>
      </c>
      <c r="G8012">
        <v>154.9</v>
      </c>
      <c r="H8012" s="9">
        <v>-4.26</v>
      </c>
      <c r="I8012"/>
    </row>
    <row r="8013" spans="1:9" x14ac:dyDescent="0.3">
      <c r="A8013" t="s">
        <v>5</v>
      </c>
      <c r="B8013" t="s">
        <v>21</v>
      </c>
      <c r="C8013" t="s">
        <v>131</v>
      </c>
      <c r="D8013" s="9" t="s">
        <v>124</v>
      </c>
      <c r="E8013" t="s">
        <v>39</v>
      </c>
      <c r="F8013" t="s">
        <v>75</v>
      </c>
      <c r="G8013">
        <v>159.6</v>
      </c>
      <c r="H8013" s="9">
        <v>-0.37</v>
      </c>
      <c r="I8013"/>
    </row>
    <row r="8014" spans="1:9" x14ac:dyDescent="0.3">
      <c r="A8014" t="s">
        <v>5</v>
      </c>
      <c r="B8014" t="s">
        <v>21</v>
      </c>
      <c r="C8014" t="s">
        <v>132</v>
      </c>
      <c r="D8014" s="9" t="s">
        <v>124</v>
      </c>
      <c r="E8014" t="s">
        <v>40</v>
      </c>
      <c r="F8014" t="s">
        <v>77</v>
      </c>
      <c r="G8014">
        <v>177.3</v>
      </c>
      <c r="H8014" s="9">
        <v>1.78</v>
      </c>
      <c r="I8014"/>
    </row>
    <row r="8015" spans="1:9" x14ac:dyDescent="0.3">
      <c r="A8015" t="s">
        <v>5</v>
      </c>
      <c r="B8015" t="s">
        <v>21</v>
      </c>
      <c r="C8015" t="s">
        <v>133</v>
      </c>
      <c r="D8015" s="9" t="s">
        <v>124</v>
      </c>
      <c r="E8015" t="s">
        <v>41</v>
      </c>
      <c r="F8015" t="s">
        <v>79</v>
      </c>
      <c r="G8015">
        <v>173.8</v>
      </c>
      <c r="H8015" s="9">
        <v>1.4</v>
      </c>
      <c r="I8015"/>
    </row>
    <row r="8016" spans="1:9" x14ac:dyDescent="0.3">
      <c r="A8016" t="s">
        <v>5</v>
      </c>
      <c r="B8016" t="s">
        <v>21</v>
      </c>
      <c r="C8016" t="s">
        <v>134</v>
      </c>
      <c r="D8016" s="9" t="s">
        <v>124</v>
      </c>
      <c r="E8016" t="s">
        <v>42</v>
      </c>
      <c r="F8016" t="s">
        <v>81</v>
      </c>
      <c r="G8016">
        <v>184.6</v>
      </c>
      <c r="H8016" s="9">
        <v>5.43</v>
      </c>
      <c r="I8016"/>
    </row>
    <row r="8017" spans="1:9" x14ac:dyDescent="0.3">
      <c r="A8017" t="s">
        <v>5</v>
      </c>
      <c r="B8017" t="s">
        <v>21</v>
      </c>
      <c r="C8017" t="s">
        <v>135</v>
      </c>
      <c r="D8017" s="9" t="s">
        <v>124</v>
      </c>
      <c r="E8017" t="s">
        <v>43</v>
      </c>
      <c r="F8017" t="s">
        <v>83</v>
      </c>
      <c r="G8017">
        <v>272.8</v>
      </c>
      <c r="H8017" s="9">
        <v>1.34</v>
      </c>
      <c r="I8017"/>
    </row>
    <row r="8018" spans="1:9" x14ac:dyDescent="0.3">
      <c r="A8018" t="s">
        <v>5</v>
      </c>
      <c r="B8018" t="s">
        <v>21</v>
      </c>
      <c r="C8018" t="s">
        <v>136</v>
      </c>
      <c r="D8018" s="9" t="s">
        <v>137</v>
      </c>
      <c r="E8018" t="s">
        <v>32</v>
      </c>
      <c r="F8018" t="s">
        <v>61</v>
      </c>
      <c r="G8018">
        <v>169.8</v>
      </c>
      <c r="H8018" s="9">
        <v>0.12</v>
      </c>
      <c r="I8018"/>
    </row>
    <row r="8019" spans="1:9" x14ac:dyDescent="0.3">
      <c r="A8019" t="s">
        <v>5</v>
      </c>
      <c r="B8019" t="s">
        <v>21</v>
      </c>
      <c r="C8019" t="s">
        <v>138</v>
      </c>
      <c r="D8019" s="9" t="s">
        <v>137</v>
      </c>
      <c r="E8019" t="s">
        <v>33</v>
      </c>
      <c r="F8019" t="s">
        <v>63</v>
      </c>
      <c r="G8019">
        <v>165.6</v>
      </c>
      <c r="H8019" s="9">
        <v>6.15</v>
      </c>
      <c r="I8019"/>
    </row>
    <row r="8020" spans="1:9" x14ac:dyDescent="0.3">
      <c r="A8020" t="s">
        <v>5</v>
      </c>
      <c r="B8020" t="s">
        <v>21</v>
      </c>
      <c r="C8020" t="s">
        <v>139</v>
      </c>
      <c r="D8020" s="9" t="s">
        <v>137</v>
      </c>
      <c r="E8020" t="s">
        <v>34</v>
      </c>
      <c r="F8020" t="s">
        <v>65</v>
      </c>
      <c r="G8020">
        <v>189.1</v>
      </c>
      <c r="H8020" s="9">
        <v>6.84</v>
      </c>
      <c r="I8020"/>
    </row>
    <row r="8021" spans="1:9" x14ac:dyDescent="0.3">
      <c r="A8021" t="s">
        <v>5</v>
      </c>
      <c r="B8021" t="s">
        <v>21</v>
      </c>
      <c r="C8021" t="s">
        <v>140</v>
      </c>
      <c r="D8021" s="9" t="s">
        <v>137</v>
      </c>
      <c r="E8021" t="s">
        <v>35</v>
      </c>
      <c r="F8021" t="s">
        <v>67</v>
      </c>
      <c r="G8021">
        <v>165.4</v>
      </c>
      <c r="H8021" s="9">
        <v>-3.78</v>
      </c>
      <c r="I8021"/>
    </row>
    <row r="8022" spans="1:9" x14ac:dyDescent="0.3">
      <c r="A8022" t="s">
        <v>5</v>
      </c>
      <c r="B8022" t="s">
        <v>21</v>
      </c>
      <c r="C8022" t="s">
        <v>141</v>
      </c>
      <c r="D8022" s="9" t="s">
        <v>137</v>
      </c>
      <c r="E8022" t="s">
        <v>36</v>
      </c>
      <c r="F8022" t="s">
        <v>69</v>
      </c>
      <c r="G8022">
        <v>169.3</v>
      </c>
      <c r="H8022" s="9">
        <v>7.42</v>
      </c>
      <c r="I8022"/>
    </row>
    <row r="8023" spans="1:9" x14ac:dyDescent="0.3">
      <c r="A8023" t="s">
        <v>5</v>
      </c>
      <c r="B8023" t="s">
        <v>21</v>
      </c>
      <c r="C8023" t="s">
        <v>142</v>
      </c>
      <c r="D8023" s="9" t="s">
        <v>137</v>
      </c>
      <c r="E8023" t="s">
        <v>37</v>
      </c>
      <c r="F8023" t="s">
        <v>71</v>
      </c>
      <c r="G8023">
        <v>159.6</v>
      </c>
      <c r="H8023" s="9">
        <v>2.84</v>
      </c>
      <c r="I8023"/>
    </row>
    <row r="8024" spans="1:9" x14ac:dyDescent="0.3">
      <c r="A8024" t="s">
        <v>5</v>
      </c>
      <c r="B8024" t="s">
        <v>21</v>
      </c>
      <c r="C8024" t="s">
        <v>143</v>
      </c>
      <c r="D8024" s="9" t="s">
        <v>137</v>
      </c>
      <c r="E8024" t="s">
        <v>38</v>
      </c>
      <c r="F8024" t="s">
        <v>73</v>
      </c>
      <c r="G8024">
        <v>161.80000000000001</v>
      </c>
      <c r="H8024" s="9">
        <v>4.45</v>
      </c>
      <c r="I8024"/>
    </row>
    <row r="8025" spans="1:9" x14ac:dyDescent="0.3">
      <c r="A8025" t="s">
        <v>5</v>
      </c>
      <c r="B8025" t="s">
        <v>21</v>
      </c>
      <c r="C8025" t="s">
        <v>144</v>
      </c>
      <c r="D8025" s="9" t="s">
        <v>137</v>
      </c>
      <c r="E8025" t="s">
        <v>39</v>
      </c>
      <c r="F8025" t="s">
        <v>75</v>
      </c>
      <c r="G8025">
        <v>173.6</v>
      </c>
      <c r="H8025" s="9">
        <v>8.77</v>
      </c>
      <c r="I8025"/>
    </row>
    <row r="8026" spans="1:9" x14ac:dyDescent="0.3">
      <c r="A8026" t="s">
        <v>5</v>
      </c>
      <c r="B8026" t="s">
        <v>21</v>
      </c>
      <c r="C8026" t="s">
        <v>145</v>
      </c>
      <c r="D8026" s="9" t="s">
        <v>137</v>
      </c>
      <c r="E8026" t="s">
        <v>40</v>
      </c>
      <c r="F8026" t="s">
        <v>77</v>
      </c>
      <c r="G8026">
        <v>172.9</v>
      </c>
      <c r="H8026" s="9">
        <v>-2.48</v>
      </c>
      <c r="I8026"/>
    </row>
    <row r="8027" spans="1:9" x14ac:dyDescent="0.3">
      <c r="A8027" t="s">
        <v>5</v>
      </c>
      <c r="B8027" t="s">
        <v>21</v>
      </c>
      <c r="C8027" t="s">
        <v>146</v>
      </c>
      <c r="D8027" s="9" t="s">
        <v>137</v>
      </c>
      <c r="E8027" t="s">
        <v>41</v>
      </c>
      <c r="F8027" t="s">
        <v>79</v>
      </c>
      <c r="G8027">
        <v>174.3</v>
      </c>
      <c r="H8027" s="9">
        <v>0.28999999999999998</v>
      </c>
      <c r="I8027"/>
    </row>
    <row r="8028" spans="1:9" x14ac:dyDescent="0.3">
      <c r="A8028" t="s">
        <v>5</v>
      </c>
      <c r="B8028" t="s">
        <v>21</v>
      </c>
      <c r="C8028" t="s">
        <v>147</v>
      </c>
      <c r="D8028" s="9" t="s">
        <v>137</v>
      </c>
      <c r="E8028" t="s">
        <v>42</v>
      </c>
      <c r="F8028" t="s">
        <v>81</v>
      </c>
      <c r="G8028">
        <v>189.5</v>
      </c>
      <c r="H8028" s="9">
        <v>2.65</v>
      </c>
      <c r="I8028"/>
    </row>
    <row r="8029" spans="1:9" x14ac:dyDescent="0.3">
      <c r="A8029" t="s">
        <v>5</v>
      </c>
      <c r="B8029" t="s">
        <v>21</v>
      </c>
      <c r="C8029" t="s">
        <v>148</v>
      </c>
      <c r="D8029" s="9" t="s">
        <v>137</v>
      </c>
      <c r="E8029" t="s">
        <v>43</v>
      </c>
      <c r="F8029" t="s">
        <v>83</v>
      </c>
      <c r="G8029">
        <v>273.5</v>
      </c>
      <c r="H8029" s="9">
        <v>0.26</v>
      </c>
      <c r="I8029"/>
    </row>
    <row r="8030" spans="1:9" x14ac:dyDescent="0.3">
      <c r="A8030" t="s">
        <v>5</v>
      </c>
      <c r="B8030" t="s">
        <v>21</v>
      </c>
      <c r="C8030" t="s">
        <v>149</v>
      </c>
      <c r="D8030" s="9" t="s">
        <v>150</v>
      </c>
      <c r="E8030" t="s">
        <v>32</v>
      </c>
      <c r="F8030" t="s">
        <v>61</v>
      </c>
      <c r="G8030">
        <v>173.2</v>
      </c>
      <c r="H8030" s="9">
        <v>2</v>
      </c>
      <c r="I8030"/>
    </row>
    <row r="8031" spans="1:9" x14ac:dyDescent="0.3">
      <c r="A8031" t="s">
        <v>5</v>
      </c>
      <c r="B8031" t="s">
        <v>21</v>
      </c>
      <c r="C8031" t="s">
        <v>151</v>
      </c>
      <c r="D8031" s="9" t="s">
        <v>150</v>
      </c>
      <c r="E8031" t="s">
        <v>33</v>
      </c>
      <c r="F8031" t="s">
        <v>63</v>
      </c>
      <c r="G8031">
        <v>159.5</v>
      </c>
      <c r="H8031" s="9">
        <v>-3.68</v>
      </c>
      <c r="I8031"/>
    </row>
    <row r="8032" spans="1:9" x14ac:dyDescent="0.3">
      <c r="A8032" t="s">
        <v>5</v>
      </c>
      <c r="B8032" t="s">
        <v>21</v>
      </c>
      <c r="C8032" t="s">
        <v>152</v>
      </c>
      <c r="D8032" s="9" t="s">
        <v>150</v>
      </c>
      <c r="E8032" t="s">
        <v>34</v>
      </c>
      <c r="F8032" t="s">
        <v>65</v>
      </c>
      <c r="G8032">
        <v>179.4</v>
      </c>
      <c r="H8032" s="9">
        <v>-5.13</v>
      </c>
      <c r="I8032"/>
    </row>
    <row r="8033" spans="1:9" x14ac:dyDescent="0.3">
      <c r="A8033" t="s">
        <v>5</v>
      </c>
      <c r="B8033" t="s">
        <v>21</v>
      </c>
      <c r="C8033" t="s">
        <v>153</v>
      </c>
      <c r="D8033" s="9" t="s">
        <v>150</v>
      </c>
      <c r="E8033" t="s">
        <v>35</v>
      </c>
      <c r="F8033" t="s">
        <v>67</v>
      </c>
      <c r="G8033">
        <v>176.9</v>
      </c>
      <c r="H8033" s="9">
        <v>6.95</v>
      </c>
      <c r="I8033"/>
    </row>
    <row r="8034" spans="1:9" x14ac:dyDescent="0.3">
      <c r="A8034" t="s">
        <v>5</v>
      </c>
      <c r="B8034" t="s">
        <v>21</v>
      </c>
      <c r="C8034" t="s">
        <v>154</v>
      </c>
      <c r="D8034" s="9" t="s">
        <v>150</v>
      </c>
      <c r="E8034" t="s">
        <v>36</v>
      </c>
      <c r="F8034" t="s">
        <v>69</v>
      </c>
      <c r="G8034">
        <v>174.2</v>
      </c>
      <c r="H8034" s="9">
        <v>2.89</v>
      </c>
      <c r="I8034"/>
    </row>
    <row r="8035" spans="1:9" x14ac:dyDescent="0.3">
      <c r="A8035" t="s">
        <v>5</v>
      </c>
      <c r="B8035" t="s">
        <v>21</v>
      </c>
      <c r="C8035" t="s">
        <v>155</v>
      </c>
      <c r="D8035" s="9" t="s">
        <v>150</v>
      </c>
      <c r="E8035" t="s">
        <v>37</v>
      </c>
      <c r="F8035" t="s">
        <v>71</v>
      </c>
      <c r="G8035">
        <v>156.5</v>
      </c>
      <c r="H8035" s="9">
        <v>-1.94</v>
      </c>
      <c r="I8035"/>
    </row>
    <row r="8036" spans="1:9" x14ac:dyDescent="0.3">
      <c r="A8036" t="s">
        <v>5</v>
      </c>
      <c r="B8036" t="s">
        <v>25</v>
      </c>
      <c r="C8036" t="s">
        <v>59</v>
      </c>
      <c r="D8036" s="9" t="s">
        <v>60</v>
      </c>
      <c r="E8036" t="s">
        <v>32</v>
      </c>
      <c r="F8036" t="s">
        <v>61</v>
      </c>
      <c r="G8036">
        <v>41.3</v>
      </c>
      <c r="I8036"/>
    </row>
    <row r="8037" spans="1:9" x14ac:dyDescent="0.3">
      <c r="A8037" t="s">
        <v>5</v>
      </c>
      <c r="B8037" t="s">
        <v>25</v>
      </c>
      <c r="C8037" t="s">
        <v>62</v>
      </c>
      <c r="D8037" s="9" t="s">
        <v>60</v>
      </c>
      <c r="E8037" t="s">
        <v>33</v>
      </c>
      <c r="F8037" t="s">
        <v>63</v>
      </c>
      <c r="G8037">
        <v>33.200000000000003</v>
      </c>
      <c r="I8037"/>
    </row>
    <row r="8038" spans="1:9" x14ac:dyDescent="0.3">
      <c r="A8038" t="s">
        <v>5</v>
      </c>
      <c r="B8038" t="s">
        <v>25</v>
      </c>
      <c r="C8038" t="s">
        <v>64</v>
      </c>
      <c r="D8038" s="9" t="s">
        <v>60</v>
      </c>
      <c r="E8038" t="s">
        <v>34</v>
      </c>
      <c r="F8038" t="s">
        <v>65</v>
      </c>
      <c r="G8038">
        <v>30.4</v>
      </c>
      <c r="I8038"/>
    </row>
    <row r="8039" spans="1:9" x14ac:dyDescent="0.3">
      <c r="A8039" t="s">
        <v>5</v>
      </c>
      <c r="B8039" t="s">
        <v>25</v>
      </c>
      <c r="C8039" t="s">
        <v>66</v>
      </c>
      <c r="D8039" s="9" t="s">
        <v>60</v>
      </c>
      <c r="E8039" t="s">
        <v>35</v>
      </c>
      <c r="F8039" t="s">
        <v>67</v>
      </c>
      <c r="G8039">
        <v>28.5</v>
      </c>
      <c r="I8039"/>
    </row>
    <row r="8040" spans="1:9" x14ac:dyDescent="0.3">
      <c r="A8040" t="s">
        <v>5</v>
      </c>
      <c r="B8040" t="s">
        <v>25</v>
      </c>
      <c r="C8040" t="s">
        <v>68</v>
      </c>
      <c r="D8040" s="9" t="s">
        <v>60</v>
      </c>
      <c r="E8040" t="s">
        <v>36</v>
      </c>
      <c r="F8040" t="s">
        <v>69</v>
      </c>
      <c r="G8040">
        <v>29.7</v>
      </c>
      <c r="I8040"/>
    </row>
    <row r="8041" spans="1:9" x14ac:dyDescent="0.3">
      <c r="A8041" t="s">
        <v>5</v>
      </c>
      <c r="B8041" t="s">
        <v>25</v>
      </c>
      <c r="C8041" t="s">
        <v>70</v>
      </c>
      <c r="D8041" s="9" t="s">
        <v>60</v>
      </c>
      <c r="E8041" t="s">
        <v>37</v>
      </c>
      <c r="F8041" t="s">
        <v>71</v>
      </c>
      <c r="G8041">
        <v>28.5</v>
      </c>
      <c r="I8041"/>
    </row>
    <row r="8042" spans="1:9" x14ac:dyDescent="0.3">
      <c r="A8042" t="s">
        <v>5</v>
      </c>
      <c r="B8042" t="s">
        <v>25</v>
      </c>
      <c r="C8042" t="s">
        <v>72</v>
      </c>
      <c r="D8042" s="9" t="s">
        <v>60</v>
      </c>
      <c r="E8042" t="s">
        <v>38</v>
      </c>
      <c r="F8042" t="s">
        <v>73</v>
      </c>
      <c r="G8042">
        <v>31.2</v>
      </c>
      <c r="I8042"/>
    </row>
    <row r="8043" spans="1:9" x14ac:dyDescent="0.3">
      <c r="A8043" t="s">
        <v>5</v>
      </c>
      <c r="B8043" t="s">
        <v>25</v>
      </c>
      <c r="C8043" t="s">
        <v>74</v>
      </c>
      <c r="D8043" s="9" t="s">
        <v>60</v>
      </c>
      <c r="E8043" t="s">
        <v>39</v>
      </c>
      <c r="F8043" t="s">
        <v>75</v>
      </c>
      <c r="G8043">
        <v>31.4</v>
      </c>
      <c r="I8043"/>
    </row>
    <row r="8044" spans="1:9" x14ac:dyDescent="0.3">
      <c r="A8044" t="s">
        <v>5</v>
      </c>
      <c r="B8044" t="s">
        <v>25</v>
      </c>
      <c r="C8044" t="s">
        <v>76</v>
      </c>
      <c r="D8044" s="9" t="s">
        <v>60</v>
      </c>
      <c r="E8044" t="s">
        <v>40</v>
      </c>
      <c r="F8044" t="s">
        <v>77</v>
      </c>
      <c r="G8044">
        <v>30.3</v>
      </c>
      <c r="I8044"/>
    </row>
    <row r="8045" spans="1:9" x14ac:dyDescent="0.3">
      <c r="A8045" t="s">
        <v>5</v>
      </c>
      <c r="B8045" t="s">
        <v>25</v>
      </c>
      <c r="C8045" t="s">
        <v>78</v>
      </c>
      <c r="D8045" s="9" t="s">
        <v>60</v>
      </c>
      <c r="E8045" t="s">
        <v>41</v>
      </c>
      <c r="F8045" t="s">
        <v>79</v>
      </c>
      <c r="G8045">
        <v>30.5</v>
      </c>
      <c r="I8045"/>
    </row>
    <row r="8046" spans="1:9" x14ac:dyDescent="0.3">
      <c r="A8046" t="s">
        <v>5</v>
      </c>
      <c r="B8046" t="s">
        <v>25</v>
      </c>
      <c r="C8046" t="s">
        <v>80</v>
      </c>
      <c r="D8046" s="9" t="s">
        <v>60</v>
      </c>
      <c r="E8046" t="s">
        <v>42</v>
      </c>
      <c r="F8046" t="s">
        <v>81</v>
      </c>
      <c r="G8046">
        <v>33.799999999999997</v>
      </c>
      <c r="I8046"/>
    </row>
    <row r="8047" spans="1:9" x14ac:dyDescent="0.3">
      <c r="A8047" t="s">
        <v>5</v>
      </c>
      <c r="B8047" t="s">
        <v>25</v>
      </c>
      <c r="C8047" t="s">
        <v>82</v>
      </c>
      <c r="D8047" s="9" t="s">
        <v>60</v>
      </c>
      <c r="E8047" t="s">
        <v>43</v>
      </c>
      <c r="F8047" t="s">
        <v>83</v>
      </c>
      <c r="G8047">
        <v>43.9</v>
      </c>
      <c r="I8047"/>
    </row>
    <row r="8048" spans="1:9" x14ac:dyDescent="0.3">
      <c r="A8048" t="s">
        <v>5</v>
      </c>
      <c r="B8048" t="s">
        <v>25</v>
      </c>
      <c r="C8048" t="s">
        <v>84</v>
      </c>
      <c r="D8048" s="9" t="s">
        <v>85</v>
      </c>
      <c r="E8048" t="s">
        <v>32</v>
      </c>
      <c r="F8048" t="s">
        <v>61</v>
      </c>
      <c r="G8048">
        <v>30.3</v>
      </c>
      <c r="H8048" s="9">
        <v>-26.63</v>
      </c>
      <c r="I8048"/>
    </row>
    <row r="8049" spans="1:9" x14ac:dyDescent="0.3">
      <c r="A8049" t="s">
        <v>5</v>
      </c>
      <c r="B8049" t="s">
        <v>25</v>
      </c>
      <c r="C8049" t="s">
        <v>86</v>
      </c>
      <c r="D8049" s="9" t="s">
        <v>85</v>
      </c>
      <c r="E8049" t="s">
        <v>33</v>
      </c>
      <c r="F8049" t="s">
        <v>63</v>
      </c>
      <c r="G8049">
        <v>27.4</v>
      </c>
      <c r="H8049" s="9">
        <v>-17.47</v>
      </c>
      <c r="I8049"/>
    </row>
    <row r="8050" spans="1:9" x14ac:dyDescent="0.3">
      <c r="A8050" t="s">
        <v>5</v>
      </c>
      <c r="B8050" t="s">
        <v>25</v>
      </c>
      <c r="C8050" t="s">
        <v>87</v>
      </c>
      <c r="D8050" s="9" t="s">
        <v>85</v>
      </c>
      <c r="E8050" t="s">
        <v>34</v>
      </c>
      <c r="F8050" t="s">
        <v>65</v>
      </c>
      <c r="G8050">
        <v>25.6</v>
      </c>
      <c r="H8050" s="9">
        <v>-15.79</v>
      </c>
      <c r="I8050"/>
    </row>
    <row r="8051" spans="1:9" x14ac:dyDescent="0.3">
      <c r="A8051" t="s">
        <v>5</v>
      </c>
      <c r="B8051" t="s">
        <v>25</v>
      </c>
      <c r="C8051" t="s">
        <v>88</v>
      </c>
      <c r="D8051" s="9" t="s">
        <v>85</v>
      </c>
      <c r="E8051" t="s">
        <v>35</v>
      </c>
      <c r="F8051" t="s">
        <v>67</v>
      </c>
      <c r="G8051">
        <v>20.5</v>
      </c>
      <c r="H8051" s="9">
        <v>-28.07</v>
      </c>
      <c r="I8051"/>
    </row>
    <row r="8052" spans="1:9" x14ac:dyDescent="0.3">
      <c r="A8052" t="s">
        <v>5</v>
      </c>
      <c r="B8052" t="s">
        <v>25</v>
      </c>
      <c r="C8052" t="s">
        <v>89</v>
      </c>
      <c r="D8052" s="9" t="s">
        <v>85</v>
      </c>
      <c r="E8052" t="s">
        <v>36</v>
      </c>
      <c r="F8052" t="s">
        <v>69</v>
      </c>
      <c r="G8052">
        <v>25.3</v>
      </c>
      <c r="H8052" s="9">
        <v>-14.81</v>
      </c>
      <c r="I8052"/>
    </row>
    <row r="8053" spans="1:9" x14ac:dyDescent="0.3">
      <c r="A8053" t="s">
        <v>5</v>
      </c>
      <c r="B8053" t="s">
        <v>25</v>
      </c>
      <c r="C8053" t="s">
        <v>90</v>
      </c>
      <c r="D8053" s="9" t="s">
        <v>85</v>
      </c>
      <c r="E8053" t="s">
        <v>37</v>
      </c>
      <c r="F8053" t="s">
        <v>71</v>
      </c>
      <c r="G8053">
        <v>25.6</v>
      </c>
      <c r="H8053" s="9">
        <v>-10.18</v>
      </c>
      <c r="I8053"/>
    </row>
    <row r="8054" spans="1:9" x14ac:dyDescent="0.3">
      <c r="A8054" t="s">
        <v>5</v>
      </c>
      <c r="B8054" t="s">
        <v>25</v>
      </c>
      <c r="C8054" t="s">
        <v>91</v>
      </c>
      <c r="D8054" s="9" t="s">
        <v>85</v>
      </c>
      <c r="E8054" t="s">
        <v>38</v>
      </c>
      <c r="F8054" t="s">
        <v>73</v>
      </c>
      <c r="G8054">
        <v>28.1</v>
      </c>
      <c r="H8054" s="9">
        <v>-9.94</v>
      </c>
      <c r="I8054"/>
    </row>
    <row r="8055" spans="1:9" x14ac:dyDescent="0.3">
      <c r="A8055" t="s">
        <v>5</v>
      </c>
      <c r="B8055" t="s">
        <v>25</v>
      </c>
      <c r="C8055" t="s">
        <v>92</v>
      </c>
      <c r="D8055" s="9" t="s">
        <v>85</v>
      </c>
      <c r="E8055" t="s">
        <v>39</v>
      </c>
      <c r="F8055" t="s">
        <v>75</v>
      </c>
      <c r="G8055">
        <v>28.7</v>
      </c>
      <c r="H8055" s="9">
        <v>-8.6</v>
      </c>
      <c r="I8055"/>
    </row>
    <row r="8056" spans="1:9" x14ac:dyDescent="0.3">
      <c r="A8056" t="s">
        <v>5</v>
      </c>
      <c r="B8056" t="s">
        <v>25</v>
      </c>
      <c r="C8056" t="s">
        <v>93</v>
      </c>
      <c r="D8056" s="9" t="s">
        <v>85</v>
      </c>
      <c r="E8056" t="s">
        <v>40</v>
      </c>
      <c r="F8056" t="s">
        <v>77</v>
      </c>
      <c r="G8056">
        <v>31.2</v>
      </c>
      <c r="H8056" s="9">
        <v>2.97</v>
      </c>
      <c r="I8056"/>
    </row>
    <row r="8057" spans="1:9" x14ac:dyDescent="0.3">
      <c r="A8057" t="s">
        <v>5</v>
      </c>
      <c r="B8057" t="s">
        <v>25</v>
      </c>
      <c r="C8057" t="s">
        <v>94</v>
      </c>
      <c r="D8057" s="9" t="s">
        <v>85</v>
      </c>
      <c r="E8057" t="s">
        <v>41</v>
      </c>
      <c r="F8057" t="s">
        <v>79</v>
      </c>
      <c r="G8057">
        <v>32.700000000000003</v>
      </c>
      <c r="H8057" s="9">
        <v>7.21</v>
      </c>
      <c r="I8057"/>
    </row>
    <row r="8058" spans="1:9" x14ac:dyDescent="0.3">
      <c r="A8058" t="s">
        <v>5</v>
      </c>
      <c r="B8058" t="s">
        <v>25</v>
      </c>
      <c r="C8058" t="s">
        <v>95</v>
      </c>
      <c r="D8058" s="9" t="s">
        <v>85</v>
      </c>
      <c r="E8058" t="s">
        <v>42</v>
      </c>
      <c r="F8058" t="s">
        <v>81</v>
      </c>
      <c r="G8058">
        <v>33.799999999999997</v>
      </c>
      <c r="H8058" s="9">
        <v>0</v>
      </c>
      <c r="I8058"/>
    </row>
    <row r="8059" spans="1:9" x14ac:dyDescent="0.3">
      <c r="A8059" t="s">
        <v>5</v>
      </c>
      <c r="B8059" t="s">
        <v>25</v>
      </c>
      <c r="C8059" t="s">
        <v>96</v>
      </c>
      <c r="D8059" s="9" t="s">
        <v>85</v>
      </c>
      <c r="E8059" t="s">
        <v>43</v>
      </c>
      <c r="F8059" t="s">
        <v>83</v>
      </c>
      <c r="G8059">
        <v>48.7</v>
      </c>
      <c r="H8059" s="9">
        <v>10.93</v>
      </c>
      <c r="I8059"/>
    </row>
    <row r="8060" spans="1:9" x14ac:dyDescent="0.3">
      <c r="A8060" t="s">
        <v>5</v>
      </c>
      <c r="B8060" t="s">
        <v>25</v>
      </c>
      <c r="C8060" t="s">
        <v>97</v>
      </c>
      <c r="D8060" s="9" t="s">
        <v>98</v>
      </c>
      <c r="E8060" t="s">
        <v>32</v>
      </c>
      <c r="F8060" t="s">
        <v>61</v>
      </c>
      <c r="G8060">
        <v>31.9</v>
      </c>
      <c r="H8060" s="9">
        <v>5.28</v>
      </c>
      <c r="I8060"/>
    </row>
    <row r="8061" spans="1:9" x14ac:dyDescent="0.3">
      <c r="A8061" t="s">
        <v>5</v>
      </c>
      <c r="B8061" t="s">
        <v>25</v>
      </c>
      <c r="C8061" t="s">
        <v>99</v>
      </c>
      <c r="D8061" s="9" t="s">
        <v>98</v>
      </c>
      <c r="E8061" t="s">
        <v>33</v>
      </c>
      <c r="F8061" t="s">
        <v>63</v>
      </c>
      <c r="G8061">
        <v>29.6</v>
      </c>
      <c r="H8061" s="9">
        <v>8.0299999999999994</v>
      </c>
      <c r="I8061"/>
    </row>
    <row r="8062" spans="1:9" x14ac:dyDescent="0.3">
      <c r="A8062" t="s">
        <v>5</v>
      </c>
      <c r="B8062" t="s">
        <v>25</v>
      </c>
      <c r="C8062" t="s">
        <v>100</v>
      </c>
      <c r="D8062" s="9" t="s">
        <v>98</v>
      </c>
      <c r="E8062" t="s">
        <v>34</v>
      </c>
      <c r="F8062" t="s">
        <v>65</v>
      </c>
      <c r="G8062">
        <v>33.5</v>
      </c>
      <c r="H8062" s="9">
        <v>30.86</v>
      </c>
      <c r="I8062"/>
    </row>
    <row r="8063" spans="1:9" x14ac:dyDescent="0.3">
      <c r="A8063" t="s">
        <v>5</v>
      </c>
      <c r="B8063" t="s">
        <v>25</v>
      </c>
      <c r="C8063" t="s">
        <v>101</v>
      </c>
      <c r="D8063" s="9" t="s">
        <v>98</v>
      </c>
      <c r="E8063" t="s">
        <v>35</v>
      </c>
      <c r="F8063" t="s">
        <v>67</v>
      </c>
      <c r="G8063">
        <v>29.4</v>
      </c>
      <c r="H8063" s="9">
        <v>43.41</v>
      </c>
      <c r="I8063"/>
    </row>
    <row r="8064" spans="1:9" x14ac:dyDescent="0.3">
      <c r="A8064" t="s">
        <v>5</v>
      </c>
      <c r="B8064" t="s">
        <v>25</v>
      </c>
      <c r="C8064" t="s">
        <v>102</v>
      </c>
      <c r="D8064" s="9" t="s">
        <v>98</v>
      </c>
      <c r="E8064" t="s">
        <v>36</v>
      </c>
      <c r="F8064" t="s">
        <v>69</v>
      </c>
      <c r="G8064">
        <v>28.7</v>
      </c>
      <c r="H8064" s="9">
        <v>13.44</v>
      </c>
      <c r="I8064"/>
    </row>
    <row r="8065" spans="1:9" x14ac:dyDescent="0.3">
      <c r="A8065" t="s">
        <v>5</v>
      </c>
      <c r="B8065" t="s">
        <v>25</v>
      </c>
      <c r="C8065" t="s">
        <v>103</v>
      </c>
      <c r="D8065" s="9" t="s">
        <v>98</v>
      </c>
      <c r="E8065" t="s">
        <v>37</v>
      </c>
      <c r="F8065" t="s">
        <v>71</v>
      </c>
      <c r="G8065">
        <v>29.3</v>
      </c>
      <c r="H8065" s="9">
        <v>14.45</v>
      </c>
      <c r="I8065"/>
    </row>
    <row r="8066" spans="1:9" x14ac:dyDescent="0.3">
      <c r="A8066" t="s">
        <v>5</v>
      </c>
      <c r="B8066" t="s">
        <v>25</v>
      </c>
      <c r="C8066" t="s">
        <v>104</v>
      </c>
      <c r="D8066" s="9" t="s">
        <v>98</v>
      </c>
      <c r="E8066" t="s">
        <v>38</v>
      </c>
      <c r="F8066" t="s">
        <v>73</v>
      </c>
      <c r="G8066">
        <v>29.8</v>
      </c>
      <c r="H8066" s="9">
        <v>6.05</v>
      </c>
      <c r="I8066"/>
    </row>
    <row r="8067" spans="1:9" x14ac:dyDescent="0.3">
      <c r="A8067" t="s">
        <v>5</v>
      </c>
      <c r="B8067" t="s">
        <v>25</v>
      </c>
      <c r="C8067" t="s">
        <v>105</v>
      </c>
      <c r="D8067" s="9" t="s">
        <v>98</v>
      </c>
      <c r="E8067" t="s">
        <v>39</v>
      </c>
      <c r="F8067" t="s">
        <v>75</v>
      </c>
      <c r="G8067">
        <v>30.6</v>
      </c>
      <c r="H8067" s="9">
        <v>6.62</v>
      </c>
      <c r="I8067"/>
    </row>
    <row r="8068" spans="1:9" x14ac:dyDescent="0.3">
      <c r="A8068" t="s">
        <v>5</v>
      </c>
      <c r="B8068" t="s">
        <v>25</v>
      </c>
      <c r="C8068" t="s">
        <v>106</v>
      </c>
      <c r="D8068" s="9" t="s">
        <v>98</v>
      </c>
      <c r="E8068" t="s">
        <v>40</v>
      </c>
      <c r="F8068" t="s">
        <v>77</v>
      </c>
      <c r="G8068">
        <v>28.9</v>
      </c>
      <c r="H8068" s="9">
        <v>-7.37</v>
      </c>
      <c r="I8068"/>
    </row>
    <row r="8069" spans="1:9" x14ac:dyDescent="0.3">
      <c r="A8069" t="s">
        <v>5</v>
      </c>
      <c r="B8069" t="s">
        <v>25</v>
      </c>
      <c r="C8069" t="s">
        <v>107</v>
      </c>
      <c r="D8069" s="9" t="s">
        <v>98</v>
      </c>
      <c r="E8069" t="s">
        <v>41</v>
      </c>
      <c r="F8069" t="s">
        <v>79</v>
      </c>
      <c r="G8069">
        <v>24.5</v>
      </c>
      <c r="H8069" s="9">
        <v>-25.08</v>
      </c>
      <c r="I8069"/>
    </row>
    <row r="8070" spans="1:9" x14ac:dyDescent="0.3">
      <c r="A8070" t="s">
        <v>5</v>
      </c>
      <c r="B8070" t="s">
        <v>25</v>
      </c>
      <c r="C8070" t="s">
        <v>108</v>
      </c>
      <c r="D8070" s="9" t="s">
        <v>98</v>
      </c>
      <c r="E8070" t="s">
        <v>42</v>
      </c>
      <c r="F8070" t="s">
        <v>81</v>
      </c>
      <c r="G8070">
        <v>26.6</v>
      </c>
      <c r="H8070" s="9">
        <v>-21.3</v>
      </c>
      <c r="I8070"/>
    </row>
    <row r="8071" spans="1:9" x14ac:dyDescent="0.3">
      <c r="A8071" t="s">
        <v>5</v>
      </c>
      <c r="B8071" t="s">
        <v>25</v>
      </c>
      <c r="C8071" t="s">
        <v>109</v>
      </c>
      <c r="D8071" s="9" t="s">
        <v>98</v>
      </c>
      <c r="E8071" t="s">
        <v>43</v>
      </c>
      <c r="F8071" t="s">
        <v>83</v>
      </c>
      <c r="G8071">
        <v>33.9</v>
      </c>
      <c r="H8071" s="9">
        <v>-30.39</v>
      </c>
      <c r="I8071"/>
    </row>
    <row r="8072" spans="1:9" x14ac:dyDescent="0.3">
      <c r="A8072" t="s">
        <v>5</v>
      </c>
      <c r="B8072" t="s">
        <v>25</v>
      </c>
      <c r="C8072" t="s">
        <v>110</v>
      </c>
      <c r="D8072" s="9" t="s">
        <v>111</v>
      </c>
      <c r="E8072" t="s">
        <v>32</v>
      </c>
      <c r="F8072" t="s">
        <v>61</v>
      </c>
      <c r="G8072">
        <v>21.8</v>
      </c>
      <c r="H8072" s="9">
        <v>-31.66</v>
      </c>
      <c r="I8072"/>
    </row>
    <row r="8073" spans="1:9" x14ac:dyDescent="0.3">
      <c r="A8073" t="s">
        <v>5</v>
      </c>
      <c r="B8073" t="s">
        <v>25</v>
      </c>
      <c r="C8073" t="s">
        <v>112</v>
      </c>
      <c r="D8073" s="9" t="s">
        <v>111</v>
      </c>
      <c r="E8073" t="s">
        <v>33</v>
      </c>
      <c r="F8073" t="s">
        <v>63</v>
      </c>
      <c r="G8073">
        <v>22.3</v>
      </c>
      <c r="H8073" s="9">
        <v>-24.66</v>
      </c>
      <c r="I8073"/>
    </row>
    <row r="8074" spans="1:9" x14ac:dyDescent="0.3">
      <c r="A8074" t="s">
        <v>5</v>
      </c>
      <c r="B8074" t="s">
        <v>25</v>
      </c>
      <c r="C8074" t="s">
        <v>113</v>
      </c>
      <c r="D8074" s="9" t="s">
        <v>111</v>
      </c>
      <c r="E8074" t="s">
        <v>34</v>
      </c>
      <c r="F8074" t="s">
        <v>65</v>
      </c>
      <c r="G8074">
        <v>23.3</v>
      </c>
      <c r="H8074" s="9">
        <v>-30.45</v>
      </c>
      <c r="I8074"/>
    </row>
    <row r="8075" spans="1:9" x14ac:dyDescent="0.3">
      <c r="A8075" t="s">
        <v>5</v>
      </c>
      <c r="B8075" t="s">
        <v>25</v>
      </c>
      <c r="C8075" t="s">
        <v>114</v>
      </c>
      <c r="D8075" s="9" t="s">
        <v>111</v>
      </c>
      <c r="E8075" t="s">
        <v>35</v>
      </c>
      <c r="F8075" t="s">
        <v>67</v>
      </c>
      <c r="G8075">
        <v>22</v>
      </c>
      <c r="H8075" s="9">
        <v>-25.17</v>
      </c>
      <c r="I8075"/>
    </row>
    <row r="8076" spans="1:9" x14ac:dyDescent="0.3">
      <c r="A8076" t="s">
        <v>5</v>
      </c>
      <c r="B8076" t="s">
        <v>25</v>
      </c>
      <c r="C8076" t="s">
        <v>115</v>
      </c>
      <c r="D8076" s="9" t="s">
        <v>111</v>
      </c>
      <c r="E8076" t="s">
        <v>36</v>
      </c>
      <c r="F8076" t="s">
        <v>69</v>
      </c>
      <c r="G8076">
        <v>26</v>
      </c>
      <c r="H8076" s="9">
        <v>-9.41</v>
      </c>
      <c r="I8076"/>
    </row>
    <row r="8077" spans="1:9" x14ac:dyDescent="0.3">
      <c r="A8077" t="s">
        <v>5</v>
      </c>
      <c r="B8077" t="s">
        <v>25</v>
      </c>
      <c r="C8077" t="s">
        <v>116</v>
      </c>
      <c r="D8077" s="9" t="s">
        <v>111</v>
      </c>
      <c r="E8077" t="s">
        <v>37</v>
      </c>
      <c r="F8077" t="s">
        <v>71</v>
      </c>
      <c r="G8077">
        <v>22.8</v>
      </c>
      <c r="H8077" s="9">
        <v>-22.18</v>
      </c>
      <c r="I8077"/>
    </row>
    <row r="8078" spans="1:9" x14ac:dyDescent="0.3">
      <c r="A8078" t="s">
        <v>5</v>
      </c>
      <c r="B8078" t="s">
        <v>25</v>
      </c>
      <c r="C8078" t="s">
        <v>117</v>
      </c>
      <c r="D8078" s="9" t="s">
        <v>111</v>
      </c>
      <c r="E8078" t="s">
        <v>38</v>
      </c>
      <c r="F8078" t="s">
        <v>73</v>
      </c>
      <c r="G8078">
        <v>21.2</v>
      </c>
      <c r="H8078" s="9">
        <v>-28.86</v>
      </c>
      <c r="I8078"/>
    </row>
    <row r="8079" spans="1:9" x14ac:dyDescent="0.3">
      <c r="A8079" t="s">
        <v>5</v>
      </c>
      <c r="B8079" t="s">
        <v>25</v>
      </c>
      <c r="C8079" t="s">
        <v>118</v>
      </c>
      <c r="D8079" s="9" t="s">
        <v>111</v>
      </c>
      <c r="E8079" t="s">
        <v>39</v>
      </c>
      <c r="F8079" t="s">
        <v>75</v>
      </c>
      <c r="G8079">
        <v>22.5</v>
      </c>
      <c r="H8079" s="9">
        <v>-26.47</v>
      </c>
      <c r="I8079"/>
    </row>
    <row r="8080" spans="1:9" x14ac:dyDescent="0.3">
      <c r="A8080" t="s">
        <v>5</v>
      </c>
      <c r="B8080" t="s">
        <v>25</v>
      </c>
      <c r="C8080" t="s">
        <v>119</v>
      </c>
      <c r="D8080" s="9" t="s">
        <v>111</v>
      </c>
      <c r="E8080" t="s">
        <v>40</v>
      </c>
      <c r="F8080" t="s">
        <v>77</v>
      </c>
      <c r="G8080">
        <v>22.5</v>
      </c>
      <c r="H8080" s="9">
        <v>-22.15</v>
      </c>
      <c r="I8080"/>
    </row>
    <row r="8081" spans="1:9" x14ac:dyDescent="0.3">
      <c r="A8081" t="s">
        <v>5</v>
      </c>
      <c r="B8081" t="s">
        <v>25</v>
      </c>
      <c r="C8081" t="s">
        <v>120</v>
      </c>
      <c r="D8081" s="9" t="s">
        <v>111</v>
      </c>
      <c r="E8081" t="s">
        <v>41</v>
      </c>
      <c r="F8081" t="s">
        <v>79</v>
      </c>
      <c r="G8081">
        <v>23.3</v>
      </c>
      <c r="H8081" s="9">
        <v>-4.9000000000000004</v>
      </c>
      <c r="I8081"/>
    </row>
    <row r="8082" spans="1:9" x14ac:dyDescent="0.3">
      <c r="A8082" t="s">
        <v>5</v>
      </c>
      <c r="B8082" t="s">
        <v>25</v>
      </c>
      <c r="C8082" t="s">
        <v>121</v>
      </c>
      <c r="D8082" s="9" t="s">
        <v>111</v>
      </c>
      <c r="E8082" t="s">
        <v>42</v>
      </c>
      <c r="F8082" t="s">
        <v>81</v>
      </c>
      <c r="G8082">
        <v>22.6</v>
      </c>
      <c r="H8082" s="9">
        <v>-15.04</v>
      </c>
      <c r="I8082"/>
    </row>
    <row r="8083" spans="1:9" x14ac:dyDescent="0.3">
      <c r="A8083" t="s">
        <v>5</v>
      </c>
      <c r="B8083" t="s">
        <v>25</v>
      </c>
      <c r="C8083" t="s">
        <v>122</v>
      </c>
      <c r="D8083" s="9" t="s">
        <v>111</v>
      </c>
      <c r="E8083" t="s">
        <v>43</v>
      </c>
      <c r="F8083" t="s">
        <v>83</v>
      </c>
      <c r="G8083">
        <v>29.2</v>
      </c>
      <c r="H8083" s="9">
        <v>-13.86</v>
      </c>
      <c r="I8083"/>
    </row>
    <row r="8084" spans="1:9" x14ac:dyDescent="0.3">
      <c r="A8084" t="s">
        <v>5</v>
      </c>
      <c r="B8084" t="s">
        <v>25</v>
      </c>
      <c r="C8084" t="s">
        <v>123</v>
      </c>
      <c r="D8084" s="9" t="s">
        <v>124</v>
      </c>
      <c r="E8084" t="s">
        <v>32</v>
      </c>
      <c r="F8084" t="s">
        <v>61</v>
      </c>
      <c r="G8084">
        <v>19.899999999999999</v>
      </c>
      <c r="H8084" s="9">
        <v>-8.7200000000000006</v>
      </c>
      <c r="I8084"/>
    </row>
    <row r="8085" spans="1:9" x14ac:dyDescent="0.3">
      <c r="A8085" t="s">
        <v>5</v>
      </c>
      <c r="B8085" t="s">
        <v>25</v>
      </c>
      <c r="C8085" t="s">
        <v>125</v>
      </c>
      <c r="D8085" s="9" t="s">
        <v>124</v>
      </c>
      <c r="E8085" t="s">
        <v>33</v>
      </c>
      <c r="F8085" t="s">
        <v>63</v>
      </c>
      <c r="G8085">
        <v>18.899999999999999</v>
      </c>
      <c r="H8085" s="9">
        <v>-15.25</v>
      </c>
      <c r="I8085"/>
    </row>
    <row r="8086" spans="1:9" x14ac:dyDescent="0.3">
      <c r="A8086" t="s">
        <v>5</v>
      </c>
      <c r="B8086" t="s">
        <v>25</v>
      </c>
      <c r="C8086" t="s">
        <v>126</v>
      </c>
      <c r="D8086" s="9" t="s">
        <v>124</v>
      </c>
      <c r="E8086" t="s">
        <v>34</v>
      </c>
      <c r="F8086" t="s">
        <v>65</v>
      </c>
      <c r="G8086">
        <v>19.399999999999999</v>
      </c>
      <c r="H8086" s="9">
        <v>-16.739999999999998</v>
      </c>
      <c r="I8086"/>
    </row>
    <row r="8087" spans="1:9" x14ac:dyDescent="0.3">
      <c r="A8087" t="s">
        <v>5</v>
      </c>
      <c r="B8087" t="s">
        <v>25</v>
      </c>
      <c r="C8087" t="s">
        <v>127</v>
      </c>
      <c r="D8087" s="9" t="s">
        <v>124</v>
      </c>
      <c r="E8087" t="s">
        <v>35</v>
      </c>
      <c r="F8087" t="s">
        <v>67</v>
      </c>
      <c r="G8087">
        <v>17.7</v>
      </c>
      <c r="H8087" s="9">
        <v>-19.55</v>
      </c>
      <c r="I8087"/>
    </row>
    <row r="8088" spans="1:9" x14ac:dyDescent="0.3">
      <c r="A8088" t="s">
        <v>5</v>
      </c>
      <c r="B8088" t="s">
        <v>25</v>
      </c>
      <c r="C8088" t="s">
        <v>128</v>
      </c>
      <c r="D8088" s="9" t="s">
        <v>124</v>
      </c>
      <c r="E8088" t="s">
        <v>36</v>
      </c>
      <c r="F8088" t="s">
        <v>69</v>
      </c>
      <c r="G8088">
        <v>19.5</v>
      </c>
      <c r="H8088" s="9">
        <v>-25</v>
      </c>
      <c r="I8088"/>
    </row>
    <row r="8089" spans="1:9" x14ac:dyDescent="0.3">
      <c r="A8089" t="s">
        <v>5</v>
      </c>
      <c r="B8089" t="s">
        <v>25</v>
      </c>
      <c r="C8089" t="s">
        <v>129</v>
      </c>
      <c r="D8089" s="9" t="s">
        <v>124</v>
      </c>
      <c r="E8089" t="s">
        <v>37</v>
      </c>
      <c r="F8089" t="s">
        <v>71</v>
      </c>
      <c r="G8089">
        <v>21.4</v>
      </c>
      <c r="H8089" s="9">
        <v>-6.14</v>
      </c>
      <c r="I8089"/>
    </row>
    <row r="8090" spans="1:9" x14ac:dyDescent="0.3">
      <c r="A8090" t="s">
        <v>5</v>
      </c>
      <c r="B8090" t="s">
        <v>25</v>
      </c>
      <c r="C8090" t="s">
        <v>130</v>
      </c>
      <c r="D8090" s="9" t="s">
        <v>124</v>
      </c>
      <c r="E8090" t="s">
        <v>38</v>
      </c>
      <c r="F8090" t="s">
        <v>73</v>
      </c>
      <c r="G8090">
        <v>20.2</v>
      </c>
      <c r="H8090" s="9">
        <v>-4.72</v>
      </c>
      <c r="I8090"/>
    </row>
    <row r="8091" spans="1:9" x14ac:dyDescent="0.3">
      <c r="A8091" t="s">
        <v>5</v>
      </c>
      <c r="B8091" t="s">
        <v>25</v>
      </c>
      <c r="C8091" t="s">
        <v>131</v>
      </c>
      <c r="D8091" s="9" t="s">
        <v>124</v>
      </c>
      <c r="E8091" t="s">
        <v>39</v>
      </c>
      <c r="F8091" t="s">
        <v>75</v>
      </c>
      <c r="G8091">
        <v>20.5</v>
      </c>
      <c r="H8091" s="9">
        <v>-8.89</v>
      </c>
      <c r="I8091"/>
    </row>
    <row r="8092" spans="1:9" x14ac:dyDescent="0.3">
      <c r="A8092" t="s">
        <v>5</v>
      </c>
      <c r="B8092" t="s">
        <v>25</v>
      </c>
      <c r="C8092" t="s">
        <v>132</v>
      </c>
      <c r="D8092" s="9" t="s">
        <v>124</v>
      </c>
      <c r="E8092" t="s">
        <v>40</v>
      </c>
      <c r="F8092" t="s">
        <v>77</v>
      </c>
      <c r="G8092">
        <v>19.100000000000001</v>
      </c>
      <c r="H8092" s="9">
        <v>-15.11</v>
      </c>
      <c r="I8092"/>
    </row>
    <row r="8093" spans="1:9" x14ac:dyDescent="0.3">
      <c r="A8093" t="s">
        <v>5</v>
      </c>
      <c r="B8093" t="s">
        <v>25</v>
      </c>
      <c r="C8093" t="s">
        <v>133</v>
      </c>
      <c r="D8093" s="9" t="s">
        <v>124</v>
      </c>
      <c r="E8093" t="s">
        <v>41</v>
      </c>
      <c r="F8093" t="s">
        <v>79</v>
      </c>
      <c r="G8093">
        <v>18.399999999999999</v>
      </c>
      <c r="H8093" s="9">
        <v>-21.03</v>
      </c>
      <c r="I8093"/>
    </row>
    <row r="8094" spans="1:9" x14ac:dyDescent="0.3">
      <c r="A8094" t="s">
        <v>5</v>
      </c>
      <c r="B8094" t="s">
        <v>25</v>
      </c>
      <c r="C8094" t="s">
        <v>134</v>
      </c>
      <c r="D8094" s="9" t="s">
        <v>124</v>
      </c>
      <c r="E8094" t="s">
        <v>42</v>
      </c>
      <c r="F8094" t="s">
        <v>81</v>
      </c>
      <c r="G8094">
        <v>19.3</v>
      </c>
      <c r="H8094" s="9">
        <v>-14.6</v>
      </c>
      <c r="I8094"/>
    </row>
    <row r="8095" spans="1:9" x14ac:dyDescent="0.3">
      <c r="A8095" t="s">
        <v>5</v>
      </c>
      <c r="B8095" t="s">
        <v>25</v>
      </c>
      <c r="C8095" t="s">
        <v>135</v>
      </c>
      <c r="D8095" s="9" t="s">
        <v>124</v>
      </c>
      <c r="E8095" t="s">
        <v>43</v>
      </c>
      <c r="F8095" t="s">
        <v>83</v>
      </c>
      <c r="G8095">
        <v>27</v>
      </c>
      <c r="H8095" s="9">
        <v>-7.53</v>
      </c>
      <c r="I8095"/>
    </row>
    <row r="8096" spans="1:9" x14ac:dyDescent="0.3">
      <c r="A8096" t="s">
        <v>5</v>
      </c>
      <c r="B8096" t="s">
        <v>25</v>
      </c>
      <c r="C8096" t="s">
        <v>136</v>
      </c>
      <c r="D8096" s="9" t="s">
        <v>137</v>
      </c>
      <c r="E8096" t="s">
        <v>32</v>
      </c>
      <c r="F8096" t="s">
        <v>61</v>
      </c>
      <c r="G8096">
        <v>20.100000000000001</v>
      </c>
      <c r="H8096" s="9">
        <v>1.01</v>
      </c>
      <c r="I8096"/>
    </row>
    <row r="8097" spans="1:9" x14ac:dyDescent="0.3">
      <c r="A8097" t="s">
        <v>5</v>
      </c>
      <c r="B8097" t="s">
        <v>25</v>
      </c>
      <c r="C8097" t="s">
        <v>138</v>
      </c>
      <c r="D8097" s="9" t="s">
        <v>137</v>
      </c>
      <c r="E8097" t="s">
        <v>33</v>
      </c>
      <c r="F8097" t="s">
        <v>63</v>
      </c>
      <c r="G8097">
        <v>17</v>
      </c>
      <c r="H8097" s="9">
        <v>-10.050000000000001</v>
      </c>
      <c r="I8097"/>
    </row>
    <row r="8098" spans="1:9" x14ac:dyDescent="0.3">
      <c r="A8098" t="s">
        <v>5</v>
      </c>
      <c r="B8098" t="s">
        <v>25</v>
      </c>
      <c r="C8098" t="s">
        <v>139</v>
      </c>
      <c r="D8098" s="9" t="s">
        <v>137</v>
      </c>
      <c r="E8098" t="s">
        <v>34</v>
      </c>
      <c r="F8098" t="s">
        <v>65</v>
      </c>
      <c r="G8098">
        <v>17</v>
      </c>
      <c r="H8098" s="9">
        <v>-12.37</v>
      </c>
      <c r="I8098"/>
    </row>
    <row r="8099" spans="1:9" x14ac:dyDescent="0.3">
      <c r="A8099" t="s">
        <v>5</v>
      </c>
      <c r="B8099" t="s">
        <v>25</v>
      </c>
      <c r="C8099" t="s">
        <v>140</v>
      </c>
      <c r="D8099" s="9" t="s">
        <v>137</v>
      </c>
      <c r="E8099" t="s">
        <v>35</v>
      </c>
      <c r="F8099" t="s">
        <v>67</v>
      </c>
      <c r="G8099">
        <v>16</v>
      </c>
      <c r="H8099" s="9">
        <v>-9.6</v>
      </c>
      <c r="I8099"/>
    </row>
    <row r="8100" spans="1:9" x14ac:dyDescent="0.3">
      <c r="A8100" t="s">
        <v>5</v>
      </c>
      <c r="B8100" t="s">
        <v>25</v>
      </c>
      <c r="C8100" t="s">
        <v>141</v>
      </c>
      <c r="D8100" s="9" t="s">
        <v>137</v>
      </c>
      <c r="E8100" t="s">
        <v>36</v>
      </c>
      <c r="F8100" t="s">
        <v>69</v>
      </c>
      <c r="G8100">
        <v>17.100000000000001</v>
      </c>
      <c r="H8100" s="9">
        <v>-12.31</v>
      </c>
      <c r="I8100"/>
    </row>
    <row r="8101" spans="1:9" x14ac:dyDescent="0.3">
      <c r="A8101" t="s">
        <v>5</v>
      </c>
      <c r="B8101" t="s">
        <v>25</v>
      </c>
      <c r="C8101" t="s">
        <v>142</v>
      </c>
      <c r="D8101" s="9" t="s">
        <v>137</v>
      </c>
      <c r="E8101" t="s">
        <v>37</v>
      </c>
      <c r="F8101" t="s">
        <v>71</v>
      </c>
      <c r="G8101">
        <v>15.5</v>
      </c>
      <c r="H8101" s="9">
        <v>-27.57</v>
      </c>
      <c r="I8101"/>
    </row>
    <row r="8102" spans="1:9" x14ac:dyDescent="0.3">
      <c r="A8102" t="s">
        <v>5</v>
      </c>
      <c r="B8102" t="s">
        <v>25</v>
      </c>
      <c r="C8102" t="s">
        <v>143</v>
      </c>
      <c r="D8102" s="9" t="s">
        <v>137</v>
      </c>
      <c r="E8102" t="s">
        <v>38</v>
      </c>
      <c r="F8102" t="s">
        <v>73</v>
      </c>
      <c r="G8102">
        <v>17.5</v>
      </c>
      <c r="H8102" s="9">
        <v>-13.37</v>
      </c>
      <c r="I8102"/>
    </row>
    <row r="8103" spans="1:9" x14ac:dyDescent="0.3">
      <c r="A8103" t="s">
        <v>5</v>
      </c>
      <c r="B8103" t="s">
        <v>25</v>
      </c>
      <c r="C8103" t="s">
        <v>144</v>
      </c>
      <c r="D8103" s="9" t="s">
        <v>137</v>
      </c>
      <c r="E8103" t="s">
        <v>39</v>
      </c>
      <c r="F8103" t="s">
        <v>75</v>
      </c>
      <c r="G8103">
        <v>18.600000000000001</v>
      </c>
      <c r="H8103" s="9">
        <v>-9.27</v>
      </c>
      <c r="I8103"/>
    </row>
    <row r="8104" spans="1:9" x14ac:dyDescent="0.3">
      <c r="A8104" t="s">
        <v>5</v>
      </c>
      <c r="B8104" t="s">
        <v>25</v>
      </c>
      <c r="C8104" t="s">
        <v>145</v>
      </c>
      <c r="D8104" s="9" t="s">
        <v>137</v>
      </c>
      <c r="E8104" t="s">
        <v>40</v>
      </c>
      <c r="F8104" t="s">
        <v>77</v>
      </c>
      <c r="G8104">
        <v>16.100000000000001</v>
      </c>
      <c r="H8104" s="9">
        <v>-15.71</v>
      </c>
      <c r="I8104"/>
    </row>
    <row r="8105" spans="1:9" x14ac:dyDescent="0.3">
      <c r="A8105" t="s">
        <v>5</v>
      </c>
      <c r="B8105" t="s">
        <v>25</v>
      </c>
      <c r="C8105" t="s">
        <v>146</v>
      </c>
      <c r="D8105" s="9" t="s">
        <v>137</v>
      </c>
      <c r="E8105" t="s">
        <v>41</v>
      </c>
      <c r="F8105" t="s">
        <v>79</v>
      </c>
      <c r="G8105">
        <v>16.7</v>
      </c>
      <c r="H8105" s="9">
        <v>-9.24</v>
      </c>
      <c r="I8105"/>
    </row>
    <row r="8106" spans="1:9" x14ac:dyDescent="0.3">
      <c r="A8106" t="s">
        <v>5</v>
      </c>
      <c r="B8106" t="s">
        <v>25</v>
      </c>
      <c r="C8106" t="s">
        <v>147</v>
      </c>
      <c r="D8106" s="9" t="s">
        <v>137</v>
      </c>
      <c r="E8106" t="s">
        <v>42</v>
      </c>
      <c r="F8106" t="s">
        <v>81</v>
      </c>
      <c r="G8106">
        <v>17.899999999999999</v>
      </c>
      <c r="H8106" s="9">
        <v>-7.25</v>
      </c>
      <c r="I8106"/>
    </row>
    <row r="8107" spans="1:9" x14ac:dyDescent="0.3">
      <c r="A8107" t="s">
        <v>5</v>
      </c>
      <c r="B8107" t="s">
        <v>25</v>
      </c>
      <c r="C8107" t="s">
        <v>148</v>
      </c>
      <c r="D8107" s="9" t="s">
        <v>137</v>
      </c>
      <c r="E8107" t="s">
        <v>43</v>
      </c>
      <c r="F8107" t="s">
        <v>83</v>
      </c>
      <c r="G8107">
        <v>21.8</v>
      </c>
      <c r="H8107" s="9">
        <v>-19.260000000000002</v>
      </c>
      <c r="I8107"/>
    </row>
    <row r="8108" spans="1:9" x14ac:dyDescent="0.3">
      <c r="A8108" t="s">
        <v>5</v>
      </c>
      <c r="B8108" t="s">
        <v>25</v>
      </c>
      <c r="C8108" t="s">
        <v>149</v>
      </c>
      <c r="D8108" s="9" t="s">
        <v>150</v>
      </c>
      <c r="E8108" t="s">
        <v>32</v>
      </c>
      <c r="F8108" t="s">
        <v>61</v>
      </c>
      <c r="G8108">
        <v>15.4</v>
      </c>
      <c r="H8108" s="9">
        <v>-23.38</v>
      </c>
      <c r="I8108"/>
    </row>
    <row r="8109" spans="1:9" x14ac:dyDescent="0.3">
      <c r="A8109" t="s">
        <v>5</v>
      </c>
      <c r="B8109" t="s">
        <v>25</v>
      </c>
      <c r="C8109" t="s">
        <v>151</v>
      </c>
      <c r="D8109" s="9" t="s">
        <v>150</v>
      </c>
      <c r="E8109" t="s">
        <v>33</v>
      </c>
      <c r="F8109" t="s">
        <v>63</v>
      </c>
      <c r="G8109">
        <v>13.9</v>
      </c>
      <c r="H8109" s="9">
        <v>-18.239999999999998</v>
      </c>
      <c r="I8109"/>
    </row>
    <row r="8110" spans="1:9" x14ac:dyDescent="0.3">
      <c r="A8110" t="s">
        <v>5</v>
      </c>
      <c r="B8110" t="s">
        <v>25</v>
      </c>
      <c r="C8110" t="s">
        <v>152</v>
      </c>
      <c r="D8110" s="9" t="s">
        <v>150</v>
      </c>
      <c r="E8110" t="s">
        <v>34</v>
      </c>
      <c r="F8110" t="s">
        <v>65</v>
      </c>
      <c r="G8110">
        <v>14.7</v>
      </c>
      <c r="H8110" s="9">
        <v>-13.53</v>
      </c>
      <c r="I8110"/>
    </row>
    <row r="8111" spans="1:9" x14ac:dyDescent="0.3">
      <c r="A8111" t="s">
        <v>5</v>
      </c>
      <c r="B8111" t="s">
        <v>25</v>
      </c>
      <c r="C8111" t="s">
        <v>153</v>
      </c>
      <c r="D8111" s="9" t="s">
        <v>150</v>
      </c>
      <c r="E8111" t="s">
        <v>35</v>
      </c>
      <c r="F8111" t="s">
        <v>67</v>
      </c>
      <c r="G8111">
        <v>14.8</v>
      </c>
      <c r="H8111" s="9">
        <v>-7.5</v>
      </c>
      <c r="I8111"/>
    </row>
    <row r="8112" spans="1:9" x14ac:dyDescent="0.3">
      <c r="A8112" t="s">
        <v>5</v>
      </c>
      <c r="B8112" t="s">
        <v>25</v>
      </c>
      <c r="C8112" t="s">
        <v>154</v>
      </c>
      <c r="D8112" s="9" t="s">
        <v>150</v>
      </c>
      <c r="E8112" t="s">
        <v>36</v>
      </c>
      <c r="F8112" t="s">
        <v>69</v>
      </c>
      <c r="G8112">
        <v>15.8</v>
      </c>
      <c r="H8112" s="9">
        <v>-7.6</v>
      </c>
      <c r="I8112"/>
    </row>
    <row r="8113" spans="1:9" x14ac:dyDescent="0.3">
      <c r="A8113" t="s">
        <v>5</v>
      </c>
      <c r="B8113" t="s">
        <v>25</v>
      </c>
      <c r="C8113" t="s">
        <v>155</v>
      </c>
      <c r="D8113" s="9" t="s">
        <v>150</v>
      </c>
      <c r="E8113" t="s">
        <v>37</v>
      </c>
      <c r="F8113" t="s">
        <v>71</v>
      </c>
      <c r="G8113">
        <v>14.5</v>
      </c>
      <c r="H8113" s="9">
        <v>-6.45</v>
      </c>
      <c r="I8113"/>
    </row>
    <row r="8114" spans="1:9" x14ac:dyDescent="0.3">
      <c r="A8114" t="s">
        <v>5</v>
      </c>
      <c r="B8114" t="s">
        <v>24</v>
      </c>
      <c r="C8114" t="s">
        <v>59</v>
      </c>
      <c r="D8114" s="9" t="s">
        <v>60</v>
      </c>
      <c r="E8114" t="s">
        <v>32</v>
      </c>
      <c r="F8114" t="s">
        <v>61</v>
      </c>
      <c r="G8114">
        <v>57</v>
      </c>
      <c r="I8114"/>
    </row>
    <row r="8115" spans="1:9" x14ac:dyDescent="0.3">
      <c r="A8115" t="s">
        <v>5</v>
      </c>
      <c r="B8115" t="s">
        <v>24</v>
      </c>
      <c r="C8115" t="s">
        <v>62</v>
      </c>
      <c r="D8115" s="9" t="s">
        <v>60</v>
      </c>
      <c r="E8115" t="s">
        <v>33</v>
      </c>
      <c r="F8115" t="s">
        <v>63</v>
      </c>
      <c r="G8115">
        <v>41</v>
      </c>
      <c r="I8115"/>
    </row>
    <row r="8116" spans="1:9" x14ac:dyDescent="0.3">
      <c r="A8116" t="s">
        <v>5</v>
      </c>
      <c r="B8116" t="s">
        <v>24</v>
      </c>
      <c r="C8116" t="s">
        <v>64</v>
      </c>
      <c r="D8116" s="9" t="s">
        <v>60</v>
      </c>
      <c r="E8116" t="s">
        <v>34</v>
      </c>
      <c r="F8116" t="s">
        <v>65</v>
      </c>
      <c r="G8116">
        <v>46.2</v>
      </c>
      <c r="I8116"/>
    </row>
    <row r="8117" spans="1:9" x14ac:dyDescent="0.3">
      <c r="A8117" t="s">
        <v>5</v>
      </c>
      <c r="B8117" t="s">
        <v>24</v>
      </c>
      <c r="C8117" t="s">
        <v>66</v>
      </c>
      <c r="D8117" s="9" t="s">
        <v>60</v>
      </c>
      <c r="E8117" t="s">
        <v>35</v>
      </c>
      <c r="F8117" t="s">
        <v>67</v>
      </c>
      <c r="G8117">
        <v>48</v>
      </c>
      <c r="I8117"/>
    </row>
    <row r="8118" spans="1:9" x14ac:dyDescent="0.3">
      <c r="A8118" t="s">
        <v>5</v>
      </c>
      <c r="B8118" t="s">
        <v>24</v>
      </c>
      <c r="C8118" t="s">
        <v>68</v>
      </c>
      <c r="D8118" s="9" t="s">
        <v>60</v>
      </c>
      <c r="E8118" t="s">
        <v>36</v>
      </c>
      <c r="F8118" t="s">
        <v>69</v>
      </c>
      <c r="G8118">
        <v>43.8</v>
      </c>
      <c r="I8118"/>
    </row>
    <row r="8119" spans="1:9" x14ac:dyDescent="0.3">
      <c r="A8119" t="s">
        <v>5</v>
      </c>
      <c r="B8119" t="s">
        <v>24</v>
      </c>
      <c r="C8119" t="s">
        <v>70</v>
      </c>
      <c r="D8119" s="9" t="s">
        <v>60</v>
      </c>
      <c r="E8119" t="s">
        <v>37</v>
      </c>
      <c r="F8119" t="s">
        <v>71</v>
      </c>
      <c r="G8119">
        <v>43.6</v>
      </c>
      <c r="I8119"/>
    </row>
    <row r="8120" spans="1:9" x14ac:dyDescent="0.3">
      <c r="A8120" t="s">
        <v>5</v>
      </c>
      <c r="B8120" t="s">
        <v>24</v>
      </c>
      <c r="C8120" t="s">
        <v>72</v>
      </c>
      <c r="D8120" s="9" t="s">
        <v>60</v>
      </c>
      <c r="E8120" t="s">
        <v>38</v>
      </c>
      <c r="F8120" t="s">
        <v>73</v>
      </c>
      <c r="G8120">
        <v>48</v>
      </c>
      <c r="I8120"/>
    </row>
    <row r="8121" spans="1:9" x14ac:dyDescent="0.3">
      <c r="A8121" t="s">
        <v>5</v>
      </c>
      <c r="B8121" t="s">
        <v>24</v>
      </c>
      <c r="C8121" t="s">
        <v>74</v>
      </c>
      <c r="D8121" s="9" t="s">
        <v>60</v>
      </c>
      <c r="E8121" t="s">
        <v>39</v>
      </c>
      <c r="F8121" t="s">
        <v>75</v>
      </c>
      <c r="G8121">
        <v>47.9</v>
      </c>
      <c r="I8121"/>
    </row>
    <row r="8122" spans="1:9" x14ac:dyDescent="0.3">
      <c r="A8122" t="s">
        <v>5</v>
      </c>
      <c r="B8122" t="s">
        <v>24</v>
      </c>
      <c r="C8122" t="s">
        <v>76</v>
      </c>
      <c r="D8122" s="9" t="s">
        <v>60</v>
      </c>
      <c r="E8122" t="s">
        <v>40</v>
      </c>
      <c r="F8122" t="s">
        <v>77</v>
      </c>
      <c r="G8122">
        <v>54.5</v>
      </c>
      <c r="I8122"/>
    </row>
    <row r="8123" spans="1:9" x14ac:dyDescent="0.3">
      <c r="A8123" t="s">
        <v>5</v>
      </c>
      <c r="B8123" t="s">
        <v>24</v>
      </c>
      <c r="C8123" t="s">
        <v>78</v>
      </c>
      <c r="D8123" s="9" t="s">
        <v>60</v>
      </c>
      <c r="E8123" t="s">
        <v>41</v>
      </c>
      <c r="F8123" t="s">
        <v>79</v>
      </c>
      <c r="G8123">
        <v>58.1</v>
      </c>
      <c r="I8123"/>
    </row>
    <row r="8124" spans="1:9" x14ac:dyDescent="0.3">
      <c r="A8124" t="s">
        <v>5</v>
      </c>
      <c r="B8124" t="s">
        <v>24</v>
      </c>
      <c r="C8124" t="s">
        <v>80</v>
      </c>
      <c r="D8124" s="9" t="s">
        <v>60</v>
      </c>
      <c r="E8124" t="s">
        <v>42</v>
      </c>
      <c r="F8124" t="s">
        <v>81</v>
      </c>
      <c r="G8124">
        <v>65.400000000000006</v>
      </c>
      <c r="I8124"/>
    </row>
    <row r="8125" spans="1:9" x14ac:dyDescent="0.3">
      <c r="A8125" t="s">
        <v>5</v>
      </c>
      <c r="B8125" t="s">
        <v>24</v>
      </c>
      <c r="C8125" t="s">
        <v>82</v>
      </c>
      <c r="D8125" s="9" t="s">
        <v>60</v>
      </c>
      <c r="E8125" t="s">
        <v>43</v>
      </c>
      <c r="F8125" t="s">
        <v>83</v>
      </c>
      <c r="G8125">
        <v>109.9</v>
      </c>
      <c r="I8125"/>
    </row>
    <row r="8126" spans="1:9" x14ac:dyDescent="0.3">
      <c r="A8126" t="s">
        <v>5</v>
      </c>
      <c r="B8126" t="s">
        <v>24</v>
      </c>
      <c r="C8126" t="s">
        <v>84</v>
      </c>
      <c r="D8126" s="9" t="s">
        <v>85</v>
      </c>
      <c r="E8126" t="s">
        <v>32</v>
      </c>
      <c r="F8126" t="s">
        <v>61</v>
      </c>
      <c r="G8126">
        <v>61.8</v>
      </c>
      <c r="H8126" s="9">
        <v>8.42</v>
      </c>
      <c r="I8126"/>
    </row>
    <row r="8127" spans="1:9" x14ac:dyDescent="0.3">
      <c r="A8127" t="s">
        <v>5</v>
      </c>
      <c r="B8127" t="s">
        <v>24</v>
      </c>
      <c r="C8127" t="s">
        <v>86</v>
      </c>
      <c r="D8127" s="9" t="s">
        <v>85</v>
      </c>
      <c r="E8127" t="s">
        <v>33</v>
      </c>
      <c r="F8127" t="s">
        <v>63</v>
      </c>
      <c r="G8127">
        <v>46.5</v>
      </c>
      <c r="H8127" s="9">
        <v>13.41</v>
      </c>
      <c r="I8127"/>
    </row>
    <row r="8128" spans="1:9" x14ac:dyDescent="0.3">
      <c r="A8128" t="s">
        <v>5</v>
      </c>
      <c r="B8128" t="s">
        <v>24</v>
      </c>
      <c r="C8128" t="s">
        <v>87</v>
      </c>
      <c r="D8128" s="9" t="s">
        <v>85</v>
      </c>
      <c r="E8128" t="s">
        <v>34</v>
      </c>
      <c r="F8128" t="s">
        <v>65</v>
      </c>
      <c r="G8128">
        <v>61.3</v>
      </c>
      <c r="H8128" s="9">
        <v>32.68</v>
      </c>
      <c r="I8128"/>
    </row>
    <row r="8129" spans="1:9" x14ac:dyDescent="0.3">
      <c r="A8129" t="s">
        <v>5</v>
      </c>
      <c r="B8129" t="s">
        <v>24</v>
      </c>
      <c r="C8129" t="s">
        <v>88</v>
      </c>
      <c r="D8129" s="9" t="s">
        <v>85</v>
      </c>
      <c r="E8129" t="s">
        <v>35</v>
      </c>
      <c r="F8129" t="s">
        <v>67</v>
      </c>
      <c r="G8129">
        <v>60.9</v>
      </c>
      <c r="H8129" s="9">
        <v>26.88</v>
      </c>
      <c r="I8129"/>
    </row>
    <row r="8130" spans="1:9" x14ac:dyDescent="0.3">
      <c r="A8130" t="s">
        <v>5</v>
      </c>
      <c r="B8130" t="s">
        <v>24</v>
      </c>
      <c r="C8130" t="s">
        <v>89</v>
      </c>
      <c r="D8130" s="9" t="s">
        <v>85</v>
      </c>
      <c r="E8130" t="s">
        <v>36</v>
      </c>
      <c r="F8130" t="s">
        <v>69</v>
      </c>
      <c r="G8130">
        <v>74.400000000000006</v>
      </c>
      <c r="H8130" s="9">
        <v>69.86</v>
      </c>
      <c r="I8130"/>
    </row>
    <row r="8131" spans="1:9" x14ac:dyDescent="0.3">
      <c r="A8131" t="s">
        <v>5</v>
      </c>
      <c r="B8131" t="s">
        <v>24</v>
      </c>
      <c r="C8131" t="s">
        <v>90</v>
      </c>
      <c r="D8131" s="9" t="s">
        <v>85</v>
      </c>
      <c r="E8131" t="s">
        <v>37</v>
      </c>
      <c r="F8131" t="s">
        <v>71</v>
      </c>
      <c r="G8131">
        <v>72.7</v>
      </c>
      <c r="H8131" s="9">
        <v>66.739999999999995</v>
      </c>
      <c r="I8131"/>
    </row>
    <row r="8132" spans="1:9" x14ac:dyDescent="0.3">
      <c r="A8132" t="s">
        <v>5</v>
      </c>
      <c r="B8132" t="s">
        <v>24</v>
      </c>
      <c r="C8132" t="s">
        <v>91</v>
      </c>
      <c r="D8132" s="9" t="s">
        <v>85</v>
      </c>
      <c r="E8132" t="s">
        <v>38</v>
      </c>
      <c r="F8132" t="s">
        <v>73</v>
      </c>
      <c r="G8132">
        <v>75.8</v>
      </c>
      <c r="H8132" s="9">
        <v>57.92</v>
      </c>
      <c r="I8132"/>
    </row>
    <row r="8133" spans="1:9" x14ac:dyDescent="0.3">
      <c r="A8133" t="s">
        <v>5</v>
      </c>
      <c r="B8133" t="s">
        <v>24</v>
      </c>
      <c r="C8133" t="s">
        <v>92</v>
      </c>
      <c r="D8133" s="9" t="s">
        <v>85</v>
      </c>
      <c r="E8133" t="s">
        <v>39</v>
      </c>
      <c r="F8133" t="s">
        <v>75</v>
      </c>
      <c r="G8133">
        <v>69</v>
      </c>
      <c r="H8133" s="9">
        <v>44.05</v>
      </c>
      <c r="I8133"/>
    </row>
    <row r="8134" spans="1:9" x14ac:dyDescent="0.3">
      <c r="A8134" t="s">
        <v>5</v>
      </c>
      <c r="B8134" t="s">
        <v>24</v>
      </c>
      <c r="C8134" t="s">
        <v>93</v>
      </c>
      <c r="D8134" s="9" t="s">
        <v>85</v>
      </c>
      <c r="E8134" t="s">
        <v>40</v>
      </c>
      <c r="F8134" t="s">
        <v>77</v>
      </c>
      <c r="G8134">
        <v>70.3</v>
      </c>
      <c r="H8134" s="9">
        <v>28.99</v>
      </c>
      <c r="I8134"/>
    </row>
    <row r="8135" spans="1:9" x14ac:dyDescent="0.3">
      <c r="A8135" t="s">
        <v>5</v>
      </c>
      <c r="B8135" t="s">
        <v>24</v>
      </c>
      <c r="C8135" t="s">
        <v>94</v>
      </c>
      <c r="D8135" s="9" t="s">
        <v>85</v>
      </c>
      <c r="E8135" t="s">
        <v>41</v>
      </c>
      <c r="F8135" t="s">
        <v>79</v>
      </c>
      <c r="G8135">
        <v>71.400000000000006</v>
      </c>
      <c r="H8135" s="9">
        <v>22.89</v>
      </c>
      <c r="I8135"/>
    </row>
    <row r="8136" spans="1:9" x14ac:dyDescent="0.3">
      <c r="A8136" t="s">
        <v>5</v>
      </c>
      <c r="B8136" t="s">
        <v>24</v>
      </c>
      <c r="C8136" t="s">
        <v>95</v>
      </c>
      <c r="D8136" s="9" t="s">
        <v>85</v>
      </c>
      <c r="E8136" t="s">
        <v>42</v>
      </c>
      <c r="F8136" t="s">
        <v>81</v>
      </c>
      <c r="G8136">
        <v>84</v>
      </c>
      <c r="H8136" s="9">
        <v>28.44</v>
      </c>
      <c r="I8136"/>
    </row>
    <row r="8137" spans="1:9" x14ac:dyDescent="0.3">
      <c r="A8137" t="s">
        <v>5</v>
      </c>
      <c r="B8137" t="s">
        <v>24</v>
      </c>
      <c r="C8137" t="s">
        <v>96</v>
      </c>
      <c r="D8137" s="9" t="s">
        <v>85</v>
      </c>
      <c r="E8137" t="s">
        <v>43</v>
      </c>
      <c r="F8137" t="s">
        <v>83</v>
      </c>
      <c r="G8137">
        <v>126.8</v>
      </c>
      <c r="H8137" s="9">
        <v>15.38</v>
      </c>
      <c r="I8137"/>
    </row>
    <row r="8138" spans="1:9" x14ac:dyDescent="0.3">
      <c r="A8138" t="s">
        <v>5</v>
      </c>
      <c r="B8138" t="s">
        <v>24</v>
      </c>
      <c r="C8138" t="s">
        <v>97</v>
      </c>
      <c r="D8138" s="9" t="s">
        <v>98</v>
      </c>
      <c r="E8138" t="s">
        <v>32</v>
      </c>
      <c r="F8138" t="s">
        <v>61</v>
      </c>
      <c r="G8138">
        <v>76.7</v>
      </c>
      <c r="H8138" s="9">
        <v>24.11</v>
      </c>
      <c r="I8138"/>
    </row>
    <row r="8139" spans="1:9" x14ac:dyDescent="0.3">
      <c r="A8139" t="s">
        <v>5</v>
      </c>
      <c r="B8139" t="s">
        <v>24</v>
      </c>
      <c r="C8139" t="s">
        <v>99</v>
      </c>
      <c r="D8139" s="9" t="s">
        <v>98</v>
      </c>
      <c r="E8139" t="s">
        <v>33</v>
      </c>
      <c r="F8139" t="s">
        <v>63</v>
      </c>
      <c r="G8139">
        <v>59</v>
      </c>
      <c r="H8139" s="9">
        <v>26.88</v>
      </c>
      <c r="I8139"/>
    </row>
    <row r="8140" spans="1:9" x14ac:dyDescent="0.3">
      <c r="A8140" t="s">
        <v>5</v>
      </c>
      <c r="B8140" t="s">
        <v>24</v>
      </c>
      <c r="C8140" t="s">
        <v>100</v>
      </c>
      <c r="D8140" s="9" t="s">
        <v>98</v>
      </c>
      <c r="E8140" t="s">
        <v>34</v>
      </c>
      <c r="F8140" t="s">
        <v>65</v>
      </c>
      <c r="G8140">
        <v>71</v>
      </c>
      <c r="H8140" s="9">
        <v>15.82</v>
      </c>
      <c r="I8140"/>
    </row>
    <row r="8141" spans="1:9" x14ac:dyDescent="0.3">
      <c r="A8141" t="s">
        <v>5</v>
      </c>
      <c r="B8141" t="s">
        <v>24</v>
      </c>
      <c r="C8141" t="s">
        <v>101</v>
      </c>
      <c r="D8141" s="9" t="s">
        <v>98</v>
      </c>
      <c r="E8141" t="s">
        <v>35</v>
      </c>
      <c r="F8141" t="s">
        <v>67</v>
      </c>
      <c r="G8141">
        <v>72.3</v>
      </c>
      <c r="H8141" s="9">
        <v>18.72</v>
      </c>
      <c r="I8141"/>
    </row>
    <row r="8142" spans="1:9" x14ac:dyDescent="0.3">
      <c r="A8142" t="s">
        <v>5</v>
      </c>
      <c r="B8142" t="s">
        <v>24</v>
      </c>
      <c r="C8142" t="s">
        <v>102</v>
      </c>
      <c r="D8142" s="9" t="s">
        <v>98</v>
      </c>
      <c r="E8142" t="s">
        <v>36</v>
      </c>
      <c r="F8142" t="s">
        <v>69</v>
      </c>
      <c r="G8142">
        <v>69.7</v>
      </c>
      <c r="H8142" s="9">
        <v>-6.32</v>
      </c>
      <c r="I8142"/>
    </row>
    <row r="8143" spans="1:9" x14ac:dyDescent="0.3">
      <c r="A8143" t="s">
        <v>5</v>
      </c>
      <c r="B8143" t="s">
        <v>24</v>
      </c>
      <c r="C8143" t="s">
        <v>103</v>
      </c>
      <c r="D8143" s="9" t="s">
        <v>98</v>
      </c>
      <c r="E8143" t="s">
        <v>37</v>
      </c>
      <c r="F8143" t="s">
        <v>71</v>
      </c>
      <c r="G8143">
        <v>70.900000000000006</v>
      </c>
      <c r="H8143" s="9">
        <v>-2.48</v>
      </c>
      <c r="I8143"/>
    </row>
    <row r="8144" spans="1:9" x14ac:dyDescent="0.3">
      <c r="A8144" t="s">
        <v>5</v>
      </c>
      <c r="B8144" t="s">
        <v>24</v>
      </c>
      <c r="C8144" t="s">
        <v>104</v>
      </c>
      <c r="D8144" s="9" t="s">
        <v>98</v>
      </c>
      <c r="E8144" t="s">
        <v>38</v>
      </c>
      <c r="F8144" t="s">
        <v>73</v>
      </c>
      <c r="G8144">
        <v>75.2</v>
      </c>
      <c r="H8144" s="9">
        <v>-0.79</v>
      </c>
      <c r="I8144"/>
    </row>
    <row r="8145" spans="1:9" x14ac:dyDescent="0.3">
      <c r="A8145" t="s">
        <v>5</v>
      </c>
      <c r="B8145" t="s">
        <v>24</v>
      </c>
      <c r="C8145" t="s">
        <v>105</v>
      </c>
      <c r="D8145" s="9" t="s">
        <v>98</v>
      </c>
      <c r="E8145" t="s">
        <v>39</v>
      </c>
      <c r="F8145" t="s">
        <v>75</v>
      </c>
      <c r="G8145">
        <v>68.099999999999994</v>
      </c>
      <c r="H8145" s="9">
        <v>-1.3</v>
      </c>
      <c r="I8145"/>
    </row>
    <row r="8146" spans="1:9" x14ac:dyDescent="0.3">
      <c r="A8146" t="s">
        <v>5</v>
      </c>
      <c r="B8146" t="s">
        <v>24</v>
      </c>
      <c r="C8146" t="s">
        <v>106</v>
      </c>
      <c r="D8146" s="9" t="s">
        <v>98</v>
      </c>
      <c r="E8146" t="s">
        <v>40</v>
      </c>
      <c r="F8146" t="s">
        <v>77</v>
      </c>
      <c r="G8146">
        <v>87.2</v>
      </c>
      <c r="H8146" s="9">
        <v>24.04</v>
      </c>
      <c r="I8146"/>
    </row>
    <row r="8147" spans="1:9" x14ac:dyDescent="0.3">
      <c r="A8147" t="s">
        <v>5</v>
      </c>
      <c r="B8147" t="s">
        <v>24</v>
      </c>
      <c r="C8147" t="s">
        <v>107</v>
      </c>
      <c r="D8147" s="9" t="s">
        <v>98</v>
      </c>
      <c r="E8147" t="s">
        <v>41</v>
      </c>
      <c r="F8147" t="s">
        <v>79</v>
      </c>
      <c r="G8147">
        <v>88.7</v>
      </c>
      <c r="H8147" s="9">
        <v>24.23</v>
      </c>
      <c r="I8147"/>
    </row>
    <row r="8148" spans="1:9" x14ac:dyDescent="0.3">
      <c r="A8148" t="s">
        <v>5</v>
      </c>
      <c r="B8148" t="s">
        <v>24</v>
      </c>
      <c r="C8148" t="s">
        <v>108</v>
      </c>
      <c r="D8148" s="9" t="s">
        <v>98</v>
      </c>
      <c r="E8148" t="s">
        <v>42</v>
      </c>
      <c r="F8148" t="s">
        <v>81</v>
      </c>
      <c r="G8148">
        <v>94.5</v>
      </c>
      <c r="H8148" s="9">
        <v>12.5</v>
      </c>
      <c r="I8148"/>
    </row>
    <row r="8149" spans="1:9" x14ac:dyDescent="0.3">
      <c r="A8149" t="s">
        <v>5</v>
      </c>
      <c r="B8149" t="s">
        <v>24</v>
      </c>
      <c r="C8149" t="s">
        <v>109</v>
      </c>
      <c r="D8149" s="9" t="s">
        <v>98</v>
      </c>
      <c r="E8149" t="s">
        <v>43</v>
      </c>
      <c r="F8149" t="s">
        <v>83</v>
      </c>
      <c r="G8149">
        <v>151.5</v>
      </c>
      <c r="H8149" s="9">
        <v>19.48</v>
      </c>
      <c r="I8149"/>
    </row>
    <row r="8150" spans="1:9" x14ac:dyDescent="0.3">
      <c r="A8150" t="s">
        <v>5</v>
      </c>
      <c r="B8150" t="s">
        <v>24</v>
      </c>
      <c r="C8150" t="s">
        <v>110</v>
      </c>
      <c r="D8150" s="9" t="s">
        <v>111</v>
      </c>
      <c r="E8150" t="s">
        <v>32</v>
      </c>
      <c r="F8150" t="s">
        <v>61</v>
      </c>
      <c r="G8150">
        <v>93.7</v>
      </c>
      <c r="H8150" s="9">
        <v>22.16</v>
      </c>
      <c r="I8150"/>
    </row>
    <row r="8151" spans="1:9" x14ac:dyDescent="0.3">
      <c r="A8151" t="s">
        <v>5</v>
      </c>
      <c r="B8151" t="s">
        <v>24</v>
      </c>
      <c r="C8151" t="s">
        <v>112</v>
      </c>
      <c r="D8151" s="9" t="s">
        <v>111</v>
      </c>
      <c r="E8151" t="s">
        <v>33</v>
      </c>
      <c r="F8151" t="s">
        <v>63</v>
      </c>
      <c r="G8151">
        <v>67.7</v>
      </c>
      <c r="H8151" s="9">
        <v>14.75</v>
      </c>
      <c r="I8151"/>
    </row>
    <row r="8152" spans="1:9" x14ac:dyDescent="0.3">
      <c r="A8152" t="s">
        <v>5</v>
      </c>
      <c r="B8152" t="s">
        <v>24</v>
      </c>
      <c r="C8152" t="s">
        <v>113</v>
      </c>
      <c r="D8152" s="9" t="s">
        <v>111</v>
      </c>
      <c r="E8152" t="s">
        <v>34</v>
      </c>
      <c r="F8152" t="s">
        <v>65</v>
      </c>
      <c r="G8152">
        <v>76.2</v>
      </c>
      <c r="H8152" s="9">
        <v>7.32</v>
      </c>
      <c r="I8152"/>
    </row>
    <row r="8153" spans="1:9" x14ac:dyDescent="0.3">
      <c r="A8153" t="s">
        <v>5</v>
      </c>
      <c r="B8153" t="s">
        <v>24</v>
      </c>
      <c r="C8153" t="s">
        <v>114</v>
      </c>
      <c r="D8153" s="9" t="s">
        <v>111</v>
      </c>
      <c r="E8153" t="s">
        <v>35</v>
      </c>
      <c r="F8153" t="s">
        <v>67</v>
      </c>
      <c r="G8153">
        <v>80.7</v>
      </c>
      <c r="H8153" s="9">
        <v>11.62</v>
      </c>
      <c r="I8153"/>
    </row>
    <row r="8154" spans="1:9" x14ac:dyDescent="0.3">
      <c r="A8154" t="s">
        <v>5</v>
      </c>
      <c r="B8154" t="s">
        <v>24</v>
      </c>
      <c r="C8154" t="s">
        <v>115</v>
      </c>
      <c r="D8154" s="9" t="s">
        <v>111</v>
      </c>
      <c r="E8154" t="s">
        <v>36</v>
      </c>
      <c r="F8154" t="s">
        <v>69</v>
      </c>
      <c r="G8154">
        <v>69.5</v>
      </c>
      <c r="H8154" s="9">
        <v>-0.28999999999999998</v>
      </c>
      <c r="I8154"/>
    </row>
    <row r="8155" spans="1:9" x14ac:dyDescent="0.3">
      <c r="A8155" t="s">
        <v>5</v>
      </c>
      <c r="B8155" t="s">
        <v>24</v>
      </c>
      <c r="C8155" t="s">
        <v>116</v>
      </c>
      <c r="D8155" s="9" t="s">
        <v>111</v>
      </c>
      <c r="E8155" t="s">
        <v>37</v>
      </c>
      <c r="F8155" t="s">
        <v>71</v>
      </c>
      <c r="G8155">
        <v>72.3</v>
      </c>
      <c r="H8155" s="9">
        <v>1.97</v>
      </c>
      <c r="I8155"/>
    </row>
    <row r="8156" spans="1:9" x14ac:dyDescent="0.3">
      <c r="A8156" t="s">
        <v>5</v>
      </c>
      <c r="B8156" t="s">
        <v>24</v>
      </c>
      <c r="C8156" t="s">
        <v>117</v>
      </c>
      <c r="D8156" s="9" t="s">
        <v>111</v>
      </c>
      <c r="E8156" t="s">
        <v>38</v>
      </c>
      <c r="F8156" t="s">
        <v>73</v>
      </c>
      <c r="G8156">
        <v>74.2</v>
      </c>
      <c r="H8156" s="9">
        <v>-1.33</v>
      </c>
      <c r="I8156"/>
    </row>
    <row r="8157" spans="1:9" x14ac:dyDescent="0.3">
      <c r="A8157" t="s">
        <v>5</v>
      </c>
      <c r="B8157" t="s">
        <v>24</v>
      </c>
      <c r="C8157" t="s">
        <v>118</v>
      </c>
      <c r="D8157" s="9" t="s">
        <v>111</v>
      </c>
      <c r="E8157" t="s">
        <v>39</v>
      </c>
      <c r="F8157" t="s">
        <v>75</v>
      </c>
      <c r="G8157">
        <v>65.7</v>
      </c>
      <c r="H8157" s="9">
        <v>-3.52</v>
      </c>
      <c r="I8157"/>
    </row>
    <row r="8158" spans="1:9" x14ac:dyDescent="0.3">
      <c r="A8158" t="s">
        <v>5</v>
      </c>
      <c r="B8158" t="s">
        <v>24</v>
      </c>
      <c r="C8158" t="s">
        <v>119</v>
      </c>
      <c r="D8158" s="9" t="s">
        <v>111</v>
      </c>
      <c r="E8158" t="s">
        <v>40</v>
      </c>
      <c r="F8158" t="s">
        <v>77</v>
      </c>
      <c r="G8158">
        <v>78.599999999999994</v>
      </c>
      <c r="H8158" s="9">
        <v>-9.86</v>
      </c>
      <c r="I8158"/>
    </row>
    <row r="8159" spans="1:9" x14ac:dyDescent="0.3">
      <c r="A8159" t="s">
        <v>5</v>
      </c>
      <c r="B8159" t="s">
        <v>24</v>
      </c>
      <c r="C8159" t="s">
        <v>120</v>
      </c>
      <c r="D8159" s="9" t="s">
        <v>111</v>
      </c>
      <c r="E8159" t="s">
        <v>41</v>
      </c>
      <c r="F8159" t="s">
        <v>79</v>
      </c>
      <c r="G8159">
        <v>74.900000000000006</v>
      </c>
      <c r="H8159" s="9">
        <v>-15.56</v>
      </c>
      <c r="I8159"/>
    </row>
    <row r="8160" spans="1:9" x14ac:dyDescent="0.3">
      <c r="A8160" t="s">
        <v>5</v>
      </c>
      <c r="B8160" t="s">
        <v>24</v>
      </c>
      <c r="C8160" t="s">
        <v>121</v>
      </c>
      <c r="D8160" s="9" t="s">
        <v>111</v>
      </c>
      <c r="E8160" t="s">
        <v>42</v>
      </c>
      <c r="F8160" t="s">
        <v>81</v>
      </c>
      <c r="G8160">
        <v>86.7</v>
      </c>
      <c r="H8160" s="9">
        <v>-8.25</v>
      </c>
      <c r="I8160"/>
    </row>
    <row r="8161" spans="1:9" x14ac:dyDescent="0.3">
      <c r="A8161" t="s">
        <v>5</v>
      </c>
      <c r="B8161" t="s">
        <v>24</v>
      </c>
      <c r="C8161" t="s">
        <v>122</v>
      </c>
      <c r="D8161" s="9" t="s">
        <v>111</v>
      </c>
      <c r="E8161" t="s">
        <v>43</v>
      </c>
      <c r="F8161" t="s">
        <v>83</v>
      </c>
      <c r="G8161">
        <v>124.5</v>
      </c>
      <c r="H8161" s="9">
        <v>-17.82</v>
      </c>
      <c r="I8161"/>
    </row>
    <row r="8162" spans="1:9" x14ac:dyDescent="0.3">
      <c r="A8162" t="s">
        <v>5</v>
      </c>
      <c r="B8162" t="s">
        <v>24</v>
      </c>
      <c r="C8162" t="s">
        <v>123</v>
      </c>
      <c r="D8162" s="9" t="s">
        <v>124</v>
      </c>
      <c r="E8162" t="s">
        <v>32</v>
      </c>
      <c r="F8162" t="s">
        <v>61</v>
      </c>
      <c r="G8162">
        <v>81.8</v>
      </c>
      <c r="H8162" s="9">
        <v>-12.7</v>
      </c>
      <c r="I8162"/>
    </row>
    <row r="8163" spans="1:9" x14ac:dyDescent="0.3">
      <c r="A8163" t="s">
        <v>5</v>
      </c>
      <c r="B8163" t="s">
        <v>24</v>
      </c>
      <c r="C8163" t="s">
        <v>125</v>
      </c>
      <c r="D8163" s="9" t="s">
        <v>124</v>
      </c>
      <c r="E8163" t="s">
        <v>33</v>
      </c>
      <c r="F8163" t="s">
        <v>63</v>
      </c>
      <c r="G8163">
        <v>58.5</v>
      </c>
      <c r="H8163" s="9">
        <v>-13.59</v>
      </c>
      <c r="I8163"/>
    </row>
    <row r="8164" spans="1:9" x14ac:dyDescent="0.3">
      <c r="A8164" t="s">
        <v>5</v>
      </c>
      <c r="B8164" t="s">
        <v>24</v>
      </c>
      <c r="C8164" t="s">
        <v>126</v>
      </c>
      <c r="D8164" s="9" t="s">
        <v>124</v>
      </c>
      <c r="E8164" t="s">
        <v>34</v>
      </c>
      <c r="F8164" t="s">
        <v>65</v>
      </c>
      <c r="G8164">
        <v>71.8</v>
      </c>
      <c r="H8164" s="9">
        <v>-5.77</v>
      </c>
      <c r="I8164"/>
    </row>
    <row r="8165" spans="1:9" x14ac:dyDescent="0.3">
      <c r="A8165" t="s">
        <v>5</v>
      </c>
      <c r="B8165" t="s">
        <v>24</v>
      </c>
      <c r="C8165" t="s">
        <v>127</v>
      </c>
      <c r="D8165" s="9" t="s">
        <v>124</v>
      </c>
      <c r="E8165" t="s">
        <v>35</v>
      </c>
      <c r="F8165" t="s">
        <v>67</v>
      </c>
      <c r="G8165">
        <v>79.3</v>
      </c>
      <c r="H8165" s="9">
        <v>-1.73</v>
      </c>
      <c r="I8165"/>
    </row>
    <row r="8166" spans="1:9" x14ac:dyDescent="0.3">
      <c r="A8166" t="s">
        <v>5</v>
      </c>
      <c r="B8166" t="s">
        <v>24</v>
      </c>
      <c r="C8166" t="s">
        <v>128</v>
      </c>
      <c r="D8166" s="9" t="s">
        <v>124</v>
      </c>
      <c r="E8166" t="s">
        <v>36</v>
      </c>
      <c r="F8166" t="s">
        <v>69</v>
      </c>
      <c r="G8166">
        <v>70.3</v>
      </c>
      <c r="H8166" s="9">
        <v>1.1499999999999999</v>
      </c>
      <c r="I8166"/>
    </row>
    <row r="8167" spans="1:9" x14ac:dyDescent="0.3">
      <c r="A8167" t="s">
        <v>5</v>
      </c>
      <c r="B8167" t="s">
        <v>24</v>
      </c>
      <c r="C8167" t="s">
        <v>129</v>
      </c>
      <c r="D8167" s="9" t="s">
        <v>124</v>
      </c>
      <c r="E8167" t="s">
        <v>37</v>
      </c>
      <c r="F8167" t="s">
        <v>71</v>
      </c>
      <c r="G8167">
        <v>73.3</v>
      </c>
      <c r="H8167" s="9">
        <v>1.38</v>
      </c>
      <c r="I8167"/>
    </row>
    <row r="8168" spans="1:9" x14ac:dyDescent="0.3">
      <c r="A8168" t="s">
        <v>5</v>
      </c>
      <c r="B8168" t="s">
        <v>24</v>
      </c>
      <c r="C8168" t="s">
        <v>130</v>
      </c>
      <c r="D8168" s="9" t="s">
        <v>124</v>
      </c>
      <c r="E8168" t="s">
        <v>38</v>
      </c>
      <c r="F8168" t="s">
        <v>73</v>
      </c>
      <c r="G8168">
        <v>69.099999999999994</v>
      </c>
      <c r="H8168" s="9">
        <v>-6.87</v>
      </c>
      <c r="I8168"/>
    </row>
    <row r="8169" spans="1:9" x14ac:dyDescent="0.3">
      <c r="A8169" t="s">
        <v>5</v>
      </c>
      <c r="B8169" t="s">
        <v>24</v>
      </c>
      <c r="C8169" t="s">
        <v>131</v>
      </c>
      <c r="D8169" s="9" t="s">
        <v>124</v>
      </c>
      <c r="E8169" t="s">
        <v>39</v>
      </c>
      <c r="F8169" t="s">
        <v>75</v>
      </c>
      <c r="G8169">
        <v>70.099999999999994</v>
      </c>
      <c r="H8169" s="9">
        <v>6.7</v>
      </c>
      <c r="I8169"/>
    </row>
    <row r="8170" spans="1:9" x14ac:dyDescent="0.3">
      <c r="A8170" t="s">
        <v>5</v>
      </c>
      <c r="B8170" t="s">
        <v>24</v>
      </c>
      <c r="C8170" t="s">
        <v>132</v>
      </c>
      <c r="D8170" s="9" t="s">
        <v>124</v>
      </c>
      <c r="E8170" t="s">
        <v>40</v>
      </c>
      <c r="F8170" t="s">
        <v>77</v>
      </c>
      <c r="G8170">
        <v>71.599999999999994</v>
      </c>
      <c r="H8170" s="9">
        <v>-8.91</v>
      </c>
      <c r="I8170"/>
    </row>
    <row r="8171" spans="1:9" x14ac:dyDescent="0.3">
      <c r="A8171" t="s">
        <v>5</v>
      </c>
      <c r="B8171" t="s">
        <v>24</v>
      </c>
      <c r="C8171" t="s">
        <v>133</v>
      </c>
      <c r="D8171" s="9" t="s">
        <v>124</v>
      </c>
      <c r="E8171" t="s">
        <v>41</v>
      </c>
      <c r="F8171" t="s">
        <v>79</v>
      </c>
      <c r="G8171">
        <v>77.7</v>
      </c>
      <c r="H8171" s="9">
        <v>3.74</v>
      </c>
      <c r="I8171"/>
    </row>
    <row r="8172" spans="1:9" x14ac:dyDescent="0.3">
      <c r="A8172" t="s">
        <v>5</v>
      </c>
      <c r="B8172" t="s">
        <v>24</v>
      </c>
      <c r="C8172" t="s">
        <v>134</v>
      </c>
      <c r="D8172" s="9" t="s">
        <v>124</v>
      </c>
      <c r="E8172" t="s">
        <v>42</v>
      </c>
      <c r="F8172" t="s">
        <v>81</v>
      </c>
      <c r="G8172">
        <v>88.7</v>
      </c>
      <c r="H8172" s="9">
        <v>2.31</v>
      </c>
      <c r="I8172"/>
    </row>
    <row r="8173" spans="1:9" x14ac:dyDescent="0.3">
      <c r="A8173" t="s">
        <v>5</v>
      </c>
      <c r="B8173" t="s">
        <v>24</v>
      </c>
      <c r="C8173" t="s">
        <v>135</v>
      </c>
      <c r="D8173" s="9" t="s">
        <v>124</v>
      </c>
      <c r="E8173" t="s">
        <v>43</v>
      </c>
      <c r="F8173" t="s">
        <v>83</v>
      </c>
      <c r="G8173">
        <v>126.2</v>
      </c>
      <c r="H8173" s="9">
        <v>1.37</v>
      </c>
      <c r="I8173"/>
    </row>
    <row r="8174" spans="1:9" x14ac:dyDescent="0.3">
      <c r="A8174" t="s">
        <v>5</v>
      </c>
      <c r="B8174" t="s">
        <v>24</v>
      </c>
      <c r="C8174" t="s">
        <v>136</v>
      </c>
      <c r="D8174" s="9" t="s">
        <v>137</v>
      </c>
      <c r="E8174" t="s">
        <v>32</v>
      </c>
      <c r="F8174" t="s">
        <v>61</v>
      </c>
      <c r="G8174">
        <v>76.900000000000006</v>
      </c>
      <c r="H8174" s="9">
        <v>-5.99</v>
      </c>
      <c r="I8174"/>
    </row>
    <row r="8175" spans="1:9" x14ac:dyDescent="0.3">
      <c r="A8175" t="s">
        <v>5</v>
      </c>
      <c r="B8175" t="s">
        <v>24</v>
      </c>
      <c r="C8175" t="s">
        <v>138</v>
      </c>
      <c r="D8175" s="9" t="s">
        <v>137</v>
      </c>
      <c r="E8175" t="s">
        <v>33</v>
      </c>
      <c r="F8175" t="s">
        <v>63</v>
      </c>
      <c r="G8175">
        <v>60</v>
      </c>
      <c r="H8175" s="9">
        <v>2.56</v>
      </c>
      <c r="I8175"/>
    </row>
    <row r="8176" spans="1:9" x14ac:dyDescent="0.3">
      <c r="A8176" t="s">
        <v>5</v>
      </c>
      <c r="B8176" t="s">
        <v>24</v>
      </c>
      <c r="C8176" t="s">
        <v>139</v>
      </c>
      <c r="D8176" s="9" t="s">
        <v>137</v>
      </c>
      <c r="E8176" t="s">
        <v>34</v>
      </c>
      <c r="F8176" t="s">
        <v>65</v>
      </c>
      <c r="G8176">
        <v>70.3</v>
      </c>
      <c r="H8176" s="9">
        <v>-2.09</v>
      </c>
      <c r="I8176"/>
    </row>
    <row r="8177" spans="1:9" x14ac:dyDescent="0.3">
      <c r="A8177" t="s">
        <v>5</v>
      </c>
      <c r="B8177" t="s">
        <v>24</v>
      </c>
      <c r="C8177" t="s">
        <v>140</v>
      </c>
      <c r="D8177" s="9" t="s">
        <v>137</v>
      </c>
      <c r="E8177" t="s">
        <v>35</v>
      </c>
      <c r="F8177" t="s">
        <v>67</v>
      </c>
      <c r="G8177">
        <v>78.599999999999994</v>
      </c>
      <c r="H8177" s="9">
        <v>-0.88</v>
      </c>
      <c r="I8177"/>
    </row>
    <row r="8178" spans="1:9" x14ac:dyDescent="0.3">
      <c r="A8178" t="s">
        <v>5</v>
      </c>
      <c r="B8178" t="s">
        <v>24</v>
      </c>
      <c r="C8178" t="s">
        <v>141</v>
      </c>
      <c r="D8178" s="9" t="s">
        <v>137</v>
      </c>
      <c r="E8178" t="s">
        <v>36</v>
      </c>
      <c r="F8178" t="s">
        <v>69</v>
      </c>
      <c r="G8178">
        <v>69.400000000000006</v>
      </c>
      <c r="H8178" s="9">
        <v>-1.28</v>
      </c>
      <c r="I8178"/>
    </row>
    <row r="8179" spans="1:9" x14ac:dyDescent="0.3">
      <c r="A8179" t="s">
        <v>5</v>
      </c>
      <c r="B8179" t="s">
        <v>24</v>
      </c>
      <c r="C8179" t="s">
        <v>142</v>
      </c>
      <c r="D8179" s="9" t="s">
        <v>137</v>
      </c>
      <c r="E8179" t="s">
        <v>37</v>
      </c>
      <c r="F8179" t="s">
        <v>71</v>
      </c>
      <c r="G8179">
        <v>72.599999999999994</v>
      </c>
      <c r="H8179" s="9">
        <v>-0.95</v>
      </c>
      <c r="I8179"/>
    </row>
    <row r="8180" spans="1:9" x14ac:dyDescent="0.3">
      <c r="A8180" t="s">
        <v>5</v>
      </c>
      <c r="B8180" t="s">
        <v>24</v>
      </c>
      <c r="C8180" t="s">
        <v>143</v>
      </c>
      <c r="D8180" s="9" t="s">
        <v>137</v>
      </c>
      <c r="E8180" t="s">
        <v>38</v>
      </c>
      <c r="F8180" t="s">
        <v>73</v>
      </c>
      <c r="G8180">
        <v>72.400000000000006</v>
      </c>
      <c r="H8180" s="9">
        <v>4.78</v>
      </c>
      <c r="I8180"/>
    </row>
    <row r="8181" spans="1:9" x14ac:dyDescent="0.3">
      <c r="A8181" t="s">
        <v>5</v>
      </c>
      <c r="B8181" t="s">
        <v>24</v>
      </c>
      <c r="C8181" t="s">
        <v>144</v>
      </c>
      <c r="D8181" s="9" t="s">
        <v>137</v>
      </c>
      <c r="E8181" t="s">
        <v>39</v>
      </c>
      <c r="F8181" t="s">
        <v>75</v>
      </c>
      <c r="G8181">
        <v>71.099999999999994</v>
      </c>
      <c r="H8181" s="9">
        <v>1.43</v>
      </c>
      <c r="I8181"/>
    </row>
    <row r="8182" spans="1:9" x14ac:dyDescent="0.3">
      <c r="A8182" t="s">
        <v>5</v>
      </c>
      <c r="B8182" t="s">
        <v>24</v>
      </c>
      <c r="C8182" t="s">
        <v>145</v>
      </c>
      <c r="D8182" s="9" t="s">
        <v>137</v>
      </c>
      <c r="E8182" t="s">
        <v>40</v>
      </c>
      <c r="F8182" t="s">
        <v>77</v>
      </c>
      <c r="G8182">
        <v>75.099999999999994</v>
      </c>
      <c r="H8182" s="9">
        <v>4.8899999999999997</v>
      </c>
      <c r="I8182"/>
    </row>
    <row r="8183" spans="1:9" x14ac:dyDescent="0.3">
      <c r="A8183" t="s">
        <v>5</v>
      </c>
      <c r="B8183" t="s">
        <v>24</v>
      </c>
      <c r="C8183" t="s">
        <v>146</v>
      </c>
      <c r="D8183" s="9" t="s">
        <v>137</v>
      </c>
      <c r="E8183" t="s">
        <v>41</v>
      </c>
      <c r="F8183" t="s">
        <v>79</v>
      </c>
      <c r="G8183">
        <v>78.7</v>
      </c>
      <c r="H8183" s="9">
        <v>1.29</v>
      </c>
      <c r="I8183"/>
    </row>
    <row r="8184" spans="1:9" x14ac:dyDescent="0.3">
      <c r="A8184" t="s">
        <v>5</v>
      </c>
      <c r="B8184" t="s">
        <v>24</v>
      </c>
      <c r="C8184" t="s">
        <v>147</v>
      </c>
      <c r="D8184" s="9" t="s">
        <v>137</v>
      </c>
      <c r="E8184" t="s">
        <v>42</v>
      </c>
      <c r="F8184" t="s">
        <v>81</v>
      </c>
      <c r="G8184">
        <v>88.1</v>
      </c>
      <c r="H8184" s="9">
        <v>-0.68</v>
      </c>
      <c r="I8184"/>
    </row>
    <row r="8185" spans="1:9" x14ac:dyDescent="0.3">
      <c r="A8185" t="s">
        <v>5</v>
      </c>
      <c r="B8185" t="s">
        <v>24</v>
      </c>
      <c r="C8185" t="s">
        <v>148</v>
      </c>
      <c r="D8185" s="9" t="s">
        <v>137</v>
      </c>
      <c r="E8185" t="s">
        <v>43</v>
      </c>
      <c r="F8185" t="s">
        <v>83</v>
      </c>
      <c r="G8185">
        <v>140.69999999999999</v>
      </c>
      <c r="H8185" s="9">
        <v>11.49</v>
      </c>
      <c r="I8185"/>
    </row>
    <row r="8186" spans="1:9" x14ac:dyDescent="0.3">
      <c r="A8186" t="s">
        <v>5</v>
      </c>
      <c r="B8186" t="s">
        <v>24</v>
      </c>
      <c r="C8186" t="s">
        <v>149</v>
      </c>
      <c r="D8186" s="9" t="s">
        <v>150</v>
      </c>
      <c r="E8186" t="s">
        <v>32</v>
      </c>
      <c r="F8186" t="s">
        <v>61</v>
      </c>
      <c r="G8186">
        <v>86</v>
      </c>
      <c r="H8186" s="9">
        <v>11.83</v>
      </c>
      <c r="I8186"/>
    </row>
    <row r="8187" spans="1:9" x14ac:dyDescent="0.3">
      <c r="A8187" t="s">
        <v>5</v>
      </c>
      <c r="B8187" t="s">
        <v>24</v>
      </c>
      <c r="C8187" t="s">
        <v>151</v>
      </c>
      <c r="D8187" s="9" t="s">
        <v>150</v>
      </c>
      <c r="E8187" t="s">
        <v>33</v>
      </c>
      <c r="F8187" t="s">
        <v>63</v>
      </c>
      <c r="G8187">
        <v>62.9</v>
      </c>
      <c r="H8187" s="9">
        <v>4.83</v>
      </c>
      <c r="I8187"/>
    </row>
    <row r="8188" spans="1:9" x14ac:dyDescent="0.3">
      <c r="A8188" t="s">
        <v>5</v>
      </c>
      <c r="B8188" t="s">
        <v>24</v>
      </c>
      <c r="C8188" t="s">
        <v>152</v>
      </c>
      <c r="D8188" s="9" t="s">
        <v>150</v>
      </c>
      <c r="E8188" t="s">
        <v>34</v>
      </c>
      <c r="F8188" t="s">
        <v>65</v>
      </c>
      <c r="G8188">
        <v>76.8</v>
      </c>
      <c r="H8188" s="9">
        <v>9.25</v>
      </c>
      <c r="I8188"/>
    </row>
    <row r="8189" spans="1:9" x14ac:dyDescent="0.3">
      <c r="A8189" t="s">
        <v>5</v>
      </c>
      <c r="B8189" t="s">
        <v>24</v>
      </c>
      <c r="C8189" t="s">
        <v>153</v>
      </c>
      <c r="D8189" s="9" t="s">
        <v>150</v>
      </c>
      <c r="E8189" t="s">
        <v>35</v>
      </c>
      <c r="F8189" t="s">
        <v>67</v>
      </c>
      <c r="G8189">
        <v>89.8</v>
      </c>
      <c r="H8189" s="9">
        <v>14.25</v>
      </c>
      <c r="I8189"/>
    </row>
    <row r="8190" spans="1:9" x14ac:dyDescent="0.3">
      <c r="A8190" t="s">
        <v>5</v>
      </c>
      <c r="B8190" t="s">
        <v>24</v>
      </c>
      <c r="C8190" t="s">
        <v>154</v>
      </c>
      <c r="D8190" s="9" t="s">
        <v>150</v>
      </c>
      <c r="E8190" t="s">
        <v>36</v>
      </c>
      <c r="F8190" t="s">
        <v>69</v>
      </c>
      <c r="G8190">
        <v>78.5</v>
      </c>
      <c r="H8190" s="9">
        <v>13.11</v>
      </c>
      <c r="I8190"/>
    </row>
    <row r="8191" spans="1:9" x14ac:dyDescent="0.3">
      <c r="A8191" t="s">
        <v>5</v>
      </c>
      <c r="B8191" t="s">
        <v>24</v>
      </c>
      <c r="C8191" t="s">
        <v>155</v>
      </c>
      <c r="D8191" s="9" t="s">
        <v>150</v>
      </c>
      <c r="E8191" t="s">
        <v>37</v>
      </c>
      <c r="F8191" t="s">
        <v>71</v>
      </c>
      <c r="G8191">
        <v>83</v>
      </c>
      <c r="H8191" s="9">
        <v>14.33</v>
      </c>
      <c r="I8191"/>
    </row>
    <row r="8192" spans="1:9" x14ac:dyDescent="0.3">
      <c r="A8192" t="s">
        <v>5</v>
      </c>
      <c r="B8192" t="s">
        <v>14</v>
      </c>
      <c r="C8192" t="s">
        <v>59</v>
      </c>
      <c r="D8192" s="9" t="s">
        <v>60</v>
      </c>
      <c r="E8192" t="s">
        <v>32</v>
      </c>
      <c r="F8192" t="s">
        <v>61</v>
      </c>
      <c r="G8192">
        <v>142.69999999999999</v>
      </c>
      <c r="I8192"/>
    </row>
    <row r="8193" spans="1:9" x14ac:dyDescent="0.3">
      <c r="A8193" t="s">
        <v>5</v>
      </c>
      <c r="B8193" t="s">
        <v>14</v>
      </c>
      <c r="C8193" t="s">
        <v>62</v>
      </c>
      <c r="D8193" s="9" t="s">
        <v>60</v>
      </c>
      <c r="E8193" t="s">
        <v>33</v>
      </c>
      <c r="F8193" t="s">
        <v>63</v>
      </c>
      <c r="G8193">
        <v>132.69999999999999</v>
      </c>
      <c r="I8193"/>
    </row>
    <row r="8194" spans="1:9" x14ac:dyDescent="0.3">
      <c r="A8194" t="s">
        <v>5</v>
      </c>
      <c r="B8194" t="s">
        <v>14</v>
      </c>
      <c r="C8194" t="s">
        <v>64</v>
      </c>
      <c r="D8194" s="9" t="s">
        <v>60</v>
      </c>
      <c r="E8194" t="s">
        <v>34</v>
      </c>
      <c r="F8194" t="s">
        <v>65</v>
      </c>
      <c r="G8194">
        <v>137.9</v>
      </c>
      <c r="I8194"/>
    </row>
    <row r="8195" spans="1:9" x14ac:dyDescent="0.3">
      <c r="A8195" t="s">
        <v>5</v>
      </c>
      <c r="B8195" t="s">
        <v>14</v>
      </c>
      <c r="C8195" t="s">
        <v>66</v>
      </c>
      <c r="D8195" s="9" t="s">
        <v>60</v>
      </c>
      <c r="E8195" t="s">
        <v>35</v>
      </c>
      <c r="F8195" t="s">
        <v>67</v>
      </c>
      <c r="G8195">
        <v>135.69999999999999</v>
      </c>
      <c r="I8195"/>
    </row>
    <row r="8196" spans="1:9" x14ac:dyDescent="0.3">
      <c r="A8196" t="s">
        <v>5</v>
      </c>
      <c r="B8196" t="s">
        <v>14</v>
      </c>
      <c r="C8196" t="s">
        <v>68</v>
      </c>
      <c r="D8196" s="9" t="s">
        <v>60</v>
      </c>
      <c r="E8196" t="s">
        <v>36</v>
      </c>
      <c r="F8196" t="s">
        <v>69</v>
      </c>
      <c r="G8196">
        <v>143.6</v>
      </c>
      <c r="I8196"/>
    </row>
    <row r="8197" spans="1:9" x14ac:dyDescent="0.3">
      <c r="A8197" t="s">
        <v>5</v>
      </c>
      <c r="B8197" t="s">
        <v>14</v>
      </c>
      <c r="C8197" t="s">
        <v>70</v>
      </c>
      <c r="D8197" s="9" t="s">
        <v>60</v>
      </c>
      <c r="E8197" t="s">
        <v>37</v>
      </c>
      <c r="F8197" t="s">
        <v>71</v>
      </c>
      <c r="G8197">
        <v>143.5</v>
      </c>
      <c r="I8197"/>
    </row>
    <row r="8198" spans="1:9" x14ac:dyDescent="0.3">
      <c r="A8198" t="s">
        <v>5</v>
      </c>
      <c r="B8198" t="s">
        <v>14</v>
      </c>
      <c r="C8198" t="s">
        <v>72</v>
      </c>
      <c r="D8198" s="9" t="s">
        <v>60</v>
      </c>
      <c r="E8198" t="s">
        <v>38</v>
      </c>
      <c r="F8198" t="s">
        <v>73</v>
      </c>
      <c r="G8198">
        <v>150.69999999999999</v>
      </c>
      <c r="I8198"/>
    </row>
    <row r="8199" spans="1:9" x14ac:dyDescent="0.3">
      <c r="A8199" t="s">
        <v>5</v>
      </c>
      <c r="B8199" t="s">
        <v>14</v>
      </c>
      <c r="C8199" t="s">
        <v>74</v>
      </c>
      <c r="D8199" s="9" t="s">
        <v>60</v>
      </c>
      <c r="E8199" t="s">
        <v>39</v>
      </c>
      <c r="F8199" t="s">
        <v>75</v>
      </c>
      <c r="G8199">
        <v>147.19999999999999</v>
      </c>
      <c r="I8199"/>
    </row>
    <row r="8200" spans="1:9" x14ac:dyDescent="0.3">
      <c r="A8200" t="s">
        <v>5</v>
      </c>
      <c r="B8200" t="s">
        <v>14</v>
      </c>
      <c r="C8200" t="s">
        <v>76</v>
      </c>
      <c r="D8200" s="9" t="s">
        <v>60</v>
      </c>
      <c r="E8200" t="s">
        <v>40</v>
      </c>
      <c r="F8200" t="s">
        <v>77</v>
      </c>
      <c r="G8200">
        <v>142.69999999999999</v>
      </c>
      <c r="I8200"/>
    </row>
    <row r="8201" spans="1:9" x14ac:dyDescent="0.3">
      <c r="A8201" t="s">
        <v>5</v>
      </c>
      <c r="B8201" t="s">
        <v>14</v>
      </c>
      <c r="C8201" t="s">
        <v>78</v>
      </c>
      <c r="D8201" s="9" t="s">
        <v>60</v>
      </c>
      <c r="E8201" t="s">
        <v>41</v>
      </c>
      <c r="F8201" t="s">
        <v>79</v>
      </c>
      <c r="G8201">
        <v>158.19999999999999</v>
      </c>
      <c r="I8201"/>
    </row>
    <row r="8202" spans="1:9" x14ac:dyDescent="0.3">
      <c r="A8202" t="s">
        <v>5</v>
      </c>
      <c r="B8202" t="s">
        <v>14</v>
      </c>
      <c r="C8202" t="s">
        <v>80</v>
      </c>
      <c r="D8202" s="9" t="s">
        <v>60</v>
      </c>
      <c r="E8202" t="s">
        <v>42</v>
      </c>
      <c r="F8202" t="s">
        <v>81</v>
      </c>
      <c r="G8202">
        <v>171.1</v>
      </c>
      <c r="I8202"/>
    </row>
    <row r="8203" spans="1:9" x14ac:dyDescent="0.3">
      <c r="A8203" t="s">
        <v>5</v>
      </c>
      <c r="B8203" t="s">
        <v>14</v>
      </c>
      <c r="C8203" t="s">
        <v>82</v>
      </c>
      <c r="D8203" s="9" t="s">
        <v>60</v>
      </c>
      <c r="E8203" t="s">
        <v>43</v>
      </c>
      <c r="F8203" t="s">
        <v>83</v>
      </c>
      <c r="G8203">
        <v>194.5</v>
      </c>
      <c r="I8203"/>
    </row>
    <row r="8204" spans="1:9" x14ac:dyDescent="0.3">
      <c r="A8204" t="s">
        <v>5</v>
      </c>
      <c r="B8204" t="s">
        <v>14</v>
      </c>
      <c r="C8204" t="s">
        <v>84</v>
      </c>
      <c r="D8204" s="9" t="s">
        <v>85</v>
      </c>
      <c r="E8204" t="s">
        <v>32</v>
      </c>
      <c r="F8204" t="s">
        <v>61</v>
      </c>
      <c r="G8204">
        <v>150.19999999999999</v>
      </c>
      <c r="H8204" s="9">
        <v>5.26</v>
      </c>
      <c r="I8204"/>
    </row>
    <row r="8205" spans="1:9" x14ac:dyDescent="0.3">
      <c r="A8205" t="s">
        <v>5</v>
      </c>
      <c r="B8205" t="s">
        <v>14</v>
      </c>
      <c r="C8205" t="s">
        <v>86</v>
      </c>
      <c r="D8205" s="9" t="s">
        <v>85</v>
      </c>
      <c r="E8205" t="s">
        <v>33</v>
      </c>
      <c r="F8205" t="s">
        <v>63</v>
      </c>
      <c r="G8205">
        <v>141.9</v>
      </c>
      <c r="H8205" s="9">
        <v>6.93</v>
      </c>
      <c r="I8205"/>
    </row>
    <row r="8206" spans="1:9" x14ac:dyDescent="0.3">
      <c r="A8206" t="s">
        <v>5</v>
      </c>
      <c r="B8206" t="s">
        <v>14</v>
      </c>
      <c r="C8206" t="s">
        <v>87</v>
      </c>
      <c r="D8206" s="9" t="s">
        <v>85</v>
      </c>
      <c r="E8206" t="s">
        <v>34</v>
      </c>
      <c r="F8206" t="s">
        <v>65</v>
      </c>
      <c r="G8206">
        <v>168.9</v>
      </c>
      <c r="H8206" s="9">
        <v>22.48</v>
      </c>
      <c r="I8206"/>
    </row>
    <row r="8207" spans="1:9" x14ac:dyDescent="0.3">
      <c r="A8207" t="s">
        <v>5</v>
      </c>
      <c r="B8207" t="s">
        <v>14</v>
      </c>
      <c r="C8207" t="s">
        <v>88</v>
      </c>
      <c r="D8207" s="9" t="s">
        <v>85</v>
      </c>
      <c r="E8207" t="s">
        <v>35</v>
      </c>
      <c r="F8207" t="s">
        <v>67</v>
      </c>
      <c r="G8207">
        <v>157.9</v>
      </c>
      <c r="H8207" s="9">
        <v>16.36</v>
      </c>
      <c r="I8207"/>
    </row>
    <row r="8208" spans="1:9" x14ac:dyDescent="0.3">
      <c r="A8208" t="s">
        <v>5</v>
      </c>
      <c r="B8208" t="s">
        <v>14</v>
      </c>
      <c r="C8208" t="s">
        <v>89</v>
      </c>
      <c r="D8208" s="9" t="s">
        <v>85</v>
      </c>
      <c r="E8208" t="s">
        <v>36</v>
      </c>
      <c r="F8208" t="s">
        <v>69</v>
      </c>
      <c r="G8208">
        <v>193.4</v>
      </c>
      <c r="H8208" s="9">
        <v>34.68</v>
      </c>
      <c r="I8208"/>
    </row>
    <row r="8209" spans="1:9" x14ac:dyDescent="0.3">
      <c r="A8209" t="s">
        <v>5</v>
      </c>
      <c r="B8209" t="s">
        <v>14</v>
      </c>
      <c r="C8209" t="s">
        <v>90</v>
      </c>
      <c r="D8209" s="9" t="s">
        <v>85</v>
      </c>
      <c r="E8209" t="s">
        <v>37</v>
      </c>
      <c r="F8209" t="s">
        <v>71</v>
      </c>
      <c r="G8209">
        <v>189.3</v>
      </c>
      <c r="H8209" s="9">
        <v>31.92</v>
      </c>
      <c r="I8209"/>
    </row>
    <row r="8210" spans="1:9" x14ac:dyDescent="0.3">
      <c r="A8210" t="s">
        <v>5</v>
      </c>
      <c r="B8210" t="s">
        <v>14</v>
      </c>
      <c r="C8210" t="s">
        <v>91</v>
      </c>
      <c r="D8210" s="9" t="s">
        <v>85</v>
      </c>
      <c r="E8210" t="s">
        <v>38</v>
      </c>
      <c r="F8210" t="s">
        <v>73</v>
      </c>
      <c r="G8210">
        <v>196.4</v>
      </c>
      <c r="H8210" s="9">
        <v>30.33</v>
      </c>
      <c r="I8210"/>
    </row>
    <row r="8211" spans="1:9" x14ac:dyDescent="0.3">
      <c r="A8211" t="s">
        <v>5</v>
      </c>
      <c r="B8211" t="s">
        <v>14</v>
      </c>
      <c r="C8211" t="s">
        <v>92</v>
      </c>
      <c r="D8211" s="9" t="s">
        <v>85</v>
      </c>
      <c r="E8211" t="s">
        <v>39</v>
      </c>
      <c r="F8211" t="s">
        <v>75</v>
      </c>
      <c r="G8211">
        <v>196.1</v>
      </c>
      <c r="H8211" s="9">
        <v>33.22</v>
      </c>
      <c r="I8211"/>
    </row>
    <row r="8212" spans="1:9" x14ac:dyDescent="0.3">
      <c r="A8212" t="s">
        <v>5</v>
      </c>
      <c r="B8212" t="s">
        <v>14</v>
      </c>
      <c r="C8212" t="s">
        <v>93</v>
      </c>
      <c r="D8212" s="9" t="s">
        <v>85</v>
      </c>
      <c r="E8212" t="s">
        <v>40</v>
      </c>
      <c r="F8212" t="s">
        <v>77</v>
      </c>
      <c r="G8212">
        <v>180.8</v>
      </c>
      <c r="H8212" s="9">
        <v>26.7</v>
      </c>
      <c r="I8212"/>
    </row>
    <row r="8213" spans="1:9" x14ac:dyDescent="0.3">
      <c r="A8213" t="s">
        <v>5</v>
      </c>
      <c r="B8213" t="s">
        <v>14</v>
      </c>
      <c r="C8213" t="s">
        <v>94</v>
      </c>
      <c r="D8213" s="9" t="s">
        <v>85</v>
      </c>
      <c r="E8213" t="s">
        <v>41</v>
      </c>
      <c r="F8213" t="s">
        <v>79</v>
      </c>
      <c r="G8213">
        <v>204.8</v>
      </c>
      <c r="H8213" s="9">
        <v>29.46</v>
      </c>
      <c r="I8213"/>
    </row>
    <row r="8214" spans="1:9" x14ac:dyDescent="0.3">
      <c r="A8214" t="s">
        <v>5</v>
      </c>
      <c r="B8214" t="s">
        <v>14</v>
      </c>
      <c r="C8214" t="s">
        <v>95</v>
      </c>
      <c r="D8214" s="9" t="s">
        <v>85</v>
      </c>
      <c r="E8214" t="s">
        <v>42</v>
      </c>
      <c r="F8214" t="s">
        <v>81</v>
      </c>
      <c r="G8214">
        <v>231.9</v>
      </c>
      <c r="H8214" s="9">
        <v>35.53</v>
      </c>
      <c r="I8214"/>
    </row>
    <row r="8215" spans="1:9" x14ac:dyDescent="0.3">
      <c r="A8215" t="s">
        <v>5</v>
      </c>
      <c r="B8215" t="s">
        <v>14</v>
      </c>
      <c r="C8215" t="s">
        <v>96</v>
      </c>
      <c r="D8215" s="9" t="s">
        <v>85</v>
      </c>
      <c r="E8215" t="s">
        <v>43</v>
      </c>
      <c r="F8215" t="s">
        <v>83</v>
      </c>
      <c r="G8215">
        <v>258.3</v>
      </c>
      <c r="H8215" s="9">
        <v>32.799999999999997</v>
      </c>
      <c r="I8215"/>
    </row>
    <row r="8216" spans="1:9" x14ac:dyDescent="0.3">
      <c r="A8216" t="s">
        <v>5</v>
      </c>
      <c r="B8216" t="s">
        <v>14</v>
      </c>
      <c r="C8216" t="s">
        <v>97</v>
      </c>
      <c r="D8216" s="9" t="s">
        <v>98</v>
      </c>
      <c r="E8216" t="s">
        <v>32</v>
      </c>
      <c r="F8216" t="s">
        <v>61</v>
      </c>
      <c r="G8216">
        <v>198.4</v>
      </c>
      <c r="H8216" s="9">
        <v>32.090000000000003</v>
      </c>
      <c r="I8216"/>
    </row>
    <row r="8217" spans="1:9" x14ac:dyDescent="0.3">
      <c r="A8217" t="s">
        <v>5</v>
      </c>
      <c r="B8217" t="s">
        <v>14</v>
      </c>
      <c r="C8217" t="s">
        <v>99</v>
      </c>
      <c r="D8217" s="9" t="s">
        <v>98</v>
      </c>
      <c r="E8217" t="s">
        <v>33</v>
      </c>
      <c r="F8217" t="s">
        <v>63</v>
      </c>
      <c r="G8217">
        <v>182.2</v>
      </c>
      <c r="H8217" s="9">
        <v>28.4</v>
      </c>
      <c r="I8217"/>
    </row>
    <row r="8218" spans="1:9" x14ac:dyDescent="0.3">
      <c r="A8218" t="s">
        <v>5</v>
      </c>
      <c r="B8218" t="s">
        <v>14</v>
      </c>
      <c r="C8218" t="s">
        <v>100</v>
      </c>
      <c r="D8218" s="9" t="s">
        <v>98</v>
      </c>
      <c r="E8218" t="s">
        <v>34</v>
      </c>
      <c r="F8218" t="s">
        <v>65</v>
      </c>
      <c r="G8218">
        <v>205.2</v>
      </c>
      <c r="H8218" s="9">
        <v>21.49</v>
      </c>
      <c r="I8218"/>
    </row>
    <row r="8219" spans="1:9" x14ac:dyDescent="0.3">
      <c r="A8219" t="s">
        <v>5</v>
      </c>
      <c r="B8219" t="s">
        <v>14</v>
      </c>
      <c r="C8219" t="s">
        <v>101</v>
      </c>
      <c r="D8219" s="9" t="s">
        <v>98</v>
      </c>
      <c r="E8219" t="s">
        <v>35</v>
      </c>
      <c r="F8219" t="s">
        <v>67</v>
      </c>
      <c r="G8219">
        <v>186.8</v>
      </c>
      <c r="H8219" s="9">
        <v>18.3</v>
      </c>
      <c r="I8219"/>
    </row>
    <row r="8220" spans="1:9" x14ac:dyDescent="0.3">
      <c r="A8220" t="s">
        <v>5</v>
      </c>
      <c r="B8220" t="s">
        <v>14</v>
      </c>
      <c r="C8220" t="s">
        <v>102</v>
      </c>
      <c r="D8220" s="9" t="s">
        <v>98</v>
      </c>
      <c r="E8220" t="s">
        <v>36</v>
      </c>
      <c r="F8220" t="s">
        <v>69</v>
      </c>
      <c r="G8220">
        <v>205.2</v>
      </c>
      <c r="H8220" s="9">
        <v>6.1</v>
      </c>
      <c r="I8220"/>
    </row>
    <row r="8221" spans="1:9" x14ac:dyDescent="0.3">
      <c r="A8221" t="s">
        <v>5</v>
      </c>
      <c r="B8221" t="s">
        <v>14</v>
      </c>
      <c r="C8221" t="s">
        <v>103</v>
      </c>
      <c r="D8221" s="9" t="s">
        <v>98</v>
      </c>
      <c r="E8221" t="s">
        <v>37</v>
      </c>
      <c r="F8221" t="s">
        <v>71</v>
      </c>
      <c r="G8221">
        <v>205.8</v>
      </c>
      <c r="H8221" s="9">
        <v>8.7200000000000006</v>
      </c>
      <c r="I8221"/>
    </row>
    <row r="8222" spans="1:9" x14ac:dyDescent="0.3">
      <c r="A8222" t="s">
        <v>5</v>
      </c>
      <c r="B8222" t="s">
        <v>14</v>
      </c>
      <c r="C8222" t="s">
        <v>104</v>
      </c>
      <c r="D8222" s="9" t="s">
        <v>98</v>
      </c>
      <c r="E8222" t="s">
        <v>38</v>
      </c>
      <c r="F8222" t="s">
        <v>73</v>
      </c>
      <c r="G8222">
        <v>215.1</v>
      </c>
      <c r="H8222" s="9">
        <v>9.52</v>
      </c>
      <c r="I8222"/>
    </row>
    <row r="8223" spans="1:9" x14ac:dyDescent="0.3">
      <c r="A8223" t="s">
        <v>5</v>
      </c>
      <c r="B8223" t="s">
        <v>14</v>
      </c>
      <c r="C8223" t="s">
        <v>105</v>
      </c>
      <c r="D8223" s="9" t="s">
        <v>98</v>
      </c>
      <c r="E8223" t="s">
        <v>39</v>
      </c>
      <c r="F8223" t="s">
        <v>75</v>
      </c>
      <c r="G8223">
        <v>224.5</v>
      </c>
      <c r="H8223" s="9">
        <v>14.48</v>
      </c>
      <c r="I8223"/>
    </row>
    <row r="8224" spans="1:9" x14ac:dyDescent="0.3">
      <c r="A8224" t="s">
        <v>5</v>
      </c>
      <c r="B8224" t="s">
        <v>14</v>
      </c>
      <c r="C8224" t="s">
        <v>106</v>
      </c>
      <c r="D8224" s="9" t="s">
        <v>98</v>
      </c>
      <c r="E8224" t="s">
        <v>40</v>
      </c>
      <c r="F8224" t="s">
        <v>77</v>
      </c>
      <c r="G8224">
        <v>226.3</v>
      </c>
      <c r="H8224" s="9">
        <v>25.17</v>
      </c>
      <c r="I8224"/>
    </row>
    <row r="8225" spans="1:9" x14ac:dyDescent="0.3">
      <c r="A8225" t="s">
        <v>5</v>
      </c>
      <c r="B8225" t="s">
        <v>14</v>
      </c>
      <c r="C8225" t="s">
        <v>107</v>
      </c>
      <c r="D8225" s="9" t="s">
        <v>98</v>
      </c>
      <c r="E8225" t="s">
        <v>41</v>
      </c>
      <c r="F8225" t="s">
        <v>79</v>
      </c>
      <c r="G8225">
        <v>245.3</v>
      </c>
      <c r="H8225" s="9">
        <v>19.78</v>
      </c>
      <c r="I8225"/>
    </row>
    <row r="8226" spans="1:9" x14ac:dyDescent="0.3">
      <c r="A8226" t="s">
        <v>5</v>
      </c>
      <c r="B8226" t="s">
        <v>14</v>
      </c>
      <c r="C8226" t="s">
        <v>108</v>
      </c>
      <c r="D8226" s="9" t="s">
        <v>98</v>
      </c>
      <c r="E8226" t="s">
        <v>42</v>
      </c>
      <c r="F8226" t="s">
        <v>81</v>
      </c>
      <c r="G8226">
        <v>289.89999999999998</v>
      </c>
      <c r="H8226" s="9">
        <v>25.01</v>
      </c>
      <c r="I8226"/>
    </row>
    <row r="8227" spans="1:9" x14ac:dyDescent="0.3">
      <c r="A8227" t="s">
        <v>5</v>
      </c>
      <c r="B8227" t="s">
        <v>14</v>
      </c>
      <c r="C8227" t="s">
        <v>109</v>
      </c>
      <c r="D8227" s="9" t="s">
        <v>98</v>
      </c>
      <c r="E8227" t="s">
        <v>43</v>
      </c>
      <c r="F8227" t="s">
        <v>83</v>
      </c>
      <c r="G8227">
        <v>306.7</v>
      </c>
      <c r="H8227" s="9">
        <v>18.739999999999998</v>
      </c>
      <c r="I8227"/>
    </row>
    <row r="8228" spans="1:9" x14ac:dyDescent="0.3">
      <c r="A8228" t="s">
        <v>5</v>
      </c>
      <c r="B8228" t="s">
        <v>14</v>
      </c>
      <c r="C8228" t="s">
        <v>110</v>
      </c>
      <c r="D8228" s="9" t="s">
        <v>111</v>
      </c>
      <c r="E8228" t="s">
        <v>32</v>
      </c>
      <c r="F8228" t="s">
        <v>61</v>
      </c>
      <c r="G8228">
        <v>243.2</v>
      </c>
      <c r="H8228" s="9">
        <v>22.58</v>
      </c>
      <c r="I8228"/>
    </row>
    <row r="8229" spans="1:9" x14ac:dyDescent="0.3">
      <c r="A8229" t="s">
        <v>5</v>
      </c>
      <c r="B8229" t="s">
        <v>14</v>
      </c>
      <c r="C8229" t="s">
        <v>112</v>
      </c>
      <c r="D8229" s="9" t="s">
        <v>111</v>
      </c>
      <c r="E8229" t="s">
        <v>33</v>
      </c>
      <c r="F8229" t="s">
        <v>63</v>
      </c>
      <c r="G8229">
        <v>219.2</v>
      </c>
      <c r="H8229" s="9">
        <v>20.309999999999999</v>
      </c>
      <c r="I8229"/>
    </row>
    <row r="8230" spans="1:9" x14ac:dyDescent="0.3">
      <c r="A8230" t="s">
        <v>5</v>
      </c>
      <c r="B8230" t="s">
        <v>14</v>
      </c>
      <c r="C8230" t="s">
        <v>113</v>
      </c>
      <c r="D8230" s="9" t="s">
        <v>111</v>
      </c>
      <c r="E8230" t="s">
        <v>34</v>
      </c>
      <c r="F8230" t="s">
        <v>65</v>
      </c>
      <c r="G8230">
        <v>242.1</v>
      </c>
      <c r="H8230" s="9">
        <v>17.98</v>
      </c>
      <c r="I8230"/>
    </row>
    <row r="8231" spans="1:9" x14ac:dyDescent="0.3">
      <c r="A8231" t="s">
        <v>5</v>
      </c>
      <c r="B8231" t="s">
        <v>14</v>
      </c>
      <c r="C8231" t="s">
        <v>114</v>
      </c>
      <c r="D8231" s="9" t="s">
        <v>111</v>
      </c>
      <c r="E8231" t="s">
        <v>35</v>
      </c>
      <c r="F8231" t="s">
        <v>67</v>
      </c>
      <c r="G8231">
        <v>226.7</v>
      </c>
      <c r="H8231" s="9">
        <v>21.36</v>
      </c>
      <c r="I8231"/>
    </row>
    <row r="8232" spans="1:9" x14ac:dyDescent="0.3">
      <c r="A8232" t="s">
        <v>5</v>
      </c>
      <c r="B8232" t="s">
        <v>14</v>
      </c>
      <c r="C8232" t="s">
        <v>115</v>
      </c>
      <c r="D8232" s="9" t="s">
        <v>111</v>
      </c>
      <c r="E8232" t="s">
        <v>36</v>
      </c>
      <c r="F8232" t="s">
        <v>69</v>
      </c>
      <c r="G8232">
        <v>234.1</v>
      </c>
      <c r="H8232" s="9">
        <v>14.08</v>
      </c>
      <c r="I8232"/>
    </row>
    <row r="8233" spans="1:9" x14ac:dyDescent="0.3">
      <c r="A8233" t="s">
        <v>5</v>
      </c>
      <c r="B8233" t="s">
        <v>14</v>
      </c>
      <c r="C8233" t="s">
        <v>116</v>
      </c>
      <c r="D8233" s="9" t="s">
        <v>111</v>
      </c>
      <c r="E8233" t="s">
        <v>37</v>
      </c>
      <c r="F8233" t="s">
        <v>71</v>
      </c>
      <c r="G8233">
        <v>240.6</v>
      </c>
      <c r="H8233" s="9">
        <v>16.91</v>
      </c>
      <c r="I8233"/>
    </row>
    <row r="8234" spans="1:9" x14ac:dyDescent="0.3">
      <c r="A8234" t="s">
        <v>5</v>
      </c>
      <c r="B8234" t="s">
        <v>14</v>
      </c>
      <c r="C8234" t="s">
        <v>117</v>
      </c>
      <c r="D8234" s="9" t="s">
        <v>111</v>
      </c>
      <c r="E8234" t="s">
        <v>38</v>
      </c>
      <c r="F8234" t="s">
        <v>73</v>
      </c>
      <c r="G8234">
        <v>259.8</v>
      </c>
      <c r="H8234" s="9">
        <v>20.78</v>
      </c>
      <c r="I8234"/>
    </row>
    <row r="8235" spans="1:9" x14ac:dyDescent="0.3">
      <c r="A8235" t="s">
        <v>5</v>
      </c>
      <c r="B8235" t="s">
        <v>14</v>
      </c>
      <c r="C8235" t="s">
        <v>118</v>
      </c>
      <c r="D8235" s="9" t="s">
        <v>111</v>
      </c>
      <c r="E8235" t="s">
        <v>39</v>
      </c>
      <c r="F8235" t="s">
        <v>75</v>
      </c>
      <c r="G8235">
        <v>259.5</v>
      </c>
      <c r="H8235" s="9">
        <v>15.59</v>
      </c>
      <c r="I8235"/>
    </row>
    <row r="8236" spans="1:9" x14ac:dyDescent="0.3">
      <c r="A8236" t="s">
        <v>5</v>
      </c>
      <c r="B8236" t="s">
        <v>14</v>
      </c>
      <c r="C8236" t="s">
        <v>119</v>
      </c>
      <c r="D8236" s="9" t="s">
        <v>111</v>
      </c>
      <c r="E8236" t="s">
        <v>40</v>
      </c>
      <c r="F8236" t="s">
        <v>77</v>
      </c>
      <c r="G8236">
        <v>257.10000000000002</v>
      </c>
      <c r="H8236" s="9">
        <v>13.61</v>
      </c>
      <c r="I8236"/>
    </row>
    <row r="8237" spans="1:9" x14ac:dyDescent="0.3">
      <c r="A8237" t="s">
        <v>5</v>
      </c>
      <c r="B8237" t="s">
        <v>14</v>
      </c>
      <c r="C8237" t="s">
        <v>120</v>
      </c>
      <c r="D8237" s="9" t="s">
        <v>111</v>
      </c>
      <c r="E8237" t="s">
        <v>41</v>
      </c>
      <c r="F8237" t="s">
        <v>79</v>
      </c>
      <c r="G8237">
        <v>289.7</v>
      </c>
      <c r="H8237" s="9">
        <v>18.100000000000001</v>
      </c>
      <c r="I8237"/>
    </row>
    <row r="8238" spans="1:9" x14ac:dyDescent="0.3">
      <c r="A8238" t="s">
        <v>5</v>
      </c>
      <c r="B8238" t="s">
        <v>14</v>
      </c>
      <c r="C8238" t="s">
        <v>121</v>
      </c>
      <c r="D8238" s="9" t="s">
        <v>111</v>
      </c>
      <c r="E8238" t="s">
        <v>42</v>
      </c>
      <c r="F8238" t="s">
        <v>81</v>
      </c>
      <c r="G8238">
        <v>319.2</v>
      </c>
      <c r="H8238" s="9">
        <v>10.11</v>
      </c>
      <c r="I8238"/>
    </row>
    <row r="8239" spans="1:9" x14ac:dyDescent="0.3">
      <c r="A8239" t="s">
        <v>5</v>
      </c>
      <c r="B8239" t="s">
        <v>14</v>
      </c>
      <c r="C8239" t="s">
        <v>122</v>
      </c>
      <c r="D8239" s="9" t="s">
        <v>111</v>
      </c>
      <c r="E8239" t="s">
        <v>43</v>
      </c>
      <c r="F8239" t="s">
        <v>83</v>
      </c>
      <c r="G8239">
        <v>316.7</v>
      </c>
      <c r="H8239" s="9">
        <v>3.26</v>
      </c>
      <c r="I8239"/>
    </row>
    <row r="8240" spans="1:9" x14ac:dyDescent="0.3">
      <c r="A8240" t="s">
        <v>5</v>
      </c>
      <c r="B8240" t="s">
        <v>14</v>
      </c>
      <c r="C8240" t="s">
        <v>123</v>
      </c>
      <c r="D8240" s="9" t="s">
        <v>124</v>
      </c>
      <c r="E8240" t="s">
        <v>32</v>
      </c>
      <c r="F8240" t="s">
        <v>61</v>
      </c>
      <c r="G8240">
        <v>254.8</v>
      </c>
      <c r="H8240" s="9">
        <v>4.7699999999999996</v>
      </c>
      <c r="I8240"/>
    </row>
    <row r="8241" spans="1:9" x14ac:dyDescent="0.3">
      <c r="A8241" t="s">
        <v>5</v>
      </c>
      <c r="B8241" t="s">
        <v>14</v>
      </c>
      <c r="C8241" t="s">
        <v>125</v>
      </c>
      <c r="D8241" s="9" t="s">
        <v>124</v>
      </c>
      <c r="E8241" t="s">
        <v>33</v>
      </c>
      <c r="F8241" t="s">
        <v>63</v>
      </c>
      <c r="G8241">
        <v>244.2</v>
      </c>
      <c r="H8241" s="9">
        <v>11.41</v>
      </c>
      <c r="I8241"/>
    </row>
    <row r="8242" spans="1:9" x14ac:dyDescent="0.3">
      <c r="A8242" t="s">
        <v>5</v>
      </c>
      <c r="B8242" t="s">
        <v>14</v>
      </c>
      <c r="C8242" t="s">
        <v>126</v>
      </c>
      <c r="D8242" s="9" t="s">
        <v>124</v>
      </c>
      <c r="E8242" t="s">
        <v>34</v>
      </c>
      <c r="F8242" t="s">
        <v>65</v>
      </c>
      <c r="G8242">
        <v>258.10000000000002</v>
      </c>
      <c r="H8242" s="9">
        <v>6.61</v>
      </c>
      <c r="I8242"/>
    </row>
    <row r="8243" spans="1:9" x14ac:dyDescent="0.3">
      <c r="A8243" t="s">
        <v>5</v>
      </c>
      <c r="B8243" t="s">
        <v>14</v>
      </c>
      <c r="C8243" t="s">
        <v>127</v>
      </c>
      <c r="D8243" s="9" t="s">
        <v>124</v>
      </c>
      <c r="E8243" t="s">
        <v>35</v>
      </c>
      <c r="F8243" t="s">
        <v>67</v>
      </c>
      <c r="G8243">
        <v>240.7</v>
      </c>
      <c r="H8243" s="9">
        <v>6.18</v>
      </c>
      <c r="I8243"/>
    </row>
    <row r="8244" spans="1:9" x14ac:dyDescent="0.3">
      <c r="A8244" t="s">
        <v>5</v>
      </c>
      <c r="B8244" t="s">
        <v>14</v>
      </c>
      <c r="C8244" t="s">
        <v>128</v>
      </c>
      <c r="D8244" s="9" t="s">
        <v>124</v>
      </c>
      <c r="E8244" t="s">
        <v>36</v>
      </c>
      <c r="F8244" t="s">
        <v>69</v>
      </c>
      <c r="G8244">
        <v>266.89999999999998</v>
      </c>
      <c r="H8244" s="9">
        <v>14.01</v>
      </c>
      <c r="I8244"/>
    </row>
    <row r="8245" spans="1:9" x14ac:dyDescent="0.3">
      <c r="A8245" t="s">
        <v>5</v>
      </c>
      <c r="B8245" t="s">
        <v>14</v>
      </c>
      <c r="C8245" t="s">
        <v>129</v>
      </c>
      <c r="D8245" s="9" t="s">
        <v>124</v>
      </c>
      <c r="E8245" t="s">
        <v>37</v>
      </c>
      <c r="F8245" t="s">
        <v>71</v>
      </c>
      <c r="G8245">
        <v>262</v>
      </c>
      <c r="H8245" s="9">
        <v>8.89</v>
      </c>
      <c r="I8245"/>
    </row>
    <row r="8246" spans="1:9" x14ac:dyDescent="0.3">
      <c r="A8246" t="s">
        <v>5</v>
      </c>
      <c r="B8246" t="s">
        <v>14</v>
      </c>
      <c r="C8246" t="s">
        <v>130</v>
      </c>
      <c r="D8246" s="9" t="s">
        <v>124</v>
      </c>
      <c r="E8246" t="s">
        <v>38</v>
      </c>
      <c r="F8246" t="s">
        <v>73</v>
      </c>
      <c r="G8246">
        <v>270.39999999999998</v>
      </c>
      <c r="H8246" s="9">
        <v>4.08</v>
      </c>
      <c r="I8246"/>
    </row>
    <row r="8247" spans="1:9" x14ac:dyDescent="0.3">
      <c r="A8247" t="s">
        <v>5</v>
      </c>
      <c r="B8247" t="s">
        <v>14</v>
      </c>
      <c r="C8247" t="s">
        <v>131</v>
      </c>
      <c r="D8247" s="9" t="s">
        <v>124</v>
      </c>
      <c r="E8247" t="s">
        <v>39</v>
      </c>
      <c r="F8247" t="s">
        <v>75</v>
      </c>
      <c r="G8247">
        <v>277.39999999999998</v>
      </c>
      <c r="H8247" s="9">
        <v>6.9</v>
      </c>
      <c r="I8247"/>
    </row>
    <row r="8248" spans="1:9" x14ac:dyDescent="0.3">
      <c r="A8248" t="s">
        <v>5</v>
      </c>
      <c r="B8248" t="s">
        <v>14</v>
      </c>
      <c r="C8248" t="s">
        <v>132</v>
      </c>
      <c r="D8248" s="9" t="s">
        <v>124</v>
      </c>
      <c r="E8248" t="s">
        <v>40</v>
      </c>
      <c r="F8248" t="s">
        <v>77</v>
      </c>
      <c r="G8248">
        <v>267.89999999999998</v>
      </c>
      <c r="H8248" s="9">
        <v>4.2</v>
      </c>
      <c r="I8248"/>
    </row>
    <row r="8249" spans="1:9" x14ac:dyDescent="0.3">
      <c r="A8249" t="s">
        <v>5</v>
      </c>
      <c r="B8249" t="s">
        <v>14</v>
      </c>
      <c r="C8249" t="s">
        <v>133</v>
      </c>
      <c r="D8249" s="9" t="s">
        <v>124</v>
      </c>
      <c r="E8249" t="s">
        <v>41</v>
      </c>
      <c r="F8249" t="s">
        <v>79</v>
      </c>
      <c r="G8249">
        <v>286</v>
      </c>
      <c r="H8249" s="9">
        <v>-1.28</v>
      </c>
      <c r="I8249"/>
    </row>
    <row r="8250" spans="1:9" x14ac:dyDescent="0.3">
      <c r="A8250" t="s">
        <v>5</v>
      </c>
      <c r="B8250" t="s">
        <v>14</v>
      </c>
      <c r="C8250" t="s">
        <v>134</v>
      </c>
      <c r="D8250" s="9" t="s">
        <v>124</v>
      </c>
      <c r="E8250" t="s">
        <v>42</v>
      </c>
      <c r="F8250" t="s">
        <v>81</v>
      </c>
      <c r="G8250">
        <v>317.39999999999998</v>
      </c>
      <c r="H8250" s="9">
        <v>-0.56000000000000005</v>
      </c>
      <c r="I8250"/>
    </row>
    <row r="8251" spans="1:9" x14ac:dyDescent="0.3">
      <c r="A8251" t="s">
        <v>5</v>
      </c>
      <c r="B8251" t="s">
        <v>14</v>
      </c>
      <c r="C8251" t="s">
        <v>135</v>
      </c>
      <c r="D8251" s="9" t="s">
        <v>124</v>
      </c>
      <c r="E8251" t="s">
        <v>43</v>
      </c>
      <c r="F8251" t="s">
        <v>83</v>
      </c>
      <c r="G8251">
        <v>319.3</v>
      </c>
      <c r="H8251" s="9">
        <v>0.82</v>
      </c>
      <c r="I8251"/>
    </row>
    <row r="8252" spans="1:9" x14ac:dyDescent="0.3">
      <c r="A8252" t="s">
        <v>5</v>
      </c>
      <c r="B8252" t="s">
        <v>14</v>
      </c>
      <c r="C8252" t="s">
        <v>136</v>
      </c>
      <c r="D8252" s="9" t="s">
        <v>137</v>
      </c>
      <c r="E8252" t="s">
        <v>32</v>
      </c>
      <c r="F8252" t="s">
        <v>61</v>
      </c>
      <c r="G8252">
        <v>261.39999999999998</v>
      </c>
      <c r="H8252" s="9">
        <v>2.59</v>
      </c>
      <c r="I8252"/>
    </row>
    <row r="8253" spans="1:9" x14ac:dyDescent="0.3">
      <c r="A8253" t="s">
        <v>5</v>
      </c>
      <c r="B8253" t="s">
        <v>14</v>
      </c>
      <c r="C8253" t="s">
        <v>138</v>
      </c>
      <c r="D8253" s="9" t="s">
        <v>137</v>
      </c>
      <c r="E8253" t="s">
        <v>33</v>
      </c>
      <c r="F8253" t="s">
        <v>63</v>
      </c>
      <c r="G8253">
        <v>255.2</v>
      </c>
      <c r="H8253" s="9">
        <v>4.5</v>
      </c>
      <c r="I8253"/>
    </row>
    <row r="8254" spans="1:9" x14ac:dyDescent="0.3">
      <c r="A8254" t="s">
        <v>5</v>
      </c>
      <c r="B8254" t="s">
        <v>14</v>
      </c>
      <c r="C8254" t="s">
        <v>139</v>
      </c>
      <c r="D8254" s="9" t="s">
        <v>137</v>
      </c>
      <c r="E8254" t="s">
        <v>34</v>
      </c>
      <c r="F8254" t="s">
        <v>65</v>
      </c>
      <c r="G8254">
        <v>274.3</v>
      </c>
      <c r="H8254" s="9">
        <v>6.28</v>
      </c>
      <c r="I8254"/>
    </row>
    <row r="8255" spans="1:9" x14ac:dyDescent="0.3">
      <c r="A8255" t="s">
        <v>5</v>
      </c>
      <c r="B8255" t="s">
        <v>14</v>
      </c>
      <c r="C8255" t="s">
        <v>140</v>
      </c>
      <c r="D8255" s="9" t="s">
        <v>137</v>
      </c>
      <c r="E8255" t="s">
        <v>35</v>
      </c>
      <c r="F8255" t="s">
        <v>67</v>
      </c>
      <c r="G8255">
        <v>260.3</v>
      </c>
      <c r="H8255" s="9">
        <v>8.14</v>
      </c>
      <c r="I8255"/>
    </row>
    <row r="8256" spans="1:9" x14ac:dyDescent="0.3">
      <c r="A8256" t="s">
        <v>5</v>
      </c>
      <c r="B8256" t="s">
        <v>14</v>
      </c>
      <c r="C8256" t="s">
        <v>141</v>
      </c>
      <c r="D8256" s="9" t="s">
        <v>137</v>
      </c>
      <c r="E8256" t="s">
        <v>36</v>
      </c>
      <c r="F8256" t="s">
        <v>69</v>
      </c>
      <c r="G8256">
        <v>278.7</v>
      </c>
      <c r="H8256" s="9">
        <v>4.42</v>
      </c>
      <c r="I8256"/>
    </row>
    <row r="8257" spans="1:9" x14ac:dyDescent="0.3">
      <c r="A8257" t="s">
        <v>5</v>
      </c>
      <c r="B8257" t="s">
        <v>14</v>
      </c>
      <c r="C8257" t="s">
        <v>142</v>
      </c>
      <c r="D8257" s="9" t="s">
        <v>137</v>
      </c>
      <c r="E8257" t="s">
        <v>37</v>
      </c>
      <c r="F8257" t="s">
        <v>71</v>
      </c>
      <c r="G8257">
        <v>274.89999999999998</v>
      </c>
      <c r="H8257" s="9">
        <v>4.92</v>
      </c>
      <c r="I8257"/>
    </row>
    <row r="8258" spans="1:9" x14ac:dyDescent="0.3">
      <c r="A8258" t="s">
        <v>5</v>
      </c>
      <c r="B8258" t="s">
        <v>14</v>
      </c>
      <c r="C8258" t="s">
        <v>143</v>
      </c>
      <c r="D8258" s="9" t="s">
        <v>137</v>
      </c>
      <c r="E8258" t="s">
        <v>38</v>
      </c>
      <c r="F8258" t="s">
        <v>73</v>
      </c>
      <c r="G8258">
        <v>290.3</v>
      </c>
      <c r="H8258" s="9">
        <v>7.36</v>
      </c>
      <c r="I8258"/>
    </row>
    <row r="8259" spans="1:9" x14ac:dyDescent="0.3">
      <c r="A8259" t="s">
        <v>5</v>
      </c>
      <c r="B8259" t="s">
        <v>14</v>
      </c>
      <c r="C8259" t="s">
        <v>144</v>
      </c>
      <c r="D8259" s="9" t="s">
        <v>137</v>
      </c>
      <c r="E8259" t="s">
        <v>39</v>
      </c>
      <c r="F8259" t="s">
        <v>75</v>
      </c>
      <c r="G8259">
        <v>296.3</v>
      </c>
      <c r="H8259" s="9">
        <v>6.81</v>
      </c>
      <c r="I8259"/>
    </row>
    <row r="8260" spans="1:9" x14ac:dyDescent="0.3">
      <c r="A8260" t="s">
        <v>5</v>
      </c>
      <c r="B8260" t="s">
        <v>14</v>
      </c>
      <c r="C8260" t="s">
        <v>145</v>
      </c>
      <c r="D8260" s="9" t="s">
        <v>137</v>
      </c>
      <c r="E8260" t="s">
        <v>40</v>
      </c>
      <c r="F8260" t="s">
        <v>77</v>
      </c>
      <c r="G8260">
        <v>286</v>
      </c>
      <c r="H8260" s="9">
        <v>6.76</v>
      </c>
      <c r="I8260"/>
    </row>
    <row r="8261" spans="1:9" x14ac:dyDescent="0.3">
      <c r="A8261" t="s">
        <v>5</v>
      </c>
      <c r="B8261" t="s">
        <v>14</v>
      </c>
      <c r="C8261" t="s">
        <v>146</v>
      </c>
      <c r="D8261" s="9" t="s">
        <v>137</v>
      </c>
      <c r="E8261" t="s">
        <v>41</v>
      </c>
      <c r="F8261" t="s">
        <v>79</v>
      </c>
      <c r="G8261">
        <v>320.7</v>
      </c>
      <c r="H8261" s="9">
        <v>12.13</v>
      </c>
      <c r="I8261"/>
    </row>
    <row r="8262" spans="1:9" x14ac:dyDescent="0.3">
      <c r="A8262" t="s">
        <v>5</v>
      </c>
      <c r="B8262" t="s">
        <v>14</v>
      </c>
      <c r="C8262" t="s">
        <v>147</v>
      </c>
      <c r="D8262" s="9" t="s">
        <v>137</v>
      </c>
      <c r="E8262" t="s">
        <v>42</v>
      </c>
      <c r="F8262" t="s">
        <v>81</v>
      </c>
      <c r="G8262">
        <v>348.6</v>
      </c>
      <c r="H8262" s="9">
        <v>9.83</v>
      </c>
      <c r="I8262"/>
    </row>
    <row r="8263" spans="1:9" x14ac:dyDescent="0.3">
      <c r="A8263" t="s">
        <v>5</v>
      </c>
      <c r="B8263" t="s">
        <v>14</v>
      </c>
      <c r="C8263" t="s">
        <v>148</v>
      </c>
      <c r="D8263" s="9" t="s">
        <v>137</v>
      </c>
      <c r="E8263" t="s">
        <v>43</v>
      </c>
      <c r="F8263" t="s">
        <v>83</v>
      </c>
      <c r="G8263">
        <v>352.7</v>
      </c>
      <c r="H8263" s="9">
        <v>10.46</v>
      </c>
      <c r="I8263"/>
    </row>
    <row r="8264" spans="1:9" x14ac:dyDescent="0.3">
      <c r="A8264" t="s">
        <v>5</v>
      </c>
      <c r="B8264" t="s">
        <v>14</v>
      </c>
      <c r="C8264" t="s">
        <v>149</v>
      </c>
      <c r="D8264" s="9" t="s">
        <v>150</v>
      </c>
      <c r="E8264" t="s">
        <v>32</v>
      </c>
      <c r="F8264" t="s">
        <v>61</v>
      </c>
      <c r="G8264">
        <v>288.7</v>
      </c>
      <c r="H8264" s="9">
        <v>10.44</v>
      </c>
      <c r="I8264"/>
    </row>
    <row r="8265" spans="1:9" x14ac:dyDescent="0.3">
      <c r="A8265" t="s">
        <v>5</v>
      </c>
      <c r="B8265" t="s">
        <v>14</v>
      </c>
      <c r="C8265" t="s">
        <v>151</v>
      </c>
      <c r="D8265" s="9" t="s">
        <v>150</v>
      </c>
      <c r="E8265" t="s">
        <v>33</v>
      </c>
      <c r="F8265" t="s">
        <v>63</v>
      </c>
      <c r="G8265">
        <v>260.2</v>
      </c>
      <c r="H8265" s="9">
        <v>1.96</v>
      </c>
      <c r="I8265"/>
    </row>
    <row r="8266" spans="1:9" x14ac:dyDescent="0.3">
      <c r="A8266" t="s">
        <v>5</v>
      </c>
      <c r="B8266" t="s">
        <v>14</v>
      </c>
      <c r="C8266" t="s">
        <v>152</v>
      </c>
      <c r="D8266" s="9" t="s">
        <v>150</v>
      </c>
      <c r="E8266" t="s">
        <v>34</v>
      </c>
      <c r="F8266" t="s">
        <v>65</v>
      </c>
      <c r="G8266">
        <v>277.5</v>
      </c>
      <c r="H8266" s="9">
        <v>1.17</v>
      </c>
      <c r="I8266"/>
    </row>
    <row r="8267" spans="1:9" x14ac:dyDescent="0.3">
      <c r="A8267" t="s">
        <v>5</v>
      </c>
      <c r="B8267" t="s">
        <v>14</v>
      </c>
      <c r="C8267" t="s">
        <v>153</v>
      </c>
      <c r="D8267" s="9" t="s">
        <v>150</v>
      </c>
      <c r="E8267" t="s">
        <v>35</v>
      </c>
      <c r="F8267" t="s">
        <v>67</v>
      </c>
      <c r="G8267">
        <v>272.39999999999998</v>
      </c>
      <c r="H8267" s="9">
        <v>4.6500000000000004</v>
      </c>
      <c r="I8267"/>
    </row>
    <row r="8268" spans="1:9" x14ac:dyDescent="0.3">
      <c r="A8268" t="s">
        <v>5</v>
      </c>
      <c r="B8268" t="s">
        <v>14</v>
      </c>
      <c r="C8268" t="s">
        <v>154</v>
      </c>
      <c r="D8268" s="9" t="s">
        <v>150</v>
      </c>
      <c r="E8268" t="s">
        <v>36</v>
      </c>
      <c r="F8268" t="s">
        <v>69</v>
      </c>
      <c r="G8268">
        <v>290.8</v>
      </c>
      <c r="H8268" s="9">
        <v>4.34</v>
      </c>
      <c r="I8268"/>
    </row>
    <row r="8269" spans="1:9" x14ac:dyDescent="0.3">
      <c r="A8269" t="s">
        <v>5</v>
      </c>
      <c r="B8269" t="s">
        <v>14</v>
      </c>
      <c r="C8269" t="s">
        <v>155</v>
      </c>
      <c r="D8269" s="9" t="s">
        <v>150</v>
      </c>
      <c r="E8269" t="s">
        <v>37</v>
      </c>
      <c r="F8269" t="s">
        <v>71</v>
      </c>
      <c r="G8269">
        <v>284.8</v>
      </c>
      <c r="H8269" s="9">
        <v>3.6</v>
      </c>
      <c r="I8269"/>
    </row>
    <row r="8270" spans="1:9" x14ac:dyDescent="0.3">
      <c r="A8270" t="s">
        <v>5</v>
      </c>
      <c r="B8270" t="s">
        <v>23</v>
      </c>
      <c r="C8270" t="s">
        <v>59</v>
      </c>
      <c r="D8270" s="9" t="s">
        <v>60</v>
      </c>
      <c r="E8270" t="s">
        <v>32</v>
      </c>
      <c r="F8270" t="s">
        <v>61</v>
      </c>
      <c r="G8270">
        <v>89.4</v>
      </c>
      <c r="I8270"/>
    </row>
    <row r="8271" spans="1:9" x14ac:dyDescent="0.3">
      <c r="A8271" t="s">
        <v>5</v>
      </c>
      <c r="B8271" t="s">
        <v>23</v>
      </c>
      <c r="C8271" t="s">
        <v>62</v>
      </c>
      <c r="D8271" s="9" t="s">
        <v>60</v>
      </c>
      <c r="E8271" t="s">
        <v>33</v>
      </c>
      <c r="F8271" t="s">
        <v>63</v>
      </c>
      <c r="G8271">
        <v>83.5</v>
      </c>
      <c r="I8271"/>
    </row>
    <row r="8272" spans="1:9" x14ac:dyDescent="0.3">
      <c r="A8272" t="s">
        <v>5</v>
      </c>
      <c r="B8272" t="s">
        <v>23</v>
      </c>
      <c r="C8272" t="s">
        <v>64</v>
      </c>
      <c r="D8272" s="9" t="s">
        <v>60</v>
      </c>
      <c r="E8272" t="s">
        <v>34</v>
      </c>
      <c r="F8272" t="s">
        <v>65</v>
      </c>
      <c r="G8272">
        <v>87.7</v>
      </c>
      <c r="I8272"/>
    </row>
    <row r="8273" spans="1:9" x14ac:dyDescent="0.3">
      <c r="A8273" t="s">
        <v>5</v>
      </c>
      <c r="B8273" t="s">
        <v>23</v>
      </c>
      <c r="C8273" t="s">
        <v>66</v>
      </c>
      <c r="D8273" s="9" t="s">
        <v>60</v>
      </c>
      <c r="E8273" t="s">
        <v>35</v>
      </c>
      <c r="F8273" t="s">
        <v>67</v>
      </c>
      <c r="G8273">
        <v>83.8</v>
      </c>
      <c r="I8273"/>
    </row>
    <row r="8274" spans="1:9" x14ac:dyDescent="0.3">
      <c r="A8274" t="s">
        <v>5</v>
      </c>
      <c r="B8274" t="s">
        <v>23</v>
      </c>
      <c r="C8274" t="s">
        <v>68</v>
      </c>
      <c r="D8274" s="9" t="s">
        <v>60</v>
      </c>
      <c r="E8274" t="s">
        <v>36</v>
      </c>
      <c r="F8274" t="s">
        <v>69</v>
      </c>
      <c r="G8274">
        <v>86.7</v>
      </c>
      <c r="I8274"/>
    </row>
    <row r="8275" spans="1:9" x14ac:dyDescent="0.3">
      <c r="A8275" t="s">
        <v>5</v>
      </c>
      <c r="B8275" t="s">
        <v>23</v>
      </c>
      <c r="C8275" t="s">
        <v>70</v>
      </c>
      <c r="D8275" s="9" t="s">
        <v>60</v>
      </c>
      <c r="E8275" t="s">
        <v>37</v>
      </c>
      <c r="F8275" t="s">
        <v>71</v>
      </c>
      <c r="G8275">
        <v>80.400000000000006</v>
      </c>
      <c r="I8275"/>
    </row>
    <row r="8276" spans="1:9" x14ac:dyDescent="0.3">
      <c r="A8276" t="s">
        <v>5</v>
      </c>
      <c r="B8276" t="s">
        <v>23</v>
      </c>
      <c r="C8276" t="s">
        <v>72</v>
      </c>
      <c r="D8276" s="9" t="s">
        <v>60</v>
      </c>
      <c r="E8276" t="s">
        <v>38</v>
      </c>
      <c r="F8276" t="s">
        <v>73</v>
      </c>
      <c r="G8276">
        <v>83.9</v>
      </c>
      <c r="I8276"/>
    </row>
    <row r="8277" spans="1:9" x14ac:dyDescent="0.3">
      <c r="A8277" t="s">
        <v>5</v>
      </c>
      <c r="B8277" t="s">
        <v>23</v>
      </c>
      <c r="C8277" t="s">
        <v>74</v>
      </c>
      <c r="D8277" s="9" t="s">
        <v>60</v>
      </c>
      <c r="E8277" t="s">
        <v>39</v>
      </c>
      <c r="F8277" t="s">
        <v>75</v>
      </c>
      <c r="G8277">
        <v>87.4</v>
      </c>
      <c r="I8277"/>
    </row>
    <row r="8278" spans="1:9" x14ac:dyDescent="0.3">
      <c r="A8278" t="s">
        <v>5</v>
      </c>
      <c r="B8278" t="s">
        <v>23</v>
      </c>
      <c r="C8278" t="s">
        <v>76</v>
      </c>
      <c r="D8278" s="9" t="s">
        <v>60</v>
      </c>
      <c r="E8278" t="s">
        <v>40</v>
      </c>
      <c r="F8278" t="s">
        <v>77</v>
      </c>
      <c r="G8278">
        <v>87.2</v>
      </c>
      <c r="I8278"/>
    </row>
    <row r="8279" spans="1:9" x14ac:dyDescent="0.3">
      <c r="A8279" t="s">
        <v>5</v>
      </c>
      <c r="B8279" t="s">
        <v>23</v>
      </c>
      <c r="C8279" t="s">
        <v>78</v>
      </c>
      <c r="D8279" s="9" t="s">
        <v>60</v>
      </c>
      <c r="E8279" t="s">
        <v>41</v>
      </c>
      <c r="F8279" t="s">
        <v>79</v>
      </c>
      <c r="G8279">
        <v>88.1</v>
      </c>
      <c r="I8279"/>
    </row>
    <row r="8280" spans="1:9" x14ac:dyDescent="0.3">
      <c r="A8280" t="s">
        <v>5</v>
      </c>
      <c r="B8280" t="s">
        <v>23</v>
      </c>
      <c r="C8280" t="s">
        <v>80</v>
      </c>
      <c r="D8280" s="9" t="s">
        <v>60</v>
      </c>
      <c r="E8280" t="s">
        <v>42</v>
      </c>
      <c r="F8280" t="s">
        <v>81</v>
      </c>
      <c r="G8280">
        <v>89.7</v>
      </c>
      <c r="I8280"/>
    </row>
    <row r="8281" spans="1:9" x14ac:dyDescent="0.3">
      <c r="A8281" t="s">
        <v>5</v>
      </c>
      <c r="B8281" t="s">
        <v>23</v>
      </c>
      <c r="C8281" t="s">
        <v>82</v>
      </c>
      <c r="D8281" s="9" t="s">
        <v>60</v>
      </c>
      <c r="E8281" t="s">
        <v>43</v>
      </c>
      <c r="F8281" t="s">
        <v>83</v>
      </c>
      <c r="G8281">
        <v>101.7</v>
      </c>
      <c r="I8281"/>
    </row>
    <row r="8282" spans="1:9" x14ac:dyDescent="0.3">
      <c r="A8282" t="s">
        <v>5</v>
      </c>
      <c r="B8282" t="s">
        <v>23</v>
      </c>
      <c r="C8282" t="s">
        <v>84</v>
      </c>
      <c r="D8282" s="9" t="s">
        <v>85</v>
      </c>
      <c r="E8282" t="s">
        <v>32</v>
      </c>
      <c r="F8282" t="s">
        <v>61</v>
      </c>
      <c r="G8282">
        <v>90.4</v>
      </c>
      <c r="H8282" s="9">
        <v>1.1200000000000001</v>
      </c>
      <c r="I8282"/>
    </row>
    <row r="8283" spans="1:9" x14ac:dyDescent="0.3">
      <c r="A8283" t="s">
        <v>5</v>
      </c>
      <c r="B8283" t="s">
        <v>23</v>
      </c>
      <c r="C8283" t="s">
        <v>86</v>
      </c>
      <c r="D8283" s="9" t="s">
        <v>85</v>
      </c>
      <c r="E8283" t="s">
        <v>33</v>
      </c>
      <c r="F8283" t="s">
        <v>63</v>
      </c>
      <c r="G8283">
        <v>87.1</v>
      </c>
      <c r="H8283" s="9">
        <v>4.3099999999999996</v>
      </c>
      <c r="I8283"/>
    </row>
    <row r="8284" spans="1:9" x14ac:dyDescent="0.3">
      <c r="A8284" t="s">
        <v>5</v>
      </c>
      <c r="B8284" t="s">
        <v>23</v>
      </c>
      <c r="C8284" t="s">
        <v>87</v>
      </c>
      <c r="D8284" s="9" t="s">
        <v>85</v>
      </c>
      <c r="E8284" t="s">
        <v>34</v>
      </c>
      <c r="F8284" t="s">
        <v>65</v>
      </c>
      <c r="G8284">
        <v>124.6</v>
      </c>
      <c r="H8284" s="9">
        <v>42.08</v>
      </c>
      <c r="I8284"/>
    </row>
    <row r="8285" spans="1:9" x14ac:dyDescent="0.3">
      <c r="A8285" t="s">
        <v>5</v>
      </c>
      <c r="B8285" t="s">
        <v>23</v>
      </c>
      <c r="C8285" t="s">
        <v>88</v>
      </c>
      <c r="D8285" s="9" t="s">
        <v>85</v>
      </c>
      <c r="E8285" t="s">
        <v>35</v>
      </c>
      <c r="F8285" t="s">
        <v>67</v>
      </c>
      <c r="G8285">
        <v>94.2</v>
      </c>
      <c r="H8285" s="9">
        <v>12.41</v>
      </c>
      <c r="I8285"/>
    </row>
    <row r="8286" spans="1:9" x14ac:dyDescent="0.3">
      <c r="A8286" t="s">
        <v>5</v>
      </c>
      <c r="B8286" t="s">
        <v>23</v>
      </c>
      <c r="C8286" t="s">
        <v>89</v>
      </c>
      <c r="D8286" s="9" t="s">
        <v>85</v>
      </c>
      <c r="E8286" t="s">
        <v>36</v>
      </c>
      <c r="F8286" t="s">
        <v>69</v>
      </c>
      <c r="G8286">
        <v>97.6</v>
      </c>
      <c r="H8286" s="9">
        <v>12.57</v>
      </c>
      <c r="I8286"/>
    </row>
    <row r="8287" spans="1:9" x14ac:dyDescent="0.3">
      <c r="A8287" t="s">
        <v>5</v>
      </c>
      <c r="B8287" t="s">
        <v>23</v>
      </c>
      <c r="C8287" t="s">
        <v>90</v>
      </c>
      <c r="D8287" s="9" t="s">
        <v>85</v>
      </c>
      <c r="E8287" t="s">
        <v>37</v>
      </c>
      <c r="F8287" t="s">
        <v>71</v>
      </c>
      <c r="G8287">
        <v>96.3</v>
      </c>
      <c r="H8287" s="9">
        <v>19.78</v>
      </c>
      <c r="I8287"/>
    </row>
    <row r="8288" spans="1:9" x14ac:dyDescent="0.3">
      <c r="A8288" t="s">
        <v>5</v>
      </c>
      <c r="B8288" t="s">
        <v>23</v>
      </c>
      <c r="C8288" t="s">
        <v>91</v>
      </c>
      <c r="D8288" s="9" t="s">
        <v>85</v>
      </c>
      <c r="E8288" t="s">
        <v>38</v>
      </c>
      <c r="F8288" t="s">
        <v>73</v>
      </c>
      <c r="G8288">
        <v>101.8</v>
      </c>
      <c r="H8288" s="9">
        <v>21.33</v>
      </c>
      <c r="I8288"/>
    </row>
    <row r="8289" spans="1:9" x14ac:dyDescent="0.3">
      <c r="A8289" t="s">
        <v>5</v>
      </c>
      <c r="B8289" t="s">
        <v>23</v>
      </c>
      <c r="C8289" t="s">
        <v>92</v>
      </c>
      <c r="D8289" s="9" t="s">
        <v>85</v>
      </c>
      <c r="E8289" t="s">
        <v>39</v>
      </c>
      <c r="F8289" t="s">
        <v>75</v>
      </c>
      <c r="G8289">
        <v>105.2</v>
      </c>
      <c r="H8289" s="9">
        <v>20.37</v>
      </c>
      <c r="I8289"/>
    </row>
    <row r="8290" spans="1:9" x14ac:dyDescent="0.3">
      <c r="A8290" t="s">
        <v>5</v>
      </c>
      <c r="B8290" t="s">
        <v>23</v>
      </c>
      <c r="C8290" t="s">
        <v>93</v>
      </c>
      <c r="D8290" s="9" t="s">
        <v>85</v>
      </c>
      <c r="E8290" t="s">
        <v>40</v>
      </c>
      <c r="F8290" t="s">
        <v>77</v>
      </c>
      <c r="G8290">
        <v>100.8</v>
      </c>
      <c r="H8290" s="9">
        <v>15.6</v>
      </c>
      <c r="I8290"/>
    </row>
    <row r="8291" spans="1:9" x14ac:dyDescent="0.3">
      <c r="A8291" t="s">
        <v>5</v>
      </c>
      <c r="B8291" t="s">
        <v>23</v>
      </c>
      <c r="C8291" t="s">
        <v>94</v>
      </c>
      <c r="D8291" s="9" t="s">
        <v>85</v>
      </c>
      <c r="E8291" t="s">
        <v>41</v>
      </c>
      <c r="F8291" t="s">
        <v>79</v>
      </c>
      <c r="G8291">
        <v>105.8</v>
      </c>
      <c r="H8291" s="9">
        <v>20.09</v>
      </c>
      <c r="I8291"/>
    </row>
    <row r="8292" spans="1:9" x14ac:dyDescent="0.3">
      <c r="A8292" t="s">
        <v>5</v>
      </c>
      <c r="B8292" t="s">
        <v>23</v>
      </c>
      <c r="C8292" t="s">
        <v>95</v>
      </c>
      <c r="D8292" s="9" t="s">
        <v>85</v>
      </c>
      <c r="E8292" t="s">
        <v>42</v>
      </c>
      <c r="F8292" t="s">
        <v>81</v>
      </c>
      <c r="G8292">
        <v>111.3</v>
      </c>
      <c r="H8292" s="9">
        <v>24.08</v>
      </c>
      <c r="I8292"/>
    </row>
    <row r="8293" spans="1:9" x14ac:dyDescent="0.3">
      <c r="A8293" t="s">
        <v>5</v>
      </c>
      <c r="B8293" t="s">
        <v>23</v>
      </c>
      <c r="C8293" t="s">
        <v>96</v>
      </c>
      <c r="D8293" s="9" t="s">
        <v>85</v>
      </c>
      <c r="E8293" t="s">
        <v>43</v>
      </c>
      <c r="F8293" t="s">
        <v>83</v>
      </c>
      <c r="G8293">
        <v>131.80000000000001</v>
      </c>
      <c r="H8293" s="9">
        <v>29.6</v>
      </c>
      <c r="I8293"/>
    </row>
    <row r="8294" spans="1:9" x14ac:dyDescent="0.3">
      <c r="A8294" t="s">
        <v>5</v>
      </c>
      <c r="B8294" t="s">
        <v>23</v>
      </c>
      <c r="C8294" t="s">
        <v>97</v>
      </c>
      <c r="D8294" s="9" t="s">
        <v>98</v>
      </c>
      <c r="E8294" t="s">
        <v>32</v>
      </c>
      <c r="F8294" t="s">
        <v>61</v>
      </c>
      <c r="G8294">
        <v>114.7</v>
      </c>
      <c r="H8294" s="9">
        <v>26.88</v>
      </c>
      <c r="I8294"/>
    </row>
    <row r="8295" spans="1:9" x14ac:dyDescent="0.3">
      <c r="A8295" t="s">
        <v>5</v>
      </c>
      <c r="B8295" t="s">
        <v>23</v>
      </c>
      <c r="C8295" t="s">
        <v>99</v>
      </c>
      <c r="D8295" s="9" t="s">
        <v>98</v>
      </c>
      <c r="E8295" t="s">
        <v>33</v>
      </c>
      <c r="F8295" t="s">
        <v>63</v>
      </c>
      <c r="G8295">
        <v>96.9</v>
      </c>
      <c r="H8295" s="9">
        <v>11.25</v>
      </c>
      <c r="I8295"/>
    </row>
    <row r="8296" spans="1:9" x14ac:dyDescent="0.3">
      <c r="A8296" t="s">
        <v>5</v>
      </c>
      <c r="B8296" t="s">
        <v>23</v>
      </c>
      <c r="C8296" t="s">
        <v>100</v>
      </c>
      <c r="D8296" s="9" t="s">
        <v>98</v>
      </c>
      <c r="E8296" t="s">
        <v>34</v>
      </c>
      <c r="F8296" t="s">
        <v>65</v>
      </c>
      <c r="G8296">
        <v>112.1</v>
      </c>
      <c r="H8296" s="9">
        <v>-10.029999999999999</v>
      </c>
      <c r="I8296"/>
    </row>
    <row r="8297" spans="1:9" x14ac:dyDescent="0.3">
      <c r="A8297" t="s">
        <v>5</v>
      </c>
      <c r="B8297" t="s">
        <v>23</v>
      </c>
      <c r="C8297" t="s">
        <v>101</v>
      </c>
      <c r="D8297" s="9" t="s">
        <v>98</v>
      </c>
      <c r="E8297" t="s">
        <v>35</v>
      </c>
      <c r="F8297" t="s">
        <v>67</v>
      </c>
      <c r="G8297">
        <v>102.3</v>
      </c>
      <c r="H8297" s="9">
        <v>8.6</v>
      </c>
      <c r="I8297"/>
    </row>
    <row r="8298" spans="1:9" x14ac:dyDescent="0.3">
      <c r="A8298" t="s">
        <v>5</v>
      </c>
      <c r="B8298" t="s">
        <v>23</v>
      </c>
      <c r="C8298" t="s">
        <v>102</v>
      </c>
      <c r="D8298" s="9" t="s">
        <v>98</v>
      </c>
      <c r="E8298" t="s">
        <v>36</v>
      </c>
      <c r="F8298" t="s">
        <v>69</v>
      </c>
      <c r="G8298">
        <v>103.7</v>
      </c>
      <c r="H8298" s="9">
        <v>6.25</v>
      </c>
      <c r="I8298"/>
    </row>
    <row r="8299" spans="1:9" x14ac:dyDescent="0.3">
      <c r="A8299" t="s">
        <v>5</v>
      </c>
      <c r="B8299" t="s">
        <v>23</v>
      </c>
      <c r="C8299" t="s">
        <v>103</v>
      </c>
      <c r="D8299" s="9" t="s">
        <v>98</v>
      </c>
      <c r="E8299" t="s">
        <v>37</v>
      </c>
      <c r="F8299" t="s">
        <v>71</v>
      </c>
      <c r="G8299">
        <v>99.3</v>
      </c>
      <c r="H8299" s="9">
        <v>3.12</v>
      </c>
      <c r="I8299"/>
    </row>
    <row r="8300" spans="1:9" x14ac:dyDescent="0.3">
      <c r="A8300" t="s">
        <v>5</v>
      </c>
      <c r="B8300" t="s">
        <v>23</v>
      </c>
      <c r="C8300" t="s">
        <v>104</v>
      </c>
      <c r="D8300" s="9" t="s">
        <v>98</v>
      </c>
      <c r="E8300" t="s">
        <v>38</v>
      </c>
      <c r="F8300" t="s">
        <v>73</v>
      </c>
      <c r="G8300">
        <v>103.2</v>
      </c>
      <c r="H8300" s="9">
        <v>1.38</v>
      </c>
      <c r="I8300"/>
    </row>
    <row r="8301" spans="1:9" x14ac:dyDescent="0.3">
      <c r="A8301" t="s">
        <v>5</v>
      </c>
      <c r="B8301" t="s">
        <v>23</v>
      </c>
      <c r="C8301" t="s">
        <v>105</v>
      </c>
      <c r="D8301" s="9" t="s">
        <v>98</v>
      </c>
      <c r="E8301" t="s">
        <v>39</v>
      </c>
      <c r="F8301" t="s">
        <v>75</v>
      </c>
      <c r="G8301">
        <v>101.1</v>
      </c>
      <c r="H8301" s="9">
        <v>-3.9</v>
      </c>
      <c r="I8301"/>
    </row>
    <row r="8302" spans="1:9" x14ac:dyDescent="0.3">
      <c r="A8302" t="s">
        <v>5</v>
      </c>
      <c r="B8302" t="s">
        <v>23</v>
      </c>
      <c r="C8302" t="s">
        <v>106</v>
      </c>
      <c r="D8302" s="9" t="s">
        <v>98</v>
      </c>
      <c r="E8302" t="s">
        <v>40</v>
      </c>
      <c r="F8302" t="s">
        <v>77</v>
      </c>
      <c r="G8302">
        <v>97.4</v>
      </c>
      <c r="H8302" s="9">
        <v>-3.37</v>
      </c>
      <c r="I8302"/>
    </row>
    <row r="8303" spans="1:9" x14ac:dyDescent="0.3">
      <c r="A8303" t="s">
        <v>5</v>
      </c>
      <c r="B8303" t="s">
        <v>23</v>
      </c>
      <c r="C8303" t="s">
        <v>107</v>
      </c>
      <c r="D8303" s="9" t="s">
        <v>98</v>
      </c>
      <c r="E8303" t="s">
        <v>41</v>
      </c>
      <c r="F8303" t="s">
        <v>79</v>
      </c>
      <c r="G8303">
        <v>108</v>
      </c>
      <c r="H8303" s="9">
        <v>2.08</v>
      </c>
      <c r="I8303"/>
    </row>
    <row r="8304" spans="1:9" x14ac:dyDescent="0.3">
      <c r="A8304" t="s">
        <v>5</v>
      </c>
      <c r="B8304" t="s">
        <v>23</v>
      </c>
      <c r="C8304" t="s">
        <v>108</v>
      </c>
      <c r="D8304" s="9" t="s">
        <v>98</v>
      </c>
      <c r="E8304" t="s">
        <v>42</v>
      </c>
      <c r="F8304" t="s">
        <v>81</v>
      </c>
      <c r="G8304">
        <v>113.4</v>
      </c>
      <c r="H8304" s="9">
        <v>1.89</v>
      </c>
      <c r="I8304"/>
    </row>
    <row r="8305" spans="1:9" x14ac:dyDescent="0.3">
      <c r="A8305" t="s">
        <v>5</v>
      </c>
      <c r="B8305" t="s">
        <v>23</v>
      </c>
      <c r="C8305" t="s">
        <v>109</v>
      </c>
      <c r="D8305" s="9" t="s">
        <v>98</v>
      </c>
      <c r="E8305" t="s">
        <v>43</v>
      </c>
      <c r="F8305" t="s">
        <v>83</v>
      </c>
      <c r="G8305">
        <v>134.6</v>
      </c>
      <c r="H8305" s="9">
        <v>2.12</v>
      </c>
      <c r="I8305"/>
    </row>
    <row r="8306" spans="1:9" x14ac:dyDescent="0.3">
      <c r="A8306" t="s">
        <v>5</v>
      </c>
      <c r="B8306" t="s">
        <v>23</v>
      </c>
      <c r="C8306" t="s">
        <v>110</v>
      </c>
      <c r="D8306" s="9" t="s">
        <v>111</v>
      </c>
      <c r="E8306" t="s">
        <v>32</v>
      </c>
      <c r="F8306" t="s">
        <v>61</v>
      </c>
      <c r="G8306">
        <v>120.9</v>
      </c>
      <c r="H8306" s="9">
        <v>5.41</v>
      </c>
      <c r="I8306"/>
    </row>
    <row r="8307" spans="1:9" x14ac:dyDescent="0.3">
      <c r="A8307" t="s">
        <v>5</v>
      </c>
      <c r="B8307" t="s">
        <v>23</v>
      </c>
      <c r="C8307" t="s">
        <v>112</v>
      </c>
      <c r="D8307" s="9" t="s">
        <v>111</v>
      </c>
      <c r="E8307" t="s">
        <v>33</v>
      </c>
      <c r="F8307" t="s">
        <v>63</v>
      </c>
      <c r="G8307">
        <v>111.9</v>
      </c>
      <c r="H8307" s="9">
        <v>15.48</v>
      </c>
      <c r="I8307"/>
    </row>
    <row r="8308" spans="1:9" x14ac:dyDescent="0.3">
      <c r="A8308" t="s">
        <v>5</v>
      </c>
      <c r="B8308" t="s">
        <v>23</v>
      </c>
      <c r="C8308" t="s">
        <v>113</v>
      </c>
      <c r="D8308" s="9" t="s">
        <v>111</v>
      </c>
      <c r="E8308" t="s">
        <v>34</v>
      </c>
      <c r="F8308" t="s">
        <v>65</v>
      </c>
      <c r="G8308">
        <v>118</v>
      </c>
      <c r="H8308" s="9">
        <v>5.26</v>
      </c>
      <c r="I8308"/>
    </row>
    <row r="8309" spans="1:9" x14ac:dyDescent="0.3">
      <c r="A8309" t="s">
        <v>5</v>
      </c>
      <c r="B8309" t="s">
        <v>23</v>
      </c>
      <c r="C8309" t="s">
        <v>114</v>
      </c>
      <c r="D8309" s="9" t="s">
        <v>111</v>
      </c>
      <c r="E8309" t="s">
        <v>35</v>
      </c>
      <c r="F8309" t="s">
        <v>67</v>
      </c>
      <c r="G8309">
        <v>115.6</v>
      </c>
      <c r="H8309" s="9">
        <v>13</v>
      </c>
      <c r="I8309"/>
    </row>
    <row r="8310" spans="1:9" x14ac:dyDescent="0.3">
      <c r="A8310" t="s">
        <v>5</v>
      </c>
      <c r="B8310" t="s">
        <v>23</v>
      </c>
      <c r="C8310" t="s">
        <v>115</v>
      </c>
      <c r="D8310" s="9" t="s">
        <v>111</v>
      </c>
      <c r="E8310" t="s">
        <v>36</v>
      </c>
      <c r="F8310" t="s">
        <v>69</v>
      </c>
      <c r="G8310">
        <v>115.9</v>
      </c>
      <c r="H8310" s="9">
        <v>11.76</v>
      </c>
      <c r="I8310"/>
    </row>
    <row r="8311" spans="1:9" x14ac:dyDescent="0.3">
      <c r="A8311" t="s">
        <v>5</v>
      </c>
      <c r="B8311" t="s">
        <v>23</v>
      </c>
      <c r="C8311" t="s">
        <v>116</v>
      </c>
      <c r="D8311" s="9" t="s">
        <v>111</v>
      </c>
      <c r="E8311" t="s">
        <v>37</v>
      </c>
      <c r="F8311" t="s">
        <v>71</v>
      </c>
      <c r="G8311">
        <v>118</v>
      </c>
      <c r="H8311" s="9">
        <v>18.829999999999998</v>
      </c>
      <c r="I8311"/>
    </row>
    <row r="8312" spans="1:9" x14ac:dyDescent="0.3">
      <c r="A8312" t="s">
        <v>5</v>
      </c>
      <c r="B8312" t="s">
        <v>23</v>
      </c>
      <c r="C8312" t="s">
        <v>117</v>
      </c>
      <c r="D8312" s="9" t="s">
        <v>111</v>
      </c>
      <c r="E8312" t="s">
        <v>38</v>
      </c>
      <c r="F8312" t="s">
        <v>73</v>
      </c>
      <c r="G8312">
        <v>120.5</v>
      </c>
      <c r="H8312" s="9">
        <v>16.760000000000002</v>
      </c>
      <c r="I8312"/>
    </row>
    <row r="8313" spans="1:9" x14ac:dyDescent="0.3">
      <c r="A8313" t="s">
        <v>5</v>
      </c>
      <c r="B8313" t="s">
        <v>23</v>
      </c>
      <c r="C8313" t="s">
        <v>118</v>
      </c>
      <c r="D8313" s="9" t="s">
        <v>111</v>
      </c>
      <c r="E8313" t="s">
        <v>39</v>
      </c>
      <c r="F8313" t="s">
        <v>75</v>
      </c>
      <c r="G8313">
        <v>123.7</v>
      </c>
      <c r="H8313" s="9">
        <v>22.35</v>
      </c>
      <c r="I8313"/>
    </row>
    <row r="8314" spans="1:9" x14ac:dyDescent="0.3">
      <c r="A8314" t="s">
        <v>5</v>
      </c>
      <c r="B8314" t="s">
        <v>23</v>
      </c>
      <c r="C8314" t="s">
        <v>119</v>
      </c>
      <c r="D8314" s="9" t="s">
        <v>111</v>
      </c>
      <c r="E8314" t="s">
        <v>40</v>
      </c>
      <c r="F8314" t="s">
        <v>77</v>
      </c>
      <c r="G8314">
        <v>126.6</v>
      </c>
      <c r="H8314" s="9">
        <v>29.98</v>
      </c>
      <c r="I8314"/>
    </row>
    <row r="8315" spans="1:9" x14ac:dyDescent="0.3">
      <c r="A8315" t="s">
        <v>5</v>
      </c>
      <c r="B8315" t="s">
        <v>23</v>
      </c>
      <c r="C8315" t="s">
        <v>120</v>
      </c>
      <c r="D8315" s="9" t="s">
        <v>111</v>
      </c>
      <c r="E8315" t="s">
        <v>41</v>
      </c>
      <c r="F8315" t="s">
        <v>79</v>
      </c>
      <c r="G8315">
        <v>123.8</v>
      </c>
      <c r="H8315" s="9">
        <v>14.63</v>
      </c>
      <c r="I8315"/>
    </row>
    <row r="8316" spans="1:9" x14ac:dyDescent="0.3">
      <c r="A8316" t="s">
        <v>5</v>
      </c>
      <c r="B8316" t="s">
        <v>23</v>
      </c>
      <c r="C8316" t="s">
        <v>121</v>
      </c>
      <c r="D8316" s="9" t="s">
        <v>111</v>
      </c>
      <c r="E8316" t="s">
        <v>42</v>
      </c>
      <c r="F8316" t="s">
        <v>81</v>
      </c>
      <c r="G8316">
        <v>127.9</v>
      </c>
      <c r="H8316" s="9">
        <v>12.79</v>
      </c>
      <c r="I8316"/>
    </row>
    <row r="8317" spans="1:9" x14ac:dyDescent="0.3">
      <c r="A8317" t="s">
        <v>5</v>
      </c>
      <c r="B8317" t="s">
        <v>23</v>
      </c>
      <c r="C8317" t="s">
        <v>122</v>
      </c>
      <c r="D8317" s="9" t="s">
        <v>111</v>
      </c>
      <c r="E8317" t="s">
        <v>43</v>
      </c>
      <c r="F8317" t="s">
        <v>83</v>
      </c>
      <c r="G8317">
        <v>144.19999999999999</v>
      </c>
      <c r="H8317" s="9">
        <v>7.13</v>
      </c>
      <c r="I8317"/>
    </row>
    <row r="8318" spans="1:9" x14ac:dyDescent="0.3">
      <c r="A8318" t="s">
        <v>5</v>
      </c>
      <c r="B8318" t="s">
        <v>23</v>
      </c>
      <c r="C8318" t="s">
        <v>123</v>
      </c>
      <c r="D8318" s="9" t="s">
        <v>124</v>
      </c>
      <c r="E8318" t="s">
        <v>32</v>
      </c>
      <c r="F8318" t="s">
        <v>61</v>
      </c>
      <c r="G8318">
        <v>128.1</v>
      </c>
      <c r="H8318" s="9">
        <v>5.96</v>
      </c>
      <c r="I8318"/>
    </row>
    <row r="8319" spans="1:9" x14ac:dyDescent="0.3">
      <c r="A8319" t="s">
        <v>5</v>
      </c>
      <c r="B8319" t="s">
        <v>23</v>
      </c>
      <c r="C8319" t="s">
        <v>125</v>
      </c>
      <c r="D8319" s="9" t="s">
        <v>124</v>
      </c>
      <c r="E8319" t="s">
        <v>33</v>
      </c>
      <c r="F8319" t="s">
        <v>63</v>
      </c>
      <c r="G8319">
        <v>116.3</v>
      </c>
      <c r="H8319" s="9">
        <v>3.93</v>
      </c>
      <c r="I8319"/>
    </row>
    <row r="8320" spans="1:9" x14ac:dyDescent="0.3">
      <c r="A8320" t="s">
        <v>5</v>
      </c>
      <c r="B8320" t="s">
        <v>23</v>
      </c>
      <c r="C8320" t="s">
        <v>126</v>
      </c>
      <c r="D8320" s="9" t="s">
        <v>124</v>
      </c>
      <c r="E8320" t="s">
        <v>34</v>
      </c>
      <c r="F8320" t="s">
        <v>65</v>
      </c>
      <c r="G8320">
        <v>128.6</v>
      </c>
      <c r="H8320" s="9">
        <v>8.98</v>
      </c>
      <c r="I8320"/>
    </row>
    <row r="8321" spans="1:9" x14ac:dyDescent="0.3">
      <c r="A8321" t="s">
        <v>5</v>
      </c>
      <c r="B8321" t="s">
        <v>23</v>
      </c>
      <c r="C8321" t="s">
        <v>127</v>
      </c>
      <c r="D8321" s="9" t="s">
        <v>124</v>
      </c>
      <c r="E8321" t="s">
        <v>35</v>
      </c>
      <c r="F8321" t="s">
        <v>67</v>
      </c>
      <c r="G8321">
        <v>127.7</v>
      </c>
      <c r="H8321" s="9">
        <v>10.47</v>
      </c>
      <c r="I8321"/>
    </row>
    <row r="8322" spans="1:9" x14ac:dyDescent="0.3">
      <c r="A8322" t="s">
        <v>5</v>
      </c>
      <c r="B8322" t="s">
        <v>23</v>
      </c>
      <c r="C8322" t="s">
        <v>128</v>
      </c>
      <c r="D8322" s="9" t="s">
        <v>124</v>
      </c>
      <c r="E8322" t="s">
        <v>36</v>
      </c>
      <c r="F8322" t="s">
        <v>69</v>
      </c>
      <c r="G8322">
        <v>128.9</v>
      </c>
      <c r="H8322" s="9">
        <v>11.22</v>
      </c>
      <c r="I8322"/>
    </row>
    <row r="8323" spans="1:9" x14ac:dyDescent="0.3">
      <c r="A8323" t="s">
        <v>5</v>
      </c>
      <c r="B8323" t="s">
        <v>23</v>
      </c>
      <c r="C8323" t="s">
        <v>129</v>
      </c>
      <c r="D8323" s="9" t="s">
        <v>124</v>
      </c>
      <c r="E8323" t="s">
        <v>37</v>
      </c>
      <c r="F8323" t="s">
        <v>71</v>
      </c>
      <c r="G8323">
        <v>122.7</v>
      </c>
      <c r="H8323" s="9">
        <v>3.98</v>
      </c>
      <c r="I8323"/>
    </row>
    <row r="8324" spans="1:9" x14ac:dyDescent="0.3">
      <c r="A8324" t="s">
        <v>5</v>
      </c>
      <c r="B8324" t="s">
        <v>23</v>
      </c>
      <c r="C8324" t="s">
        <v>130</v>
      </c>
      <c r="D8324" s="9" t="s">
        <v>124</v>
      </c>
      <c r="E8324" t="s">
        <v>38</v>
      </c>
      <c r="F8324" t="s">
        <v>73</v>
      </c>
      <c r="G8324">
        <v>131.6</v>
      </c>
      <c r="H8324" s="9">
        <v>9.2100000000000009</v>
      </c>
      <c r="I8324"/>
    </row>
    <row r="8325" spans="1:9" x14ac:dyDescent="0.3">
      <c r="A8325" t="s">
        <v>5</v>
      </c>
      <c r="B8325" t="s">
        <v>23</v>
      </c>
      <c r="C8325" t="s">
        <v>131</v>
      </c>
      <c r="D8325" s="9" t="s">
        <v>124</v>
      </c>
      <c r="E8325" t="s">
        <v>39</v>
      </c>
      <c r="F8325" t="s">
        <v>75</v>
      </c>
      <c r="G8325">
        <v>131.30000000000001</v>
      </c>
      <c r="H8325" s="9">
        <v>6.14</v>
      </c>
      <c r="I8325"/>
    </row>
    <row r="8326" spans="1:9" x14ac:dyDescent="0.3">
      <c r="A8326" t="s">
        <v>5</v>
      </c>
      <c r="B8326" t="s">
        <v>23</v>
      </c>
      <c r="C8326" t="s">
        <v>132</v>
      </c>
      <c r="D8326" s="9" t="s">
        <v>124</v>
      </c>
      <c r="E8326" t="s">
        <v>40</v>
      </c>
      <c r="F8326" t="s">
        <v>77</v>
      </c>
      <c r="G8326">
        <v>129.9</v>
      </c>
      <c r="H8326" s="9">
        <v>2.61</v>
      </c>
      <c r="I8326"/>
    </row>
    <row r="8327" spans="1:9" x14ac:dyDescent="0.3">
      <c r="A8327" t="s">
        <v>5</v>
      </c>
      <c r="B8327" t="s">
        <v>23</v>
      </c>
      <c r="C8327" t="s">
        <v>133</v>
      </c>
      <c r="D8327" s="9" t="s">
        <v>124</v>
      </c>
      <c r="E8327" t="s">
        <v>41</v>
      </c>
      <c r="F8327" t="s">
        <v>79</v>
      </c>
      <c r="G8327">
        <v>138.1</v>
      </c>
      <c r="H8327" s="9">
        <v>11.55</v>
      </c>
      <c r="I8327"/>
    </row>
    <row r="8328" spans="1:9" x14ac:dyDescent="0.3">
      <c r="A8328" t="s">
        <v>5</v>
      </c>
      <c r="B8328" t="s">
        <v>23</v>
      </c>
      <c r="C8328" t="s">
        <v>134</v>
      </c>
      <c r="D8328" s="9" t="s">
        <v>124</v>
      </c>
      <c r="E8328" t="s">
        <v>42</v>
      </c>
      <c r="F8328" t="s">
        <v>81</v>
      </c>
      <c r="G8328">
        <v>139.80000000000001</v>
      </c>
      <c r="H8328" s="9">
        <v>9.3000000000000007</v>
      </c>
      <c r="I8328"/>
    </row>
    <row r="8329" spans="1:9" x14ac:dyDescent="0.3">
      <c r="A8329" t="s">
        <v>5</v>
      </c>
      <c r="B8329" t="s">
        <v>23</v>
      </c>
      <c r="C8329" t="s">
        <v>135</v>
      </c>
      <c r="D8329" s="9" t="s">
        <v>124</v>
      </c>
      <c r="E8329" t="s">
        <v>43</v>
      </c>
      <c r="F8329" t="s">
        <v>83</v>
      </c>
      <c r="G8329">
        <v>158.69999999999999</v>
      </c>
      <c r="H8329" s="9">
        <v>10.06</v>
      </c>
      <c r="I8329"/>
    </row>
    <row r="8330" spans="1:9" x14ac:dyDescent="0.3">
      <c r="A8330" t="s">
        <v>5</v>
      </c>
      <c r="B8330" t="s">
        <v>23</v>
      </c>
      <c r="C8330" t="s">
        <v>136</v>
      </c>
      <c r="D8330" s="9" t="s">
        <v>137</v>
      </c>
      <c r="E8330" t="s">
        <v>32</v>
      </c>
      <c r="F8330" t="s">
        <v>61</v>
      </c>
      <c r="G8330">
        <v>138.30000000000001</v>
      </c>
      <c r="H8330" s="9">
        <v>7.96</v>
      </c>
      <c r="I8330"/>
    </row>
    <row r="8331" spans="1:9" x14ac:dyDescent="0.3">
      <c r="A8331" t="s">
        <v>5</v>
      </c>
      <c r="B8331" t="s">
        <v>23</v>
      </c>
      <c r="C8331" t="s">
        <v>138</v>
      </c>
      <c r="D8331" s="9" t="s">
        <v>137</v>
      </c>
      <c r="E8331" t="s">
        <v>33</v>
      </c>
      <c r="F8331" t="s">
        <v>63</v>
      </c>
      <c r="G8331">
        <v>129.30000000000001</v>
      </c>
      <c r="H8331" s="9">
        <v>11.18</v>
      </c>
      <c r="I8331"/>
    </row>
    <row r="8332" spans="1:9" x14ac:dyDescent="0.3">
      <c r="A8332" t="s">
        <v>5</v>
      </c>
      <c r="B8332" t="s">
        <v>23</v>
      </c>
      <c r="C8332" t="s">
        <v>139</v>
      </c>
      <c r="D8332" s="9" t="s">
        <v>137</v>
      </c>
      <c r="E8332" t="s">
        <v>34</v>
      </c>
      <c r="F8332" t="s">
        <v>65</v>
      </c>
      <c r="G8332">
        <v>145.19999999999999</v>
      </c>
      <c r="H8332" s="9">
        <v>12.91</v>
      </c>
      <c r="I8332"/>
    </row>
    <row r="8333" spans="1:9" x14ac:dyDescent="0.3">
      <c r="A8333" t="s">
        <v>5</v>
      </c>
      <c r="B8333" t="s">
        <v>23</v>
      </c>
      <c r="C8333" t="s">
        <v>140</v>
      </c>
      <c r="D8333" s="9" t="s">
        <v>137</v>
      </c>
      <c r="E8333" t="s">
        <v>35</v>
      </c>
      <c r="F8333" t="s">
        <v>67</v>
      </c>
      <c r="G8333">
        <v>139.19999999999999</v>
      </c>
      <c r="H8333" s="9">
        <v>9.01</v>
      </c>
      <c r="I8333"/>
    </row>
    <row r="8334" spans="1:9" x14ac:dyDescent="0.3">
      <c r="A8334" t="s">
        <v>5</v>
      </c>
      <c r="B8334" t="s">
        <v>23</v>
      </c>
      <c r="C8334" t="s">
        <v>141</v>
      </c>
      <c r="D8334" s="9" t="s">
        <v>137</v>
      </c>
      <c r="E8334" t="s">
        <v>36</v>
      </c>
      <c r="F8334" t="s">
        <v>69</v>
      </c>
      <c r="G8334">
        <v>138.9</v>
      </c>
      <c r="H8334" s="9">
        <v>7.76</v>
      </c>
      <c r="I8334"/>
    </row>
    <row r="8335" spans="1:9" x14ac:dyDescent="0.3">
      <c r="A8335" t="s">
        <v>5</v>
      </c>
      <c r="B8335" t="s">
        <v>23</v>
      </c>
      <c r="C8335" t="s">
        <v>142</v>
      </c>
      <c r="D8335" s="9" t="s">
        <v>137</v>
      </c>
      <c r="E8335" t="s">
        <v>37</v>
      </c>
      <c r="F8335" t="s">
        <v>71</v>
      </c>
      <c r="G8335">
        <v>136.69999999999999</v>
      </c>
      <c r="H8335" s="9">
        <v>11.41</v>
      </c>
      <c r="I8335"/>
    </row>
    <row r="8336" spans="1:9" x14ac:dyDescent="0.3">
      <c r="A8336" t="s">
        <v>5</v>
      </c>
      <c r="B8336" t="s">
        <v>23</v>
      </c>
      <c r="C8336" t="s">
        <v>143</v>
      </c>
      <c r="D8336" s="9" t="s">
        <v>137</v>
      </c>
      <c r="E8336" t="s">
        <v>38</v>
      </c>
      <c r="F8336" t="s">
        <v>73</v>
      </c>
      <c r="G8336">
        <v>144.69999999999999</v>
      </c>
      <c r="H8336" s="9">
        <v>9.9499999999999993</v>
      </c>
      <c r="I8336"/>
    </row>
    <row r="8337" spans="1:9" x14ac:dyDescent="0.3">
      <c r="A8337" t="s">
        <v>5</v>
      </c>
      <c r="B8337" t="s">
        <v>23</v>
      </c>
      <c r="C8337" t="s">
        <v>144</v>
      </c>
      <c r="D8337" s="9" t="s">
        <v>137</v>
      </c>
      <c r="E8337" t="s">
        <v>39</v>
      </c>
      <c r="F8337" t="s">
        <v>75</v>
      </c>
      <c r="G8337">
        <v>145.69999999999999</v>
      </c>
      <c r="H8337" s="9">
        <v>10.97</v>
      </c>
      <c r="I8337"/>
    </row>
    <row r="8338" spans="1:9" x14ac:dyDescent="0.3">
      <c r="A8338" t="s">
        <v>5</v>
      </c>
      <c r="B8338" t="s">
        <v>23</v>
      </c>
      <c r="C8338" t="s">
        <v>145</v>
      </c>
      <c r="D8338" s="9" t="s">
        <v>137</v>
      </c>
      <c r="E8338" t="s">
        <v>40</v>
      </c>
      <c r="F8338" t="s">
        <v>77</v>
      </c>
      <c r="G8338">
        <v>139.9</v>
      </c>
      <c r="H8338" s="9">
        <v>7.7</v>
      </c>
      <c r="I8338"/>
    </row>
    <row r="8339" spans="1:9" x14ac:dyDescent="0.3">
      <c r="A8339" t="s">
        <v>5</v>
      </c>
      <c r="B8339" t="s">
        <v>23</v>
      </c>
      <c r="C8339" t="s">
        <v>146</v>
      </c>
      <c r="D8339" s="9" t="s">
        <v>137</v>
      </c>
      <c r="E8339" t="s">
        <v>41</v>
      </c>
      <c r="F8339" t="s">
        <v>79</v>
      </c>
      <c r="G8339">
        <v>147.69999999999999</v>
      </c>
      <c r="H8339" s="9">
        <v>6.95</v>
      </c>
      <c r="I8339"/>
    </row>
    <row r="8340" spans="1:9" x14ac:dyDescent="0.3">
      <c r="A8340" t="s">
        <v>5</v>
      </c>
      <c r="B8340" t="s">
        <v>23</v>
      </c>
      <c r="C8340" t="s">
        <v>147</v>
      </c>
      <c r="D8340" s="9" t="s">
        <v>137</v>
      </c>
      <c r="E8340" t="s">
        <v>42</v>
      </c>
      <c r="F8340" t="s">
        <v>81</v>
      </c>
      <c r="G8340">
        <v>148.9</v>
      </c>
      <c r="H8340" s="9">
        <v>6.51</v>
      </c>
      <c r="I8340"/>
    </row>
    <row r="8341" spans="1:9" x14ac:dyDescent="0.3">
      <c r="A8341" t="s">
        <v>5</v>
      </c>
      <c r="B8341" t="s">
        <v>23</v>
      </c>
      <c r="C8341" t="s">
        <v>148</v>
      </c>
      <c r="D8341" s="9" t="s">
        <v>137</v>
      </c>
      <c r="E8341" t="s">
        <v>43</v>
      </c>
      <c r="F8341" t="s">
        <v>83</v>
      </c>
      <c r="G8341">
        <v>172.3</v>
      </c>
      <c r="H8341" s="9">
        <v>8.57</v>
      </c>
      <c r="I8341"/>
    </row>
    <row r="8342" spans="1:9" x14ac:dyDescent="0.3">
      <c r="A8342" t="s">
        <v>5</v>
      </c>
      <c r="B8342" t="s">
        <v>23</v>
      </c>
      <c r="C8342" t="s">
        <v>149</v>
      </c>
      <c r="D8342" s="9" t="s">
        <v>150</v>
      </c>
      <c r="E8342" t="s">
        <v>32</v>
      </c>
      <c r="F8342" t="s">
        <v>61</v>
      </c>
      <c r="G8342">
        <v>157.9</v>
      </c>
      <c r="H8342" s="9">
        <v>14.17</v>
      </c>
      <c r="I8342"/>
    </row>
    <row r="8343" spans="1:9" x14ac:dyDescent="0.3">
      <c r="A8343" t="s">
        <v>5</v>
      </c>
      <c r="B8343" t="s">
        <v>23</v>
      </c>
      <c r="C8343" t="s">
        <v>151</v>
      </c>
      <c r="D8343" s="9" t="s">
        <v>150</v>
      </c>
      <c r="E8343" t="s">
        <v>33</v>
      </c>
      <c r="F8343" t="s">
        <v>63</v>
      </c>
      <c r="G8343">
        <v>144.5</v>
      </c>
      <c r="H8343" s="9">
        <v>11.76</v>
      </c>
      <c r="I8343"/>
    </row>
    <row r="8344" spans="1:9" x14ac:dyDescent="0.3">
      <c r="A8344" t="s">
        <v>5</v>
      </c>
      <c r="B8344" t="s">
        <v>23</v>
      </c>
      <c r="C8344" t="s">
        <v>152</v>
      </c>
      <c r="D8344" s="9" t="s">
        <v>150</v>
      </c>
      <c r="E8344" t="s">
        <v>34</v>
      </c>
      <c r="F8344" t="s">
        <v>65</v>
      </c>
      <c r="G8344">
        <v>157.6</v>
      </c>
      <c r="H8344" s="9">
        <v>8.5399999999999991</v>
      </c>
      <c r="I8344"/>
    </row>
    <row r="8345" spans="1:9" x14ac:dyDescent="0.3">
      <c r="A8345" t="s">
        <v>5</v>
      </c>
      <c r="B8345" t="s">
        <v>23</v>
      </c>
      <c r="C8345" t="s">
        <v>153</v>
      </c>
      <c r="D8345" s="9" t="s">
        <v>150</v>
      </c>
      <c r="E8345" t="s">
        <v>35</v>
      </c>
      <c r="F8345" t="s">
        <v>67</v>
      </c>
      <c r="G8345">
        <v>152.69999999999999</v>
      </c>
      <c r="H8345" s="9">
        <v>9.6999999999999993</v>
      </c>
      <c r="I8345"/>
    </row>
    <row r="8346" spans="1:9" x14ac:dyDescent="0.3">
      <c r="A8346" t="s">
        <v>5</v>
      </c>
      <c r="B8346" t="s">
        <v>23</v>
      </c>
      <c r="C8346" t="s">
        <v>154</v>
      </c>
      <c r="D8346" s="9" t="s">
        <v>150</v>
      </c>
      <c r="E8346" t="s">
        <v>36</v>
      </c>
      <c r="F8346" t="s">
        <v>69</v>
      </c>
      <c r="G8346">
        <v>154.6</v>
      </c>
      <c r="H8346" s="9">
        <v>11.3</v>
      </c>
      <c r="I8346"/>
    </row>
    <row r="8347" spans="1:9" x14ac:dyDescent="0.3">
      <c r="A8347" t="s">
        <v>5</v>
      </c>
      <c r="B8347" t="s">
        <v>23</v>
      </c>
      <c r="C8347" t="s">
        <v>155</v>
      </c>
      <c r="D8347" s="9" t="s">
        <v>150</v>
      </c>
      <c r="E8347" t="s">
        <v>37</v>
      </c>
      <c r="F8347" t="s">
        <v>71</v>
      </c>
      <c r="G8347">
        <v>149.19999999999999</v>
      </c>
      <c r="H8347" s="9">
        <v>9.14</v>
      </c>
      <c r="I8347"/>
    </row>
    <row r="8348" spans="1:9" x14ac:dyDescent="0.3">
      <c r="A8348" t="s">
        <v>5</v>
      </c>
      <c r="B8348" t="s">
        <v>17</v>
      </c>
      <c r="C8348" t="s">
        <v>59</v>
      </c>
      <c r="D8348" s="9" t="s">
        <v>60</v>
      </c>
      <c r="E8348" t="s">
        <v>32</v>
      </c>
      <c r="F8348" t="s">
        <v>61</v>
      </c>
      <c r="G8348">
        <v>144.4</v>
      </c>
      <c r="I8348"/>
    </row>
    <row r="8349" spans="1:9" x14ac:dyDescent="0.3">
      <c r="A8349" t="s">
        <v>5</v>
      </c>
      <c r="B8349" t="s">
        <v>17</v>
      </c>
      <c r="C8349" t="s">
        <v>62</v>
      </c>
      <c r="D8349" s="9" t="s">
        <v>60</v>
      </c>
      <c r="E8349" t="s">
        <v>33</v>
      </c>
      <c r="F8349" t="s">
        <v>63</v>
      </c>
      <c r="G8349">
        <v>137.4</v>
      </c>
      <c r="I8349"/>
    </row>
    <row r="8350" spans="1:9" x14ac:dyDescent="0.3">
      <c r="A8350" t="s">
        <v>5</v>
      </c>
      <c r="B8350" t="s">
        <v>17</v>
      </c>
      <c r="C8350" t="s">
        <v>64</v>
      </c>
      <c r="D8350" s="9" t="s">
        <v>60</v>
      </c>
      <c r="E8350" t="s">
        <v>34</v>
      </c>
      <c r="F8350" t="s">
        <v>65</v>
      </c>
      <c r="G8350">
        <v>146.19999999999999</v>
      </c>
      <c r="I8350"/>
    </row>
    <row r="8351" spans="1:9" x14ac:dyDescent="0.3">
      <c r="A8351" t="s">
        <v>5</v>
      </c>
      <c r="B8351" t="s">
        <v>17</v>
      </c>
      <c r="C8351" t="s">
        <v>66</v>
      </c>
      <c r="D8351" s="9" t="s">
        <v>60</v>
      </c>
      <c r="E8351" t="s">
        <v>35</v>
      </c>
      <c r="F8351" t="s">
        <v>67</v>
      </c>
      <c r="G8351">
        <v>145.19999999999999</v>
      </c>
      <c r="I8351"/>
    </row>
    <row r="8352" spans="1:9" x14ac:dyDescent="0.3">
      <c r="A8352" t="s">
        <v>5</v>
      </c>
      <c r="B8352" t="s">
        <v>17</v>
      </c>
      <c r="C8352" t="s">
        <v>68</v>
      </c>
      <c r="D8352" s="9" t="s">
        <v>60</v>
      </c>
      <c r="E8352" t="s">
        <v>36</v>
      </c>
      <c r="F8352" t="s">
        <v>69</v>
      </c>
      <c r="G8352">
        <v>158.4</v>
      </c>
      <c r="I8352"/>
    </row>
    <row r="8353" spans="1:9" x14ac:dyDescent="0.3">
      <c r="A8353" t="s">
        <v>5</v>
      </c>
      <c r="B8353" t="s">
        <v>17</v>
      </c>
      <c r="C8353" t="s">
        <v>70</v>
      </c>
      <c r="D8353" s="9" t="s">
        <v>60</v>
      </c>
      <c r="E8353" t="s">
        <v>37</v>
      </c>
      <c r="F8353" t="s">
        <v>71</v>
      </c>
      <c r="G8353">
        <v>150</v>
      </c>
      <c r="I8353"/>
    </row>
    <row r="8354" spans="1:9" x14ac:dyDescent="0.3">
      <c r="A8354" t="s">
        <v>5</v>
      </c>
      <c r="B8354" t="s">
        <v>17</v>
      </c>
      <c r="C8354" t="s">
        <v>72</v>
      </c>
      <c r="D8354" s="9" t="s">
        <v>60</v>
      </c>
      <c r="E8354" t="s">
        <v>38</v>
      </c>
      <c r="F8354" t="s">
        <v>73</v>
      </c>
      <c r="G8354">
        <v>159.80000000000001</v>
      </c>
      <c r="I8354"/>
    </row>
    <row r="8355" spans="1:9" x14ac:dyDescent="0.3">
      <c r="A8355" t="s">
        <v>5</v>
      </c>
      <c r="B8355" t="s">
        <v>17</v>
      </c>
      <c r="C8355" t="s">
        <v>74</v>
      </c>
      <c r="D8355" s="9" t="s">
        <v>60</v>
      </c>
      <c r="E8355" t="s">
        <v>39</v>
      </c>
      <c r="F8355" t="s">
        <v>75</v>
      </c>
      <c r="G8355">
        <v>166.9</v>
      </c>
      <c r="I8355"/>
    </row>
    <row r="8356" spans="1:9" x14ac:dyDescent="0.3">
      <c r="A8356" t="s">
        <v>5</v>
      </c>
      <c r="B8356" t="s">
        <v>17</v>
      </c>
      <c r="C8356" t="s">
        <v>76</v>
      </c>
      <c r="D8356" s="9" t="s">
        <v>60</v>
      </c>
      <c r="E8356" t="s">
        <v>40</v>
      </c>
      <c r="F8356" t="s">
        <v>77</v>
      </c>
      <c r="G8356">
        <v>155.6</v>
      </c>
      <c r="I8356"/>
    </row>
    <row r="8357" spans="1:9" x14ac:dyDescent="0.3">
      <c r="A8357" t="s">
        <v>5</v>
      </c>
      <c r="B8357" t="s">
        <v>17</v>
      </c>
      <c r="C8357" t="s">
        <v>78</v>
      </c>
      <c r="D8357" s="9" t="s">
        <v>60</v>
      </c>
      <c r="E8357" t="s">
        <v>41</v>
      </c>
      <c r="F8357" t="s">
        <v>79</v>
      </c>
      <c r="G8357">
        <v>160.5</v>
      </c>
      <c r="I8357"/>
    </row>
    <row r="8358" spans="1:9" x14ac:dyDescent="0.3">
      <c r="A8358" t="s">
        <v>5</v>
      </c>
      <c r="B8358" t="s">
        <v>17</v>
      </c>
      <c r="C8358" t="s">
        <v>80</v>
      </c>
      <c r="D8358" s="9" t="s">
        <v>60</v>
      </c>
      <c r="E8358" t="s">
        <v>42</v>
      </c>
      <c r="F8358" t="s">
        <v>81</v>
      </c>
      <c r="G8358">
        <v>162.5</v>
      </c>
      <c r="I8358"/>
    </row>
    <row r="8359" spans="1:9" x14ac:dyDescent="0.3">
      <c r="A8359" t="s">
        <v>5</v>
      </c>
      <c r="B8359" t="s">
        <v>17</v>
      </c>
      <c r="C8359" t="s">
        <v>82</v>
      </c>
      <c r="D8359" s="9" t="s">
        <v>60</v>
      </c>
      <c r="E8359" t="s">
        <v>43</v>
      </c>
      <c r="F8359" t="s">
        <v>83</v>
      </c>
      <c r="G8359">
        <v>186.5</v>
      </c>
      <c r="I8359"/>
    </row>
    <row r="8360" spans="1:9" x14ac:dyDescent="0.3">
      <c r="A8360" t="s">
        <v>5</v>
      </c>
      <c r="B8360" t="s">
        <v>17</v>
      </c>
      <c r="C8360" t="s">
        <v>84</v>
      </c>
      <c r="D8360" s="9" t="s">
        <v>85</v>
      </c>
      <c r="E8360" t="s">
        <v>32</v>
      </c>
      <c r="F8360" t="s">
        <v>61</v>
      </c>
      <c r="G8360">
        <v>141.4</v>
      </c>
      <c r="H8360" s="9">
        <v>-2.08</v>
      </c>
      <c r="I8360"/>
    </row>
    <row r="8361" spans="1:9" x14ac:dyDescent="0.3">
      <c r="A8361" t="s">
        <v>5</v>
      </c>
      <c r="B8361" t="s">
        <v>17</v>
      </c>
      <c r="C8361" t="s">
        <v>86</v>
      </c>
      <c r="D8361" s="9" t="s">
        <v>85</v>
      </c>
      <c r="E8361" t="s">
        <v>33</v>
      </c>
      <c r="F8361" t="s">
        <v>63</v>
      </c>
      <c r="G8361">
        <v>144.69999999999999</v>
      </c>
      <c r="H8361" s="9">
        <v>5.31</v>
      </c>
      <c r="I8361"/>
    </row>
    <row r="8362" spans="1:9" x14ac:dyDescent="0.3">
      <c r="A8362" t="s">
        <v>5</v>
      </c>
      <c r="B8362" t="s">
        <v>17</v>
      </c>
      <c r="C8362" t="s">
        <v>87</v>
      </c>
      <c r="D8362" s="9" t="s">
        <v>85</v>
      </c>
      <c r="E8362" t="s">
        <v>34</v>
      </c>
      <c r="F8362" t="s">
        <v>65</v>
      </c>
      <c r="G8362">
        <v>180.7</v>
      </c>
      <c r="H8362" s="9">
        <v>23.6</v>
      </c>
      <c r="I8362"/>
    </row>
    <row r="8363" spans="1:9" x14ac:dyDescent="0.3">
      <c r="A8363" t="s">
        <v>5</v>
      </c>
      <c r="B8363" t="s">
        <v>17</v>
      </c>
      <c r="C8363" t="s">
        <v>88</v>
      </c>
      <c r="D8363" s="9" t="s">
        <v>85</v>
      </c>
      <c r="E8363" t="s">
        <v>35</v>
      </c>
      <c r="F8363" t="s">
        <v>67</v>
      </c>
      <c r="G8363">
        <v>123.6</v>
      </c>
      <c r="H8363" s="9">
        <v>-14.88</v>
      </c>
      <c r="I8363"/>
    </row>
    <row r="8364" spans="1:9" x14ac:dyDescent="0.3">
      <c r="A8364" t="s">
        <v>5</v>
      </c>
      <c r="B8364" t="s">
        <v>17</v>
      </c>
      <c r="C8364" t="s">
        <v>89</v>
      </c>
      <c r="D8364" s="9" t="s">
        <v>85</v>
      </c>
      <c r="E8364" t="s">
        <v>36</v>
      </c>
      <c r="F8364" t="s">
        <v>69</v>
      </c>
      <c r="G8364">
        <v>144.4</v>
      </c>
      <c r="H8364" s="9">
        <v>-8.84</v>
      </c>
      <c r="I8364"/>
    </row>
    <row r="8365" spans="1:9" x14ac:dyDescent="0.3">
      <c r="A8365" t="s">
        <v>5</v>
      </c>
      <c r="B8365" t="s">
        <v>17</v>
      </c>
      <c r="C8365" t="s">
        <v>90</v>
      </c>
      <c r="D8365" s="9" t="s">
        <v>85</v>
      </c>
      <c r="E8365" t="s">
        <v>37</v>
      </c>
      <c r="F8365" t="s">
        <v>71</v>
      </c>
      <c r="G8365">
        <v>140.1</v>
      </c>
      <c r="H8365" s="9">
        <v>-6.6</v>
      </c>
      <c r="I8365"/>
    </row>
    <row r="8366" spans="1:9" x14ac:dyDescent="0.3">
      <c r="A8366" t="s">
        <v>5</v>
      </c>
      <c r="B8366" t="s">
        <v>17</v>
      </c>
      <c r="C8366" t="s">
        <v>91</v>
      </c>
      <c r="D8366" s="9" t="s">
        <v>85</v>
      </c>
      <c r="E8366" t="s">
        <v>38</v>
      </c>
      <c r="F8366" t="s">
        <v>73</v>
      </c>
      <c r="G8366">
        <v>154.30000000000001</v>
      </c>
      <c r="H8366" s="9">
        <v>-3.44</v>
      </c>
      <c r="I8366"/>
    </row>
    <row r="8367" spans="1:9" x14ac:dyDescent="0.3">
      <c r="A8367" t="s">
        <v>5</v>
      </c>
      <c r="B8367" t="s">
        <v>17</v>
      </c>
      <c r="C8367" t="s">
        <v>92</v>
      </c>
      <c r="D8367" s="9" t="s">
        <v>85</v>
      </c>
      <c r="E8367" t="s">
        <v>39</v>
      </c>
      <c r="F8367" t="s">
        <v>75</v>
      </c>
      <c r="G8367">
        <v>156.9</v>
      </c>
      <c r="H8367" s="9">
        <v>-5.99</v>
      </c>
      <c r="I8367"/>
    </row>
    <row r="8368" spans="1:9" x14ac:dyDescent="0.3">
      <c r="A8368" t="s">
        <v>5</v>
      </c>
      <c r="B8368" t="s">
        <v>17</v>
      </c>
      <c r="C8368" t="s">
        <v>93</v>
      </c>
      <c r="D8368" s="9" t="s">
        <v>85</v>
      </c>
      <c r="E8368" t="s">
        <v>40</v>
      </c>
      <c r="F8368" t="s">
        <v>77</v>
      </c>
      <c r="G8368">
        <v>162.1</v>
      </c>
      <c r="H8368" s="9">
        <v>4.18</v>
      </c>
      <c r="I8368"/>
    </row>
    <row r="8369" spans="1:9" x14ac:dyDescent="0.3">
      <c r="A8369" t="s">
        <v>5</v>
      </c>
      <c r="B8369" t="s">
        <v>17</v>
      </c>
      <c r="C8369" t="s">
        <v>94</v>
      </c>
      <c r="D8369" s="9" t="s">
        <v>85</v>
      </c>
      <c r="E8369" t="s">
        <v>41</v>
      </c>
      <c r="F8369" t="s">
        <v>79</v>
      </c>
      <c r="G8369">
        <v>167.7</v>
      </c>
      <c r="H8369" s="9">
        <v>4.49</v>
      </c>
      <c r="I8369"/>
    </row>
    <row r="8370" spans="1:9" x14ac:dyDescent="0.3">
      <c r="A8370" t="s">
        <v>5</v>
      </c>
      <c r="B8370" t="s">
        <v>17</v>
      </c>
      <c r="C8370" t="s">
        <v>95</v>
      </c>
      <c r="D8370" s="9" t="s">
        <v>85</v>
      </c>
      <c r="E8370" t="s">
        <v>42</v>
      </c>
      <c r="F8370" t="s">
        <v>81</v>
      </c>
      <c r="G8370">
        <v>169.4</v>
      </c>
      <c r="H8370" s="9">
        <v>4.25</v>
      </c>
      <c r="I8370"/>
    </row>
    <row r="8371" spans="1:9" x14ac:dyDescent="0.3">
      <c r="A8371" t="s">
        <v>5</v>
      </c>
      <c r="B8371" t="s">
        <v>17</v>
      </c>
      <c r="C8371" t="s">
        <v>96</v>
      </c>
      <c r="D8371" s="9" t="s">
        <v>85</v>
      </c>
      <c r="E8371" t="s">
        <v>43</v>
      </c>
      <c r="F8371" t="s">
        <v>83</v>
      </c>
      <c r="G8371">
        <v>206.8</v>
      </c>
      <c r="H8371" s="9">
        <v>10.88</v>
      </c>
      <c r="I8371"/>
    </row>
    <row r="8372" spans="1:9" x14ac:dyDescent="0.3">
      <c r="A8372" t="s">
        <v>5</v>
      </c>
      <c r="B8372" t="s">
        <v>17</v>
      </c>
      <c r="C8372" t="s">
        <v>97</v>
      </c>
      <c r="D8372" s="9" t="s">
        <v>98</v>
      </c>
      <c r="E8372" t="s">
        <v>32</v>
      </c>
      <c r="F8372" t="s">
        <v>61</v>
      </c>
      <c r="G8372">
        <v>155.9</v>
      </c>
      <c r="H8372" s="9">
        <v>10.25</v>
      </c>
      <c r="I8372"/>
    </row>
    <row r="8373" spans="1:9" x14ac:dyDescent="0.3">
      <c r="A8373" t="s">
        <v>5</v>
      </c>
      <c r="B8373" t="s">
        <v>17</v>
      </c>
      <c r="C8373" t="s">
        <v>99</v>
      </c>
      <c r="D8373" s="9" t="s">
        <v>98</v>
      </c>
      <c r="E8373" t="s">
        <v>33</v>
      </c>
      <c r="F8373" t="s">
        <v>63</v>
      </c>
      <c r="G8373">
        <v>148</v>
      </c>
      <c r="H8373" s="9">
        <v>2.2799999999999998</v>
      </c>
      <c r="I8373"/>
    </row>
    <row r="8374" spans="1:9" x14ac:dyDescent="0.3">
      <c r="A8374" t="s">
        <v>5</v>
      </c>
      <c r="B8374" t="s">
        <v>17</v>
      </c>
      <c r="C8374" t="s">
        <v>100</v>
      </c>
      <c r="D8374" s="9" t="s">
        <v>98</v>
      </c>
      <c r="E8374" t="s">
        <v>34</v>
      </c>
      <c r="F8374" t="s">
        <v>65</v>
      </c>
      <c r="G8374">
        <v>167</v>
      </c>
      <c r="H8374" s="9">
        <v>-7.58</v>
      </c>
      <c r="I8374"/>
    </row>
    <row r="8375" spans="1:9" x14ac:dyDescent="0.3">
      <c r="A8375" t="s">
        <v>5</v>
      </c>
      <c r="B8375" t="s">
        <v>17</v>
      </c>
      <c r="C8375" t="s">
        <v>101</v>
      </c>
      <c r="D8375" s="9" t="s">
        <v>98</v>
      </c>
      <c r="E8375" t="s">
        <v>35</v>
      </c>
      <c r="F8375" t="s">
        <v>67</v>
      </c>
      <c r="G8375">
        <v>151.19999999999999</v>
      </c>
      <c r="H8375" s="9">
        <v>22.33</v>
      </c>
      <c r="I8375"/>
    </row>
    <row r="8376" spans="1:9" x14ac:dyDescent="0.3">
      <c r="A8376" t="s">
        <v>5</v>
      </c>
      <c r="B8376" t="s">
        <v>17</v>
      </c>
      <c r="C8376" t="s">
        <v>102</v>
      </c>
      <c r="D8376" s="9" t="s">
        <v>98</v>
      </c>
      <c r="E8376" t="s">
        <v>36</v>
      </c>
      <c r="F8376" t="s">
        <v>69</v>
      </c>
      <c r="G8376">
        <v>161</v>
      </c>
      <c r="H8376" s="9">
        <v>11.5</v>
      </c>
      <c r="I8376"/>
    </row>
    <row r="8377" spans="1:9" x14ac:dyDescent="0.3">
      <c r="A8377" t="s">
        <v>5</v>
      </c>
      <c r="B8377" t="s">
        <v>17</v>
      </c>
      <c r="C8377" t="s">
        <v>103</v>
      </c>
      <c r="D8377" s="9" t="s">
        <v>98</v>
      </c>
      <c r="E8377" t="s">
        <v>37</v>
      </c>
      <c r="F8377" t="s">
        <v>71</v>
      </c>
      <c r="G8377">
        <v>159.1</v>
      </c>
      <c r="H8377" s="9">
        <v>13.56</v>
      </c>
      <c r="I8377"/>
    </row>
    <row r="8378" spans="1:9" x14ac:dyDescent="0.3">
      <c r="A8378" t="s">
        <v>5</v>
      </c>
      <c r="B8378" t="s">
        <v>17</v>
      </c>
      <c r="C8378" t="s">
        <v>104</v>
      </c>
      <c r="D8378" s="9" t="s">
        <v>98</v>
      </c>
      <c r="E8378" t="s">
        <v>38</v>
      </c>
      <c r="F8378" t="s">
        <v>73</v>
      </c>
      <c r="G8378">
        <v>162.6</v>
      </c>
      <c r="H8378" s="9">
        <v>5.38</v>
      </c>
      <c r="I8378"/>
    </row>
    <row r="8379" spans="1:9" x14ac:dyDescent="0.3">
      <c r="A8379" t="s">
        <v>5</v>
      </c>
      <c r="B8379" t="s">
        <v>17</v>
      </c>
      <c r="C8379" t="s">
        <v>105</v>
      </c>
      <c r="D8379" s="9" t="s">
        <v>98</v>
      </c>
      <c r="E8379" t="s">
        <v>39</v>
      </c>
      <c r="F8379" t="s">
        <v>75</v>
      </c>
      <c r="G8379">
        <v>173.5</v>
      </c>
      <c r="H8379" s="9">
        <v>10.58</v>
      </c>
      <c r="I8379"/>
    </row>
    <row r="8380" spans="1:9" x14ac:dyDescent="0.3">
      <c r="A8380" t="s">
        <v>5</v>
      </c>
      <c r="B8380" t="s">
        <v>17</v>
      </c>
      <c r="C8380" t="s">
        <v>106</v>
      </c>
      <c r="D8380" s="9" t="s">
        <v>98</v>
      </c>
      <c r="E8380" t="s">
        <v>40</v>
      </c>
      <c r="F8380" t="s">
        <v>77</v>
      </c>
      <c r="G8380">
        <v>171.7</v>
      </c>
      <c r="H8380" s="9">
        <v>5.92</v>
      </c>
      <c r="I8380"/>
    </row>
    <row r="8381" spans="1:9" x14ac:dyDescent="0.3">
      <c r="A8381" t="s">
        <v>5</v>
      </c>
      <c r="B8381" t="s">
        <v>17</v>
      </c>
      <c r="C8381" t="s">
        <v>107</v>
      </c>
      <c r="D8381" s="9" t="s">
        <v>98</v>
      </c>
      <c r="E8381" t="s">
        <v>41</v>
      </c>
      <c r="F8381" t="s">
        <v>79</v>
      </c>
      <c r="G8381">
        <v>181.6</v>
      </c>
      <c r="H8381" s="9">
        <v>8.2899999999999991</v>
      </c>
      <c r="I8381"/>
    </row>
    <row r="8382" spans="1:9" x14ac:dyDescent="0.3">
      <c r="A8382" t="s">
        <v>5</v>
      </c>
      <c r="B8382" t="s">
        <v>17</v>
      </c>
      <c r="C8382" t="s">
        <v>108</v>
      </c>
      <c r="D8382" s="9" t="s">
        <v>98</v>
      </c>
      <c r="E8382" t="s">
        <v>42</v>
      </c>
      <c r="F8382" t="s">
        <v>81</v>
      </c>
      <c r="G8382">
        <v>187.8</v>
      </c>
      <c r="H8382" s="9">
        <v>10.86</v>
      </c>
      <c r="I8382"/>
    </row>
    <row r="8383" spans="1:9" x14ac:dyDescent="0.3">
      <c r="A8383" t="s">
        <v>5</v>
      </c>
      <c r="B8383" t="s">
        <v>17</v>
      </c>
      <c r="C8383" t="s">
        <v>109</v>
      </c>
      <c r="D8383" s="9" t="s">
        <v>98</v>
      </c>
      <c r="E8383" t="s">
        <v>43</v>
      </c>
      <c r="F8383" t="s">
        <v>83</v>
      </c>
      <c r="G8383">
        <v>211.8</v>
      </c>
      <c r="H8383" s="9">
        <v>2.42</v>
      </c>
      <c r="I8383"/>
    </row>
    <row r="8384" spans="1:9" x14ac:dyDescent="0.3">
      <c r="A8384" t="s">
        <v>5</v>
      </c>
      <c r="B8384" t="s">
        <v>17</v>
      </c>
      <c r="C8384" t="s">
        <v>110</v>
      </c>
      <c r="D8384" s="9" t="s">
        <v>111</v>
      </c>
      <c r="E8384" t="s">
        <v>32</v>
      </c>
      <c r="F8384" t="s">
        <v>61</v>
      </c>
      <c r="G8384">
        <v>172.1</v>
      </c>
      <c r="H8384" s="9">
        <v>10.39</v>
      </c>
      <c r="I8384"/>
    </row>
    <row r="8385" spans="1:9" x14ac:dyDescent="0.3">
      <c r="A8385" t="s">
        <v>5</v>
      </c>
      <c r="B8385" t="s">
        <v>17</v>
      </c>
      <c r="C8385" t="s">
        <v>112</v>
      </c>
      <c r="D8385" s="9" t="s">
        <v>111</v>
      </c>
      <c r="E8385" t="s">
        <v>33</v>
      </c>
      <c r="F8385" t="s">
        <v>63</v>
      </c>
      <c r="G8385">
        <v>176.5</v>
      </c>
      <c r="H8385" s="9">
        <v>19.260000000000002</v>
      </c>
      <c r="I8385"/>
    </row>
    <row r="8386" spans="1:9" x14ac:dyDescent="0.3">
      <c r="A8386" t="s">
        <v>5</v>
      </c>
      <c r="B8386" t="s">
        <v>17</v>
      </c>
      <c r="C8386" t="s">
        <v>113</v>
      </c>
      <c r="D8386" s="9" t="s">
        <v>111</v>
      </c>
      <c r="E8386" t="s">
        <v>34</v>
      </c>
      <c r="F8386" t="s">
        <v>65</v>
      </c>
      <c r="G8386">
        <v>192.7</v>
      </c>
      <c r="H8386" s="9">
        <v>15.39</v>
      </c>
      <c r="I8386"/>
    </row>
    <row r="8387" spans="1:9" x14ac:dyDescent="0.3">
      <c r="A8387" t="s">
        <v>5</v>
      </c>
      <c r="B8387" t="s">
        <v>17</v>
      </c>
      <c r="C8387" t="s">
        <v>114</v>
      </c>
      <c r="D8387" s="9" t="s">
        <v>111</v>
      </c>
      <c r="E8387" t="s">
        <v>35</v>
      </c>
      <c r="F8387" t="s">
        <v>67</v>
      </c>
      <c r="G8387">
        <v>182.5</v>
      </c>
      <c r="H8387" s="9">
        <v>20.7</v>
      </c>
      <c r="I8387"/>
    </row>
    <row r="8388" spans="1:9" x14ac:dyDescent="0.3">
      <c r="A8388" t="s">
        <v>5</v>
      </c>
      <c r="B8388" t="s">
        <v>17</v>
      </c>
      <c r="C8388" t="s">
        <v>115</v>
      </c>
      <c r="D8388" s="9" t="s">
        <v>111</v>
      </c>
      <c r="E8388" t="s">
        <v>36</v>
      </c>
      <c r="F8388" t="s">
        <v>69</v>
      </c>
      <c r="G8388">
        <v>204.6</v>
      </c>
      <c r="H8388" s="9">
        <v>27.08</v>
      </c>
      <c r="I8388"/>
    </row>
    <row r="8389" spans="1:9" x14ac:dyDescent="0.3">
      <c r="A8389" t="s">
        <v>5</v>
      </c>
      <c r="B8389" t="s">
        <v>17</v>
      </c>
      <c r="C8389" t="s">
        <v>116</v>
      </c>
      <c r="D8389" s="9" t="s">
        <v>111</v>
      </c>
      <c r="E8389" t="s">
        <v>37</v>
      </c>
      <c r="F8389" t="s">
        <v>71</v>
      </c>
      <c r="G8389">
        <v>201.1</v>
      </c>
      <c r="H8389" s="9">
        <v>26.4</v>
      </c>
      <c r="I8389"/>
    </row>
    <row r="8390" spans="1:9" x14ac:dyDescent="0.3">
      <c r="A8390" t="s">
        <v>5</v>
      </c>
      <c r="B8390" t="s">
        <v>17</v>
      </c>
      <c r="C8390" t="s">
        <v>117</v>
      </c>
      <c r="D8390" s="9" t="s">
        <v>111</v>
      </c>
      <c r="E8390" t="s">
        <v>38</v>
      </c>
      <c r="F8390" t="s">
        <v>73</v>
      </c>
      <c r="G8390">
        <v>217.1</v>
      </c>
      <c r="H8390" s="9">
        <v>33.520000000000003</v>
      </c>
      <c r="I8390"/>
    </row>
    <row r="8391" spans="1:9" x14ac:dyDescent="0.3">
      <c r="A8391" t="s">
        <v>5</v>
      </c>
      <c r="B8391" t="s">
        <v>17</v>
      </c>
      <c r="C8391" t="s">
        <v>118</v>
      </c>
      <c r="D8391" s="9" t="s">
        <v>111</v>
      </c>
      <c r="E8391" t="s">
        <v>39</v>
      </c>
      <c r="F8391" t="s">
        <v>75</v>
      </c>
      <c r="G8391">
        <v>221</v>
      </c>
      <c r="H8391" s="9">
        <v>27.38</v>
      </c>
      <c r="I8391"/>
    </row>
    <row r="8392" spans="1:9" x14ac:dyDescent="0.3">
      <c r="A8392" t="s">
        <v>5</v>
      </c>
      <c r="B8392" t="s">
        <v>17</v>
      </c>
      <c r="C8392" t="s">
        <v>119</v>
      </c>
      <c r="D8392" s="9" t="s">
        <v>111</v>
      </c>
      <c r="E8392" t="s">
        <v>40</v>
      </c>
      <c r="F8392" t="s">
        <v>77</v>
      </c>
      <c r="G8392">
        <v>217</v>
      </c>
      <c r="H8392" s="9">
        <v>26.38</v>
      </c>
      <c r="I8392"/>
    </row>
    <row r="8393" spans="1:9" x14ac:dyDescent="0.3">
      <c r="A8393" t="s">
        <v>5</v>
      </c>
      <c r="B8393" t="s">
        <v>17</v>
      </c>
      <c r="C8393" t="s">
        <v>120</v>
      </c>
      <c r="D8393" s="9" t="s">
        <v>111</v>
      </c>
      <c r="E8393" t="s">
        <v>41</v>
      </c>
      <c r="F8393" t="s">
        <v>79</v>
      </c>
      <c r="G8393">
        <v>230.2</v>
      </c>
      <c r="H8393" s="9">
        <v>26.76</v>
      </c>
      <c r="I8393"/>
    </row>
    <row r="8394" spans="1:9" x14ac:dyDescent="0.3">
      <c r="A8394" t="s">
        <v>5</v>
      </c>
      <c r="B8394" t="s">
        <v>17</v>
      </c>
      <c r="C8394" t="s">
        <v>121</v>
      </c>
      <c r="D8394" s="9" t="s">
        <v>111</v>
      </c>
      <c r="E8394" t="s">
        <v>42</v>
      </c>
      <c r="F8394" t="s">
        <v>81</v>
      </c>
      <c r="G8394">
        <v>243.3</v>
      </c>
      <c r="H8394" s="9">
        <v>29.55</v>
      </c>
      <c r="I8394"/>
    </row>
    <row r="8395" spans="1:9" x14ac:dyDescent="0.3">
      <c r="A8395" t="s">
        <v>5</v>
      </c>
      <c r="B8395" t="s">
        <v>17</v>
      </c>
      <c r="C8395" t="s">
        <v>122</v>
      </c>
      <c r="D8395" s="9" t="s">
        <v>111</v>
      </c>
      <c r="E8395" t="s">
        <v>43</v>
      </c>
      <c r="F8395" t="s">
        <v>83</v>
      </c>
      <c r="G8395">
        <v>279.2</v>
      </c>
      <c r="H8395" s="9">
        <v>31.82</v>
      </c>
      <c r="I8395"/>
    </row>
    <row r="8396" spans="1:9" x14ac:dyDescent="0.3">
      <c r="A8396" t="s">
        <v>5</v>
      </c>
      <c r="B8396" t="s">
        <v>17</v>
      </c>
      <c r="C8396" t="s">
        <v>123</v>
      </c>
      <c r="D8396" s="9" t="s">
        <v>124</v>
      </c>
      <c r="E8396" t="s">
        <v>32</v>
      </c>
      <c r="F8396" t="s">
        <v>61</v>
      </c>
      <c r="G8396">
        <v>207.5</v>
      </c>
      <c r="H8396" s="9">
        <v>20.57</v>
      </c>
      <c r="I8396"/>
    </row>
    <row r="8397" spans="1:9" x14ac:dyDescent="0.3">
      <c r="A8397" t="s">
        <v>5</v>
      </c>
      <c r="B8397" t="s">
        <v>17</v>
      </c>
      <c r="C8397" t="s">
        <v>125</v>
      </c>
      <c r="D8397" s="9" t="s">
        <v>124</v>
      </c>
      <c r="E8397" t="s">
        <v>33</v>
      </c>
      <c r="F8397" t="s">
        <v>63</v>
      </c>
      <c r="G8397">
        <v>204.8</v>
      </c>
      <c r="H8397" s="9">
        <v>16.03</v>
      </c>
      <c r="I8397"/>
    </row>
    <row r="8398" spans="1:9" x14ac:dyDescent="0.3">
      <c r="A8398" t="s">
        <v>5</v>
      </c>
      <c r="B8398" t="s">
        <v>17</v>
      </c>
      <c r="C8398" t="s">
        <v>126</v>
      </c>
      <c r="D8398" s="9" t="s">
        <v>124</v>
      </c>
      <c r="E8398" t="s">
        <v>34</v>
      </c>
      <c r="F8398" t="s">
        <v>65</v>
      </c>
      <c r="G8398">
        <v>230.9</v>
      </c>
      <c r="H8398" s="9">
        <v>19.82</v>
      </c>
      <c r="I8398"/>
    </row>
    <row r="8399" spans="1:9" x14ac:dyDescent="0.3">
      <c r="A8399" t="s">
        <v>5</v>
      </c>
      <c r="B8399" t="s">
        <v>17</v>
      </c>
      <c r="C8399" t="s">
        <v>127</v>
      </c>
      <c r="D8399" s="9" t="s">
        <v>124</v>
      </c>
      <c r="E8399" t="s">
        <v>35</v>
      </c>
      <c r="F8399" t="s">
        <v>67</v>
      </c>
      <c r="G8399">
        <v>221</v>
      </c>
      <c r="H8399" s="9">
        <v>21.1</v>
      </c>
      <c r="I8399"/>
    </row>
    <row r="8400" spans="1:9" x14ac:dyDescent="0.3">
      <c r="A8400" t="s">
        <v>5</v>
      </c>
      <c r="B8400" t="s">
        <v>17</v>
      </c>
      <c r="C8400" t="s">
        <v>128</v>
      </c>
      <c r="D8400" s="9" t="s">
        <v>124</v>
      </c>
      <c r="E8400" t="s">
        <v>36</v>
      </c>
      <c r="F8400" t="s">
        <v>69</v>
      </c>
      <c r="G8400">
        <v>253</v>
      </c>
      <c r="H8400" s="9">
        <v>23.66</v>
      </c>
      <c r="I8400"/>
    </row>
    <row r="8401" spans="1:9" x14ac:dyDescent="0.3">
      <c r="A8401" t="s">
        <v>5</v>
      </c>
      <c r="B8401" t="s">
        <v>17</v>
      </c>
      <c r="C8401" t="s">
        <v>129</v>
      </c>
      <c r="D8401" s="9" t="s">
        <v>124</v>
      </c>
      <c r="E8401" t="s">
        <v>37</v>
      </c>
      <c r="F8401" t="s">
        <v>71</v>
      </c>
      <c r="G8401">
        <v>235.8</v>
      </c>
      <c r="H8401" s="9">
        <v>17.260000000000002</v>
      </c>
      <c r="I8401"/>
    </row>
    <row r="8402" spans="1:9" x14ac:dyDescent="0.3">
      <c r="A8402" t="s">
        <v>5</v>
      </c>
      <c r="B8402" t="s">
        <v>17</v>
      </c>
      <c r="C8402" t="s">
        <v>130</v>
      </c>
      <c r="D8402" s="9" t="s">
        <v>124</v>
      </c>
      <c r="E8402" t="s">
        <v>38</v>
      </c>
      <c r="F8402" t="s">
        <v>73</v>
      </c>
      <c r="G8402">
        <v>238.4</v>
      </c>
      <c r="H8402" s="9">
        <v>9.81</v>
      </c>
      <c r="I8402"/>
    </row>
    <row r="8403" spans="1:9" x14ac:dyDescent="0.3">
      <c r="A8403" t="s">
        <v>5</v>
      </c>
      <c r="B8403" t="s">
        <v>17</v>
      </c>
      <c r="C8403" t="s">
        <v>131</v>
      </c>
      <c r="D8403" s="9" t="s">
        <v>124</v>
      </c>
      <c r="E8403" t="s">
        <v>39</v>
      </c>
      <c r="F8403" t="s">
        <v>75</v>
      </c>
      <c r="G8403">
        <v>253.5</v>
      </c>
      <c r="H8403" s="9">
        <v>14.71</v>
      </c>
      <c r="I8403"/>
    </row>
    <row r="8404" spans="1:9" x14ac:dyDescent="0.3">
      <c r="A8404" t="s">
        <v>5</v>
      </c>
      <c r="B8404" t="s">
        <v>17</v>
      </c>
      <c r="C8404" t="s">
        <v>132</v>
      </c>
      <c r="D8404" s="9" t="s">
        <v>124</v>
      </c>
      <c r="E8404" t="s">
        <v>40</v>
      </c>
      <c r="F8404" t="s">
        <v>77</v>
      </c>
      <c r="G8404">
        <v>248.3</v>
      </c>
      <c r="H8404" s="9">
        <v>14.42</v>
      </c>
      <c r="I8404"/>
    </row>
    <row r="8405" spans="1:9" x14ac:dyDescent="0.3">
      <c r="A8405" t="s">
        <v>5</v>
      </c>
      <c r="B8405" t="s">
        <v>17</v>
      </c>
      <c r="C8405" t="s">
        <v>133</v>
      </c>
      <c r="D8405" s="9" t="s">
        <v>124</v>
      </c>
      <c r="E8405" t="s">
        <v>41</v>
      </c>
      <c r="F8405" t="s">
        <v>79</v>
      </c>
      <c r="G8405">
        <v>251</v>
      </c>
      <c r="H8405" s="9">
        <v>9.0399999999999991</v>
      </c>
      <c r="I8405"/>
    </row>
    <row r="8406" spans="1:9" x14ac:dyDescent="0.3">
      <c r="A8406" t="s">
        <v>5</v>
      </c>
      <c r="B8406" t="s">
        <v>17</v>
      </c>
      <c r="C8406" t="s">
        <v>134</v>
      </c>
      <c r="D8406" s="9" t="s">
        <v>124</v>
      </c>
      <c r="E8406" t="s">
        <v>42</v>
      </c>
      <c r="F8406" t="s">
        <v>81</v>
      </c>
      <c r="G8406">
        <v>265.3</v>
      </c>
      <c r="H8406" s="9">
        <v>9.0399999999999991</v>
      </c>
      <c r="I8406"/>
    </row>
    <row r="8407" spans="1:9" x14ac:dyDescent="0.3">
      <c r="A8407" t="s">
        <v>5</v>
      </c>
      <c r="B8407" t="s">
        <v>17</v>
      </c>
      <c r="C8407" t="s">
        <v>135</v>
      </c>
      <c r="D8407" s="9" t="s">
        <v>124</v>
      </c>
      <c r="E8407" t="s">
        <v>43</v>
      </c>
      <c r="F8407" t="s">
        <v>83</v>
      </c>
      <c r="G8407">
        <v>300.3</v>
      </c>
      <c r="H8407" s="9">
        <v>7.56</v>
      </c>
      <c r="I8407"/>
    </row>
    <row r="8408" spans="1:9" x14ac:dyDescent="0.3">
      <c r="A8408" t="s">
        <v>5</v>
      </c>
      <c r="B8408" t="s">
        <v>17</v>
      </c>
      <c r="C8408" t="s">
        <v>136</v>
      </c>
      <c r="D8408" s="9" t="s">
        <v>137</v>
      </c>
      <c r="E8408" t="s">
        <v>32</v>
      </c>
      <c r="F8408" t="s">
        <v>61</v>
      </c>
      <c r="G8408">
        <v>231.1</v>
      </c>
      <c r="H8408" s="9">
        <v>11.37</v>
      </c>
      <c r="I8408"/>
    </row>
    <row r="8409" spans="1:9" x14ac:dyDescent="0.3">
      <c r="A8409" t="s">
        <v>5</v>
      </c>
      <c r="B8409" t="s">
        <v>17</v>
      </c>
      <c r="C8409" t="s">
        <v>138</v>
      </c>
      <c r="D8409" s="9" t="s">
        <v>137</v>
      </c>
      <c r="E8409" t="s">
        <v>33</v>
      </c>
      <c r="F8409" t="s">
        <v>63</v>
      </c>
      <c r="G8409">
        <v>224</v>
      </c>
      <c r="H8409" s="9">
        <v>9.3800000000000008</v>
      </c>
      <c r="I8409"/>
    </row>
    <row r="8410" spans="1:9" x14ac:dyDescent="0.3">
      <c r="A8410" t="s">
        <v>5</v>
      </c>
      <c r="B8410" t="s">
        <v>17</v>
      </c>
      <c r="C8410" t="s">
        <v>139</v>
      </c>
      <c r="D8410" s="9" t="s">
        <v>137</v>
      </c>
      <c r="E8410" t="s">
        <v>34</v>
      </c>
      <c r="F8410" t="s">
        <v>65</v>
      </c>
      <c r="G8410">
        <v>245</v>
      </c>
      <c r="H8410" s="9">
        <v>6.11</v>
      </c>
      <c r="I8410"/>
    </row>
    <row r="8411" spans="1:9" x14ac:dyDescent="0.3">
      <c r="A8411" t="s">
        <v>5</v>
      </c>
      <c r="B8411" t="s">
        <v>17</v>
      </c>
      <c r="C8411" t="s">
        <v>140</v>
      </c>
      <c r="D8411" s="9" t="s">
        <v>137</v>
      </c>
      <c r="E8411" t="s">
        <v>35</v>
      </c>
      <c r="F8411" t="s">
        <v>67</v>
      </c>
      <c r="G8411">
        <v>240.9</v>
      </c>
      <c r="H8411" s="9">
        <v>9</v>
      </c>
      <c r="I8411"/>
    </row>
    <row r="8412" spans="1:9" x14ac:dyDescent="0.3">
      <c r="A8412" t="s">
        <v>5</v>
      </c>
      <c r="B8412" t="s">
        <v>17</v>
      </c>
      <c r="C8412" t="s">
        <v>141</v>
      </c>
      <c r="D8412" s="9" t="s">
        <v>137</v>
      </c>
      <c r="E8412" t="s">
        <v>36</v>
      </c>
      <c r="F8412" t="s">
        <v>69</v>
      </c>
      <c r="G8412">
        <v>268.60000000000002</v>
      </c>
      <c r="H8412" s="9">
        <v>6.17</v>
      </c>
      <c r="I8412"/>
    </row>
    <row r="8413" spans="1:9" x14ac:dyDescent="0.3">
      <c r="A8413" t="s">
        <v>5</v>
      </c>
      <c r="B8413" t="s">
        <v>17</v>
      </c>
      <c r="C8413" t="s">
        <v>142</v>
      </c>
      <c r="D8413" s="9" t="s">
        <v>137</v>
      </c>
      <c r="E8413" t="s">
        <v>37</v>
      </c>
      <c r="F8413" t="s">
        <v>71</v>
      </c>
      <c r="G8413">
        <v>248.5</v>
      </c>
      <c r="H8413" s="9">
        <v>5.39</v>
      </c>
      <c r="I8413"/>
    </row>
    <row r="8414" spans="1:9" x14ac:dyDescent="0.3">
      <c r="A8414" t="s">
        <v>5</v>
      </c>
      <c r="B8414" t="s">
        <v>17</v>
      </c>
      <c r="C8414" t="s">
        <v>143</v>
      </c>
      <c r="D8414" s="9" t="s">
        <v>137</v>
      </c>
      <c r="E8414" t="s">
        <v>38</v>
      </c>
      <c r="F8414" t="s">
        <v>73</v>
      </c>
      <c r="G8414">
        <v>268.2</v>
      </c>
      <c r="H8414" s="9">
        <v>12.5</v>
      </c>
      <c r="I8414"/>
    </row>
    <row r="8415" spans="1:9" x14ac:dyDescent="0.3">
      <c r="A8415" t="s">
        <v>5</v>
      </c>
      <c r="B8415" t="s">
        <v>17</v>
      </c>
      <c r="C8415" t="s">
        <v>144</v>
      </c>
      <c r="D8415" s="9" t="s">
        <v>137</v>
      </c>
      <c r="E8415" t="s">
        <v>39</v>
      </c>
      <c r="F8415" t="s">
        <v>75</v>
      </c>
      <c r="G8415">
        <v>272.5</v>
      </c>
      <c r="H8415" s="9">
        <v>7.5</v>
      </c>
      <c r="I8415"/>
    </row>
    <row r="8416" spans="1:9" x14ac:dyDescent="0.3">
      <c r="A8416" t="s">
        <v>5</v>
      </c>
      <c r="B8416" t="s">
        <v>17</v>
      </c>
      <c r="C8416" t="s">
        <v>145</v>
      </c>
      <c r="D8416" s="9" t="s">
        <v>137</v>
      </c>
      <c r="E8416" t="s">
        <v>40</v>
      </c>
      <c r="F8416" t="s">
        <v>77</v>
      </c>
      <c r="G8416">
        <v>259.39999999999998</v>
      </c>
      <c r="H8416" s="9">
        <v>4.47</v>
      </c>
      <c r="I8416"/>
    </row>
    <row r="8417" spans="1:9" x14ac:dyDescent="0.3">
      <c r="A8417" t="s">
        <v>5</v>
      </c>
      <c r="B8417" t="s">
        <v>17</v>
      </c>
      <c r="C8417" t="s">
        <v>146</v>
      </c>
      <c r="D8417" s="9" t="s">
        <v>137</v>
      </c>
      <c r="E8417" t="s">
        <v>41</v>
      </c>
      <c r="F8417" t="s">
        <v>79</v>
      </c>
      <c r="G8417">
        <v>277</v>
      </c>
      <c r="H8417" s="9">
        <v>10.36</v>
      </c>
      <c r="I8417"/>
    </row>
    <row r="8418" spans="1:9" x14ac:dyDescent="0.3">
      <c r="A8418" t="s">
        <v>5</v>
      </c>
      <c r="B8418" t="s">
        <v>17</v>
      </c>
      <c r="C8418" t="s">
        <v>147</v>
      </c>
      <c r="D8418" s="9" t="s">
        <v>137</v>
      </c>
      <c r="E8418" t="s">
        <v>42</v>
      </c>
      <c r="F8418" t="s">
        <v>81</v>
      </c>
      <c r="G8418">
        <v>285.89999999999998</v>
      </c>
      <c r="H8418" s="9">
        <v>7.76</v>
      </c>
      <c r="I8418"/>
    </row>
    <row r="8419" spans="1:9" x14ac:dyDescent="0.3">
      <c r="A8419" t="s">
        <v>5</v>
      </c>
      <c r="B8419" t="s">
        <v>17</v>
      </c>
      <c r="C8419" t="s">
        <v>148</v>
      </c>
      <c r="D8419" s="9" t="s">
        <v>137</v>
      </c>
      <c r="E8419" t="s">
        <v>43</v>
      </c>
      <c r="F8419" t="s">
        <v>83</v>
      </c>
      <c r="G8419">
        <v>319.8</v>
      </c>
      <c r="H8419" s="9">
        <v>6.49</v>
      </c>
      <c r="I8419"/>
    </row>
    <row r="8420" spans="1:9" x14ac:dyDescent="0.3">
      <c r="A8420" t="s">
        <v>5</v>
      </c>
      <c r="B8420" t="s">
        <v>17</v>
      </c>
      <c r="C8420" t="s">
        <v>149</v>
      </c>
      <c r="D8420" s="9" t="s">
        <v>150</v>
      </c>
      <c r="E8420" t="s">
        <v>32</v>
      </c>
      <c r="F8420" t="s">
        <v>61</v>
      </c>
      <c r="G8420">
        <v>255</v>
      </c>
      <c r="H8420" s="9">
        <v>10.34</v>
      </c>
      <c r="I8420"/>
    </row>
    <row r="8421" spans="1:9" x14ac:dyDescent="0.3">
      <c r="A8421" t="s">
        <v>5</v>
      </c>
      <c r="B8421" t="s">
        <v>17</v>
      </c>
      <c r="C8421" t="s">
        <v>151</v>
      </c>
      <c r="D8421" s="9" t="s">
        <v>150</v>
      </c>
      <c r="E8421" t="s">
        <v>33</v>
      </c>
      <c r="F8421" t="s">
        <v>63</v>
      </c>
      <c r="G8421">
        <v>240.6</v>
      </c>
      <c r="H8421" s="9">
        <v>7.41</v>
      </c>
      <c r="I8421"/>
    </row>
    <row r="8422" spans="1:9" x14ac:dyDescent="0.3">
      <c r="A8422" t="s">
        <v>5</v>
      </c>
      <c r="B8422" t="s">
        <v>17</v>
      </c>
      <c r="C8422" t="s">
        <v>152</v>
      </c>
      <c r="D8422" s="9" t="s">
        <v>150</v>
      </c>
      <c r="E8422" t="s">
        <v>34</v>
      </c>
      <c r="F8422" t="s">
        <v>65</v>
      </c>
      <c r="G8422">
        <v>262.10000000000002</v>
      </c>
      <c r="H8422" s="9">
        <v>6.98</v>
      </c>
      <c r="I8422"/>
    </row>
    <row r="8423" spans="1:9" x14ac:dyDescent="0.3">
      <c r="A8423" t="s">
        <v>5</v>
      </c>
      <c r="B8423" t="s">
        <v>17</v>
      </c>
      <c r="C8423" t="s">
        <v>153</v>
      </c>
      <c r="D8423" s="9" t="s">
        <v>150</v>
      </c>
      <c r="E8423" t="s">
        <v>35</v>
      </c>
      <c r="F8423" t="s">
        <v>67</v>
      </c>
      <c r="G8423">
        <v>257.5</v>
      </c>
      <c r="H8423" s="9">
        <v>6.89</v>
      </c>
      <c r="I8423"/>
    </row>
    <row r="8424" spans="1:9" x14ac:dyDescent="0.3">
      <c r="A8424" t="s">
        <v>5</v>
      </c>
      <c r="B8424" t="s">
        <v>17</v>
      </c>
      <c r="C8424" t="s">
        <v>154</v>
      </c>
      <c r="D8424" s="9" t="s">
        <v>150</v>
      </c>
      <c r="E8424" t="s">
        <v>36</v>
      </c>
      <c r="F8424" t="s">
        <v>69</v>
      </c>
      <c r="G8424">
        <v>281.10000000000002</v>
      </c>
      <c r="H8424" s="9">
        <v>4.6500000000000004</v>
      </c>
      <c r="I8424"/>
    </row>
    <row r="8425" spans="1:9" x14ac:dyDescent="0.3">
      <c r="A8425" t="s">
        <v>5</v>
      </c>
      <c r="B8425" t="s">
        <v>17</v>
      </c>
      <c r="C8425" t="s">
        <v>155</v>
      </c>
      <c r="D8425" s="9" t="s">
        <v>150</v>
      </c>
      <c r="E8425" t="s">
        <v>37</v>
      </c>
      <c r="F8425" t="s">
        <v>71</v>
      </c>
      <c r="G8425">
        <v>259.8</v>
      </c>
      <c r="H8425" s="9">
        <v>4.55</v>
      </c>
      <c r="I8425"/>
    </row>
    <row r="8426" spans="1:9" x14ac:dyDescent="0.3">
      <c r="A8426" t="s">
        <v>5</v>
      </c>
      <c r="B8426" t="s">
        <v>11</v>
      </c>
      <c r="C8426" t="s">
        <v>59</v>
      </c>
      <c r="D8426" s="9" t="s">
        <v>60</v>
      </c>
      <c r="E8426" t="s">
        <v>32</v>
      </c>
      <c r="F8426" t="s">
        <v>61</v>
      </c>
      <c r="G8426">
        <v>993.1</v>
      </c>
      <c r="I8426"/>
    </row>
    <row r="8427" spans="1:9" x14ac:dyDescent="0.3">
      <c r="A8427" t="s">
        <v>5</v>
      </c>
      <c r="B8427" t="s">
        <v>11</v>
      </c>
      <c r="C8427" t="s">
        <v>62</v>
      </c>
      <c r="D8427" s="9" t="s">
        <v>60</v>
      </c>
      <c r="E8427" t="s">
        <v>33</v>
      </c>
      <c r="F8427" t="s">
        <v>63</v>
      </c>
      <c r="G8427">
        <v>920.3</v>
      </c>
      <c r="I8427"/>
    </row>
    <row r="8428" spans="1:9" x14ac:dyDescent="0.3">
      <c r="A8428" t="s">
        <v>5</v>
      </c>
      <c r="B8428" t="s">
        <v>11</v>
      </c>
      <c r="C8428" t="s">
        <v>64</v>
      </c>
      <c r="D8428" s="9" t="s">
        <v>60</v>
      </c>
      <c r="E8428" t="s">
        <v>34</v>
      </c>
      <c r="F8428" t="s">
        <v>65</v>
      </c>
      <c r="G8428">
        <v>1013.4</v>
      </c>
      <c r="I8428"/>
    </row>
    <row r="8429" spans="1:9" x14ac:dyDescent="0.3">
      <c r="A8429" t="s">
        <v>5</v>
      </c>
      <c r="B8429" t="s">
        <v>11</v>
      </c>
      <c r="C8429" t="s">
        <v>66</v>
      </c>
      <c r="D8429" s="9" t="s">
        <v>60</v>
      </c>
      <c r="E8429" t="s">
        <v>35</v>
      </c>
      <c r="F8429" t="s">
        <v>67</v>
      </c>
      <c r="G8429">
        <v>965.5</v>
      </c>
      <c r="I8429"/>
    </row>
    <row r="8430" spans="1:9" x14ac:dyDescent="0.3">
      <c r="A8430" t="s">
        <v>5</v>
      </c>
      <c r="B8430" t="s">
        <v>11</v>
      </c>
      <c r="C8430" t="s">
        <v>68</v>
      </c>
      <c r="D8430" s="9" t="s">
        <v>60</v>
      </c>
      <c r="E8430" t="s">
        <v>36</v>
      </c>
      <c r="F8430" t="s">
        <v>69</v>
      </c>
      <c r="G8430">
        <v>986.8</v>
      </c>
      <c r="I8430"/>
    </row>
    <row r="8431" spans="1:9" x14ac:dyDescent="0.3">
      <c r="A8431" t="s">
        <v>5</v>
      </c>
      <c r="B8431" t="s">
        <v>11</v>
      </c>
      <c r="C8431" t="s">
        <v>70</v>
      </c>
      <c r="D8431" s="9" t="s">
        <v>60</v>
      </c>
      <c r="E8431" t="s">
        <v>37</v>
      </c>
      <c r="F8431" t="s">
        <v>71</v>
      </c>
      <c r="G8431">
        <v>945.7</v>
      </c>
      <c r="I8431"/>
    </row>
    <row r="8432" spans="1:9" x14ac:dyDescent="0.3">
      <c r="A8432" t="s">
        <v>5</v>
      </c>
      <c r="B8432" t="s">
        <v>11</v>
      </c>
      <c r="C8432" t="s">
        <v>72</v>
      </c>
      <c r="D8432" s="9" t="s">
        <v>60</v>
      </c>
      <c r="E8432" t="s">
        <v>38</v>
      </c>
      <c r="F8432" t="s">
        <v>73</v>
      </c>
      <c r="G8432">
        <v>979.1</v>
      </c>
      <c r="I8432"/>
    </row>
    <row r="8433" spans="1:9" x14ac:dyDescent="0.3">
      <c r="A8433" t="s">
        <v>5</v>
      </c>
      <c r="B8433" t="s">
        <v>11</v>
      </c>
      <c r="C8433" t="s">
        <v>74</v>
      </c>
      <c r="D8433" s="9" t="s">
        <v>60</v>
      </c>
      <c r="E8433" t="s">
        <v>39</v>
      </c>
      <c r="F8433" t="s">
        <v>75</v>
      </c>
      <c r="G8433">
        <v>1013</v>
      </c>
      <c r="I8433"/>
    </row>
    <row r="8434" spans="1:9" x14ac:dyDescent="0.3">
      <c r="A8434" t="s">
        <v>5</v>
      </c>
      <c r="B8434" t="s">
        <v>11</v>
      </c>
      <c r="C8434" t="s">
        <v>76</v>
      </c>
      <c r="D8434" s="9" t="s">
        <v>60</v>
      </c>
      <c r="E8434" t="s">
        <v>40</v>
      </c>
      <c r="F8434" t="s">
        <v>77</v>
      </c>
      <c r="G8434">
        <v>977.5</v>
      </c>
      <c r="I8434"/>
    </row>
    <row r="8435" spans="1:9" x14ac:dyDescent="0.3">
      <c r="A8435" t="s">
        <v>5</v>
      </c>
      <c r="B8435" t="s">
        <v>11</v>
      </c>
      <c r="C8435" t="s">
        <v>78</v>
      </c>
      <c r="D8435" s="9" t="s">
        <v>60</v>
      </c>
      <c r="E8435" t="s">
        <v>41</v>
      </c>
      <c r="F8435" t="s">
        <v>79</v>
      </c>
      <c r="G8435">
        <v>1037.8</v>
      </c>
      <c r="I8435"/>
    </row>
    <row r="8436" spans="1:9" x14ac:dyDescent="0.3">
      <c r="A8436" t="s">
        <v>5</v>
      </c>
      <c r="B8436" t="s">
        <v>11</v>
      </c>
      <c r="C8436" t="s">
        <v>80</v>
      </c>
      <c r="D8436" s="9" t="s">
        <v>60</v>
      </c>
      <c r="E8436" t="s">
        <v>42</v>
      </c>
      <c r="F8436" t="s">
        <v>81</v>
      </c>
      <c r="G8436">
        <v>1042.5</v>
      </c>
      <c r="I8436"/>
    </row>
    <row r="8437" spans="1:9" x14ac:dyDescent="0.3">
      <c r="A8437" t="s">
        <v>5</v>
      </c>
      <c r="B8437" t="s">
        <v>11</v>
      </c>
      <c r="C8437" t="s">
        <v>82</v>
      </c>
      <c r="D8437" s="9" t="s">
        <v>60</v>
      </c>
      <c r="E8437" t="s">
        <v>43</v>
      </c>
      <c r="F8437" t="s">
        <v>83</v>
      </c>
      <c r="G8437">
        <v>1143</v>
      </c>
      <c r="I8437"/>
    </row>
    <row r="8438" spans="1:9" x14ac:dyDescent="0.3">
      <c r="A8438" t="s">
        <v>5</v>
      </c>
      <c r="B8438" t="s">
        <v>11</v>
      </c>
      <c r="C8438" t="s">
        <v>84</v>
      </c>
      <c r="D8438" s="9" t="s">
        <v>85</v>
      </c>
      <c r="E8438" t="s">
        <v>32</v>
      </c>
      <c r="F8438" t="s">
        <v>61</v>
      </c>
      <c r="G8438">
        <v>1019.3</v>
      </c>
      <c r="H8438" s="9">
        <v>2.64</v>
      </c>
      <c r="I8438"/>
    </row>
    <row r="8439" spans="1:9" x14ac:dyDescent="0.3">
      <c r="A8439" t="s">
        <v>5</v>
      </c>
      <c r="B8439" t="s">
        <v>11</v>
      </c>
      <c r="C8439" t="s">
        <v>86</v>
      </c>
      <c r="D8439" s="9" t="s">
        <v>85</v>
      </c>
      <c r="E8439" t="s">
        <v>33</v>
      </c>
      <c r="F8439" t="s">
        <v>63</v>
      </c>
      <c r="G8439">
        <v>991.3</v>
      </c>
      <c r="H8439" s="9">
        <v>7.71</v>
      </c>
      <c r="I8439"/>
    </row>
    <row r="8440" spans="1:9" x14ac:dyDescent="0.3">
      <c r="A8440" t="s">
        <v>5</v>
      </c>
      <c r="B8440" t="s">
        <v>11</v>
      </c>
      <c r="C8440" t="s">
        <v>87</v>
      </c>
      <c r="D8440" s="9" t="s">
        <v>85</v>
      </c>
      <c r="E8440" t="s">
        <v>34</v>
      </c>
      <c r="F8440" t="s">
        <v>65</v>
      </c>
      <c r="G8440">
        <v>1282.4000000000001</v>
      </c>
      <c r="H8440" s="9">
        <v>26.54</v>
      </c>
      <c r="I8440"/>
    </row>
    <row r="8441" spans="1:9" x14ac:dyDescent="0.3">
      <c r="A8441" t="s">
        <v>5</v>
      </c>
      <c r="B8441" t="s">
        <v>11</v>
      </c>
      <c r="C8441" t="s">
        <v>88</v>
      </c>
      <c r="D8441" s="9" t="s">
        <v>85</v>
      </c>
      <c r="E8441" t="s">
        <v>35</v>
      </c>
      <c r="F8441" t="s">
        <v>67</v>
      </c>
      <c r="G8441">
        <v>1043</v>
      </c>
      <c r="H8441" s="9">
        <v>8.0299999999999994</v>
      </c>
      <c r="I8441"/>
    </row>
    <row r="8442" spans="1:9" x14ac:dyDescent="0.3">
      <c r="A8442" t="s">
        <v>5</v>
      </c>
      <c r="B8442" t="s">
        <v>11</v>
      </c>
      <c r="C8442" t="s">
        <v>89</v>
      </c>
      <c r="D8442" s="9" t="s">
        <v>85</v>
      </c>
      <c r="E8442" t="s">
        <v>36</v>
      </c>
      <c r="F8442" t="s">
        <v>69</v>
      </c>
      <c r="G8442">
        <v>1122.2</v>
      </c>
      <c r="H8442" s="9">
        <v>13.72</v>
      </c>
      <c r="I8442"/>
    </row>
    <row r="8443" spans="1:9" x14ac:dyDescent="0.3">
      <c r="A8443" t="s">
        <v>5</v>
      </c>
      <c r="B8443" t="s">
        <v>11</v>
      </c>
      <c r="C8443" t="s">
        <v>90</v>
      </c>
      <c r="D8443" s="9" t="s">
        <v>85</v>
      </c>
      <c r="E8443" t="s">
        <v>37</v>
      </c>
      <c r="F8443" t="s">
        <v>71</v>
      </c>
      <c r="G8443">
        <v>1065.7</v>
      </c>
      <c r="H8443" s="9">
        <v>12.69</v>
      </c>
      <c r="I8443"/>
    </row>
    <row r="8444" spans="1:9" x14ac:dyDescent="0.3">
      <c r="A8444" t="s">
        <v>5</v>
      </c>
      <c r="B8444" t="s">
        <v>11</v>
      </c>
      <c r="C8444" t="s">
        <v>91</v>
      </c>
      <c r="D8444" s="9" t="s">
        <v>85</v>
      </c>
      <c r="E8444" t="s">
        <v>38</v>
      </c>
      <c r="F8444" t="s">
        <v>73</v>
      </c>
      <c r="G8444">
        <v>1120.2</v>
      </c>
      <c r="H8444" s="9">
        <v>14.41</v>
      </c>
      <c r="I8444"/>
    </row>
    <row r="8445" spans="1:9" x14ac:dyDescent="0.3">
      <c r="A8445" t="s">
        <v>5</v>
      </c>
      <c r="B8445" t="s">
        <v>11</v>
      </c>
      <c r="C8445" t="s">
        <v>92</v>
      </c>
      <c r="D8445" s="9" t="s">
        <v>85</v>
      </c>
      <c r="E8445" t="s">
        <v>39</v>
      </c>
      <c r="F8445" t="s">
        <v>75</v>
      </c>
      <c r="G8445">
        <v>1124</v>
      </c>
      <c r="H8445" s="9">
        <v>10.96</v>
      </c>
      <c r="I8445"/>
    </row>
    <row r="8446" spans="1:9" x14ac:dyDescent="0.3">
      <c r="A8446" t="s">
        <v>5</v>
      </c>
      <c r="B8446" t="s">
        <v>11</v>
      </c>
      <c r="C8446" t="s">
        <v>93</v>
      </c>
      <c r="D8446" s="9" t="s">
        <v>85</v>
      </c>
      <c r="E8446" t="s">
        <v>40</v>
      </c>
      <c r="F8446" t="s">
        <v>77</v>
      </c>
      <c r="G8446">
        <v>1097.4000000000001</v>
      </c>
      <c r="H8446" s="9">
        <v>12.27</v>
      </c>
      <c r="I8446"/>
    </row>
    <row r="8447" spans="1:9" x14ac:dyDescent="0.3">
      <c r="A8447" t="s">
        <v>5</v>
      </c>
      <c r="B8447" t="s">
        <v>11</v>
      </c>
      <c r="C8447" t="s">
        <v>94</v>
      </c>
      <c r="D8447" s="9" t="s">
        <v>85</v>
      </c>
      <c r="E8447" t="s">
        <v>41</v>
      </c>
      <c r="F8447" t="s">
        <v>79</v>
      </c>
      <c r="G8447">
        <v>1160.8</v>
      </c>
      <c r="H8447" s="9">
        <v>11.85</v>
      </c>
      <c r="I8447"/>
    </row>
    <row r="8448" spans="1:9" x14ac:dyDescent="0.3">
      <c r="A8448" t="s">
        <v>5</v>
      </c>
      <c r="B8448" t="s">
        <v>11</v>
      </c>
      <c r="C8448" t="s">
        <v>95</v>
      </c>
      <c r="D8448" s="9" t="s">
        <v>85</v>
      </c>
      <c r="E8448" t="s">
        <v>42</v>
      </c>
      <c r="F8448" t="s">
        <v>81</v>
      </c>
      <c r="G8448">
        <v>1131.9000000000001</v>
      </c>
      <c r="H8448" s="9">
        <v>8.58</v>
      </c>
      <c r="I8448"/>
    </row>
    <row r="8449" spans="1:9" x14ac:dyDescent="0.3">
      <c r="A8449" t="s">
        <v>5</v>
      </c>
      <c r="B8449" t="s">
        <v>11</v>
      </c>
      <c r="C8449" t="s">
        <v>96</v>
      </c>
      <c r="D8449" s="9" t="s">
        <v>85</v>
      </c>
      <c r="E8449" t="s">
        <v>43</v>
      </c>
      <c r="F8449" t="s">
        <v>83</v>
      </c>
      <c r="G8449">
        <v>1267.8</v>
      </c>
      <c r="H8449" s="9">
        <v>10.92</v>
      </c>
      <c r="I8449"/>
    </row>
    <row r="8450" spans="1:9" x14ac:dyDescent="0.3">
      <c r="A8450" t="s">
        <v>5</v>
      </c>
      <c r="B8450" t="s">
        <v>11</v>
      </c>
      <c r="C8450" t="s">
        <v>97</v>
      </c>
      <c r="D8450" s="9" t="s">
        <v>98</v>
      </c>
      <c r="E8450" t="s">
        <v>32</v>
      </c>
      <c r="F8450" t="s">
        <v>61</v>
      </c>
      <c r="G8450">
        <v>1169.9000000000001</v>
      </c>
      <c r="H8450" s="9">
        <v>14.77</v>
      </c>
      <c r="I8450"/>
    </row>
    <row r="8451" spans="1:9" x14ac:dyDescent="0.3">
      <c r="A8451" t="s">
        <v>5</v>
      </c>
      <c r="B8451" t="s">
        <v>11</v>
      </c>
      <c r="C8451" t="s">
        <v>99</v>
      </c>
      <c r="D8451" s="9" t="s">
        <v>98</v>
      </c>
      <c r="E8451" t="s">
        <v>33</v>
      </c>
      <c r="F8451" t="s">
        <v>63</v>
      </c>
      <c r="G8451">
        <v>1026.4000000000001</v>
      </c>
      <c r="H8451" s="9">
        <v>3.54</v>
      </c>
      <c r="I8451"/>
    </row>
    <row r="8452" spans="1:9" x14ac:dyDescent="0.3">
      <c r="A8452" t="s">
        <v>5</v>
      </c>
      <c r="B8452" t="s">
        <v>11</v>
      </c>
      <c r="C8452" t="s">
        <v>100</v>
      </c>
      <c r="D8452" s="9" t="s">
        <v>98</v>
      </c>
      <c r="E8452" t="s">
        <v>34</v>
      </c>
      <c r="F8452" t="s">
        <v>65</v>
      </c>
      <c r="G8452">
        <v>1148</v>
      </c>
      <c r="H8452" s="9">
        <v>-10.48</v>
      </c>
      <c r="I8452"/>
    </row>
    <row r="8453" spans="1:9" x14ac:dyDescent="0.3">
      <c r="A8453" t="s">
        <v>5</v>
      </c>
      <c r="B8453" t="s">
        <v>11</v>
      </c>
      <c r="C8453" t="s">
        <v>101</v>
      </c>
      <c r="D8453" s="9" t="s">
        <v>98</v>
      </c>
      <c r="E8453" t="s">
        <v>35</v>
      </c>
      <c r="F8453" t="s">
        <v>67</v>
      </c>
      <c r="G8453">
        <v>1096.5999999999999</v>
      </c>
      <c r="H8453" s="9">
        <v>5.14</v>
      </c>
      <c r="I8453"/>
    </row>
    <row r="8454" spans="1:9" x14ac:dyDescent="0.3">
      <c r="A8454" t="s">
        <v>5</v>
      </c>
      <c r="B8454" t="s">
        <v>11</v>
      </c>
      <c r="C8454" t="s">
        <v>102</v>
      </c>
      <c r="D8454" s="9" t="s">
        <v>98</v>
      </c>
      <c r="E8454" t="s">
        <v>36</v>
      </c>
      <c r="F8454" t="s">
        <v>69</v>
      </c>
      <c r="G8454">
        <v>1113.9000000000001</v>
      </c>
      <c r="H8454" s="9">
        <v>-0.74</v>
      </c>
      <c r="I8454"/>
    </row>
    <row r="8455" spans="1:9" x14ac:dyDescent="0.3">
      <c r="A8455" t="s">
        <v>5</v>
      </c>
      <c r="B8455" t="s">
        <v>11</v>
      </c>
      <c r="C8455" t="s">
        <v>103</v>
      </c>
      <c r="D8455" s="9" t="s">
        <v>98</v>
      </c>
      <c r="E8455" t="s">
        <v>37</v>
      </c>
      <c r="F8455" t="s">
        <v>71</v>
      </c>
      <c r="G8455">
        <v>1073.5</v>
      </c>
      <c r="H8455" s="9">
        <v>0.73</v>
      </c>
      <c r="I8455"/>
    </row>
    <row r="8456" spans="1:9" x14ac:dyDescent="0.3">
      <c r="A8456" t="s">
        <v>5</v>
      </c>
      <c r="B8456" t="s">
        <v>11</v>
      </c>
      <c r="C8456" t="s">
        <v>104</v>
      </c>
      <c r="D8456" s="9" t="s">
        <v>98</v>
      </c>
      <c r="E8456" t="s">
        <v>38</v>
      </c>
      <c r="F8456" t="s">
        <v>73</v>
      </c>
      <c r="G8456">
        <v>1118.0999999999999</v>
      </c>
      <c r="H8456" s="9">
        <v>-0.19</v>
      </c>
      <c r="I8456"/>
    </row>
    <row r="8457" spans="1:9" x14ac:dyDescent="0.3">
      <c r="A8457" t="s">
        <v>5</v>
      </c>
      <c r="B8457" t="s">
        <v>11</v>
      </c>
      <c r="C8457" t="s">
        <v>105</v>
      </c>
      <c r="D8457" s="9" t="s">
        <v>98</v>
      </c>
      <c r="E8457" t="s">
        <v>39</v>
      </c>
      <c r="F8457" t="s">
        <v>75</v>
      </c>
      <c r="G8457">
        <v>1109.4000000000001</v>
      </c>
      <c r="H8457" s="9">
        <v>-1.3</v>
      </c>
      <c r="I8457"/>
    </row>
    <row r="8458" spans="1:9" x14ac:dyDescent="0.3">
      <c r="A8458" t="s">
        <v>5</v>
      </c>
      <c r="B8458" t="s">
        <v>11</v>
      </c>
      <c r="C8458" t="s">
        <v>106</v>
      </c>
      <c r="D8458" s="9" t="s">
        <v>98</v>
      </c>
      <c r="E8458" t="s">
        <v>40</v>
      </c>
      <c r="F8458" t="s">
        <v>77</v>
      </c>
      <c r="G8458">
        <v>1090.2</v>
      </c>
      <c r="H8458" s="9">
        <v>-0.66</v>
      </c>
      <c r="I8458"/>
    </row>
    <row r="8459" spans="1:9" x14ac:dyDescent="0.3">
      <c r="A8459" t="s">
        <v>5</v>
      </c>
      <c r="B8459" t="s">
        <v>11</v>
      </c>
      <c r="C8459" t="s">
        <v>107</v>
      </c>
      <c r="D8459" s="9" t="s">
        <v>98</v>
      </c>
      <c r="E8459" t="s">
        <v>41</v>
      </c>
      <c r="F8459" t="s">
        <v>79</v>
      </c>
      <c r="G8459">
        <v>1146.0999999999999</v>
      </c>
      <c r="H8459" s="9">
        <v>-1.27</v>
      </c>
      <c r="I8459"/>
    </row>
    <row r="8460" spans="1:9" x14ac:dyDescent="0.3">
      <c r="A8460" t="s">
        <v>5</v>
      </c>
      <c r="B8460" t="s">
        <v>11</v>
      </c>
      <c r="C8460" t="s">
        <v>108</v>
      </c>
      <c r="D8460" s="9" t="s">
        <v>98</v>
      </c>
      <c r="E8460" t="s">
        <v>42</v>
      </c>
      <c r="F8460" t="s">
        <v>81</v>
      </c>
      <c r="G8460">
        <v>1136.5</v>
      </c>
      <c r="H8460" s="9">
        <v>0.41</v>
      </c>
      <c r="I8460"/>
    </row>
    <row r="8461" spans="1:9" x14ac:dyDescent="0.3">
      <c r="A8461" t="s">
        <v>5</v>
      </c>
      <c r="B8461" t="s">
        <v>11</v>
      </c>
      <c r="C8461" t="s">
        <v>109</v>
      </c>
      <c r="D8461" s="9" t="s">
        <v>98</v>
      </c>
      <c r="E8461" t="s">
        <v>43</v>
      </c>
      <c r="F8461" t="s">
        <v>83</v>
      </c>
      <c r="G8461">
        <v>1292.4000000000001</v>
      </c>
      <c r="H8461" s="9">
        <v>1.94</v>
      </c>
      <c r="I8461"/>
    </row>
    <row r="8462" spans="1:9" x14ac:dyDescent="0.3">
      <c r="A8462" t="s">
        <v>5</v>
      </c>
      <c r="B8462" t="s">
        <v>11</v>
      </c>
      <c r="C8462" t="s">
        <v>110</v>
      </c>
      <c r="D8462" s="9" t="s">
        <v>111</v>
      </c>
      <c r="E8462" t="s">
        <v>32</v>
      </c>
      <c r="F8462" t="s">
        <v>61</v>
      </c>
      <c r="G8462">
        <v>1230</v>
      </c>
      <c r="H8462" s="9">
        <v>5.14</v>
      </c>
      <c r="I8462"/>
    </row>
    <row r="8463" spans="1:9" x14ac:dyDescent="0.3">
      <c r="A8463" t="s">
        <v>5</v>
      </c>
      <c r="B8463" t="s">
        <v>11</v>
      </c>
      <c r="C8463" t="s">
        <v>112</v>
      </c>
      <c r="D8463" s="9" t="s">
        <v>111</v>
      </c>
      <c r="E8463" t="s">
        <v>33</v>
      </c>
      <c r="F8463" t="s">
        <v>63</v>
      </c>
      <c r="G8463">
        <v>1036.8</v>
      </c>
      <c r="H8463" s="9">
        <v>1.01</v>
      </c>
      <c r="I8463"/>
    </row>
    <row r="8464" spans="1:9" x14ac:dyDescent="0.3">
      <c r="A8464" t="s">
        <v>5</v>
      </c>
      <c r="B8464" t="s">
        <v>11</v>
      </c>
      <c r="C8464" t="s">
        <v>113</v>
      </c>
      <c r="D8464" s="9" t="s">
        <v>111</v>
      </c>
      <c r="E8464" t="s">
        <v>34</v>
      </c>
      <c r="F8464" t="s">
        <v>65</v>
      </c>
      <c r="G8464">
        <v>1175.4000000000001</v>
      </c>
      <c r="H8464" s="9">
        <v>2.39</v>
      </c>
      <c r="I8464"/>
    </row>
    <row r="8465" spans="1:9" x14ac:dyDescent="0.3">
      <c r="A8465" t="s">
        <v>5</v>
      </c>
      <c r="B8465" t="s">
        <v>11</v>
      </c>
      <c r="C8465" t="s">
        <v>114</v>
      </c>
      <c r="D8465" s="9" t="s">
        <v>111</v>
      </c>
      <c r="E8465" t="s">
        <v>35</v>
      </c>
      <c r="F8465" t="s">
        <v>67</v>
      </c>
      <c r="G8465">
        <v>1170.5</v>
      </c>
      <c r="H8465" s="9">
        <v>6.74</v>
      </c>
      <c r="I8465"/>
    </row>
    <row r="8466" spans="1:9" x14ac:dyDescent="0.3">
      <c r="A8466" t="s">
        <v>5</v>
      </c>
      <c r="B8466" t="s">
        <v>11</v>
      </c>
      <c r="C8466" t="s">
        <v>115</v>
      </c>
      <c r="D8466" s="9" t="s">
        <v>111</v>
      </c>
      <c r="E8466" t="s">
        <v>36</v>
      </c>
      <c r="F8466" t="s">
        <v>69</v>
      </c>
      <c r="G8466">
        <v>1175.9000000000001</v>
      </c>
      <c r="H8466" s="9">
        <v>5.57</v>
      </c>
      <c r="I8466"/>
    </row>
    <row r="8467" spans="1:9" x14ac:dyDescent="0.3">
      <c r="A8467" t="s">
        <v>5</v>
      </c>
      <c r="B8467" t="s">
        <v>11</v>
      </c>
      <c r="C8467" t="s">
        <v>116</v>
      </c>
      <c r="D8467" s="9" t="s">
        <v>111</v>
      </c>
      <c r="E8467" t="s">
        <v>37</v>
      </c>
      <c r="F8467" t="s">
        <v>71</v>
      </c>
      <c r="G8467">
        <v>1131</v>
      </c>
      <c r="H8467" s="9">
        <v>5.36</v>
      </c>
      <c r="I8467"/>
    </row>
    <row r="8468" spans="1:9" x14ac:dyDescent="0.3">
      <c r="A8468" t="s">
        <v>5</v>
      </c>
      <c r="B8468" t="s">
        <v>11</v>
      </c>
      <c r="C8468" t="s">
        <v>117</v>
      </c>
      <c r="D8468" s="9" t="s">
        <v>111</v>
      </c>
      <c r="E8468" t="s">
        <v>38</v>
      </c>
      <c r="F8468" t="s">
        <v>73</v>
      </c>
      <c r="G8468">
        <v>1172.5</v>
      </c>
      <c r="H8468" s="9">
        <v>4.87</v>
      </c>
      <c r="I8468"/>
    </row>
    <row r="8469" spans="1:9" x14ac:dyDescent="0.3">
      <c r="A8469" t="s">
        <v>5</v>
      </c>
      <c r="B8469" t="s">
        <v>11</v>
      </c>
      <c r="C8469" t="s">
        <v>118</v>
      </c>
      <c r="D8469" s="9" t="s">
        <v>111</v>
      </c>
      <c r="E8469" t="s">
        <v>39</v>
      </c>
      <c r="F8469" t="s">
        <v>75</v>
      </c>
      <c r="G8469">
        <v>1184.4000000000001</v>
      </c>
      <c r="H8469" s="9">
        <v>6.76</v>
      </c>
      <c r="I8469"/>
    </row>
    <row r="8470" spans="1:9" x14ac:dyDescent="0.3">
      <c r="A8470" t="s">
        <v>5</v>
      </c>
      <c r="B8470" t="s">
        <v>11</v>
      </c>
      <c r="C8470" t="s">
        <v>119</v>
      </c>
      <c r="D8470" s="9" t="s">
        <v>111</v>
      </c>
      <c r="E8470" t="s">
        <v>40</v>
      </c>
      <c r="F8470" t="s">
        <v>77</v>
      </c>
      <c r="G8470">
        <v>1179.2</v>
      </c>
      <c r="H8470" s="9">
        <v>8.16</v>
      </c>
      <c r="I8470"/>
    </row>
    <row r="8471" spans="1:9" x14ac:dyDescent="0.3">
      <c r="A8471" t="s">
        <v>5</v>
      </c>
      <c r="B8471" t="s">
        <v>11</v>
      </c>
      <c r="C8471" t="s">
        <v>120</v>
      </c>
      <c r="D8471" s="9" t="s">
        <v>111</v>
      </c>
      <c r="E8471" t="s">
        <v>41</v>
      </c>
      <c r="F8471" t="s">
        <v>79</v>
      </c>
      <c r="G8471">
        <v>1241.2</v>
      </c>
      <c r="H8471" s="9">
        <v>8.3000000000000007</v>
      </c>
      <c r="I8471"/>
    </row>
    <row r="8472" spans="1:9" x14ac:dyDescent="0.3">
      <c r="A8472" t="s">
        <v>5</v>
      </c>
      <c r="B8472" t="s">
        <v>11</v>
      </c>
      <c r="C8472" t="s">
        <v>121</v>
      </c>
      <c r="D8472" s="9" t="s">
        <v>111</v>
      </c>
      <c r="E8472" t="s">
        <v>42</v>
      </c>
      <c r="F8472" t="s">
        <v>81</v>
      </c>
      <c r="G8472">
        <v>1224</v>
      </c>
      <c r="H8472" s="9">
        <v>7.7</v>
      </c>
      <c r="I8472"/>
    </row>
    <row r="8473" spans="1:9" x14ac:dyDescent="0.3">
      <c r="A8473" t="s">
        <v>5</v>
      </c>
      <c r="B8473" t="s">
        <v>11</v>
      </c>
      <c r="C8473" t="s">
        <v>122</v>
      </c>
      <c r="D8473" s="9" t="s">
        <v>111</v>
      </c>
      <c r="E8473" t="s">
        <v>43</v>
      </c>
      <c r="F8473" t="s">
        <v>83</v>
      </c>
      <c r="G8473">
        <v>1398.7</v>
      </c>
      <c r="H8473" s="9">
        <v>8.23</v>
      </c>
      <c r="I8473"/>
    </row>
    <row r="8474" spans="1:9" x14ac:dyDescent="0.3">
      <c r="A8474" t="s">
        <v>5</v>
      </c>
      <c r="B8474" t="s">
        <v>11</v>
      </c>
      <c r="C8474" t="s">
        <v>123</v>
      </c>
      <c r="D8474" s="9" t="s">
        <v>124</v>
      </c>
      <c r="E8474" t="s">
        <v>32</v>
      </c>
      <c r="F8474" t="s">
        <v>61</v>
      </c>
      <c r="G8474">
        <v>1240.7</v>
      </c>
      <c r="H8474" s="9">
        <v>0.87</v>
      </c>
      <c r="I8474"/>
    </row>
    <row r="8475" spans="1:9" x14ac:dyDescent="0.3">
      <c r="A8475" t="s">
        <v>5</v>
      </c>
      <c r="B8475" t="s">
        <v>11</v>
      </c>
      <c r="C8475" t="s">
        <v>125</v>
      </c>
      <c r="D8475" s="9" t="s">
        <v>124</v>
      </c>
      <c r="E8475" t="s">
        <v>33</v>
      </c>
      <c r="F8475" t="s">
        <v>63</v>
      </c>
      <c r="G8475">
        <v>1148</v>
      </c>
      <c r="H8475" s="9">
        <v>10.73</v>
      </c>
      <c r="I8475"/>
    </row>
    <row r="8476" spans="1:9" x14ac:dyDescent="0.3">
      <c r="A8476" t="s">
        <v>5</v>
      </c>
      <c r="B8476" t="s">
        <v>11</v>
      </c>
      <c r="C8476" t="s">
        <v>126</v>
      </c>
      <c r="D8476" s="9" t="s">
        <v>124</v>
      </c>
      <c r="E8476" t="s">
        <v>34</v>
      </c>
      <c r="F8476" t="s">
        <v>65</v>
      </c>
      <c r="G8476">
        <v>1268.3</v>
      </c>
      <c r="H8476" s="9">
        <v>7.9</v>
      </c>
      <c r="I8476"/>
    </row>
    <row r="8477" spans="1:9" x14ac:dyDescent="0.3">
      <c r="A8477" t="s">
        <v>5</v>
      </c>
      <c r="B8477" t="s">
        <v>11</v>
      </c>
      <c r="C8477" t="s">
        <v>127</v>
      </c>
      <c r="D8477" s="9" t="s">
        <v>124</v>
      </c>
      <c r="E8477" t="s">
        <v>35</v>
      </c>
      <c r="F8477" t="s">
        <v>67</v>
      </c>
      <c r="G8477">
        <v>1230.2</v>
      </c>
      <c r="H8477" s="9">
        <v>5.0999999999999996</v>
      </c>
      <c r="I8477"/>
    </row>
    <row r="8478" spans="1:9" x14ac:dyDescent="0.3">
      <c r="A8478" t="s">
        <v>5</v>
      </c>
      <c r="B8478" t="s">
        <v>11</v>
      </c>
      <c r="C8478" t="s">
        <v>128</v>
      </c>
      <c r="D8478" s="9" t="s">
        <v>124</v>
      </c>
      <c r="E8478" t="s">
        <v>36</v>
      </c>
      <c r="F8478" t="s">
        <v>69</v>
      </c>
      <c r="G8478">
        <v>1245.8</v>
      </c>
      <c r="H8478" s="9">
        <v>5.94</v>
      </c>
      <c r="I8478"/>
    </row>
    <row r="8479" spans="1:9" x14ac:dyDescent="0.3">
      <c r="A8479" t="s">
        <v>5</v>
      </c>
      <c r="B8479" t="s">
        <v>11</v>
      </c>
      <c r="C8479" t="s">
        <v>129</v>
      </c>
      <c r="D8479" s="9" t="s">
        <v>124</v>
      </c>
      <c r="E8479" t="s">
        <v>37</v>
      </c>
      <c r="F8479" t="s">
        <v>71</v>
      </c>
      <c r="G8479">
        <v>1198.4000000000001</v>
      </c>
      <c r="H8479" s="9">
        <v>5.96</v>
      </c>
      <c r="I8479"/>
    </row>
    <row r="8480" spans="1:9" x14ac:dyDescent="0.3">
      <c r="A8480" t="s">
        <v>5</v>
      </c>
      <c r="B8480" t="s">
        <v>11</v>
      </c>
      <c r="C8480" t="s">
        <v>130</v>
      </c>
      <c r="D8480" s="9" t="s">
        <v>124</v>
      </c>
      <c r="E8480" t="s">
        <v>38</v>
      </c>
      <c r="F8480" t="s">
        <v>73</v>
      </c>
      <c r="G8480">
        <v>1251.0999999999999</v>
      </c>
      <c r="H8480" s="9">
        <v>6.7</v>
      </c>
      <c r="I8480"/>
    </row>
    <row r="8481" spans="1:9" x14ac:dyDescent="0.3">
      <c r="A8481" t="s">
        <v>5</v>
      </c>
      <c r="B8481" t="s">
        <v>11</v>
      </c>
      <c r="C8481" t="s">
        <v>131</v>
      </c>
      <c r="D8481" s="9" t="s">
        <v>124</v>
      </c>
      <c r="E8481" t="s">
        <v>39</v>
      </c>
      <c r="F8481" t="s">
        <v>75</v>
      </c>
      <c r="G8481">
        <v>1250.3</v>
      </c>
      <c r="H8481" s="9">
        <v>5.56</v>
      </c>
      <c r="I8481"/>
    </row>
    <row r="8482" spans="1:9" x14ac:dyDescent="0.3">
      <c r="A8482" t="s">
        <v>5</v>
      </c>
      <c r="B8482" t="s">
        <v>11</v>
      </c>
      <c r="C8482" t="s">
        <v>132</v>
      </c>
      <c r="D8482" s="9" t="s">
        <v>124</v>
      </c>
      <c r="E8482" t="s">
        <v>40</v>
      </c>
      <c r="F8482" t="s">
        <v>77</v>
      </c>
      <c r="G8482">
        <v>1241.5999999999999</v>
      </c>
      <c r="H8482" s="9">
        <v>5.29</v>
      </c>
      <c r="I8482"/>
    </row>
    <row r="8483" spans="1:9" x14ac:dyDescent="0.3">
      <c r="A8483" t="s">
        <v>5</v>
      </c>
      <c r="B8483" t="s">
        <v>11</v>
      </c>
      <c r="C8483" t="s">
        <v>133</v>
      </c>
      <c r="D8483" s="9" t="s">
        <v>124</v>
      </c>
      <c r="E8483" t="s">
        <v>41</v>
      </c>
      <c r="F8483" t="s">
        <v>79</v>
      </c>
      <c r="G8483">
        <v>1291.8</v>
      </c>
      <c r="H8483" s="9">
        <v>4.08</v>
      </c>
      <c r="I8483"/>
    </row>
    <row r="8484" spans="1:9" x14ac:dyDescent="0.3">
      <c r="A8484" t="s">
        <v>5</v>
      </c>
      <c r="B8484" t="s">
        <v>11</v>
      </c>
      <c r="C8484" t="s">
        <v>134</v>
      </c>
      <c r="D8484" s="9" t="s">
        <v>124</v>
      </c>
      <c r="E8484" t="s">
        <v>42</v>
      </c>
      <c r="F8484" t="s">
        <v>81</v>
      </c>
      <c r="G8484">
        <v>1286.5999999999999</v>
      </c>
      <c r="H8484" s="9">
        <v>5.1100000000000003</v>
      </c>
      <c r="I8484"/>
    </row>
    <row r="8485" spans="1:9" x14ac:dyDescent="0.3">
      <c r="A8485" t="s">
        <v>5</v>
      </c>
      <c r="B8485" t="s">
        <v>11</v>
      </c>
      <c r="C8485" t="s">
        <v>135</v>
      </c>
      <c r="D8485" s="9" t="s">
        <v>124</v>
      </c>
      <c r="E8485" t="s">
        <v>43</v>
      </c>
      <c r="F8485" t="s">
        <v>83</v>
      </c>
      <c r="G8485">
        <v>1424.2</v>
      </c>
      <c r="H8485" s="9">
        <v>1.82</v>
      </c>
      <c r="I8485"/>
    </row>
    <row r="8486" spans="1:9" x14ac:dyDescent="0.3">
      <c r="A8486" t="s">
        <v>5</v>
      </c>
      <c r="B8486" t="s">
        <v>11</v>
      </c>
      <c r="C8486" t="s">
        <v>136</v>
      </c>
      <c r="D8486" s="9" t="s">
        <v>137</v>
      </c>
      <c r="E8486" t="s">
        <v>32</v>
      </c>
      <c r="F8486" t="s">
        <v>61</v>
      </c>
      <c r="G8486">
        <v>1269.8</v>
      </c>
      <c r="H8486" s="9">
        <v>2.35</v>
      </c>
      <c r="I8486"/>
    </row>
    <row r="8487" spans="1:9" x14ac:dyDescent="0.3">
      <c r="A8487" t="s">
        <v>5</v>
      </c>
      <c r="B8487" t="s">
        <v>11</v>
      </c>
      <c r="C8487" t="s">
        <v>138</v>
      </c>
      <c r="D8487" s="9" t="s">
        <v>137</v>
      </c>
      <c r="E8487" t="s">
        <v>33</v>
      </c>
      <c r="F8487" t="s">
        <v>63</v>
      </c>
      <c r="G8487">
        <v>1223.5999999999999</v>
      </c>
      <c r="H8487" s="9">
        <v>6.59</v>
      </c>
      <c r="I8487"/>
    </row>
    <row r="8488" spans="1:9" x14ac:dyDescent="0.3">
      <c r="A8488" t="s">
        <v>5</v>
      </c>
      <c r="B8488" t="s">
        <v>11</v>
      </c>
      <c r="C8488" t="s">
        <v>139</v>
      </c>
      <c r="D8488" s="9" t="s">
        <v>137</v>
      </c>
      <c r="E8488" t="s">
        <v>34</v>
      </c>
      <c r="F8488" t="s">
        <v>65</v>
      </c>
      <c r="G8488">
        <v>1328</v>
      </c>
      <c r="H8488" s="9">
        <v>4.71</v>
      </c>
      <c r="I8488"/>
    </row>
    <row r="8489" spans="1:9" x14ac:dyDescent="0.3">
      <c r="A8489" t="s">
        <v>5</v>
      </c>
      <c r="B8489" t="s">
        <v>11</v>
      </c>
      <c r="C8489" t="s">
        <v>140</v>
      </c>
      <c r="D8489" s="9" t="s">
        <v>137</v>
      </c>
      <c r="E8489" t="s">
        <v>35</v>
      </c>
      <c r="F8489" t="s">
        <v>67</v>
      </c>
      <c r="G8489">
        <v>1240</v>
      </c>
      <c r="H8489" s="9">
        <v>0.8</v>
      </c>
      <c r="I8489"/>
    </row>
    <row r="8490" spans="1:9" x14ac:dyDescent="0.3">
      <c r="A8490" t="s">
        <v>5</v>
      </c>
      <c r="B8490" t="s">
        <v>11</v>
      </c>
      <c r="C8490" t="s">
        <v>141</v>
      </c>
      <c r="D8490" s="9" t="s">
        <v>137</v>
      </c>
      <c r="E8490" t="s">
        <v>36</v>
      </c>
      <c r="F8490" t="s">
        <v>69</v>
      </c>
      <c r="G8490">
        <v>1302.2</v>
      </c>
      <c r="H8490" s="9">
        <v>4.53</v>
      </c>
      <c r="I8490"/>
    </row>
    <row r="8491" spans="1:9" x14ac:dyDescent="0.3">
      <c r="A8491" t="s">
        <v>5</v>
      </c>
      <c r="B8491" t="s">
        <v>11</v>
      </c>
      <c r="C8491" t="s">
        <v>142</v>
      </c>
      <c r="D8491" s="9" t="s">
        <v>137</v>
      </c>
      <c r="E8491" t="s">
        <v>37</v>
      </c>
      <c r="F8491" t="s">
        <v>71</v>
      </c>
      <c r="G8491">
        <v>1242.5</v>
      </c>
      <c r="H8491" s="9">
        <v>3.68</v>
      </c>
      <c r="I8491"/>
    </row>
    <row r="8492" spans="1:9" x14ac:dyDescent="0.3">
      <c r="A8492" t="s">
        <v>5</v>
      </c>
      <c r="B8492" t="s">
        <v>11</v>
      </c>
      <c r="C8492" t="s">
        <v>143</v>
      </c>
      <c r="D8492" s="9" t="s">
        <v>137</v>
      </c>
      <c r="E8492" t="s">
        <v>38</v>
      </c>
      <c r="F8492" t="s">
        <v>73</v>
      </c>
      <c r="G8492">
        <v>1295.2</v>
      </c>
      <c r="H8492" s="9">
        <v>3.52</v>
      </c>
      <c r="I8492"/>
    </row>
    <row r="8493" spans="1:9" x14ac:dyDescent="0.3">
      <c r="A8493" t="s">
        <v>5</v>
      </c>
      <c r="B8493" t="s">
        <v>11</v>
      </c>
      <c r="C8493" t="s">
        <v>144</v>
      </c>
      <c r="D8493" s="9" t="s">
        <v>137</v>
      </c>
      <c r="E8493" t="s">
        <v>39</v>
      </c>
      <c r="F8493" t="s">
        <v>75</v>
      </c>
      <c r="G8493">
        <v>1329.6</v>
      </c>
      <c r="H8493" s="9">
        <v>6.34</v>
      </c>
      <c r="I8493"/>
    </row>
    <row r="8494" spans="1:9" x14ac:dyDescent="0.3">
      <c r="A8494" t="s">
        <v>5</v>
      </c>
      <c r="B8494" t="s">
        <v>11</v>
      </c>
      <c r="C8494" t="s">
        <v>145</v>
      </c>
      <c r="D8494" s="9" t="s">
        <v>137</v>
      </c>
      <c r="E8494" t="s">
        <v>40</v>
      </c>
      <c r="F8494" t="s">
        <v>77</v>
      </c>
      <c r="G8494">
        <v>1271.5999999999999</v>
      </c>
      <c r="H8494" s="9">
        <v>2.42</v>
      </c>
      <c r="I8494"/>
    </row>
    <row r="8495" spans="1:9" x14ac:dyDescent="0.3">
      <c r="A8495" t="s">
        <v>5</v>
      </c>
      <c r="B8495" t="s">
        <v>11</v>
      </c>
      <c r="C8495" t="s">
        <v>146</v>
      </c>
      <c r="D8495" s="9" t="s">
        <v>137</v>
      </c>
      <c r="E8495" t="s">
        <v>41</v>
      </c>
      <c r="F8495" t="s">
        <v>79</v>
      </c>
      <c r="G8495">
        <v>1350.2</v>
      </c>
      <c r="H8495" s="9">
        <v>4.5199999999999996</v>
      </c>
      <c r="I8495"/>
    </row>
    <row r="8496" spans="1:9" x14ac:dyDescent="0.3">
      <c r="A8496" t="s">
        <v>5</v>
      </c>
      <c r="B8496" t="s">
        <v>11</v>
      </c>
      <c r="C8496" t="s">
        <v>147</v>
      </c>
      <c r="D8496" s="9" t="s">
        <v>137</v>
      </c>
      <c r="E8496" t="s">
        <v>42</v>
      </c>
      <c r="F8496" t="s">
        <v>81</v>
      </c>
      <c r="G8496">
        <v>1343</v>
      </c>
      <c r="H8496" s="9">
        <v>4.38</v>
      </c>
      <c r="I8496"/>
    </row>
    <row r="8497" spans="1:9" x14ac:dyDescent="0.3">
      <c r="A8497" t="s">
        <v>5</v>
      </c>
      <c r="B8497" t="s">
        <v>11</v>
      </c>
      <c r="C8497" t="s">
        <v>148</v>
      </c>
      <c r="D8497" s="9" t="s">
        <v>137</v>
      </c>
      <c r="E8497" t="s">
        <v>43</v>
      </c>
      <c r="F8497" t="s">
        <v>83</v>
      </c>
      <c r="G8497">
        <v>1479.3</v>
      </c>
      <c r="H8497" s="9">
        <v>3.87</v>
      </c>
      <c r="I8497"/>
    </row>
    <row r="8498" spans="1:9" x14ac:dyDescent="0.3">
      <c r="A8498" t="s">
        <v>5</v>
      </c>
      <c r="B8498" t="s">
        <v>11</v>
      </c>
      <c r="C8498" t="s">
        <v>149</v>
      </c>
      <c r="D8498" s="9" t="s">
        <v>150</v>
      </c>
      <c r="E8498" t="s">
        <v>32</v>
      </c>
      <c r="F8498" t="s">
        <v>61</v>
      </c>
      <c r="G8498">
        <v>1329.8</v>
      </c>
      <c r="H8498" s="9">
        <v>4.7300000000000004</v>
      </c>
      <c r="I8498"/>
    </row>
    <row r="8499" spans="1:9" x14ac:dyDescent="0.3">
      <c r="A8499" t="s">
        <v>5</v>
      </c>
      <c r="B8499" t="s">
        <v>11</v>
      </c>
      <c r="C8499" t="s">
        <v>151</v>
      </c>
      <c r="D8499" s="9" t="s">
        <v>150</v>
      </c>
      <c r="E8499" t="s">
        <v>33</v>
      </c>
      <c r="F8499" t="s">
        <v>63</v>
      </c>
      <c r="G8499">
        <v>1243.4000000000001</v>
      </c>
      <c r="H8499" s="9">
        <v>1.62</v>
      </c>
      <c r="I8499"/>
    </row>
    <row r="8500" spans="1:9" x14ac:dyDescent="0.3">
      <c r="A8500" t="s">
        <v>5</v>
      </c>
      <c r="B8500" t="s">
        <v>11</v>
      </c>
      <c r="C8500" t="s">
        <v>152</v>
      </c>
      <c r="D8500" s="9" t="s">
        <v>150</v>
      </c>
      <c r="E8500" t="s">
        <v>34</v>
      </c>
      <c r="F8500" t="s">
        <v>65</v>
      </c>
      <c r="G8500">
        <v>1373.4</v>
      </c>
      <c r="H8500" s="9">
        <v>3.42</v>
      </c>
      <c r="I8500"/>
    </row>
    <row r="8501" spans="1:9" x14ac:dyDescent="0.3">
      <c r="A8501" t="s">
        <v>5</v>
      </c>
      <c r="B8501" t="s">
        <v>11</v>
      </c>
      <c r="C8501" t="s">
        <v>153</v>
      </c>
      <c r="D8501" s="9" t="s">
        <v>150</v>
      </c>
      <c r="E8501" t="s">
        <v>35</v>
      </c>
      <c r="F8501" t="s">
        <v>67</v>
      </c>
      <c r="G8501">
        <v>1322.7</v>
      </c>
      <c r="H8501" s="9">
        <v>6.67</v>
      </c>
      <c r="I8501"/>
    </row>
    <row r="8502" spans="1:9" x14ac:dyDescent="0.3">
      <c r="A8502" t="s">
        <v>5</v>
      </c>
      <c r="B8502" t="s">
        <v>11</v>
      </c>
      <c r="C8502" t="s">
        <v>154</v>
      </c>
      <c r="D8502" s="9" t="s">
        <v>150</v>
      </c>
      <c r="E8502" t="s">
        <v>36</v>
      </c>
      <c r="F8502" t="s">
        <v>69</v>
      </c>
      <c r="G8502">
        <v>1367.5</v>
      </c>
      <c r="H8502" s="9">
        <v>5.01</v>
      </c>
      <c r="I8502"/>
    </row>
    <row r="8503" spans="1:9" x14ac:dyDescent="0.3">
      <c r="A8503" t="s">
        <v>5</v>
      </c>
      <c r="B8503" t="s">
        <v>11</v>
      </c>
      <c r="C8503" t="s">
        <v>155</v>
      </c>
      <c r="D8503" s="9" t="s">
        <v>150</v>
      </c>
      <c r="E8503" t="s">
        <v>37</v>
      </c>
      <c r="F8503" t="s">
        <v>71</v>
      </c>
      <c r="G8503">
        <v>1289</v>
      </c>
      <c r="H8503" s="9">
        <v>3.74</v>
      </c>
      <c r="I8503"/>
    </row>
    <row r="8504" spans="1:9" x14ac:dyDescent="0.3">
      <c r="A8504" t="s">
        <v>5</v>
      </c>
      <c r="B8504" t="s">
        <v>18</v>
      </c>
      <c r="C8504" t="s">
        <v>59</v>
      </c>
      <c r="D8504" s="9" t="s">
        <v>60</v>
      </c>
      <c r="E8504" t="s">
        <v>32</v>
      </c>
      <c r="F8504" t="s">
        <v>61</v>
      </c>
      <c r="G8504">
        <v>177.1</v>
      </c>
      <c r="I8504"/>
    </row>
    <row r="8505" spans="1:9" x14ac:dyDescent="0.3">
      <c r="A8505" t="s">
        <v>5</v>
      </c>
      <c r="B8505" t="s">
        <v>18</v>
      </c>
      <c r="C8505" t="s">
        <v>62</v>
      </c>
      <c r="D8505" s="9" t="s">
        <v>60</v>
      </c>
      <c r="E8505" t="s">
        <v>33</v>
      </c>
      <c r="F8505" t="s">
        <v>63</v>
      </c>
      <c r="G8505">
        <v>157.5</v>
      </c>
      <c r="I8505"/>
    </row>
    <row r="8506" spans="1:9" x14ac:dyDescent="0.3">
      <c r="A8506" t="s">
        <v>5</v>
      </c>
      <c r="B8506" t="s">
        <v>18</v>
      </c>
      <c r="C8506" t="s">
        <v>64</v>
      </c>
      <c r="D8506" s="9" t="s">
        <v>60</v>
      </c>
      <c r="E8506" t="s">
        <v>34</v>
      </c>
      <c r="F8506" t="s">
        <v>65</v>
      </c>
      <c r="G8506">
        <v>174.7</v>
      </c>
      <c r="I8506"/>
    </row>
    <row r="8507" spans="1:9" x14ac:dyDescent="0.3">
      <c r="A8507" t="s">
        <v>5</v>
      </c>
      <c r="B8507" t="s">
        <v>18</v>
      </c>
      <c r="C8507" t="s">
        <v>66</v>
      </c>
      <c r="D8507" s="9" t="s">
        <v>60</v>
      </c>
      <c r="E8507" t="s">
        <v>35</v>
      </c>
      <c r="F8507" t="s">
        <v>67</v>
      </c>
      <c r="G8507">
        <v>172.3</v>
      </c>
      <c r="I8507"/>
    </row>
    <row r="8508" spans="1:9" x14ac:dyDescent="0.3">
      <c r="A8508" t="s">
        <v>5</v>
      </c>
      <c r="B8508" t="s">
        <v>18</v>
      </c>
      <c r="C8508" t="s">
        <v>68</v>
      </c>
      <c r="D8508" s="9" t="s">
        <v>60</v>
      </c>
      <c r="E8508" t="s">
        <v>36</v>
      </c>
      <c r="F8508" t="s">
        <v>69</v>
      </c>
      <c r="G8508">
        <v>167.2</v>
      </c>
      <c r="I8508"/>
    </row>
    <row r="8509" spans="1:9" x14ac:dyDescent="0.3">
      <c r="A8509" t="s">
        <v>5</v>
      </c>
      <c r="B8509" t="s">
        <v>18</v>
      </c>
      <c r="C8509" t="s">
        <v>70</v>
      </c>
      <c r="D8509" s="9" t="s">
        <v>60</v>
      </c>
      <c r="E8509" t="s">
        <v>37</v>
      </c>
      <c r="F8509" t="s">
        <v>71</v>
      </c>
      <c r="G8509">
        <v>167.4</v>
      </c>
      <c r="I8509"/>
    </row>
    <row r="8510" spans="1:9" x14ac:dyDescent="0.3">
      <c r="A8510" t="s">
        <v>5</v>
      </c>
      <c r="B8510" t="s">
        <v>18</v>
      </c>
      <c r="C8510" t="s">
        <v>72</v>
      </c>
      <c r="D8510" s="9" t="s">
        <v>60</v>
      </c>
      <c r="E8510" t="s">
        <v>38</v>
      </c>
      <c r="F8510" t="s">
        <v>73</v>
      </c>
      <c r="G8510">
        <v>176.3</v>
      </c>
      <c r="I8510"/>
    </row>
    <row r="8511" spans="1:9" x14ac:dyDescent="0.3">
      <c r="A8511" t="s">
        <v>5</v>
      </c>
      <c r="B8511" t="s">
        <v>18</v>
      </c>
      <c r="C8511" t="s">
        <v>74</v>
      </c>
      <c r="D8511" s="9" t="s">
        <v>60</v>
      </c>
      <c r="E8511" t="s">
        <v>39</v>
      </c>
      <c r="F8511" t="s">
        <v>75</v>
      </c>
      <c r="G8511">
        <v>178.1</v>
      </c>
      <c r="I8511"/>
    </row>
    <row r="8512" spans="1:9" x14ac:dyDescent="0.3">
      <c r="A8512" t="s">
        <v>5</v>
      </c>
      <c r="B8512" t="s">
        <v>18</v>
      </c>
      <c r="C8512" t="s">
        <v>76</v>
      </c>
      <c r="D8512" s="9" t="s">
        <v>60</v>
      </c>
      <c r="E8512" t="s">
        <v>40</v>
      </c>
      <c r="F8512" t="s">
        <v>77</v>
      </c>
      <c r="G8512">
        <v>180.5</v>
      </c>
      <c r="I8512"/>
    </row>
    <row r="8513" spans="1:9" x14ac:dyDescent="0.3">
      <c r="A8513" t="s">
        <v>5</v>
      </c>
      <c r="B8513" t="s">
        <v>18</v>
      </c>
      <c r="C8513" t="s">
        <v>78</v>
      </c>
      <c r="D8513" s="9" t="s">
        <v>60</v>
      </c>
      <c r="E8513" t="s">
        <v>41</v>
      </c>
      <c r="F8513" t="s">
        <v>79</v>
      </c>
      <c r="G8513">
        <v>191.8</v>
      </c>
      <c r="I8513"/>
    </row>
    <row r="8514" spans="1:9" x14ac:dyDescent="0.3">
      <c r="A8514" t="s">
        <v>5</v>
      </c>
      <c r="B8514" t="s">
        <v>18</v>
      </c>
      <c r="C8514" t="s">
        <v>80</v>
      </c>
      <c r="D8514" s="9" t="s">
        <v>60</v>
      </c>
      <c r="E8514" t="s">
        <v>42</v>
      </c>
      <c r="F8514" t="s">
        <v>81</v>
      </c>
      <c r="G8514">
        <v>188.9</v>
      </c>
      <c r="I8514"/>
    </row>
    <row r="8515" spans="1:9" x14ac:dyDescent="0.3">
      <c r="A8515" t="s">
        <v>5</v>
      </c>
      <c r="B8515" t="s">
        <v>18</v>
      </c>
      <c r="C8515" t="s">
        <v>82</v>
      </c>
      <c r="D8515" s="9" t="s">
        <v>60</v>
      </c>
      <c r="E8515" t="s">
        <v>43</v>
      </c>
      <c r="F8515" t="s">
        <v>83</v>
      </c>
      <c r="G8515">
        <v>201.5</v>
      </c>
      <c r="I8515"/>
    </row>
    <row r="8516" spans="1:9" x14ac:dyDescent="0.3">
      <c r="A8516" t="s">
        <v>5</v>
      </c>
      <c r="B8516" t="s">
        <v>18</v>
      </c>
      <c r="C8516" t="s">
        <v>84</v>
      </c>
      <c r="D8516" s="9" t="s">
        <v>85</v>
      </c>
      <c r="E8516" t="s">
        <v>32</v>
      </c>
      <c r="F8516" t="s">
        <v>61</v>
      </c>
      <c r="G8516">
        <v>191.5</v>
      </c>
      <c r="H8516" s="9">
        <v>8.1300000000000008</v>
      </c>
      <c r="I8516"/>
    </row>
    <row r="8517" spans="1:9" x14ac:dyDescent="0.3">
      <c r="A8517" t="s">
        <v>5</v>
      </c>
      <c r="B8517" t="s">
        <v>18</v>
      </c>
      <c r="C8517" t="s">
        <v>86</v>
      </c>
      <c r="D8517" s="9" t="s">
        <v>85</v>
      </c>
      <c r="E8517" t="s">
        <v>33</v>
      </c>
      <c r="F8517" t="s">
        <v>63</v>
      </c>
      <c r="G8517">
        <v>176.1</v>
      </c>
      <c r="H8517" s="9">
        <v>11.81</v>
      </c>
      <c r="I8517"/>
    </row>
    <row r="8518" spans="1:9" x14ac:dyDescent="0.3">
      <c r="A8518" t="s">
        <v>5</v>
      </c>
      <c r="B8518" t="s">
        <v>18</v>
      </c>
      <c r="C8518" t="s">
        <v>87</v>
      </c>
      <c r="D8518" s="9" t="s">
        <v>85</v>
      </c>
      <c r="E8518" t="s">
        <v>34</v>
      </c>
      <c r="F8518" t="s">
        <v>65</v>
      </c>
      <c r="G8518">
        <v>171.2</v>
      </c>
      <c r="H8518" s="9">
        <v>-2</v>
      </c>
      <c r="I8518"/>
    </row>
    <row r="8519" spans="1:9" x14ac:dyDescent="0.3">
      <c r="A8519" t="s">
        <v>5</v>
      </c>
      <c r="B8519" t="s">
        <v>18</v>
      </c>
      <c r="C8519" t="s">
        <v>88</v>
      </c>
      <c r="D8519" s="9" t="s">
        <v>85</v>
      </c>
      <c r="E8519" t="s">
        <v>35</v>
      </c>
      <c r="F8519" t="s">
        <v>67</v>
      </c>
      <c r="G8519">
        <v>157.6</v>
      </c>
      <c r="H8519" s="9">
        <v>-8.5299999999999994</v>
      </c>
      <c r="I8519"/>
    </row>
    <row r="8520" spans="1:9" x14ac:dyDescent="0.3">
      <c r="A8520" t="s">
        <v>5</v>
      </c>
      <c r="B8520" t="s">
        <v>18</v>
      </c>
      <c r="C8520" t="s">
        <v>89</v>
      </c>
      <c r="D8520" s="9" t="s">
        <v>85</v>
      </c>
      <c r="E8520" t="s">
        <v>36</v>
      </c>
      <c r="F8520" t="s">
        <v>69</v>
      </c>
      <c r="G8520">
        <v>191.9</v>
      </c>
      <c r="H8520" s="9">
        <v>14.77</v>
      </c>
      <c r="I8520"/>
    </row>
    <row r="8521" spans="1:9" x14ac:dyDescent="0.3">
      <c r="A8521" t="s">
        <v>5</v>
      </c>
      <c r="B8521" t="s">
        <v>18</v>
      </c>
      <c r="C8521" t="s">
        <v>90</v>
      </c>
      <c r="D8521" s="9" t="s">
        <v>85</v>
      </c>
      <c r="E8521" t="s">
        <v>37</v>
      </c>
      <c r="F8521" t="s">
        <v>71</v>
      </c>
      <c r="G8521">
        <v>199.6</v>
      </c>
      <c r="H8521" s="9">
        <v>19.239999999999998</v>
      </c>
      <c r="I8521"/>
    </row>
    <row r="8522" spans="1:9" x14ac:dyDescent="0.3">
      <c r="A8522" t="s">
        <v>5</v>
      </c>
      <c r="B8522" t="s">
        <v>18</v>
      </c>
      <c r="C8522" t="s">
        <v>91</v>
      </c>
      <c r="D8522" s="9" t="s">
        <v>85</v>
      </c>
      <c r="E8522" t="s">
        <v>38</v>
      </c>
      <c r="F8522" t="s">
        <v>73</v>
      </c>
      <c r="G8522">
        <v>222</v>
      </c>
      <c r="H8522" s="9">
        <v>25.92</v>
      </c>
      <c r="I8522"/>
    </row>
    <row r="8523" spans="1:9" x14ac:dyDescent="0.3">
      <c r="A8523" t="s">
        <v>5</v>
      </c>
      <c r="B8523" t="s">
        <v>18</v>
      </c>
      <c r="C8523" t="s">
        <v>92</v>
      </c>
      <c r="D8523" s="9" t="s">
        <v>85</v>
      </c>
      <c r="E8523" t="s">
        <v>39</v>
      </c>
      <c r="F8523" t="s">
        <v>75</v>
      </c>
      <c r="G8523">
        <v>224.5</v>
      </c>
      <c r="H8523" s="9">
        <v>26.05</v>
      </c>
      <c r="I8523"/>
    </row>
    <row r="8524" spans="1:9" x14ac:dyDescent="0.3">
      <c r="A8524" t="s">
        <v>5</v>
      </c>
      <c r="B8524" t="s">
        <v>18</v>
      </c>
      <c r="C8524" t="s">
        <v>93</v>
      </c>
      <c r="D8524" s="9" t="s">
        <v>85</v>
      </c>
      <c r="E8524" t="s">
        <v>40</v>
      </c>
      <c r="F8524" t="s">
        <v>77</v>
      </c>
      <c r="G8524">
        <v>220.3</v>
      </c>
      <c r="H8524" s="9">
        <v>22.05</v>
      </c>
      <c r="I8524"/>
    </row>
    <row r="8525" spans="1:9" x14ac:dyDescent="0.3">
      <c r="A8525" t="s">
        <v>5</v>
      </c>
      <c r="B8525" t="s">
        <v>18</v>
      </c>
      <c r="C8525" t="s">
        <v>94</v>
      </c>
      <c r="D8525" s="9" t="s">
        <v>85</v>
      </c>
      <c r="E8525" t="s">
        <v>41</v>
      </c>
      <c r="F8525" t="s">
        <v>79</v>
      </c>
      <c r="G8525">
        <v>238.6</v>
      </c>
      <c r="H8525" s="9">
        <v>24.4</v>
      </c>
      <c r="I8525"/>
    </row>
    <row r="8526" spans="1:9" x14ac:dyDescent="0.3">
      <c r="A8526" t="s">
        <v>5</v>
      </c>
      <c r="B8526" t="s">
        <v>18</v>
      </c>
      <c r="C8526" t="s">
        <v>95</v>
      </c>
      <c r="D8526" s="9" t="s">
        <v>85</v>
      </c>
      <c r="E8526" t="s">
        <v>42</v>
      </c>
      <c r="F8526" t="s">
        <v>81</v>
      </c>
      <c r="G8526">
        <v>226.9</v>
      </c>
      <c r="H8526" s="9">
        <v>20.12</v>
      </c>
      <c r="I8526"/>
    </row>
    <row r="8527" spans="1:9" x14ac:dyDescent="0.3">
      <c r="A8527" t="s">
        <v>5</v>
      </c>
      <c r="B8527" t="s">
        <v>18</v>
      </c>
      <c r="C8527" t="s">
        <v>96</v>
      </c>
      <c r="D8527" s="9" t="s">
        <v>85</v>
      </c>
      <c r="E8527" t="s">
        <v>43</v>
      </c>
      <c r="F8527" t="s">
        <v>83</v>
      </c>
      <c r="G8527">
        <v>242.6</v>
      </c>
      <c r="H8527" s="9">
        <v>20.399999999999999</v>
      </c>
      <c r="I8527"/>
    </row>
    <row r="8528" spans="1:9" x14ac:dyDescent="0.3">
      <c r="A8528" t="s">
        <v>5</v>
      </c>
      <c r="B8528" t="s">
        <v>18</v>
      </c>
      <c r="C8528" t="s">
        <v>97</v>
      </c>
      <c r="D8528" s="9" t="s">
        <v>98</v>
      </c>
      <c r="E8528" t="s">
        <v>32</v>
      </c>
      <c r="F8528" t="s">
        <v>61</v>
      </c>
      <c r="G8528">
        <v>232</v>
      </c>
      <c r="H8528" s="9">
        <v>21.15</v>
      </c>
      <c r="I8528"/>
    </row>
    <row r="8529" spans="1:9" x14ac:dyDescent="0.3">
      <c r="A8529" t="s">
        <v>5</v>
      </c>
      <c r="B8529" t="s">
        <v>18</v>
      </c>
      <c r="C8529" t="s">
        <v>99</v>
      </c>
      <c r="D8529" s="9" t="s">
        <v>98</v>
      </c>
      <c r="E8529" t="s">
        <v>33</v>
      </c>
      <c r="F8529" t="s">
        <v>63</v>
      </c>
      <c r="G8529">
        <v>195.2</v>
      </c>
      <c r="H8529" s="9">
        <v>10.85</v>
      </c>
      <c r="I8529"/>
    </row>
    <row r="8530" spans="1:9" x14ac:dyDescent="0.3">
      <c r="A8530" t="s">
        <v>5</v>
      </c>
      <c r="B8530" t="s">
        <v>18</v>
      </c>
      <c r="C8530" t="s">
        <v>100</v>
      </c>
      <c r="D8530" s="9" t="s">
        <v>98</v>
      </c>
      <c r="E8530" t="s">
        <v>34</v>
      </c>
      <c r="F8530" t="s">
        <v>65</v>
      </c>
      <c r="G8530">
        <v>233.6</v>
      </c>
      <c r="H8530" s="9">
        <v>36.450000000000003</v>
      </c>
      <c r="I8530"/>
    </row>
    <row r="8531" spans="1:9" x14ac:dyDescent="0.3">
      <c r="A8531" t="s">
        <v>5</v>
      </c>
      <c r="B8531" t="s">
        <v>18</v>
      </c>
      <c r="C8531" t="s">
        <v>101</v>
      </c>
      <c r="D8531" s="9" t="s">
        <v>98</v>
      </c>
      <c r="E8531" t="s">
        <v>35</v>
      </c>
      <c r="F8531" t="s">
        <v>67</v>
      </c>
      <c r="G8531">
        <v>230.8</v>
      </c>
      <c r="H8531" s="9">
        <v>46.45</v>
      </c>
      <c r="I8531"/>
    </row>
    <row r="8532" spans="1:9" x14ac:dyDescent="0.3">
      <c r="A8532" t="s">
        <v>5</v>
      </c>
      <c r="B8532" t="s">
        <v>18</v>
      </c>
      <c r="C8532" t="s">
        <v>102</v>
      </c>
      <c r="D8532" s="9" t="s">
        <v>98</v>
      </c>
      <c r="E8532" t="s">
        <v>36</v>
      </c>
      <c r="F8532" t="s">
        <v>69</v>
      </c>
      <c r="G8532">
        <v>226.8</v>
      </c>
      <c r="H8532" s="9">
        <v>18.190000000000001</v>
      </c>
      <c r="I8532"/>
    </row>
    <row r="8533" spans="1:9" x14ac:dyDescent="0.3">
      <c r="A8533" t="s">
        <v>5</v>
      </c>
      <c r="B8533" t="s">
        <v>18</v>
      </c>
      <c r="C8533" t="s">
        <v>103</v>
      </c>
      <c r="D8533" s="9" t="s">
        <v>98</v>
      </c>
      <c r="E8533" t="s">
        <v>37</v>
      </c>
      <c r="F8533" t="s">
        <v>71</v>
      </c>
      <c r="G8533">
        <v>224.3</v>
      </c>
      <c r="H8533" s="9">
        <v>12.37</v>
      </c>
      <c r="I8533"/>
    </row>
    <row r="8534" spans="1:9" x14ac:dyDescent="0.3">
      <c r="A8534" t="s">
        <v>5</v>
      </c>
      <c r="B8534" t="s">
        <v>18</v>
      </c>
      <c r="C8534" t="s">
        <v>104</v>
      </c>
      <c r="D8534" s="9" t="s">
        <v>98</v>
      </c>
      <c r="E8534" t="s">
        <v>38</v>
      </c>
      <c r="F8534" t="s">
        <v>73</v>
      </c>
      <c r="G8534">
        <v>252.8</v>
      </c>
      <c r="H8534" s="9">
        <v>13.87</v>
      </c>
      <c r="I8534"/>
    </row>
    <row r="8535" spans="1:9" x14ac:dyDescent="0.3">
      <c r="A8535" t="s">
        <v>5</v>
      </c>
      <c r="B8535" t="s">
        <v>18</v>
      </c>
      <c r="C8535" t="s">
        <v>105</v>
      </c>
      <c r="D8535" s="9" t="s">
        <v>98</v>
      </c>
      <c r="E8535" t="s">
        <v>39</v>
      </c>
      <c r="F8535" t="s">
        <v>75</v>
      </c>
      <c r="G8535">
        <v>250.6</v>
      </c>
      <c r="H8535" s="9">
        <v>11.63</v>
      </c>
      <c r="I8535"/>
    </row>
    <row r="8536" spans="1:9" x14ac:dyDescent="0.3">
      <c r="A8536" t="s">
        <v>5</v>
      </c>
      <c r="B8536" t="s">
        <v>18</v>
      </c>
      <c r="C8536" t="s">
        <v>106</v>
      </c>
      <c r="D8536" s="9" t="s">
        <v>98</v>
      </c>
      <c r="E8536" t="s">
        <v>40</v>
      </c>
      <c r="F8536" t="s">
        <v>77</v>
      </c>
      <c r="G8536">
        <v>256.3</v>
      </c>
      <c r="H8536" s="9">
        <v>16.34</v>
      </c>
      <c r="I8536"/>
    </row>
    <row r="8537" spans="1:9" x14ac:dyDescent="0.3">
      <c r="A8537" t="s">
        <v>5</v>
      </c>
      <c r="B8537" t="s">
        <v>18</v>
      </c>
      <c r="C8537" t="s">
        <v>107</v>
      </c>
      <c r="D8537" s="9" t="s">
        <v>98</v>
      </c>
      <c r="E8537" t="s">
        <v>41</v>
      </c>
      <c r="F8537" t="s">
        <v>79</v>
      </c>
      <c r="G8537">
        <v>261.89999999999998</v>
      </c>
      <c r="H8537" s="9">
        <v>9.77</v>
      </c>
      <c r="I8537"/>
    </row>
    <row r="8538" spans="1:9" x14ac:dyDescent="0.3">
      <c r="A8538" t="s">
        <v>5</v>
      </c>
      <c r="B8538" t="s">
        <v>18</v>
      </c>
      <c r="C8538" t="s">
        <v>108</v>
      </c>
      <c r="D8538" s="9" t="s">
        <v>98</v>
      </c>
      <c r="E8538" t="s">
        <v>42</v>
      </c>
      <c r="F8538" t="s">
        <v>81</v>
      </c>
      <c r="G8538">
        <v>249.5</v>
      </c>
      <c r="H8538" s="9">
        <v>9.9600000000000009</v>
      </c>
      <c r="I8538"/>
    </row>
    <row r="8539" spans="1:9" x14ac:dyDescent="0.3">
      <c r="A8539" t="s">
        <v>5</v>
      </c>
      <c r="B8539" t="s">
        <v>18</v>
      </c>
      <c r="C8539" t="s">
        <v>109</v>
      </c>
      <c r="D8539" s="9" t="s">
        <v>98</v>
      </c>
      <c r="E8539" t="s">
        <v>43</v>
      </c>
      <c r="F8539" t="s">
        <v>83</v>
      </c>
      <c r="G8539">
        <v>276.60000000000002</v>
      </c>
      <c r="H8539" s="9">
        <v>14.01</v>
      </c>
      <c r="I8539"/>
    </row>
    <row r="8540" spans="1:9" x14ac:dyDescent="0.3">
      <c r="A8540" t="s">
        <v>5</v>
      </c>
      <c r="B8540" t="s">
        <v>18</v>
      </c>
      <c r="C8540" t="s">
        <v>110</v>
      </c>
      <c r="D8540" s="9" t="s">
        <v>111</v>
      </c>
      <c r="E8540" t="s">
        <v>32</v>
      </c>
      <c r="F8540" t="s">
        <v>61</v>
      </c>
      <c r="G8540">
        <v>255.2</v>
      </c>
      <c r="H8540" s="9">
        <v>10</v>
      </c>
      <c r="I8540"/>
    </row>
    <row r="8541" spans="1:9" x14ac:dyDescent="0.3">
      <c r="A8541" t="s">
        <v>5</v>
      </c>
      <c r="B8541" t="s">
        <v>18</v>
      </c>
      <c r="C8541" t="s">
        <v>112</v>
      </c>
      <c r="D8541" s="9" t="s">
        <v>111</v>
      </c>
      <c r="E8541" t="s">
        <v>33</v>
      </c>
      <c r="F8541" t="s">
        <v>63</v>
      </c>
      <c r="G8541">
        <v>230.8</v>
      </c>
      <c r="H8541" s="9">
        <v>18.239999999999998</v>
      </c>
      <c r="I8541"/>
    </row>
    <row r="8542" spans="1:9" x14ac:dyDescent="0.3">
      <c r="A8542" t="s">
        <v>5</v>
      </c>
      <c r="B8542" t="s">
        <v>18</v>
      </c>
      <c r="C8542" t="s">
        <v>113</v>
      </c>
      <c r="D8542" s="9" t="s">
        <v>111</v>
      </c>
      <c r="E8542" t="s">
        <v>34</v>
      </c>
      <c r="F8542" t="s">
        <v>65</v>
      </c>
      <c r="G8542">
        <v>251.1</v>
      </c>
      <c r="H8542" s="9">
        <v>7.49</v>
      </c>
      <c r="I8542"/>
    </row>
    <row r="8543" spans="1:9" x14ac:dyDescent="0.3">
      <c r="A8543" t="s">
        <v>5</v>
      </c>
      <c r="B8543" t="s">
        <v>18</v>
      </c>
      <c r="C8543" t="s">
        <v>114</v>
      </c>
      <c r="D8543" s="9" t="s">
        <v>111</v>
      </c>
      <c r="E8543" t="s">
        <v>35</v>
      </c>
      <c r="F8543" t="s">
        <v>67</v>
      </c>
      <c r="G8543">
        <v>247.5</v>
      </c>
      <c r="H8543" s="9">
        <v>7.24</v>
      </c>
      <c r="I8543"/>
    </row>
    <row r="8544" spans="1:9" x14ac:dyDescent="0.3">
      <c r="A8544" t="s">
        <v>5</v>
      </c>
      <c r="B8544" t="s">
        <v>18</v>
      </c>
      <c r="C8544" t="s">
        <v>115</v>
      </c>
      <c r="D8544" s="9" t="s">
        <v>111</v>
      </c>
      <c r="E8544" t="s">
        <v>36</v>
      </c>
      <c r="F8544" t="s">
        <v>69</v>
      </c>
      <c r="G8544">
        <v>241.9</v>
      </c>
      <c r="H8544" s="9">
        <v>6.66</v>
      </c>
      <c r="I8544"/>
    </row>
    <row r="8545" spans="1:9" x14ac:dyDescent="0.3">
      <c r="A8545" t="s">
        <v>5</v>
      </c>
      <c r="B8545" t="s">
        <v>18</v>
      </c>
      <c r="C8545" t="s">
        <v>116</v>
      </c>
      <c r="D8545" s="9" t="s">
        <v>111</v>
      </c>
      <c r="E8545" t="s">
        <v>37</v>
      </c>
      <c r="F8545" t="s">
        <v>71</v>
      </c>
      <c r="G8545">
        <v>244.7</v>
      </c>
      <c r="H8545" s="9">
        <v>9.09</v>
      </c>
      <c r="I8545"/>
    </row>
    <row r="8546" spans="1:9" x14ac:dyDescent="0.3">
      <c r="A8546" t="s">
        <v>5</v>
      </c>
      <c r="B8546" t="s">
        <v>18</v>
      </c>
      <c r="C8546" t="s">
        <v>117</v>
      </c>
      <c r="D8546" s="9" t="s">
        <v>111</v>
      </c>
      <c r="E8546" t="s">
        <v>38</v>
      </c>
      <c r="F8546" t="s">
        <v>73</v>
      </c>
      <c r="G8546">
        <v>272.39999999999998</v>
      </c>
      <c r="H8546" s="9">
        <v>7.75</v>
      </c>
      <c r="I8546"/>
    </row>
    <row r="8547" spans="1:9" x14ac:dyDescent="0.3">
      <c r="A8547" t="s">
        <v>5</v>
      </c>
      <c r="B8547" t="s">
        <v>18</v>
      </c>
      <c r="C8547" t="s">
        <v>118</v>
      </c>
      <c r="D8547" s="9" t="s">
        <v>111</v>
      </c>
      <c r="E8547" t="s">
        <v>39</v>
      </c>
      <c r="F8547" t="s">
        <v>75</v>
      </c>
      <c r="G8547">
        <v>260.8</v>
      </c>
      <c r="H8547" s="9">
        <v>4.07</v>
      </c>
      <c r="I8547"/>
    </row>
    <row r="8548" spans="1:9" x14ac:dyDescent="0.3">
      <c r="A8548" t="s">
        <v>5</v>
      </c>
      <c r="B8548" t="s">
        <v>18</v>
      </c>
      <c r="C8548" t="s">
        <v>119</v>
      </c>
      <c r="D8548" s="9" t="s">
        <v>111</v>
      </c>
      <c r="E8548" t="s">
        <v>40</v>
      </c>
      <c r="F8548" t="s">
        <v>77</v>
      </c>
      <c r="G8548">
        <v>269.39999999999998</v>
      </c>
      <c r="H8548" s="9">
        <v>5.1100000000000003</v>
      </c>
      <c r="I8548"/>
    </row>
    <row r="8549" spans="1:9" x14ac:dyDescent="0.3">
      <c r="A8549" t="s">
        <v>5</v>
      </c>
      <c r="B8549" t="s">
        <v>18</v>
      </c>
      <c r="C8549" t="s">
        <v>120</v>
      </c>
      <c r="D8549" s="9" t="s">
        <v>111</v>
      </c>
      <c r="E8549" t="s">
        <v>41</v>
      </c>
      <c r="F8549" t="s">
        <v>79</v>
      </c>
      <c r="G8549">
        <v>280.60000000000002</v>
      </c>
      <c r="H8549" s="9">
        <v>7.14</v>
      </c>
      <c r="I8549"/>
    </row>
    <row r="8550" spans="1:9" x14ac:dyDescent="0.3">
      <c r="A8550" t="s">
        <v>5</v>
      </c>
      <c r="B8550" t="s">
        <v>18</v>
      </c>
      <c r="C8550" t="s">
        <v>121</v>
      </c>
      <c r="D8550" s="9" t="s">
        <v>111</v>
      </c>
      <c r="E8550" t="s">
        <v>42</v>
      </c>
      <c r="F8550" t="s">
        <v>81</v>
      </c>
      <c r="G8550">
        <v>276.89999999999998</v>
      </c>
      <c r="H8550" s="9">
        <v>10.98</v>
      </c>
      <c r="I8550"/>
    </row>
    <row r="8551" spans="1:9" x14ac:dyDescent="0.3">
      <c r="A8551" t="s">
        <v>5</v>
      </c>
      <c r="B8551" t="s">
        <v>18</v>
      </c>
      <c r="C8551" t="s">
        <v>122</v>
      </c>
      <c r="D8551" s="9" t="s">
        <v>111</v>
      </c>
      <c r="E8551" t="s">
        <v>43</v>
      </c>
      <c r="F8551" t="s">
        <v>83</v>
      </c>
      <c r="G8551">
        <v>301.39999999999998</v>
      </c>
      <c r="H8551" s="9">
        <v>8.9700000000000006</v>
      </c>
      <c r="I8551"/>
    </row>
    <row r="8552" spans="1:9" x14ac:dyDescent="0.3">
      <c r="A8552" t="s">
        <v>5</v>
      </c>
      <c r="B8552" t="s">
        <v>18</v>
      </c>
      <c r="C8552" t="s">
        <v>123</v>
      </c>
      <c r="D8552" s="9" t="s">
        <v>124</v>
      </c>
      <c r="E8552" t="s">
        <v>32</v>
      </c>
      <c r="F8552" t="s">
        <v>61</v>
      </c>
      <c r="G8552">
        <v>279.10000000000002</v>
      </c>
      <c r="H8552" s="9">
        <v>9.3699999999999992</v>
      </c>
      <c r="I8552"/>
    </row>
    <row r="8553" spans="1:9" x14ac:dyDescent="0.3">
      <c r="A8553" t="s">
        <v>5</v>
      </c>
      <c r="B8553" t="s">
        <v>18</v>
      </c>
      <c r="C8553" t="s">
        <v>125</v>
      </c>
      <c r="D8553" s="9" t="s">
        <v>124</v>
      </c>
      <c r="E8553" t="s">
        <v>33</v>
      </c>
      <c r="F8553" t="s">
        <v>63</v>
      </c>
      <c r="G8553">
        <v>252.6</v>
      </c>
      <c r="H8553" s="9">
        <v>9.4499999999999993</v>
      </c>
      <c r="I8553"/>
    </row>
    <row r="8554" spans="1:9" x14ac:dyDescent="0.3">
      <c r="A8554" t="s">
        <v>5</v>
      </c>
      <c r="B8554" t="s">
        <v>18</v>
      </c>
      <c r="C8554" t="s">
        <v>126</v>
      </c>
      <c r="D8554" s="9" t="s">
        <v>124</v>
      </c>
      <c r="E8554" t="s">
        <v>34</v>
      </c>
      <c r="F8554" t="s">
        <v>65</v>
      </c>
      <c r="G8554">
        <v>292.60000000000002</v>
      </c>
      <c r="H8554" s="9">
        <v>16.53</v>
      </c>
      <c r="I8554"/>
    </row>
    <row r="8555" spans="1:9" x14ac:dyDescent="0.3">
      <c r="A8555" t="s">
        <v>5</v>
      </c>
      <c r="B8555" t="s">
        <v>18</v>
      </c>
      <c r="C8555" t="s">
        <v>127</v>
      </c>
      <c r="D8555" s="9" t="s">
        <v>124</v>
      </c>
      <c r="E8555" t="s">
        <v>35</v>
      </c>
      <c r="F8555" t="s">
        <v>67</v>
      </c>
      <c r="G8555">
        <v>285.60000000000002</v>
      </c>
      <c r="H8555" s="9">
        <v>15.39</v>
      </c>
      <c r="I8555"/>
    </row>
    <row r="8556" spans="1:9" x14ac:dyDescent="0.3">
      <c r="A8556" t="s">
        <v>5</v>
      </c>
      <c r="B8556" t="s">
        <v>18</v>
      </c>
      <c r="C8556" t="s">
        <v>128</v>
      </c>
      <c r="D8556" s="9" t="s">
        <v>124</v>
      </c>
      <c r="E8556" t="s">
        <v>36</v>
      </c>
      <c r="F8556" t="s">
        <v>69</v>
      </c>
      <c r="G8556">
        <v>280.10000000000002</v>
      </c>
      <c r="H8556" s="9">
        <v>15.79</v>
      </c>
      <c r="I8556"/>
    </row>
    <row r="8557" spans="1:9" x14ac:dyDescent="0.3">
      <c r="A8557" t="s">
        <v>5</v>
      </c>
      <c r="B8557" t="s">
        <v>18</v>
      </c>
      <c r="C8557" t="s">
        <v>129</v>
      </c>
      <c r="D8557" s="9" t="s">
        <v>124</v>
      </c>
      <c r="E8557" t="s">
        <v>37</v>
      </c>
      <c r="F8557" t="s">
        <v>71</v>
      </c>
      <c r="G8557">
        <v>287.39999999999998</v>
      </c>
      <c r="H8557" s="9">
        <v>17.45</v>
      </c>
      <c r="I8557"/>
    </row>
    <row r="8558" spans="1:9" x14ac:dyDescent="0.3">
      <c r="A8558" t="s">
        <v>5</v>
      </c>
      <c r="B8558" t="s">
        <v>18</v>
      </c>
      <c r="C8558" t="s">
        <v>130</v>
      </c>
      <c r="D8558" s="9" t="s">
        <v>124</v>
      </c>
      <c r="E8558" t="s">
        <v>38</v>
      </c>
      <c r="F8558" t="s">
        <v>73</v>
      </c>
      <c r="G8558">
        <v>309.5</v>
      </c>
      <c r="H8558" s="9">
        <v>13.62</v>
      </c>
      <c r="I8558"/>
    </row>
    <row r="8559" spans="1:9" x14ac:dyDescent="0.3">
      <c r="A8559" t="s">
        <v>5</v>
      </c>
      <c r="B8559" t="s">
        <v>18</v>
      </c>
      <c r="C8559" t="s">
        <v>131</v>
      </c>
      <c r="D8559" s="9" t="s">
        <v>124</v>
      </c>
      <c r="E8559" t="s">
        <v>39</v>
      </c>
      <c r="F8559" t="s">
        <v>75</v>
      </c>
      <c r="G8559">
        <v>297.89999999999998</v>
      </c>
      <c r="H8559" s="9">
        <v>14.23</v>
      </c>
      <c r="I8559"/>
    </row>
    <row r="8560" spans="1:9" x14ac:dyDescent="0.3">
      <c r="A8560" t="s">
        <v>5</v>
      </c>
      <c r="B8560" t="s">
        <v>18</v>
      </c>
      <c r="C8560" t="s">
        <v>132</v>
      </c>
      <c r="D8560" s="9" t="s">
        <v>124</v>
      </c>
      <c r="E8560" t="s">
        <v>40</v>
      </c>
      <c r="F8560" t="s">
        <v>77</v>
      </c>
      <c r="G8560">
        <v>302</v>
      </c>
      <c r="H8560" s="9">
        <v>12.1</v>
      </c>
      <c r="I8560"/>
    </row>
    <row r="8561" spans="1:9" x14ac:dyDescent="0.3">
      <c r="A8561" t="s">
        <v>5</v>
      </c>
      <c r="B8561" t="s">
        <v>18</v>
      </c>
      <c r="C8561" t="s">
        <v>133</v>
      </c>
      <c r="D8561" s="9" t="s">
        <v>124</v>
      </c>
      <c r="E8561" t="s">
        <v>41</v>
      </c>
      <c r="F8561" t="s">
        <v>79</v>
      </c>
      <c r="G8561">
        <v>305.7</v>
      </c>
      <c r="H8561" s="9">
        <v>8.9499999999999993</v>
      </c>
      <c r="I8561"/>
    </row>
    <row r="8562" spans="1:9" x14ac:dyDescent="0.3">
      <c r="A8562" t="s">
        <v>5</v>
      </c>
      <c r="B8562" t="s">
        <v>18</v>
      </c>
      <c r="C8562" t="s">
        <v>134</v>
      </c>
      <c r="D8562" s="9" t="s">
        <v>124</v>
      </c>
      <c r="E8562" t="s">
        <v>42</v>
      </c>
      <c r="F8562" t="s">
        <v>81</v>
      </c>
      <c r="G8562">
        <v>298.2</v>
      </c>
      <c r="H8562" s="9">
        <v>7.69</v>
      </c>
      <c r="I8562"/>
    </row>
    <row r="8563" spans="1:9" x14ac:dyDescent="0.3">
      <c r="A8563" t="s">
        <v>5</v>
      </c>
      <c r="B8563" t="s">
        <v>18</v>
      </c>
      <c r="C8563" t="s">
        <v>135</v>
      </c>
      <c r="D8563" s="9" t="s">
        <v>124</v>
      </c>
      <c r="E8563" t="s">
        <v>43</v>
      </c>
      <c r="F8563" t="s">
        <v>83</v>
      </c>
      <c r="G8563">
        <v>326.10000000000002</v>
      </c>
      <c r="H8563" s="9">
        <v>8.1999999999999993</v>
      </c>
      <c r="I8563"/>
    </row>
    <row r="8564" spans="1:9" x14ac:dyDescent="0.3">
      <c r="A8564" t="s">
        <v>5</v>
      </c>
      <c r="B8564" t="s">
        <v>18</v>
      </c>
      <c r="C8564" t="s">
        <v>136</v>
      </c>
      <c r="D8564" s="9" t="s">
        <v>137</v>
      </c>
      <c r="E8564" t="s">
        <v>32</v>
      </c>
      <c r="F8564" t="s">
        <v>61</v>
      </c>
      <c r="G8564">
        <v>296</v>
      </c>
      <c r="H8564" s="9">
        <v>6.06</v>
      </c>
      <c r="I8564"/>
    </row>
    <row r="8565" spans="1:9" x14ac:dyDescent="0.3">
      <c r="A8565" t="s">
        <v>5</v>
      </c>
      <c r="B8565" t="s">
        <v>18</v>
      </c>
      <c r="C8565" t="s">
        <v>138</v>
      </c>
      <c r="D8565" s="9" t="s">
        <v>137</v>
      </c>
      <c r="E8565" t="s">
        <v>33</v>
      </c>
      <c r="F8565" t="s">
        <v>63</v>
      </c>
      <c r="G8565">
        <v>271.10000000000002</v>
      </c>
      <c r="H8565" s="9">
        <v>7.32</v>
      </c>
      <c r="I8565"/>
    </row>
    <row r="8566" spans="1:9" x14ac:dyDescent="0.3">
      <c r="A8566" t="s">
        <v>5</v>
      </c>
      <c r="B8566" t="s">
        <v>18</v>
      </c>
      <c r="C8566" t="s">
        <v>139</v>
      </c>
      <c r="D8566" s="9" t="s">
        <v>137</v>
      </c>
      <c r="E8566" t="s">
        <v>34</v>
      </c>
      <c r="F8566" t="s">
        <v>65</v>
      </c>
      <c r="G8566">
        <v>297.60000000000002</v>
      </c>
      <c r="H8566" s="9">
        <v>1.71</v>
      </c>
      <c r="I8566"/>
    </row>
    <row r="8567" spans="1:9" x14ac:dyDescent="0.3">
      <c r="A8567" t="s">
        <v>5</v>
      </c>
      <c r="B8567" t="s">
        <v>18</v>
      </c>
      <c r="C8567" t="s">
        <v>140</v>
      </c>
      <c r="D8567" s="9" t="s">
        <v>137</v>
      </c>
      <c r="E8567" t="s">
        <v>35</v>
      </c>
      <c r="F8567" t="s">
        <v>67</v>
      </c>
      <c r="G8567">
        <v>286.7</v>
      </c>
      <c r="H8567" s="9">
        <v>0.39</v>
      </c>
      <c r="I8567"/>
    </row>
    <row r="8568" spans="1:9" x14ac:dyDescent="0.3">
      <c r="A8568" t="s">
        <v>5</v>
      </c>
      <c r="B8568" t="s">
        <v>18</v>
      </c>
      <c r="C8568" t="s">
        <v>141</v>
      </c>
      <c r="D8568" s="9" t="s">
        <v>137</v>
      </c>
      <c r="E8568" t="s">
        <v>36</v>
      </c>
      <c r="F8568" t="s">
        <v>69</v>
      </c>
      <c r="G8568">
        <v>287.39999999999998</v>
      </c>
      <c r="H8568" s="9">
        <v>2.61</v>
      </c>
      <c r="I8568"/>
    </row>
    <row r="8569" spans="1:9" x14ac:dyDescent="0.3">
      <c r="A8569" t="s">
        <v>5</v>
      </c>
      <c r="B8569" t="s">
        <v>18</v>
      </c>
      <c r="C8569" t="s">
        <v>142</v>
      </c>
      <c r="D8569" s="9" t="s">
        <v>137</v>
      </c>
      <c r="E8569" t="s">
        <v>37</v>
      </c>
      <c r="F8569" t="s">
        <v>71</v>
      </c>
      <c r="G8569">
        <v>290.7</v>
      </c>
      <c r="H8569" s="9">
        <v>1.1499999999999999</v>
      </c>
      <c r="I8569"/>
    </row>
    <row r="8570" spans="1:9" x14ac:dyDescent="0.3">
      <c r="A8570" t="s">
        <v>5</v>
      </c>
      <c r="B8570" t="s">
        <v>18</v>
      </c>
      <c r="C8570" t="s">
        <v>143</v>
      </c>
      <c r="D8570" s="9" t="s">
        <v>137</v>
      </c>
      <c r="E8570" t="s">
        <v>38</v>
      </c>
      <c r="F8570" t="s">
        <v>73</v>
      </c>
      <c r="G8570">
        <v>310.3</v>
      </c>
      <c r="H8570" s="9">
        <v>0.26</v>
      </c>
      <c r="I8570"/>
    </row>
    <row r="8571" spans="1:9" x14ac:dyDescent="0.3">
      <c r="A8571" t="s">
        <v>5</v>
      </c>
      <c r="B8571" t="s">
        <v>18</v>
      </c>
      <c r="C8571" t="s">
        <v>144</v>
      </c>
      <c r="D8571" s="9" t="s">
        <v>137</v>
      </c>
      <c r="E8571" t="s">
        <v>39</v>
      </c>
      <c r="F8571" t="s">
        <v>75</v>
      </c>
      <c r="G8571">
        <v>308.8</v>
      </c>
      <c r="H8571" s="9">
        <v>3.66</v>
      </c>
      <c r="I8571"/>
    </row>
    <row r="8572" spans="1:9" x14ac:dyDescent="0.3">
      <c r="A8572" t="s">
        <v>5</v>
      </c>
      <c r="B8572" t="s">
        <v>18</v>
      </c>
      <c r="C8572" t="s">
        <v>145</v>
      </c>
      <c r="D8572" s="9" t="s">
        <v>137</v>
      </c>
      <c r="E8572" t="s">
        <v>40</v>
      </c>
      <c r="F8572" t="s">
        <v>77</v>
      </c>
      <c r="G8572">
        <v>304.60000000000002</v>
      </c>
      <c r="H8572" s="9">
        <v>0.86</v>
      </c>
      <c r="I8572"/>
    </row>
    <row r="8573" spans="1:9" x14ac:dyDescent="0.3">
      <c r="A8573" t="s">
        <v>5</v>
      </c>
      <c r="B8573" t="s">
        <v>18</v>
      </c>
      <c r="C8573" t="s">
        <v>146</v>
      </c>
      <c r="D8573" s="9" t="s">
        <v>137</v>
      </c>
      <c r="E8573" t="s">
        <v>41</v>
      </c>
      <c r="F8573" t="s">
        <v>79</v>
      </c>
      <c r="G8573">
        <v>306.10000000000002</v>
      </c>
      <c r="H8573" s="9">
        <v>0.13</v>
      </c>
      <c r="I8573"/>
    </row>
    <row r="8574" spans="1:9" x14ac:dyDescent="0.3">
      <c r="A8574" t="s">
        <v>5</v>
      </c>
      <c r="B8574" t="s">
        <v>18</v>
      </c>
      <c r="C8574" t="s">
        <v>147</v>
      </c>
      <c r="D8574" s="9" t="s">
        <v>137</v>
      </c>
      <c r="E8574" t="s">
        <v>42</v>
      </c>
      <c r="F8574" t="s">
        <v>81</v>
      </c>
      <c r="G8574">
        <v>297</v>
      </c>
      <c r="H8574" s="9">
        <v>-0.4</v>
      </c>
      <c r="I8574"/>
    </row>
    <row r="8575" spans="1:9" x14ac:dyDescent="0.3">
      <c r="A8575" t="s">
        <v>5</v>
      </c>
      <c r="B8575" t="s">
        <v>18</v>
      </c>
      <c r="C8575" t="s">
        <v>148</v>
      </c>
      <c r="D8575" s="9" t="s">
        <v>137</v>
      </c>
      <c r="E8575" t="s">
        <v>43</v>
      </c>
      <c r="F8575" t="s">
        <v>83</v>
      </c>
      <c r="G8575">
        <v>320.89999999999998</v>
      </c>
      <c r="H8575" s="9">
        <v>-1.59</v>
      </c>
      <c r="I8575"/>
    </row>
    <row r="8576" spans="1:9" x14ac:dyDescent="0.3">
      <c r="A8576" t="s">
        <v>5</v>
      </c>
      <c r="B8576" t="s">
        <v>18</v>
      </c>
      <c r="C8576" t="s">
        <v>149</v>
      </c>
      <c r="D8576" s="9" t="s">
        <v>150</v>
      </c>
      <c r="E8576" t="s">
        <v>32</v>
      </c>
      <c r="F8576" t="s">
        <v>61</v>
      </c>
      <c r="G8576">
        <v>295.39999999999998</v>
      </c>
      <c r="H8576" s="9">
        <v>-0.2</v>
      </c>
      <c r="I8576"/>
    </row>
    <row r="8577" spans="1:9" x14ac:dyDescent="0.3">
      <c r="A8577" t="s">
        <v>5</v>
      </c>
      <c r="B8577" t="s">
        <v>18</v>
      </c>
      <c r="C8577" t="s">
        <v>151</v>
      </c>
      <c r="D8577" s="9" t="s">
        <v>150</v>
      </c>
      <c r="E8577" t="s">
        <v>33</v>
      </c>
      <c r="F8577" t="s">
        <v>63</v>
      </c>
      <c r="G8577">
        <v>269</v>
      </c>
      <c r="H8577" s="9">
        <v>-0.77</v>
      </c>
      <c r="I8577"/>
    </row>
    <row r="8578" spans="1:9" x14ac:dyDescent="0.3">
      <c r="A8578" t="s">
        <v>5</v>
      </c>
      <c r="B8578" t="s">
        <v>18</v>
      </c>
      <c r="C8578" t="s">
        <v>152</v>
      </c>
      <c r="D8578" s="9" t="s">
        <v>150</v>
      </c>
      <c r="E8578" t="s">
        <v>34</v>
      </c>
      <c r="F8578" t="s">
        <v>65</v>
      </c>
      <c r="G8578">
        <v>307.7</v>
      </c>
      <c r="H8578" s="9">
        <v>3.39</v>
      </c>
      <c r="I8578"/>
    </row>
    <row r="8579" spans="1:9" x14ac:dyDescent="0.3">
      <c r="A8579" t="s">
        <v>5</v>
      </c>
      <c r="B8579" t="s">
        <v>18</v>
      </c>
      <c r="C8579" t="s">
        <v>153</v>
      </c>
      <c r="D8579" s="9" t="s">
        <v>150</v>
      </c>
      <c r="E8579" t="s">
        <v>35</v>
      </c>
      <c r="F8579" t="s">
        <v>67</v>
      </c>
      <c r="G8579">
        <v>307.89999999999998</v>
      </c>
      <c r="H8579" s="9">
        <v>7.39</v>
      </c>
      <c r="I8579"/>
    </row>
    <row r="8580" spans="1:9" x14ac:dyDescent="0.3">
      <c r="A8580" t="s">
        <v>5</v>
      </c>
      <c r="B8580" t="s">
        <v>18</v>
      </c>
      <c r="C8580" t="s">
        <v>154</v>
      </c>
      <c r="D8580" s="9" t="s">
        <v>150</v>
      </c>
      <c r="E8580" t="s">
        <v>36</v>
      </c>
      <c r="F8580" t="s">
        <v>69</v>
      </c>
      <c r="G8580">
        <v>306.7</v>
      </c>
      <c r="H8580" s="9">
        <v>6.72</v>
      </c>
      <c r="I8580"/>
    </row>
    <row r="8581" spans="1:9" x14ac:dyDescent="0.3">
      <c r="A8581" t="s">
        <v>5</v>
      </c>
      <c r="B8581" t="s">
        <v>18</v>
      </c>
      <c r="C8581" t="s">
        <v>155</v>
      </c>
      <c r="D8581" s="9" t="s">
        <v>150</v>
      </c>
      <c r="E8581" t="s">
        <v>37</v>
      </c>
      <c r="F8581" t="s">
        <v>71</v>
      </c>
      <c r="G8581">
        <v>298.60000000000002</v>
      </c>
      <c r="H8581" s="9">
        <v>2.72</v>
      </c>
      <c r="I8581"/>
    </row>
    <row r="8582" spans="1:9" x14ac:dyDescent="0.3">
      <c r="I8582"/>
    </row>
    <row r="8583" spans="1:9" x14ac:dyDescent="0.3">
      <c r="I8583"/>
    </row>
    <row r="8584" spans="1:9" x14ac:dyDescent="0.3">
      <c r="I8584"/>
    </row>
    <row r="8585" spans="1:9" x14ac:dyDescent="0.3">
      <c r="I8585"/>
    </row>
    <row r="8586" spans="1:9" x14ac:dyDescent="0.3">
      <c r="I8586"/>
    </row>
    <row r="8587" spans="1:9" x14ac:dyDescent="0.3">
      <c r="I8587"/>
    </row>
    <row r="8588" spans="1:9" x14ac:dyDescent="0.3">
      <c r="I8588"/>
    </row>
    <row r="8589" spans="1:9" x14ac:dyDescent="0.3">
      <c r="I8589"/>
    </row>
    <row r="8590" spans="1:9" x14ac:dyDescent="0.3">
      <c r="I8590"/>
    </row>
    <row r="8591" spans="1:9" x14ac:dyDescent="0.3">
      <c r="I8591"/>
    </row>
    <row r="8592" spans="1:9" x14ac:dyDescent="0.3">
      <c r="I8592"/>
    </row>
    <row r="8593" spans="9:9" x14ac:dyDescent="0.3">
      <c r="I8593"/>
    </row>
    <row r="8594" spans="9:9" x14ac:dyDescent="0.3">
      <c r="I8594"/>
    </row>
    <row r="8595" spans="9:9" x14ac:dyDescent="0.3">
      <c r="I8595"/>
    </row>
    <row r="8596" spans="9:9" x14ac:dyDescent="0.3">
      <c r="I8596"/>
    </row>
    <row r="8597" spans="9:9" x14ac:dyDescent="0.3">
      <c r="I8597"/>
    </row>
    <row r="8598" spans="9:9" x14ac:dyDescent="0.3">
      <c r="I8598"/>
    </row>
    <row r="8599" spans="9:9" x14ac:dyDescent="0.3">
      <c r="I8599"/>
    </row>
    <row r="8600" spans="9:9" x14ac:dyDescent="0.3">
      <c r="I8600"/>
    </row>
    <row r="8601" spans="9:9" x14ac:dyDescent="0.3">
      <c r="I8601"/>
    </row>
    <row r="8602" spans="9:9" x14ac:dyDescent="0.3">
      <c r="I8602"/>
    </row>
    <row r="8603" spans="9:9" x14ac:dyDescent="0.3">
      <c r="I8603"/>
    </row>
    <row r="8604" spans="9:9" x14ac:dyDescent="0.3">
      <c r="I8604"/>
    </row>
    <row r="8605" spans="9:9" x14ac:dyDescent="0.3">
      <c r="I8605"/>
    </row>
    <row r="8606" spans="9:9" x14ac:dyDescent="0.3">
      <c r="I8606"/>
    </row>
    <row r="8607" spans="9:9" x14ac:dyDescent="0.3">
      <c r="I8607"/>
    </row>
    <row r="8608" spans="9:9" x14ac:dyDescent="0.3">
      <c r="I8608"/>
    </row>
    <row r="8609" spans="9:9" x14ac:dyDescent="0.3">
      <c r="I8609"/>
    </row>
    <row r="8610" spans="9:9" x14ac:dyDescent="0.3">
      <c r="I8610"/>
    </row>
    <row r="8611" spans="9:9" x14ac:dyDescent="0.3">
      <c r="I8611"/>
    </row>
    <row r="8612" spans="9:9" x14ac:dyDescent="0.3">
      <c r="I8612"/>
    </row>
    <row r="8613" spans="9:9" x14ac:dyDescent="0.3">
      <c r="I8613"/>
    </row>
    <row r="8614" spans="9:9" x14ac:dyDescent="0.3">
      <c r="I8614"/>
    </row>
    <row r="8615" spans="9:9" x14ac:dyDescent="0.3">
      <c r="I8615"/>
    </row>
    <row r="8616" spans="9:9" x14ac:dyDescent="0.3">
      <c r="I8616"/>
    </row>
    <row r="8617" spans="9:9" x14ac:dyDescent="0.3">
      <c r="I8617"/>
    </row>
    <row r="8618" spans="9:9" x14ac:dyDescent="0.3">
      <c r="I8618"/>
    </row>
    <row r="8619" spans="9:9" x14ac:dyDescent="0.3">
      <c r="I8619"/>
    </row>
    <row r="8620" spans="9:9" x14ac:dyDescent="0.3">
      <c r="I8620"/>
    </row>
    <row r="8621" spans="9:9" x14ac:dyDescent="0.3">
      <c r="I8621"/>
    </row>
    <row r="8622" spans="9:9" x14ac:dyDescent="0.3">
      <c r="I8622"/>
    </row>
    <row r="8623" spans="9:9" x14ac:dyDescent="0.3">
      <c r="I8623"/>
    </row>
    <row r="8624" spans="9:9" x14ac:dyDescent="0.3">
      <c r="I8624"/>
    </row>
    <row r="8625" spans="9:9" x14ac:dyDescent="0.3">
      <c r="I8625"/>
    </row>
    <row r="8626" spans="9:9" x14ac:dyDescent="0.3">
      <c r="I8626"/>
    </row>
    <row r="8627" spans="9:9" x14ac:dyDescent="0.3">
      <c r="I8627"/>
    </row>
    <row r="8628" spans="9:9" x14ac:dyDescent="0.3">
      <c r="I8628"/>
    </row>
    <row r="8629" spans="9:9" x14ac:dyDescent="0.3">
      <c r="I8629"/>
    </row>
    <row r="8630" spans="9:9" x14ac:dyDescent="0.3">
      <c r="I8630"/>
    </row>
    <row r="8631" spans="9:9" x14ac:dyDescent="0.3">
      <c r="I8631"/>
    </row>
    <row r="8632" spans="9:9" x14ac:dyDescent="0.3">
      <c r="I8632"/>
    </row>
    <row r="8633" spans="9:9" x14ac:dyDescent="0.3">
      <c r="I8633"/>
    </row>
    <row r="8634" spans="9:9" x14ac:dyDescent="0.3">
      <c r="I8634"/>
    </row>
    <row r="8635" spans="9:9" x14ac:dyDescent="0.3">
      <c r="I8635"/>
    </row>
    <row r="8636" spans="9:9" x14ac:dyDescent="0.3">
      <c r="I8636"/>
    </row>
    <row r="8637" spans="9:9" x14ac:dyDescent="0.3">
      <c r="I8637"/>
    </row>
    <row r="8638" spans="9:9" x14ac:dyDescent="0.3">
      <c r="I8638"/>
    </row>
    <row r="8639" spans="9:9" x14ac:dyDescent="0.3">
      <c r="I8639"/>
    </row>
    <row r="8640" spans="9:9" x14ac:dyDescent="0.3">
      <c r="I8640"/>
    </row>
    <row r="8641" spans="9:9" x14ac:dyDescent="0.3">
      <c r="I8641"/>
    </row>
    <row r="8642" spans="9:9" x14ac:dyDescent="0.3">
      <c r="I8642"/>
    </row>
    <row r="8643" spans="9:9" x14ac:dyDescent="0.3">
      <c r="I8643"/>
    </row>
    <row r="8644" spans="9:9" x14ac:dyDescent="0.3">
      <c r="I8644"/>
    </row>
    <row r="8645" spans="9:9" x14ac:dyDescent="0.3">
      <c r="I8645"/>
    </row>
    <row r="8646" spans="9:9" x14ac:dyDescent="0.3">
      <c r="I8646"/>
    </row>
    <row r="8647" spans="9:9" x14ac:dyDescent="0.3">
      <c r="I8647"/>
    </row>
    <row r="8648" spans="9:9" x14ac:dyDescent="0.3">
      <c r="I8648"/>
    </row>
    <row r="8649" spans="9:9" x14ac:dyDescent="0.3">
      <c r="I8649"/>
    </row>
    <row r="8650" spans="9:9" x14ac:dyDescent="0.3">
      <c r="I8650"/>
    </row>
    <row r="8651" spans="9:9" x14ac:dyDescent="0.3">
      <c r="I8651"/>
    </row>
    <row r="8652" spans="9:9" x14ac:dyDescent="0.3">
      <c r="I8652"/>
    </row>
    <row r="8653" spans="9:9" x14ac:dyDescent="0.3">
      <c r="I8653"/>
    </row>
    <row r="8654" spans="9:9" x14ac:dyDescent="0.3">
      <c r="I8654"/>
    </row>
    <row r="8655" spans="9:9" x14ac:dyDescent="0.3">
      <c r="I8655"/>
    </row>
    <row r="8656" spans="9:9" x14ac:dyDescent="0.3">
      <c r="I8656"/>
    </row>
    <row r="8657" spans="9:9" x14ac:dyDescent="0.3">
      <c r="I8657"/>
    </row>
    <row r="8658" spans="9:9" x14ac:dyDescent="0.3">
      <c r="I8658"/>
    </row>
    <row r="8659" spans="9:9" x14ac:dyDescent="0.3">
      <c r="I8659"/>
    </row>
    <row r="8660" spans="9:9" x14ac:dyDescent="0.3">
      <c r="I8660"/>
    </row>
    <row r="8661" spans="9:9" x14ac:dyDescent="0.3">
      <c r="I8661"/>
    </row>
    <row r="8662" spans="9:9" x14ac:dyDescent="0.3">
      <c r="I8662"/>
    </row>
    <row r="8663" spans="9:9" x14ac:dyDescent="0.3">
      <c r="I8663"/>
    </row>
    <row r="8664" spans="9:9" x14ac:dyDescent="0.3">
      <c r="I8664"/>
    </row>
    <row r="8665" spans="9:9" x14ac:dyDescent="0.3">
      <c r="I8665"/>
    </row>
    <row r="8666" spans="9:9" x14ac:dyDescent="0.3">
      <c r="I8666"/>
    </row>
    <row r="8667" spans="9:9" x14ac:dyDescent="0.3">
      <c r="I8667"/>
    </row>
    <row r="8668" spans="9:9" x14ac:dyDescent="0.3">
      <c r="I8668"/>
    </row>
    <row r="8669" spans="9:9" x14ac:dyDescent="0.3">
      <c r="I8669"/>
    </row>
    <row r="8670" spans="9:9" x14ac:dyDescent="0.3">
      <c r="I8670"/>
    </row>
    <row r="8671" spans="9:9" x14ac:dyDescent="0.3">
      <c r="I8671"/>
    </row>
    <row r="8672" spans="9:9" x14ac:dyDescent="0.3">
      <c r="I8672"/>
    </row>
    <row r="8673" spans="9:9" x14ac:dyDescent="0.3">
      <c r="I8673"/>
    </row>
    <row r="8674" spans="9:9" x14ac:dyDescent="0.3">
      <c r="I8674"/>
    </row>
    <row r="8675" spans="9:9" x14ac:dyDescent="0.3">
      <c r="I8675"/>
    </row>
    <row r="8676" spans="9:9" x14ac:dyDescent="0.3">
      <c r="I8676"/>
    </row>
    <row r="8677" spans="9:9" x14ac:dyDescent="0.3">
      <c r="I8677"/>
    </row>
    <row r="8678" spans="9:9" x14ac:dyDescent="0.3">
      <c r="I8678"/>
    </row>
    <row r="8679" spans="9:9" x14ac:dyDescent="0.3">
      <c r="I8679"/>
    </row>
    <row r="8680" spans="9:9" x14ac:dyDescent="0.3">
      <c r="I8680"/>
    </row>
    <row r="8681" spans="9:9" x14ac:dyDescent="0.3">
      <c r="I8681"/>
    </row>
    <row r="8682" spans="9:9" x14ac:dyDescent="0.3">
      <c r="I8682"/>
    </row>
    <row r="8683" spans="9:9" x14ac:dyDescent="0.3">
      <c r="I8683"/>
    </row>
    <row r="8684" spans="9:9" x14ac:dyDescent="0.3">
      <c r="I8684"/>
    </row>
    <row r="8685" spans="9:9" x14ac:dyDescent="0.3">
      <c r="I8685"/>
    </row>
    <row r="8686" spans="9:9" x14ac:dyDescent="0.3">
      <c r="I8686"/>
    </row>
    <row r="8687" spans="9:9" x14ac:dyDescent="0.3">
      <c r="I8687"/>
    </row>
    <row r="8688" spans="9:9" x14ac:dyDescent="0.3">
      <c r="I8688"/>
    </row>
    <row r="8689" spans="9:9" x14ac:dyDescent="0.3">
      <c r="I8689"/>
    </row>
    <row r="8690" spans="9:9" x14ac:dyDescent="0.3">
      <c r="I8690"/>
    </row>
    <row r="8691" spans="9:9" x14ac:dyDescent="0.3">
      <c r="I8691"/>
    </row>
    <row r="8692" spans="9:9" x14ac:dyDescent="0.3">
      <c r="I8692"/>
    </row>
    <row r="8693" spans="9:9" x14ac:dyDescent="0.3">
      <c r="I8693"/>
    </row>
    <row r="8694" spans="9:9" x14ac:dyDescent="0.3">
      <c r="I8694"/>
    </row>
    <row r="8695" spans="9:9" x14ac:dyDescent="0.3">
      <c r="I8695"/>
    </row>
    <row r="8696" spans="9:9" x14ac:dyDescent="0.3">
      <c r="I8696"/>
    </row>
    <row r="8697" spans="9:9" x14ac:dyDescent="0.3">
      <c r="I8697"/>
    </row>
    <row r="8698" spans="9:9" x14ac:dyDescent="0.3">
      <c r="I8698"/>
    </row>
    <row r="8699" spans="9:9" x14ac:dyDescent="0.3">
      <c r="I8699"/>
    </row>
    <row r="8700" spans="9:9" x14ac:dyDescent="0.3">
      <c r="I8700"/>
    </row>
    <row r="8701" spans="9:9" x14ac:dyDescent="0.3">
      <c r="I8701"/>
    </row>
    <row r="8702" spans="9:9" x14ac:dyDescent="0.3">
      <c r="I8702"/>
    </row>
    <row r="8703" spans="9:9" x14ac:dyDescent="0.3">
      <c r="I8703"/>
    </row>
    <row r="8704" spans="9:9" x14ac:dyDescent="0.3">
      <c r="I8704"/>
    </row>
    <row r="8705" spans="9:9" x14ac:dyDescent="0.3">
      <c r="I8705"/>
    </row>
    <row r="8706" spans="9:9" x14ac:dyDescent="0.3">
      <c r="I8706"/>
    </row>
    <row r="8707" spans="9:9" x14ac:dyDescent="0.3">
      <c r="I8707"/>
    </row>
    <row r="8708" spans="9:9" x14ac:dyDescent="0.3">
      <c r="I8708"/>
    </row>
    <row r="8709" spans="9:9" x14ac:dyDescent="0.3">
      <c r="I8709"/>
    </row>
    <row r="8710" spans="9:9" x14ac:dyDescent="0.3">
      <c r="I8710"/>
    </row>
    <row r="8711" spans="9:9" x14ac:dyDescent="0.3">
      <c r="I8711"/>
    </row>
    <row r="8712" spans="9:9" x14ac:dyDescent="0.3">
      <c r="I8712"/>
    </row>
    <row r="8713" spans="9:9" x14ac:dyDescent="0.3">
      <c r="I8713"/>
    </row>
    <row r="8714" spans="9:9" x14ac:dyDescent="0.3">
      <c r="I8714"/>
    </row>
    <row r="8715" spans="9:9" x14ac:dyDescent="0.3">
      <c r="I8715"/>
    </row>
    <row r="8716" spans="9:9" x14ac:dyDescent="0.3">
      <c r="I8716"/>
    </row>
    <row r="8717" spans="9:9" x14ac:dyDescent="0.3">
      <c r="I8717"/>
    </row>
    <row r="8718" spans="9:9" x14ac:dyDescent="0.3">
      <c r="I8718"/>
    </row>
    <row r="8719" spans="9:9" x14ac:dyDescent="0.3">
      <c r="I8719"/>
    </row>
    <row r="8720" spans="9:9" x14ac:dyDescent="0.3">
      <c r="I8720"/>
    </row>
    <row r="8721" spans="9:9" x14ac:dyDescent="0.3">
      <c r="I8721"/>
    </row>
    <row r="8722" spans="9:9" x14ac:dyDescent="0.3">
      <c r="I8722"/>
    </row>
    <row r="8723" spans="9:9" x14ac:dyDescent="0.3">
      <c r="I8723"/>
    </row>
    <row r="8724" spans="9:9" x14ac:dyDescent="0.3">
      <c r="I8724"/>
    </row>
    <row r="8725" spans="9:9" x14ac:dyDescent="0.3">
      <c r="I8725"/>
    </row>
    <row r="8726" spans="9:9" x14ac:dyDescent="0.3">
      <c r="I8726"/>
    </row>
    <row r="8727" spans="9:9" x14ac:dyDescent="0.3">
      <c r="I8727"/>
    </row>
    <row r="8728" spans="9:9" x14ac:dyDescent="0.3">
      <c r="I8728"/>
    </row>
    <row r="8729" spans="9:9" x14ac:dyDescent="0.3">
      <c r="I8729"/>
    </row>
    <row r="8730" spans="9:9" x14ac:dyDescent="0.3">
      <c r="I8730"/>
    </row>
    <row r="8731" spans="9:9" x14ac:dyDescent="0.3">
      <c r="I8731"/>
    </row>
    <row r="8732" spans="9:9" x14ac:dyDescent="0.3">
      <c r="I8732"/>
    </row>
    <row r="8733" spans="9:9" x14ac:dyDescent="0.3">
      <c r="I8733"/>
    </row>
    <row r="8734" spans="9:9" x14ac:dyDescent="0.3">
      <c r="I8734"/>
    </row>
    <row r="8735" spans="9:9" x14ac:dyDescent="0.3">
      <c r="I8735"/>
    </row>
    <row r="8736" spans="9:9" x14ac:dyDescent="0.3">
      <c r="I8736"/>
    </row>
    <row r="8737" spans="9:9" x14ac:dyDescent="0.3">
      <c r="I8737"/>
    </row>
    <row r="8738" spans="9:9" x14ac:dyDescent="0.3">
      <c r="I8738"/>
    </row>
    <row r="8739" spans="9:9" x14ac:dyDescent="0.3">
      <c r="I8739"/>
    </row>
    <row r="8740" spans="9:9" x14ac:dyDescent="0.3">
      <c r="I8740"/>
    </row>
    <row r="8741" spans="9:9" x14ac:dyDescent="0.3">
      <c r="I8741"/>
    </row>
    <row r="8742" spans="9:9" x14ac:dyDescent="0.3">
      <c r="I8742"/>
    </row>
    <row r="8743" spans="9:9" x14ac:dyDescent="0.3">
      <c r="I8743"/>
    </row>
    <row r="8744" spans="9:9" x14ac:dyDescent="0.3">
      <c r="I8744"/>
    </row>
    <row r="8745" spans="9:9" x14ac:dyDescent="0.3">
      <c r="I8745"/>
    </row>
    <row r="8746" spans="9:9" x14ac:dyDescent="0.3">
      <c r="I8746"/>
    </row>
    <row r="8747" spans="9:9" x14ac:dyDescent="0.3">
      <c r="I8747"/>
    </row>
    <row r="8748" spans="9:9" x14ac:dyDescent="0.3">
      <c r="I8748"/>
    </row>
    <row r="8749" spans="9:9" x14ac:dyDescent="0.3">
      <c r="I8749"/>
    </row>
    <row r="8750" spans="9:9" x14ac:dyDescent="0.3">
      <c r="I8750"/>
    </row>
    <row r="8751" spans="9:9" x14ac:dyDescent="0.3">
      <c r="I8751"/>
    </row>
    <row r="8752" spans="9:9" x14ac:dyDescent="0.3">
      <c r="I8752"/>
    </row>
    <row r="8753" spans="9:9" x14ac:dyDescent="0.3">
      <c r="I8753"/>
    </row>
    <row r="8754" spans="9:9" x14ac:dyDescent="0.3">
      <c r="I8754"/>
    </row>
    <row r="8755" spans="9:9" x14ac:dyDescent="0.3">
      <c r="I8755"/>
    </row>
    <row r="8756" spans="9:9" x14ac:dyDescent="0.3">
      <c r="I8756"/>
    </row>
    <row r="8757" spans="9:9" x14ac:dyDescent="0.3">
      <c r="I8757"/>
    </row>
    <row r="8758" spans="9:9" x14ac:dyDescent="0.3">
      <c r="I8758"/>
    </row>
    <row r="8759" spans="9:9" x14ac:dyDescent="0.3">
      <c r="I8759"/>
    </row>
    <row r="8760" spans="9:9" x14ac:dyDescent="0.3">
      <c r="I8760"/>
    </row>
    <row r="8761" spans="9:9" x14ac:dyDescent="0.3">
      <c r="I8761"/>
    </row>
    <row r="8762" spans="9:9" x14ac:dyDescent="0.3">
      <c r="I8762"/>
    </row>
    <row r="8763" spans="9:9" x14ac:dyDescent="0.3">
      <c r="I8763"/>
    </row>
    <row r="8764" spans="9:9" x14ac:dyDescent="0.3">
      <c r="I8764"/>
    </row>
    <row r="8765" spans="9:9" x14ac:dyDescent="0.3">
      <c r="I8765"/>
    </row>
    <row r="8766" spans="9:9" x14ac:dyDescent="0.3">
      <c r="I8766"/>
    </row>
    <row r="8767" spans="9:9" x14ac:dyDescent="0.3">
      <c r="I8767"/>
    </row>
    <row r="8768" spans="9:9" x14ac:dyDescent="0.3">
      <c r="I8768"/>
    </row>
    <row r="8769" spans="9:9" x14ac:dyDescent="0.3">
      <c r="I8769"/>
    </row>
    <row r="8770" spans="9:9" x14ac:dyDescent="0.3">
      <c r="I8770"/>
    </row>
    <row r="8771" spans="9:9" x14ac:dyDescent="0.3">
      <c r="I8771"/>
    </row>
    <row r="8772" spans="9:9" x14ac:dyDescent="0.3">
      <c r="I8772"/>
    </row>
    <row r="8773" spans="9:9" x14ac:dyDescent="0.3">
      <c r="I8773"/>
    </row>
    <row r="8774" spans="9:9" x14ac:dyDescent="0.3">
      <c r="I8774"/>
    </row>
    <row r="8775" spans="9:9" x14ac:dyDescent="0.3">
      <c r="I8775"/>
    </row>
    <row r="8776" spans="9:9" x14ac:dyDescent="0.3">
      <c r="I8776"/>
    </row>
    <row r="8777" spans="9:9" x14ac:dyDescent="0.3">
      <c r="I8777"/>
    </row>
    <row r="8778" spans="9:9" x14ac:dyDescent="0.3">
      <c r="I8778"/>
    </row>
    <row r="8779" spans="9:9" x14ac:dyDescent="0.3">
      <c r="I8779"/>
    </row>
    <row r="8780" spans="9:9" x14ac:dyDescent="0.3">
      <c r="I8780"/>
    </row>
    <row r="8781" spans="9:9" x14ac:dyDescent="0.3">
      <c r="I8781"/>
    </row>
    <row r="8782" spans="9:9" x14ac:dyDescent="0.3">
      <c r="I8782"/>
    </row>
    <row r="8783" spans="9:9" x14ac:dyDescent="0.3">
      <c r="I8783"/>
    </row>
    <row r="8784" spans="9:9" x14ac:dyDescent="0.3">
      <c r="I8784"/>
    </row>
    <row r="8785" spans="9:9" x14ac:dyDescent="0.3">
      <c r="I8785"/>
    </row>
    <row r="8786" spans="9:9" x14ac:dyDescent="0.3">
      <c r="I8786"/>
    </row>
    <row r="8787" spans="9:9" x14ac:dyDescent="0.3">
      <c r="I8787"/>
    </row>
    <row r="8788" spans="9:9" x14ac:dyDescent="0.3">
      <c r="I8788"/>
    </row>
    <row r="8789" spans="9:9" x14ac:dyDescent="0.3">
      <c r="I8789"/>
    </row>
    <row r="8790" spans="9:9" x14ac:dyDescent="0.3">
      <c r="I8790"/>
    </row>
    <row r="8791" spans="9:9" x14ac:dyDescent="0.3">
      <c r="I8791"/>
    </row>
    <row r="8792" spans="9:9" x14ac:dyDescent="0.3">
      <c r="I8792"/>
    </row>
    <row r="8793" spans="9:9" x14ac:dyDescent="0.3">
      <c r="I8793"/>
    </row>
    <row r="8794" spans="9:9" x14ac:dyDescent="0.3">
      <c r="I8794"/>
    </row>
    <row r="8795" spans="9:9" x14ac:dyDescent="0.3">
      <c r="I8795"/>
    </row>
    <row r="8796" spans="9:9" x14ac:dyDescent="0.3">
      <c r="I8796"/>
    </row>
    <row r="8797" spans="9:9" x14ac:dyDescent="0.3">
      <c r="I8797"/>
    </row>
    <row r="8798" spans="9:9" x14ac:dyDescent="0.3">
      <c r="I8798"/>
    </row>
    <row r="8799" spans="9:9" x14ac:dyDescent="0.3">
      <c r="I8799"/>
    </row>
    <row r="8800" spans="9:9" x14ac:dyDescent="0.3">
      <c r="I8800"/>
    </row>
    <row r="8801" spans="9:9" x14ac:dyDescent="0.3">
      <c r="I8801"/>
    </row>
    <row r="8802" spans="9:9" x14ac:dyDescent="0.3">
      <c r="I8802"/>
    </row>
    <row r="8803" spans="9:9" x14ac:dyDescent="0.3">
      <c r="I8803"/>
    </row>
    <row r="8804" spans="9:9" x14ac:dyDescent="0.3">
      <c r="I8804"/>
    </row>
    <row r="8805" spans="9:9" x14ac:dyDescent="0.3">
      <c r="I8805"/>
    </row>
    <row r="8806" spans="9:9" x14ac:dyDescent="0.3">
      <c r="I8806"/>
    </row>
    <row r="8807" spans="9:9" x14ac:dyDescent="0.3">
      <c r="I8807"/>
    </row>
    <row r="8808" spans="9:9" x14ac:dyDescent="0.3">
      <c r="I8808"/>
    </row>
    <row r="8809" spans="9:9" x14ac:dyDescent="0.3">
      <c r="I8809"/>
    </row>
    <row r="8810" spans="9:9" x14ac:dyDescent="0.3">
      <c r="I8810"/>
    </row>
    <row r="8811" spans="9:9" x14ac:dyDescent="0.3">
      <c r="I8811"/>
    </row>
    <row r="8812" spans="9:9" x14ac:dyDescent="0.3">
      <c r="I8812"/>
    </row>
    <row r="8813" spans="9:9" x14ac:dyDescent="0.3">
      <c r="I8813"/>
    </row>
    <row r="8814" spans="9:9" x14ac:dyDescent="0.3">
      <c r="I8814"/>
    </row>
    <row r="8815" spans="9:9" x14ac:dyDescent="0.3">
      <c r="I8815"/>
    </row>
    <row r="8816" spans="9:9" x14ac:dyDescent="0.3">
      <c r="I8816"/>
    </row>
    <row r="8817" spans="9:9" x14ac:dyDescent="0.3">
      <c r="I8817"/>
    </row>
    <row r="8818" spans="9:9" x14ac:dyDescent="0.3">
      <c r="I8818"/>
    </row>
    <row r="8819" spans="9:9" x14ac:dyDescent="0.3">
      <c r="I8819"/>
    </row>
    <row r="8820" spans="9:9" x14ac:dyDescent="0.3">
      <c r="I8820"/>
    </row>
    <row r="8821" spans="9:9" x14ac:dyDescent="0.3">
      <c r="I8821"/>
    </row>
    <row r="8822" spans="9:9" x14ac:dyDescent="0.3">
      <c r="I8822"/>
    </row>
    <row r="8823" spans="9:9" x14ac:dyDescent="0.3">
      <c r="I8823"/>
    </row>
    <row r="8824" spans="9:9" x14ac:dyDescent="0.3">
      <c r="I8824"/>
    </row>
    <row r="8825" spans="9:9" x14ac:dyDescent="0.3">
      <c r="I8825"/>
    </row>
    <row r="8826" spans="9:9" x14ac:dyDescent="0.3">
      <c r="I8826"/>
    </row>
    <row r="8827" spans="9:9" x14ac:dyDescent="0.3">
      <c r="I8827"/>
    </row>
    <row r="8828" spans="9:9" x14ac:dyDescent="0.3">
      <c r="I8828"/>
    </row>
    <row r="8829" spans="9:9" x14ac:dyDescent="0.3">
      <c r="I8829"/>
    </row>
    <row r="8830" spans="9:9" x14ac:dyDescent="0.3">
      <c r="I8830"/>
    </row>
    <row r="8831" spans="9:9" x14ac:dyDescent="0.3">
      <c r="I8831"/>
    </row>
    <row r="8832" spans="9:9" x14ac:dyDescent="0.3">
      <c r="I8832"/>
    </row>
    <row r="8833" spans="9:9" x14ac:dyDescent="0.3">
      <c r="I8833"/>
    </row>
    <row r="8834" spans="9:9" x14ac:dyDescent="0.3">
      <c r="I8834"/>
    </row>
    <row r="8835" spans="9:9" x14ac:dyDescent="0.3">
      <c r="I8835"/>
    </row>
    <row r="8836" spans="9:9" x14ac:dyDescent="0.3">
      <c r="I8836"/>
    </row>
    <row r="8837" spans="9:9" x14ac:dyDescent="0.3">
      <c r="I8837"/>
    </row>
    <row r="8838" spans="9:9" x14ac:dyDescent="0.3">
      <c r="I8838"/>
    </row>
    <row r="8839" spans="9:9" x14ac:dyDescent="0.3">
      <c r="I8839"/>
    </row>
    <row r="8840" spans="9:9" x14ac:dyDescent="0.3">
      <c r="I8840"/>
    </row>
    <row r="8841" spans="9:9" x14ac:dyDescent="0.3">
      <c r="I8841"/>
    </row>
    <row r="8842" spans="9:9" x14ac:dyDescent="0.3">
      <c r="I8842"/>
    </row>
    <row r="8843" spans="9:9" x14ac:dyDescent="0.3">
      <c r="I8843"/>
    </row>
    <row r="8844" spans="9:9" x14ac:dyDescent="0.3">
      <c r="I8844"/>
    </row>
    <row r="8845" spans="9:9" x14ac:dyDescent="0.3">
      <c r="I8845"/>
    </row>
    <row r="8846" spans="9:9" x14ac:dyDescent="0.3">
      <c r="I8846"/>
    </row>
    <row r="8847" spans="9:9" x14ac:dyDescent="0.3">
      <c r="I8847"/>
    </row>
    <row r="8848" spans="9:9" x14ac:dyDescent="0.3">
      <c r="I8848"/>
    </row>
    <row r="8849" spans="9:9" x14ac:dyDescent="0.3">
      <c r="I8849"/>
    </row>
    <row r="8850" spans="9:9" x14ac:dyDescent="0.3">
      <c r="I8850"/>
    </row>
    <row r="8851" spans="9:9" x14ac:dyDescent="0.3">
      <c r="I8851"/>
    </row>
    <row r="8852" spans="9:9" x14ac:dyDescent="0.3">
      <c r="I8852"/>
    </row>
    <row r="8853" spans="9:9" x14ac:dyDescent="0.3">
      <c r="I8853"/>
    </row>
    <row r="8854" spans="9:9" x14ac:dyDescent="0.3">
      <c r="I8854"/>
    </row>
    <row r="8855" spans="9:9" x14ac:dyDescent="0.3">
      <c r="I8855"/>
    </row>
    <row r="8856" spans="9:9" x14ac:dyDescent="0.3">
      <c r="I8856"/>
    </row>
    <row r="8857" spans="9:9" x14ac:dyDescent="0.3">
      <c r="I8857"/>
    </row>
    <row r="8858" spans="9:9" x14ac:dyDescent="0.3">
      <c r="I8858"/>
    </row>
    <row r="8859" spans="9:9" x14ac:dyDescent="0.3">
      <c r="I8859"/>
    </row>
    <row r="8860" spans="9:9" x14ac:dyDescent="0.3">
      <c r="I8860"/>
    </row>
    <row r="8861" spans="9:9" x14ac:dyDescent="0.3">
      <c r="I8861"/>
    </row>
    <row r="8862" spans="9:9" x14ac:dyDescent="0.3">
      <c r="I8862"/>
    </row>
    <row r="8863" spans="9:9" x14ac:dyDescent="0.3">
      <c r="I8863"/>
    </row>
    <row r="8864" spans="9:9" x14ac:dyDescent="0.3">
      <c r="I8864"/>
    </row>
    <row r="8865" spans="9:9" x14ac:dyDescent="0.3">
      <c r="I8865"/>
    </row>
    <row r="8866" spans="9:9" x14ac:dyDescent="0.3">
      <c r="I8866"/>
    </row>
    <row r="8867" spans="9:9" x14ac:dyDescent="0.3">
      <c r="I8867"/>
    </row>
    <row r="8868" spans="9:9" x14ac:dyDescent="0.3">
      <c r="I8868"/>
    </row>
    <row r="8869" spans="9:9" x14ac:dyDescent="0.3">
      <c r="I8869"/>
    </row>
    <row r="8870" spans="9:9" x14ac:dyDescent="0.3">
      <c r="I8870"/>
    </row>
    <row r="8871" spans="9:9" x14ac:dyDescent="0.3">
      <c r="I8871"/>
    </row>
    <row r="8872" spans="9:9" x14ac:dyDescent="0.3">
      <c r="I8872"/>
    </row>
    <row r="8873" spans="9:9" x14ac:dyDescent="0.3">
      <c r="I8873"/>
    </row>
    <row r="8874" spans="9:9" x14ac:dyDescent="0.3">
      <c r="I8874"/>
    </row>
    <row r="8875" spans="9:9" x14ac:dyDescent="0.3">
      <c r="I8875"/>
    </row>
    <row r="8876" spans="9:9" x14ac:dyDescent="0.3">
      <c r="I8876"/>
    </row>
    <row r="8877" spans="9:9" x14ac:dyDescent="0.3">
      <c r="I8877"/>
    </row>
    <row r="8878" spans="9:9" x14ac:dyDescent="0.3">
      <c r="I8878"/>
    </row>
    <row r="8879" spans="9:9" x14ac:dyDescent="0.3">
      <c r="I8879"/>
    </row>
    <row r="8880" spans="9:9" x14ac:dyDescent="0.3">
      <c r="I8880"/>
    </row>
    <row r="8881" spans="9:9" x14ac:dyDescent="0.3">
      <c r="I8881"/>
    </row>
    <row r="8882" spans="9:9" x14ac:dyDescent="0.3">
      <c r="I8882"/>
    </row>
    <row r="8883" spans="9:9" x14ac:dyDescent="0.3">
      <c r="I8883"/>
    </row>
    <row r="8884" spans="9:9" x14ac:dyDescent="0.3">
      <c r="I8884"/>
    </row>
    <row r="8885" spans="9:9" x14ac:dyDescent="0.3">
      <c r="I8885"/>
    </row>
    <row r="8886" spans="9:9" x14ac:dyDescent="0.3">
      <c r="I8886"/>
    </row>
    <row r="8887" spans="9:9" x14ac:dyDescent="0.3">
      <c r="I8887"/>
    </row>
    <row r="8888" spans="9:9" x14ac:dyDescent="0.3">
      <c r="I8888"/>
    </row>
    <row r="8889" spans="9:9" x14ac:dyDescent="0.3">
      <c r="I8889"/>
    </row>
    <row r="8890" spans="9:9" x14ac:dyDescent="0.3">
      <c r="I8890"/>
    </row>
    <row r="8891" spans="9:9" x14ac:dyDescent="0.3">
      <c r="I8891"/>
    </row>
    <row r="8892" spans="9:9" x14ac:dyDescent="0.3">
      <c r="I8892"/>
    </row>
    <row r="8893" spans="9:9" x14ac:dyDescent="0.3">
      <c r="I8893"/>
    </row>
    <row r="8894" spans="9:9" x14ac:dyDescent="0.3">
      <c r="I8894"/>
    </row>
    <row r="8895" spans="9:9" x14ac:dyDescent="0.3">
      <c r="I8895"/>
    </row>
    <row r="8896" spans="9:9" x14ac:dyDescent="0.3">
      <c r="I8896"/>
    </row>
    <row r="8897" spans="9:9" x14ac:dyDescent="0.3">
      <c r="I8897"/>
    </row>
    <row r="8898" spans="9:9" x14ac:dyDescent="0.3">
      <c r="I8898"/>
    </row>
    <row r="8899" spans="9:9" x14ac:dyDescent="0.3">
      <c r="I8899"/>
    </row>
    <row r="8900" spans="9:9" x14ac:dyDescent="0.3">
      <c r="I8900"/>
    </row>
    <row r="8901" spans="9:9" x14ac:dyDescent="0.3">
      <c r="I8901"/>
    </row>
    <row r="8902" spans="9:9" x14ac:dyDescent="0.3">
      <c r="I8902"/>
    </row>
    <row r="8903" spans="9:9" x14ac:dyDescent="0.3">
      <c r="I8903"/>
    </row>
    <row r="8904" spans="9:9" x14ac:dyDescent="0.3">
      <c r="I8904"/>
    </row>
    <row r="8905" spans="9:9" x14ac:dyDescent="0.3">
      <c r="I8905"/>
    </row>
    <row r="8906" spans="9:9" x14ac:dyDescent="0.3">
      <c r="I8906"/>
    </row>
    <row r="8907" spans="9:9" x14ac:dyDescent="0.3">
      <c r="I8907"/>
    </row>
    <row r="8908" spans="9:9" x14ac:dyDescent="0.3">
      <c r="I8908"/>
    </row>
    <row r="8909" spans="9:9" x14ac:dyDescent="0.3">
      <c r="I8909"/>
    </row>
    <row r="8910" spans="9:9" x14ac:dyDescent="0.3">
      <c r="I8910"/>
    </row>
    <row r="8911" spans="9:9" x14ac:dyDescent="0.3">
      <c r="I8911"/>
    </row>
    <row r="8912" spans="9:9" x14ac:dyDescent="0.3">
      <c r="I8912"/>
    </row>
    <row r="8913" spans="9:9" x14ac:dyDescent="0.3">
      <c r="I8913"/>
    </row>
    <row r="8914" spans="9:9" x14ac:dyDescent="0.3">
      <c r="I8914"/>
    </row>
    <row r="8915" spans="9:9" x14ac:dyDescent="0.3">
      <c r="I8915"/>
    </row>
    <row r="8916" spans="9:9" x14ac:dyDescent="0.3">
      <c r="I8916"/>
    </row>
    <row r="8917" spans="9:9" x14ac:dyDescent="0.3">
      <c r="I8917"/>
    </row>
    <row r="8918" spans="9:9" x14ac:dyDescent="0.3">
      <c r="I8918"/>
    </row>
    <row r="8919" spans="9:9" x14ac:dyDescent="0.3">
      <c r="I8919"/>
    </row>
    <row r="8920" spans="9:9" x14ac:dyDescent="0.3">
      <c r="I8920"/>
    </row>
    <row r="8921" spans="9:9" x14ac:dyDescent="0.3">
      <c r="I8921"/>
    </row>
    <row r="8922" spans="9:9" x14ac:dyDescent="0.3">
      <c r="I8922"/>
    </row>
    <row r="8923" spans="9:9" x14ac:dyDescent="0.3">
      <c r="I8923"/>
    </row>
    <row r="8924" spans="9:9" x14ac:dyDescent="0.3">
      <c r="I8924"/>
    </row>
    <row r="8925" spans="9:9" x14ac:dyDescent="0.3">
      <c r="I8925"/>
    </row>
    <row r="8926" spans="9:9" x14ac:dyDescent="0.3">
      <c r="I8926"/>
    </row>
    <row r="8927" spans="9:9" x14ac:dyDescent="0.3">
      <c r="I8927"/>
    </row>
    <row r="8928" spans="9:9" x14ac:dyDescent="0.3">
      <c r="I8928"/>
    </row>
    <row r="8929" spans="9:9" x14ac:dyDescent="0.3">
      <c r="I8929"/>
    </row>
    <row r="8930" spans="9:9" x14ac:dyDescent="0.3">
      <c r="I8930"/>
    </row>
    <row r="8931" spans="9:9" x14ac:dyDescent="0.3">
      <c r="I8931"/>
    </row>
    <row r="8932" spans="9:9" x14ac:dyDescent="0.3">
      <c r="I8932"/>
    </row>
    <row r="8933" spans="9:9" x14ac:dyDescent="0.3">
      <c r="I8933"/>
    </row>
    <row r="8934" spans="9:9" x14ac:dyDescent="0.3">
      <c r="I8934"/>
    </row>
    <row r="8935" spans="9:9" x14ac:dyDescent="0.3">
      <c r="I8935"/>
    </row>
    <row r="8936" spans="9:9" x14ac:dyDescent="0.3">
      <c r="I8936"/>
    </row>
    <row r="8937" spans="9:9" x14ac:dyDescent="0.3">
      <c r="I8937"/>
    </row>
    <row r="8938" spans="9:9" x14ac:dyDescent="0.3">
      <c r="I8938"/>
    </row>
    <row r="8939" spans="9:9" x14ac:dyDescent="0.3">
      <c r="I8939"/>
    </row>
    <row r="8940" spans="9:9" x14ac:dyDescent="0.3">
      <c r="I8940"/>
    </row>
    <row r="8941" spans="9:9" x14ac:dyDescent="0.3">
      <c r="I8941"/>
    </row>
    <row r="8942" spans="9:9" x14ac:dyDescent="0.3">
      <c r="I8942"/>
    </row>
    <row r="8943" spans="9:9" x14ac:dyDescent="0.3">
      <c r="I8943"/>
    </row>
    <row r="8944" spans="9:9" x14ac:dyDescent="0.3">
      <c r="I8944"/>
    </row>
    <row r="8945" spans="9:9" x14ac:dyDescent="0.3">
      <c r="I8945"/>
    </row>
    <row r="8946" spans="9:9" x14ac:dyDescent="0.3">
      <c r="I8946"/>
    </row>
    <row r="8947" spans="9:9" x14ac:dyDescent="0.3">
      <c r="I8947"/>
    </row>
    <row r="8948" spans="9:9" x14ac:dyDescent="0.3">
      <c r="I8948"/>
    </row>
    <row r="8949" spans="9:9" x14ac:dyDescent="0.3">
      <c r="I8949"/>
    </row>
    <row r="8950" spans="9:9" x14ac:dyDescent="0.3">
      <c r="I8950"/>
    </row>
    <row r="8951" spans="9:9" x14ac:dyDescent="0.3">
      <c r="I8951"/>
    </row>
    <row r="8952" spans="9:9" x14ac:dyDescent="0.3">
      <c r="I8952"/>
    </row>
    <row r="8953" spans="9:9" x14ac:dyDescent="0.3">
      <c r="I8953"/>
    </row>
    <row r="8954" spans="9:9" x14ac:dyDescent="0.3">
      <c r="I8954"/>
    </row>
    <row r="8955" spans="9:9" x14ac:dyDescent="0.3">
      <c r="I8955"/>
    </row>
    <row r="8956" spans="9:9" x14ac:dyDescent="0.3">
      <c r="I8956"/>
    </row>
    <row r="8957" spans="9:9" x14ac:dyDescent="0.3">
      <c r="I8957"/>
    </row>
    <row r="8958" spans="9:9" x14ac:dyDescent="0.3">
      <c r="I8958"/>
    </row>
    <row r="8959" spans="9:9" x14ac:dyDescent="0.3">
      <c r="I8959"/>
    </row>
    <row r="8960" spans="9:9" x14ac:dyDescent="0.3">
      <c r="I8960"/>
    </row>
    <row r="8961" spans="9:9" x14ac:dyDescent="0.3">
      <c r="I8961"/>
    </row>
    <row r="8962" spans="9:9" x14ac:dyDescent="0.3">
      <c r="I8962"/>
    </row>
    <row r="8963" spans="9:9" x14ac:dyDescent="0.3">
      <c r="I8963"/>
    </row>
    <row r="8964" spans="9:9" x14ac:dyDescent="0.3">
      <c r="I8964"/>
    </row>
    <row r="8965" spans="9:9" x14ac:dyDescent="0.3">
      <c r="I8965"/>
    </row>
    <row r="8966" spans="9:9" x14ac:dyDescent="0.3">
      <c r="I8966"/>
    </row>
    <row r="8967" spans="9:9" x14ac:dyDescent="0.3">
      <c r="I8967"/>
    </row>
    <row r="8968" spans="9:9" x14ac:dyDescent="0.3">
      <c r="I8968"/>
    </row>
    <row r="8969" spans="9:9" x14ac:dyDescent="0.3">
      <c r="I8969"/>
    </row>
    <row r="8970" spans="9:9" x14ac:dyDescent="0.3">
      <c r="I8970"/>
    </row>
    <row r="8971" spans="9:9" x14ac:dyDescent="0.3">
      <c r="I8971"/>
    </row>
    <row r="8972" spans="9:9" x14ac:dyDescent="0.3">
      <c r="I8972"/>
    </row>
    <row r="8973" spans="9:9" x14ac:dyDescent="0.3">
      <c r="I8973"/>
    </row>
    <row r="8974" spans="9:9" x14ac:dyDescent="0.3">
      <c r="I8974"/>
    </row>
    <row r="8975" spans="9:9" x14ac:dyDescent="0.3">
      <c r="I8975"/>
    </row>
    <row r="8976" spans="9:9" x14ac:dyDescent="0.3">
      <c r="I8976"/>
    </row>
    <row r="8977" spans="9:9" x14ac:dyDescent="0.3">
      <c r="I8977"/>
    </row>
    <row r="8978" spans="9:9" x14ac:dyDescent="0.3">
      <c r="I8978"/>
    </row>
    <row r="8979" spans="9:9" x14ac:dyDescent="0.3">
      <c r="I8979"/>
    </row>
    <row r="8980" spans="9:9" x14ac:dyDescent="0.3">
      <c r="I8980"/>
    </row>
    <row r="8981" spans="9:9" x14ac:dyDescent="0.3">
      <c r="I8981"/>
    </row>
    <row r="8982" spans="9:9" x14ac:dyDescent="0.3">
      <c r="I8982"/>
    </row>
    <row r="8983" spans="9:9" x14ac:dyDescent="0.3">
      <c r="I8983"/>
    </row>
    <row r="8984" spans="9:9" x14ac:dyDescent="0.3">
      <c r="I8984"/>
    </row>
    <row r="8985" spans="9:9" x14ac:dyDescent="0.3">
      <c r="I8985"/>
    </row>
    <row r="8986" spans="9:9" x14ac:dyDescent="0.3">
      <c r="I8986"/>
    </row>
    <row r="8987" spans="9:9" x14ac:dyDescent="0.3">
      <c r="I8987"/>
    </row>
    <row r="8988" spans="9:9" x14ac:dyDescent="0.3">
      <c r="I8988"/>
    </row>
    <row r="8989" spans="9:9" x14ac:dyDescent="0.3">
      <c r="I8989"/>
    </row>
    <row r="8990" spans="9:9" x14ac:dyDescent="0.3">
      <c r="I8990"/>
    </row>
    <row r="8991" spans="9:9" x14ac:dyDescent="0.3">
      <c r="I8991"/>
    </row>
    <row r="8992" spans="9:9" x14ac:dyDescent="0.3">
      <c r="I8992"/>
    </row>
    <row r="8993" spans="9:9" x14ac:dyDescent="0.3">
      <c r="I8993"/>
    </row>
    <row r="8994" spans="9:9" x14ac:dyDescent="0.3">
      <c r="I8994"/>
    </row>
    <row r="8995" spans="9:9" x14ac:dyDescent="0.3">
      <c r="I8995"/>
    </row>
    <row r="8996" spans="9:9" x14ac:dyDescent="0.3">
      <c r="I8996"/>
    </row>
    <row r="8997" spans="9:9" x14ac:dyDescent="0.3">
      <c r="I8997"/>
    </row>
    <row r="8998" spans="9:9" x14ac:dyDescent="0.3">
      <c r="I8998"/>
    </row>
    <row r="8999" spans="9:9" x14ac:dyDescent="0.3">
      <c r="I8999"/>
    </row>
    <row r="9000" spans="9:9" x14ac:dyDescent="0.3">
      <c r="I9000"/>
    </row>
    <row r="9001" spans="9:9" x14ac:dyDescent="0.3">
      <c r="I9001"/>
    </row>
    <row r="9002" spans="9:9" x14ac:dyDescent="0.3">
      <c r="I9002"/>
    </row>
    <row r="9003" spans="9:9" x14ac:dyDescent="0.3">
      <c r="I9003"/>
    </row>
    <row r="9004" spans="9:9" x14ac:dyDescent="0.3">
      <c r="I9004"/>
    </row>
    <row r="9005" spans="9:9" x14ac:dyDescent="0.3">
      <c r="I9005"/>
    </row>
    <row r="9006" spans="9:9" x14ac:dyDescent="0.3">
      <c r="I9006"/>
    </row>
    <row r="9007" spans="9:9" x14ac:dyDescent="0.3">
      <c r="I9007"/>
    </row>
    <row r="9008" spans="9:9" x14ac:dyDescent="0.3">
      <c r="I9008"/>
    </row>
    <row r="9009" spans="9:9" x14ac:dyDescent="0.3">
      <c r="I9009"/>
    </row>
    <row r="9010" spans="9:9" x14ac:dyDescent="0.3">
      <c r="I9010"/>
    </row>
    <row r="9011" spans="9:9" x14ac:dyDescent="0.3">
      <c r="I9011"/>
    </row>
    <row r="9012" spans="9:9" x14ac:dyDescent="0.3">
      <c r="I9012"/>
    </row>
    <row r="9013" spans="9:9" x14ac:dyDescent="0.3">
      <c r="I9013"/>
    </row>
    <row r="9014" spans="9:9" x14ac:dyDescent="0.3">
      <c r="I9014"/>
    </row>
    <row r="9015" spans="9:9" x14ac:dyDescent="0.3">
      <c r="I9015"/>
    </row>
    <row r="9016" spans="9:9" x14ac:dyDescent="0.3">
      <c r="I9016"/>
    </row>
    <row r="9017" spans="9:9" x14ac:dyDescent="0.3">
      <c r="I9017"/>
    </row>
    <row r="9018" spans="9:9" x14ac:dyDescent="0.3">
      <c r="I9018"/>
    </row>
    <row r="9019" spans="9:9" x14ac:dyDescent="0.3">
      <c r="I9019"/>
    </row>
    <row r="9020" spans="9:9" x14ac:dyDescent="0.3">
      <c r="I9020"/>
    </row>
    <row r="9021" spans="9:9" x14ac:dyDescent="0.3">
      <c r="I9021"/>
    </row>
    <row r="9022" spans="9:9" x14ac:dyDescent="0.3">
      <c r="I9022"/>
    </row>
    <row r="9023" spans="9:9" x14ac:dyDescent="0.3">
      <c r="I9023"/>
    </row>
    <row r="9024" spans="9:9" x14ac:dyDescent="0.3">
      <c r="I9024"/>
    </row>
    <row r="9025" spans="9:9" x14ac:dyDescent="0.3">
      <c r="I9025"/>
    </row>
    <row r="9026" spans="9:9" x14ac:dyDescent="0.3">
      <c r="I9026"/>
    </row>
    <row r="9027" spans="9:9" x14ac:dyDescent="0.3">
      <c r="I9027"/>
    </row>
    <row r="9028" spans="9:9" x14ac:dyDescent="0.3">
      <c r="I9028"/>
    </row>
    <row r="9029" spans="9:9" x14ac:dyDescent="0.3">
      <c r="I9029"/>
    </row>
    <row r="9030" spans="9:9" x14ac:dyDescent="0.3">
      <c r="I9030"/>
    </row>
    <row r="9031" spans="9:9" x14ac:dyDescent="0.3">
      <c r="I9031"/>
    </row>
    <row r="9032" spans="9:9" x14ac:dyDescent="0.3">
      <c r="I9032"/>
    </row>
    <row r="9033" spans="9:9" x14ac:dyDescent="0.3">
      <c r="I9033"/>
    </row>
    <row r="9034" spans="9:9" x14ac:dyDescent="0.3">
      <c r="I9034"/>
    </row>
    <row r="9035" spans="9:9" x14ac:dyDescent="0.3">
      <c r="I9035"/>
    </row>
    <row r="9036" spans="9:9" x14ac:dyDescent="0.3">
      <c r="I9036"/>
    </row>
    <row r="9037" spans="9:9" x14ac:dyDescent="0.3">
      <c r="I9037"/>
    </row>
    <row r="9038" spans="9:9" x14ac:dyDescent="0.3">
      <c r="I9038"/>
    </row>
    <row r="9039" spans="9:9" x14ac:dyDescent="0.3">
      <c r="I9039"/>
    </row>
    <row r="9040" spans="9:9" x14ac:dyDescent="0.3">
      <c r="I9040"/>
    </row>
    <row r="9041" spans="9:9" x14ac:dyDescent="0.3">
      <c r="I9041"/>
    </row>
    <row r="9042" spans="9:9" x14ac:dyDescent="0.3">
      <c r="I9042"/>
    </row>
    <row r="9043" spans="9:9" x14ac:dyDescent="0.3">
      <c r="I9043"/>
    </row>
    <row r="9044" spans="9:9" x14ac:dyDescent="0.3">
      <c r="I9044"/>
    </row>
    <row r="9045" spans="9:9" x14ac:dyDescent="0.3">
      <c r="I9045"/>
    </row>
    <row r="9046" spans="9:9" x14ac:dyDescent="0.3">
      <c r="I9046"/>
    </row>
    <row r="9047" spans="9:9" x14ac:dyDescent="0.3">
      <c r="I9047"/>
    </row>
    <row r="9048" spans="9:9" x14ac:dyDescent="0.3">
      <c r="I9048"/>
    </row>
    <row r="9049" spans="9:9" x14ac:dyDescent="0.3">
      <c r="I9049"/>
    </row>
    <row r="9050" spans="9:9" x14ac:dyDescent="0.3">
      <c r="I9050"/>
    </row>
    <row r="9051" spans="9:9" x14ac:dyDescent="0.3">
      <c r="I9051"/>
    </row>
    <row r="9052" spans="9:9" x14ac:dyDescent="0.3">
      <c r="I9052"/>
    </row>
    <row r="9053" spans="9:9" x14ac:dyDescent="0.3">
      <c r="I9053"/>
    </row>
    <row r="9054" spans="9:9" x14ac:dyDescent="0.3">
      <c r="I9054"/>
    </row>
    <row r="9055" spans="9:9" x14ac:dyDescent="0.3">
      <c r="I9055"/>
    </row>
    <row r="9056" spans="9:9" x14ac:dyDescent="0.3">
      <c r="I9056"/>
    </row>
    <row r="9057" spans="9:9" x14ac:dyDescent="0.3">
      <c r="I9057"/>
    </row>
    <row r="9058" spans="9:9" x14ac:dyDescent="0.3">
      <c r="I9058"/>
    </row>
    <row r="9059" spans="9:9" x14ac:dyDescent="0.3">
      <c r="I9059"/>
    </row>
    <row r="9060" spans="9:9" x14ac:dyDescent="0.3">
      <c r="I9060"/>
    </row>
    <row r="9061" spans="9:9" x14ac:dyDescent="0.3">
      <c r="I9061"/>
    </row>
    <row r="9062" spans="9:9" x14ac:dyDescent="0.3">
      <c r="I9062"/>
    </row>
    <row r="9063" spans="9:9" x14ac:dyDescent="0.3">
      <c r="I9063"/>
    </row>
    <row r="9064" spans="9:9" x14ac:dyDescent="0.3">
      <c r="I9064"/>
    </row>
    <row r="9065" spans="9:9" x14ac:dyDescent="0.3">
      <c r="I9065"/>
    </row>
    <row r="9066" spans="9:9" x14ac:dyDescent="0.3">
      <c r="I9066"/>
    </row>
    <row r="9067" spans="9:9" x14ac:dyDescent="0.3">
      <c r="I9067"/>
    </row>
    <row r="9068" spans="9:9" x14ac:dyDescent="0.3">
      <c r="I9068"/>
    </row>
    <row r="9069" spans="9:9" x14ac:dyDescent="0.3">
      <c r="I9069"/>
    </row>
    <row r="9070" spans="9:9" x14ac:dyDescent="0.3">
      <c r="I9070"/>
    </row>
    <row r="9071" spans="9:9" x14ac:dyDescent="0.3">
      <c r="I9071"/>
    </row>
    <row r="9072" spans="9:9" x14ac:dyDescent="0.3">
      <c r="I9072"/>
    </row>
    <row r="9073" spans="9:9" x14ac:dyDescent="0.3">
      <c r="I9073"/>
    </row>
    <row r="9074" spans="9:9" x14ac:dyDescent="0.3">
      <c r="I9074"/>
    </row>
    <row r="9075" spans="9:9" x14ac:dyDescent="0.3">
      <c r="I9075"/>
    </row>
    <row r="9076" spans="9:9" x14ac:dyDescent="0.3">
      <c r="I9076"/>
    </row>
    <row r="9077" spans="9:9" x14ac:dyDescent="0.3">
      <c r="I9077"/>
    </row>
    <row r="9078" spans="9:9" x14ac:dyDescent="0.3">
      <c r="I9078"/>
    </row>
    <row r="9079" spans="9:9" x14ac:dyDescent="0.3">
      <c r="I9079"/>
    </row>
    <row r="9080" spans="9:9" x14ac:dyDescent="0.3">
      <c r="I9080"/>
    </row>
    <row r="9081" spans="9:9" x14ac:dyDescent="0.3">
      <c r="I9081"/>
    </row>
    <row r="9082" spans="9:9" x14ac:dyDescent="0.3">
      <c r="I9082"/>
    </row>
    <row r="9083" spans="9:9" x14ac:dyDescent="0.3">
      <c r="I9083"/>
    </row>
    <row r="9084" spans="9:9" x14ac:dyDescent="0.3">
      <c r="I9084"/>
    </row>
    <row r="9085" spans="9:9" x14ac:dyDescent="0.3">
      <c r="I9085"/>
    </row>
    <row r="9086" spans="9:9" x14ac:dyDescent="0.3">
      <c r="I9086"/>
    </row>
    <row r="9087" spans="9:9" x14ac:dyDescent="0.3">
      <c r="I9087"/>
    </row>
    <row r="9088" spans="9:9" x14ac:dyDescent="0.3">
      <c r="I9088"/>
    </row>
    <row r="9089" spans="9:9" x14ac:dyDescent="0.3">
      <c r="I9089"/>
    </row>
    <row r="9090" spans="9:9" x14ac:dyDescent="0.3">
      <c r="I9090"/>
    </row>
    <row r="9091" spans="9:9" x14ac:dyDescent="0.3">
      <c r="I9091"/>
    </row>
    <row r="9092" spans="9:9" x14ac:dyDescent="0.3">
      <c r="I9092"/>
    </row>
    <row r="9093" spans="9:9" x14ac:dyDescent="0.3">
      <c r="I9093"/>
    </row>
    <row r="9094" spans="9:9" x14ac:dyDescent="0.3">
      <c r="I9094"/>
    </row>
    <row r="9095" spans="9:9" x14ac:dyDescent="0.3">
      <c r="I9095"/>
    </row>
    <row r="9096" spans="9:9" x14ac:dyDescent="0.3">
      <c r="I9096"/>
    </row>
    <row r="9097" spans="9:9" x14ac:dyDescent="0.3">
      <c r="I9097"/>
    </row>
    <row r="9098" spans="9:9" x14ac:dyDescent="0.3">
      <c r="I9098"/>
    </row>
    <row r="9099" spans="9:9" x14ac:dyDescent="0.3">
      <c r="I9099"/>
    </row>
    <row r="9100" spans="9:9" x14ac:dyDescent="0.3">
      <c r="I9100"/>
    </row>
    <row r="9101" spans="9:9" x14ac:dyDescent="0.3">
      <c r="I9101"/>
    </row>
    <row r="9102" spans="9:9" x14ac:dyDescent="0.3">
      <c r="I9102"/>
    </row>
    <row r="9103" spans="9:9" x14ac:dyDescent="0.3">
      <c r="I9103"/>
    </row>
    <row r="9104" spans="9:9" x14ac:dyDescent="0.3">
      <c r="I9104"/>
    </row>
    <row r="9105" spans="9:9" x14ac:dyDescent="0.3">
      <c r="I9105"/>
    </row>
    <row r="9106" spans="9:9" x14ac:dyDescent="0.3">
      <c r="I9106"/>
    </row>
    <row r="9107" spans="9:9" x14ac:dyDescent="0.3">
      <c r="I9107"/>
    </row>
    <row r="9108" spans="9:9" x14ac:dyDescent="0.3">
      <c r="I9108"/>
    </row>
    <row r="9109" spans="9:9" x14ac:dyDescent="0.3">
      <c r="I9109"/>
    </row>
    <row r="9110" spans="9:9" x14ac:dyDescent="0.3">
      <c r="I9110"/>
    </row>
    <row r="9111" spans="9:9" x14ac:dyDescent="0.3">
      <c r="I9111"/>
    </row>
    <row r="9112" spans="9:9" x14ac:dyDescent="0.3">
      <c r="I9112"/>
    </row>
    <row r="9113" spans="9:9" x14ac:dyDescent="0.3">
      <c r="I9113"/>
    </row>
    <row r="9114" spans="9:9" x14ac:dyDescent="0.3">
      <c r="I9114"/>
    </row>
    <row r="9115" spans="9:9" x14ac:dyDescent="0.3">
      <c r="I9115"/>
    </row>
    <row r="9116" spans="9:9" x14ac:dyDescent="0.3">
      <c r="I9116"/>
    </row>
    <row r="9117" spans="9:9" x14ac:dyDescent="0.3">
      <c r="I9117"/>
    </row>
    <row r="9118" spans="9:9" x14ac:dyDescent="0.3">
      <c r="I9118"/>
    </row>
    <row r="9119" spans="9:9" x14ac:dyDescent="0.3">
      <c r="I9119"/>
    </row>
    <row r="9120" spans="9:9" x14ac:dyDescent="0.3">
      <c r="I9120"/>
    </row>
    <row r="9121" spans="9:9" x14ac:dyDescent="0.3">
      <c r="I9121"/>
    </row>
    <row r="9122" spans="9:9" x14ac:dyDescent="0.3">
      <c r="I9122"/>
    </row>
    <row r="9123" spans="9:9" x14ac:dyDescent="0.3">
      <c r="I9123"/>
    </row>
    <row r="9124" spans="9:9" x14ac:dyDescent="0.3">
      <c r="I9124"/>
    </row>
    <row r="9125" spans="9:9" x14ac:dyDescent="0.3">
      <c r="I9125"/>
    </row>
    <row r="9126" spans="9:9" x14ac:dyDescent="0.3">
      <c r="I9126"/>
    </row>
    <row r="9127" spans="9:9" x14ac:dyDescent="0.3">
      <c r="I9127"/>
    </row>
    <row r="9128" spans="9:9" x14ac:dyDescent="0.3">
      <c r="I9128"/>
    </row>
    <row r="9129" spans="9:9" x14ac:dyDescent="0.3">
      <c r="I9129"/>
    </row>
    <row r="9130" spans="9:9" x14ac:dyDescent="0.3">
      <c r="I9130"/>
    </row>
    <row r="9131" spans="9:9" x14ac:dyDescent="0.3">
      <c r="I9131"/>
    </row>
    <row r="9132" spans="9:9" x14ac:dyDescent="0.3">
      <c r="I9132"/>
    </row>
    <row r="9133" spans="9:9" x14ac:dyDescent="0.3">
      <c r="I9133"/>
    </row>
    <row r="9134" spans="9:9" x14ac:dyDescent="0.3">
      <c r="I9134"/>
    </row>
    <row r="9135" spans="9:9" x14ac:dyDescent="0.3">
      <c r="I9135"/>
    </row>
    <row r="9136" spans="9:9" x14ac:dyDescent="0.3">
      <c r="I9136"/>
    </row>
    <row r="9137" spans="9:9" x14ac:dyDescent="0.3">
      <c r="I9137"/>
    </row>
    <row r="9138" spans="9:9" x14ac:dyDescent="0.3">
      <c r="I9138"/>
    </row>
    <row r="9139" spans="9:9" x14ac:dyDescent="0.3">
      <c r="I9139"/>
    </row>
    <row r="9140" spans="9:9" x14ac:dyDescent="0.3">
      <c r="I9140"/>
    </row>
    <row r="9141" spans="9:9" x14ac:dyDescent="0.3">
      <c r="I9141"/>
    </row>
    <row r="9142" spans="9:9" x14ac:dyDescent="0.3">
      <c r="I9142"/>
    </row>
    <row r="9143" spans="9:9" x14ac:dyDescent="0.3">
      <c r="I9143"/>
    </row>
    <row r="9144" spans="9:9" x14ac:dyDescent="0.3">
      <c r="I9144"/>
    </row>
    <row r="9145" spans="9:9" x14ac:dyDescent="0.3">
      <c r="I9145"/>
    </row>
    <row r="9146" spans="9:9" x14ac:dyDescent="0.3">
      <c r="I9146"/>
    </row>
    <row r="9147" spans="9:9" x14ac:dyDescent="0.3">
      <c r="I9147"/>
    </row>
    <row r="9148" spans="9:9" x14ac:dyDescent="0.3">
      <c r="I9148"/>
    </row>
    <row r="9149" spans="9:9" x14ac:dyDescent="0.3">
      <c r="I9149"/>
    </row>
    <row r="9150" spans="9:9" x14ac:dyDescent="0.3">
      <c r="I9150"/>
    </row>
    <row r="9151" spans="9:9" x14ac:dyDescent="0.3">
      <c r="I9151"/>
    </row>
    <row r="9152" spans="9:9" x14ac:dyDescent="0.3">
      <c r="I9152"/>
    </row>
    <row r="9153" spans="9:9" x14ac:dyDescent="0.3">
      <c r="I9153"/>
    </row>
    <row r="9154" spans="9:9" x14ac:dyDescent="0.3">
      <c r="I9154"/>
    </row>
    <row r="9155" spans="9:9" x14ac:dyDescent="0.3">
      <c r="I9155"/>
    </row>
    <row r="9156" spans="9:9" x14ac:dyDescent="0.3">
      <c r="I9156"/>
    </row>
    <row r="9157" spans="9:9" x14ac:dyDescent="0.3">
      <c r="I9157"/>
    </row>
    <row r="9158" spans="9:9" x14ac:dyDescent="0.3">
      <c r="I9158"/>
    </row>
    <row r="9159" spans="9:9" x14ac:dyDescent="0.3">
      <c r="I9159"/>
    </row>
    <row r="9160" spans="9:9" x14ac:dyDescent="0.3">
      <c r="I9160"/>
    </row>
    <row r="9161" spans="9:9" x14ac:dyDescent="0.3">
      <c r="I9161"/>
    </row>
    <row r="9162" spans="9:9" x14ac:dyDescent="0.3">
      <c r="I9162"/>
    </row>
    <row r="9163" spans="9:9" x14ac:dyDescent="0.3">
      <c r="I9163"/>
    </row>
    <row r="9164" spans="9:9" x14ac:dyDescent="0.3">
      <c r="I9164"/>
    </row>
    <row r="9165" spans="9:9" x14ac:dyDescent="0.3">
      <c r="I9165"/>
    </row>
    <row r="9166" spans="9:9" x14ac:dyDescent="0.3">
      <c r="I9166"/>
    </row>
    <row r="9167" spans="9:9" x14ac:dyDescent="0.3">
      <c r="I9167"/>
    </row>
    <row r="9168" spans="9:9" x14ac:dyDescent="0.3">
      <c r="I9168"/>
    </row>
    <row r="9169" spans="9:9" x14ac:dyDescent="0.3">
      <c r="I9169"/>
    </row>
    <row r="9170" spans="9:9" x14ac:dyDescent="0.3">
      <c r="I9170"/>
    </row>
    <row r="9171" spans="9:9" x14ac:dyDescent="0.3">
      <c r="I9171"/>
    </row>
    <row r="9172" spans="9:9" x14ac:dyDescent="0.3">
      <c r="I9172"/>
    </row>
    <row r="9173" spans="9:9" x14ac:dyDescent="0.3">
      <c r="I9173"/>
    </row>
    <row r="9174" spans="9:9" x14ac:dyDescent="0.3">
      <c r="I9174"/>
    </row>
    <row r="9175" spans="9:9" x14ac:dyDescent="0.3">
      <c r="I9175"/>
    </row>
    <row r="9176" spans="9:9" x14ac:dyDescent="0.3">
      <c r="I9176"/>
    </row>
    <row r="9177" spans="9:9" x14ac:dyDescent="0.3">
      <c r="I9177"/>
    </row>
    <row r="9178" spans="9:9" x14ac:dyDescent="0.3">
      <c r="I9178"/>
    </row>
    <row r="9179" spans="9:9" x14ac:dyDescent="0.3">
      <c r="I9179"/>
    </row>
    <row r="9180" spans="9:9" x14ac:dyDescent="0.3">
      <c r="I9180"/>
    </row>
    <row r="9181" spans="9:9" x14ac:dyDescent="0.3">
      <c r="I9181"/>
    </row>
    <row r="9182" spans="9:9" x14ac:dyDescent="0.3">
      <c r="I9182"/>
    </row>
    <row r="9183" spans="9:9" x14ac:dyDescent="0.3">
      <c r="I9183"/>
    </row>
    <row r="9184" spans="9:9" x14ac:dyDescent="0.3">
      <c r="I9184"/>
    </row>
    <row r="9185" spans="9:9" x14ac:dyDescent="0.3">
      <c r="I9185"/>
    </row>
    <row r="9186" spans="9:9" x14ac:dyDescent="0.3">
      <c r="I9186"/>
    </row>
    <row r="9187" spans="9:9" x14ac:dyDescent="0.3">
      <c r="I9187"/>
    </row>
    <row r="9188" spans="9:9" x14ac:dyDescent="0.3">
      <c r="I9188"/>
    </row>
    <row r="9189" spans="9:9" x14ac:dyDescent="0.3">
      <c r="I9189"/>
    </row>
    <row r="9190" spans="9:9" x14ac:dyDescent="0.3">
      <c r="I9190"/>
    </row>
    <row r="9191" spans="9:9" x14ac:dyDescent="0.3">
      <c r="I9191"/>
    </row>
    <row r="9192" spans="9:9" x14ac:dyDescent="0.3">
      <c r="I9192"/>
    </row>
    <row r="9193" spans="9:9" x14ac:dyDescent="0.3">
      <c r="I9193"/>
    </row>
    <row r="9194" spans="9:9" x14ac:dyDescent="0.3">
      <c r="I9194"/>
    </row>
    <row r="9195" spans="9:9" x14ac:dyDescent="0.3">
      <c r="I9195"/>
    </row>
    <row r="9196" spans="9:9" x14ac:dyDescent="0.3">
      <c r="I9196"/>
    </row>
    <row r="9197" spans="9:9" x14ac:dyDescent="0.3">
      <c r="I9197"/>
    </row>
    <row r="9198" spans="9:9" x14ac:dyDescent="0.3">
      <c r="I9198"/>
    </row>
    <row r="9199" spans="9:9" x14ac:dyDescent="0.3">
      <c r="I9199"/>
    </row>
    <row r="9200" spans="9:9" x14ac:dyDescent="0.3">
      <c r="I9200"/>
    </row>
    <row r="9201" spans="9:9" x14ac:dyDescent="0.3">
      <c r="I9201"/>
    </row>
    <row r="9202" spans="9:9" x14ac:dyDescent="0.3">
      <c r="I9202"/>
    </row>
    <row r="9203" spans="9:9" x14ac:dyDescent="0.3">
      <c r="I9203"/>
    </row>
    <row r="9204" spans="9:9" x14ac:dyDescent="0.3">
      <c r="I9204"/>
    </row>
    <row r="9205" spans="9:9" x14ac:dyDescent="0.3">
      <c r="I9205"/>
    </row>
    <row r="9206" spans="9:9" x14ac:dyDescent="0.3">
      <c r="I9206"/>
    </row>
    <row r="9207" spans="9:9" x14ac:dyDescent="0.3">
      <c r="I9207"/>
    </row>
    <row r="9208" spans="9:9" x14ac:dyDescent="0.3">
      <c r="I9208"/>
    </row>
    <row r="9209" spans="9:9" x14ac:dyDescent="0.3">
      <c r="I9209"/>
    </row>
    <row r="9210" spans="9:9" x14ac:dyDescent="0.3">
      <c r="I9210"/>
    </row>
    <row r="9211" spans="9:9" x14ac:dyDescent="0.3">
      <c r="I9211"/>
    </row>
    <row r="9212" spans="9:9" x14ac:dyDescent="0.3">
      <c r="I9212"/>
    </row>
    <row r="9213" spans="9:9" x14ac:dyDescent="0.3">
      <c r="I9213"/>
    </row>
    <row r="9214" spans="9:9" x14ac:dyDescent="0.3">
      <c r="I9214"/>
    </row>
    <row r="9215" spans="9:9" x14ac:dyDescent="0.3">
      <c r="I9215"/>
    </row>
    <row r="9216" spans="9:9" x14ac:dyDescent="0.3">
      <c r="I9216"/>
    </row>
    <row r="9217" spans="9:9" x14ac:dyDescent="0.3">
      <c r="I9217"/>
    </row>
    <row r="9218" spans="9:9" x14ac:dyDescent="0.3">
      <c r="I9218"/>
    </row>
    <row r="9219" spans="9:9" x14ac:dyDescent="0.3">
      <c r="I9219"/>
    </row>
    <row r="9220" spans="9:9" x14ac:dyDescent="0.3">
      <c r="I9220"/>
    </row>
    <row r="9221" spans="9:9" x14ac:dyDescent="0.3">
      <c r="I9221"/>
    </row>
    <row r="9222" spans="9:9" x14ac:dyDescent="0.3">
      <c r="I9222"/>
    </row>
    <row r="9223" spans="9:9" x14ac:dyDescent="0.3">
      <c r="I9223"/>
    </row>
    <row r="9224" spans="9:9" x14ac:dyDescent="0.3">
      <c r="I9224"/>
    </row>
    <row r="9225" spans="9:9" x14ac:dyDescent="0.3">
      <c r="I9225"/>
    </row>
    <row r="9226" spans="9:9" x14ac:dyDescent="0.3">
      <c r="I9226"/>
    </row>
    <row r="9227" spans="9:9" x14ac:dyDescent="0.3">
      <c r="I9227"/>
    </row>
    <row r="9228" spans="9:9" x14ac:dyDescent="0.3">
      <c r="I9228"/>
    </row>
    <row r="9229" spans="9:9" x14ac:dyDescent="0.3">
      <c r="I9229"/>
    </row>
    <row r="9230" spans="9:9" x14ac:dyDescent="0.3">
      <c r="I9230"/>
    </row>
    <row r="9231" spans="9:9" x14ac:dyDescent="0.3">
      <c r="I9231"/>
    </row>
    <row r="9232" spans="9:9" x14ac:dyDescent="0.3">
      <c r="I9232"/>
    </row>
    <row r="9233" spans="9:9" x14ac:dyDescent="0.3">
      <c r="I9233"/>
    </row>
    <row r="9234" spans="9:9" x14ac:dyDescent="0.3">
      <c r="I9234"/>
    </row>
    <row r="9235" spans="9:9" x14ac:dyDescent="0.3">
      <c r="I9235"/>
    </row>
    <row r="9236" spans="9:9" x14ac:dyDescent="0.3">
      <c r="I9236"/>
    </row>
    <row r="9237" spans="9:9" x14ac:dyDescent="0.3">
      <c r="I9237"/>
    </row>
    <row r="9238" spans="9:9" x14ac:dyDescent="0.3">
      <c r="I9238"/>
    </row>
    <row r="9239" spans="9:9" x14ac:dyDescent="0.3">
      <c r="I9239"/>
    </row>
    <row r="9240" spans="9:9" x14ac:dyDescent="0.3">
      <c r="I9240"/>
    </row>
    <row r="9241" spans="9:9" x14ac:dyDescent="0.3">
      <c r="I9241"/>
    </row>
    <row r="9242" spans="9:9" x14ac:dyDescent="0.3">
      <c r="I9242"/>
    </row>
    <row r="9243" spans="9:9" x14ac:dyDescent="0.3">
      <c r="I9243"/>
    </row>
    <row r="9244" spans="9:9" x14ac:dyDescent="0.3">
      <c r="I9244"/>
    </row>
    <row r="9245" spans="9:9" x14ac:dyDescent="0.3">
      <c r="I9245"/>
    </row>
    <row r="9246" spans="9:9" x14ac:dyDescent="0.3">
      <c r="I9246"/>
    </row>
    <row r="9247" spans="9:9" x14ac:dyDescent="0.3">
      <c r="I9247"/>
    </row>
    <row r="9248" spans="9:9" x14ac:dyDescent="0.3">
      <c r="I9248"/>
    </row>
    <row r="9249" spans="9:9" x14ac:dyDescent="0.3">
      <c r="I9249"/>
    </row>
    <row r="9250" spans="9:9" x14ac:dyDescent="0.3">
      <c r="I9250"/>
    </row>
    <row r="9251" spans="9:9" x14ac:dyDescent="0.3">
      <c r="I9251"/>
    </row>
    <row r="9252" spans="9:9" x14ac:dyDescent="0.3">
      <c r="I9252"/>
    </row>
    <row r="9253" spans="9:9" x14ac:dyDescent="0.3">
      <c r="I9253"/>
    </row>
    <row r="9254" spans="9:9" x14ac:dyDescent="0.3">
      <c r="I9254"/>
    </row>
    <row r="9255" spans="9:9" x14ac:dyDescent="0.3">
      <c r="I9255"/>
    </row>
    <row r="9256" spans="9:9" x14ac:dyDescent="0.3">
      <c r="I9256"/>
    </row>
    <row r="9257" spans="9:9" x14ac:dyDescent="0.3">
      <c r="I9257"/>
    </row>
    <row r="9258" spans="9:9" x14ac:dyDescent="0.3">
      <c r="I9258"/>
    </row>
    <row r="9259" spans="9:9" x14ac:dyDescent="0.3">
      <c r="I9259"/>
    </row>
    <row r="9260" spans="9:9" x14ac:dyDescent="0.3">
      <c r="I9260"/>
    </row>
    <row r="9261" spans="9:9" x14ac:dyDescent="0.3">
      <c r="I9261"/>
    </row>
    <row r="9262" spans="9:9" x14ac:dyDescent="0.3">
      <c r="I9262"/>
    </row>
    <row r="9263" spans="9:9" x14ac:dyDescent="0.3">
      <c r="I9263"/>
    </row>
    <row r="9264" spans="9:9" x14ac:dyDescent="0.3">
      <c r="I9264"/>
    </row>
    <row r="9265" spans="9:9" x14ac:dyDescent="0.3">
      <c r="I9265"/>
    </row>
    <row r="9266" spans="9:9" x14ac:dyDescent="0.3">
      <c r="I9266"/>
    </row>
    <row r="9267" spans="9:9" x14ac:dyDescent="0.3">
      <c r="I9267"/>
    </row>
    <row r="9268" spans="9:9" x14ac:dyDescent="0.3">
      <c r="I9268"/>
    </row>
    <row r="9269" spans="9:9" x14ac:dyDescent="0.3">
      <c r="I9269"/>
    </row>
    <row r="9270" spans="9:9" x14ac:dyDescent="0.3">
      <c r="I9270"/>
    </row>
    <row r="9271" spans="9:9" x14ac:dyDescent="0.3">
      <c r="I9271"/>
    </row>
    <row r="9272" spans="9:9" x14ac:dyDescent="0.3">
      <c r="I9272"/>
    </row>
    <row r="9273" spans="9:9" x14ac:dyDescent="0.3">
      <c r="I9273"/>
    </row>
    <row r="9274" spans="9:9" x14ac:dyDescent="0.3">
      <c r="I9274"/>
    </row>
    <row r="9275" spans="9:9" x14ac:dyDescent="0.3">
      <c r="I9275"/>
    </row>
    <row r="9276" spans="9:9" x14ac:dyDescent="0.3">
      <c r="I9276"/>
    </row>
    <row r="9277" spans="9:9" x14ac:dyDescent="0.3">
      <c r="I9277"/>
    </row>
    <row r="9278" spans="9:9" x14ac:dyDescent="0.3">
      <c r="I9278"/>
    </row>
    <row r="9279" spans="9:9" x14ac:dyDescent="0.3">
      <c r="I9279"/>
    </row>
    <row r="9280" spans="9:9" x14ac:dyDescent="0.3">
      <c r="I9280"/>
    </row>
    <row r="9281" spans="9:9" x14ac:dyDescent="0.3">
      <c r="I9281"/>
    </row>
    <row r="9282" spans="9:9" x14ac:dyDescent="0.3">
      <c r="I9282"/>
    </row>
    <row r="9283" spans="9:9" x14ac:dyDescent="0.3">
      <c r="I9283"/>
    </row>
    <row r="9284" spans="9:9" x14ac:dyDescent="0.3">
      <c r="I9284"/>
    </row>
    <row r="9285" spans="9:9" x14ac:dyDescent="0.3">
      <c r="I9285"/>
    </row>
    <row r="9286" spans="9:9" x14ac:dyDescent="0.3">
      <c r="I9286"/>
    </row>
    <row r="9287" spans="9:9" x14ac:dyDescent="0.3">
      <c r="I9287"/>
    </row>
    <row r="9288" spans="9:9" x14ac:dyDescent="0.3">
      <c r="I9288"/>
    </row>
    <row r="9289" spans="9:9" x14ac:dyDescent="0.3">
      <c r="I9289"/>
    </row>
    <row r="9290" spans="9:9" x14ac:dyDescent="0.3">
      <c r="I9290"/>
    </row>
    <row r="9291" spans="9:9" x14ac:dyDescent="0.3">
      <c r="I9291"/>
    </row>
    <row r="9292" spans="9:9" x14ac:dyDescent="0.3">
      <c r="I9292"/>
    </row>
    <row r="9293" spans="9:9" x14ac:dyDescent="0.3">
      <c r="I9293"/>
    </row>
    <row r="9294" spans="9:9" x14ac:dyDescent="0.3">
      <c r="I9294"/>
    </row>
    <row r="9295" spans="9:9" x14ac:dyDescent="0.3">
      <c r="I9295"/>
    </row>
    <row r="9296" spans="9:9" x14ac:dyDescent="0.3">
      <c r="I9296"/>
    </row>
    <row r="9297" spans="9:9" x14ac:dyDescent="0.3">
      <c r="I9297"/>
    </row>
    <row r="9298" spans="9:9" x14ac:dyDescent="0.3">
      <c r="I9298"/>
    </row>
    <row r="9299" spans="9:9" x14ac:dyDescent="0.3">
      <c r="I9299"/>
    </row>
    <row r="9300" spans="9:9" x14ac:dyDescent="0.3">
      <c r="I9300"/>
    </row>
    <row r="9301" spans="9:9" x14ac:dyDescent="0.3">
      <c r="I9301"/>
    </row>
    <row r="9302" spans="9:9" x14ac:dyDescent="0.3">
      <c r="I9302"/>
    </row>
    <row r="9303" spans="9:9" x14ac:dyDescent="0.3">
      <c r="I9303"/>
    </row>
    <row r="9304" spans="9:9" x14ac:dyDescent="0.3">
      <c r="I9304"/>
    </row>
    <row r="9305" spans="9:9" x14ac:dyDescent="0.3">
      <c r="I9305"/>
    </row>
    <row r="9306" spans="9:9" x14ac:dyDescent="0.3">
      <c r="I9306"/>
    </row>
    <row r="9307" spans="9:9" x14ac:dyDescent="0.3">
      <c r="I9307"/>
    </row>
    <row r="9308" spans="9:9" x14ac:dyDescent="0.3">
      <c r="I9308"/>
    </row>
    <row r="9309" spans="9:9" x14ac:dyDescent="0.3">
      <c r="I9309"/>
    </row>
    <row r="9310" spans="9:9" x14ac:dyDescent="0.3">
      <c r="I9310"/>
    </row>
    <row r="9311" spans="9:9" x14ac:dyDescent="0.3">
      <c r="I9311"/>
    </row>
    <row r="9312" spans="9:9" x14ac:dyDescent="0.3">
      <c r="I9312"/>
    </row>
    <row r="9313" spans="9:9" x14ac:dyDescent="0.3">
      <c r="I9313"/>
    </row>
    <row r="9314" spans="9:9" x14ac:dyDescent="0.3">
      <c r="I9314"/>
    </row>
    <row r="9315" spans="9:9" x14ac:dyDescent="0.3">
      <c r="I9315"/>
    </row>
    <row r="9316" spans="9:9" x14ac:dyDescent="0.3">
      <c r="I9316"/>
    </row>
    <row r="9317" spans="9:9" x14ac:dyDescent="0.3">
      <c r="I9317"/>
    </row>
    <row r="9318" spans="9:9" x14ac:dyDescent="0.3">
      <c r="I9318"/>
    </row>
    <row r="9319" spans="9:9" x14ac:dyDescent="0.3">
      <c r="I9319"/>
    </row>
    <row r="9320" spans="9:9" x14ac:dyDescent="0.3">
      <c r="I9320"/>
    </row>
    <row r="9321" spans="9:9" x14ac:dyDescent="0.3">
      <c r="I9321"/>
    </row>
    <row r="9322" spans="9:9" x14ac:dyDescent="0.3">
      <c r="I9322"/>
    </row>
    <row r="9323" spans="9:9" x14ac:dyDescent="0.3">
      <c r="I9323"/>
    </row>
    <row r="9324" spans="9:9" x14ac:dyDescent="0.3">
      <c r="I9324"/>
    </row>
    <row r="9325" spans="9:9" x14ac:dyDescent="0.3">
      <c r="I9325"/>
    </row>
    <row r="9326" spans="9:9" x14ac:dyDescent="0.3">
      <c r="I9326"/>
    </row>
    <row r="9327" spans="9:9" x14ac:dyDescent="0.3">
      <c r="I9327"/>
    </row>
    <row r="9328" spans="9:9" x14ac:dyDescent="0.3">
      <c r="I9328"/>
    </row>
    <row r="9329" spans="9:9" x14ac:dyDescent="0.3">
      <c r="I9329"/>
    </row>
    <row r="9330" spans="9:9" x14ac:dyDescent="0.3">
      <c r="I9330"/>
    </row>
    <row r="9331" spans="9:9" x14ac:dyDescent="0.3">
      <c r="I9331"/>
    </row>
    <row r="9332" spans="9:9" x14ac:dyDescent="0.3">
      <c r="I9332"/>
    </row>
    <row r="9333" spans="9:9" x14ac:dyDescent="0.3">
      <c r="I9333"/>
    </row>
    <row r="9334" spans="9:9" x14ac:dyDescent="0.3">
      <c r="I9334"/>
    </row>
    <row r="9335" spans="9:9" x14ac:dyDescent="0.3">
      <c r="I9335"/>
    </row>
    <row r="9336" spans="9:9" x14ac:dyDescent="0.3">
      <c r="I9336"/>
    </row>
    <row r="9337" spans="9:9" x14ac:dyDescent="0.3">
      <c r="I9337"/>
    </row>
    <row r="9338" spans="9:9" x14ac:dyDescent="0.3">
      <c r="I9338"/>
    </row>
    <row r="9339" spans="9:9" x14ac:dyDescent="0.3">
      <c r="I9339"/>
    </row>
    <row r="9340" spans="9:9" x14ac:dyDescent="0.3">
      <c r="I9340"/>
    </row>
    <row r="9341" spans="9:9" x14ac:dyDescent="0.3">
      <c r="I9341"/>
    </row>
    <row r="9342" spans="9:9" x14ac:dyDescent="0.3">
      <c r="I9342"/>
    </row>
    <row r="9343" spans="9:9" x14ac:dyDescent="0.3">
      <c r="I9343"/>
    </row>
    <row r="9344" spans="9:9" x14ac:dyDescent="0.3">
      <c r="I9344"/>
    </row>
    <row r="9345" spans="9:9" x14ac:dyDescent="0.3">
      <c r="I9345"/>
    </row>
    <row r="9346" spans="9:9" x14ac:dyDescent="0.3">
      <c r="I9346"/>
    </row>
    <row r="9347" spans="9:9" x14ac:dyDescent="0.3">
      <c r="I9347"/>
    </row>
    <row r="9348" spans="9:9" x14ac:dyDescent="0.3">
      <c r="I9348"/>
    </row>
    <row r="9349" spans="9:9" x14ac:dyDescent="0.3">
      <c r="I9349"/>
    </row>
    <row r="9350" spans="9:9" x14ac:dyDescent="0.3">
      <c r="I9350"/>
    </row>
    <row r="9351" spans="9:9" x14ac:dyDescent="0.3">
      <c r="I9351"/>
    </row>
    <row r="9352" spans="9:9" x14ac:dyDescent="0.3">
      <c r="I9352"/>
    </row>
    <row r="9353" spans="9:9" x14ac:dyDescent="0.3">
      <c r="I9353"/>
    </row>
    <row r="9354" spans="9:9" x14ac:dyDescent="0.3">
      <c r="I9354"/>
    </row>
    <row r="9355" spans="9:9" x14ac:dyDescent="0.3">
      <c r="I9355"/>
    </row>
    <row r="9356" spans="9:9" x14ac:dyDescent="0.3">
      <c r="I9356"/>
    </row>
    <row r="9357" spans="9:9" x14ac:dyDescent="0.3">
      <c r="I9357"/>
    </row>
    <row r="9358" spans="9:9" x14ac:dyDescent="0.3">
      <c r="I9358"/>
    </row>
    <row r="9359" spans="9:9" x14ac:dyDescent="0.3">
      <c r="I9359"/>
    </row>
    <row r="9360" spans="9:9" x14ac:dyDescent="0.3">
      <c r="I9360"/>
    </row>
    <row r="9361" spans="9:9" x14ac:dyDescent="0.3">
      <c r="I9361"/>
    </row>
    <row r="9362" spans="9:9" x14ac:dyDescent="0.3">
      <c r="I9362"/>
    </row>
    <row r="9363" spans="9:9" x14ac:dyDescent="0.3">
      <c r="I9363"/>
    </row>
    <row r="9364" spans="9:9" x14ac:dyDescent="0.3">
      <c r="I9364"/>
    </row>
    <row r="9365" spans="9:9" x14ac:dyDescent="0.3">
      <c r="I9365"/>
    </row>
    <row r="9366" spans="9:9" x14ac:dyDescent="0.3">
      <c r="I9366"/>
    </row>
    <row r="9367" spans="9:9" x14ac:dyDescent="0.3">
      <c r="I9367"/>
    </row>
    <row r="9368" spans="9:9" x14ac:dyDescent="0.3">
      <c r="I9368"/>
    </row>
    <row r="9369" spans="9:9" x14ac:dyDescent="0.3">
      <c r="I9369"/>
    </row>
    <row r="9370" spans="9:9" x14ac:dyDescent="0.3">
      <c r="I9370"/>
    </row>
    <row r="9371" spans="9:9" x14ac:dyDescent="0.3">
      <c r="I9371"/>
    </row>
    <row r="9372" spans="9:9" x14ac:dyDescent="0.3">
      <c r="I9372"/>
    </row>
    <row r="9373" spans="9:9" x14ac:dyDescent="0.3">
      <c r="I9373"/>
    </row>
    <row r="9374" spans="9:9" x14ac:dyDescent="0.3">
      <c r="I9374"/>
    </row>
    <row r="9375" spans="9:9" x14ac:dyDescent="0.3">
      <c r="I9375"/>
    </row>
    <row r="9376" spans="9:9" x14ac:dyDescent="0.3">
      <c r="I9376"/>
    </row>
    <row r="9377" spans="9:9" x14ac:dyDescent="0.3">
      <c r="I9377"/>
    </row>
    <row r="9378" spans="9:9" x14ac:dyDescent="0.3">
      <c r="I9378"/>
    </row>
    <row r="9379" spans="9:9" x14ac:dyDescent="0.3">
      <c r="I9379"/>
    </row>
    <row r="9380" spans="9:9" x14ac:dyDescent="0.3">
      <c r="I9380"/>
    </row>
    <row r="9381" spans="9:9" x14ac:dyDescent="0.3">
      <c r="I9381"/>
    </row>
    <row r="9382" spans="9:9" x14ac:dyDescent="0.3">
      <c r="I9382"/>
    </row>
    <row r="9383" spans="9:9" x14ac:dyDescent="0.3">
      <c r="I9383"/>
    </row>
    <row r="9384" spans="9:9" x14ac:dyDescent="0.3">
      <c r="I9384"/>
    </row>
    <row r="9385" spans="9:9" x14ac:dyDescent="0.3">
      <c r="I9385"/>
    </row>
    <row r="9386" spans="9:9" x14ac:dyDescent="0.3">
      <c r="I9386"/>
    </row>
    <row r="9387" spans="9:9" x14ac:dyDescent="0.3">
      <c r="I9387"/>
    </row>
    <row r="9388" spans="9:9" x14ac:dyDescent="0.3">
      <c r="I9388"/>
    </row>
    <row r="9389" spans="9:9" x14ac:dyDescent="0.3">
      <c r="I9389"/>
    </row>
    <row r="9390" spans="9:9" x14ac:dyDescent="0.3">
      <c r="I9390"/>
    </row>
    <row r="9391" spans="9:9" x14ac:dyDescent="0.3">
      <c r="I9391"/>
    </row>
    <row r="9392" spans="9:9" x14ac:dyDescent="0.3">
      <c r="I9392"/>
    </row>
    <row r="9393" spans="9:9" x14ac:dyDescent="0.3">
      <c r="I9393"/>
    </row>
    <row r="9394" spans="9:9" x14ac:dyDescent="0.3">
      <c r="I9394"/>
    </row>
    <row r="9395" spans="9:9" x14ac:dyDescent="0.3">
      <c r="I9395"/>
    </row>
    <row r="9396" spans="9:9" x14ac:dyDescent="0.3">
      <c r="I9396"/>
    </row>
    <row r="9397" spans="9:9" x14ac:dyDescent="0.3">
      <c r="I9397"/>
    </row>
    <row r="9398" spans="9:9" x14ac:dyDescent="0.3">
      <c r="I9398"/>
    </row>
    <row r="9399" spans="9:9" x14ac:dyDescent="0.3">
      <c r="I9399"/>
    </row>
    <row r="9400" spans="9:9" x14ac:dyDescent="0.3">
      <c r="I9400"/>
    </row>
    <row r="9401" spans="9:9" x14ac:dyDescent="0.3">
      <c r="I9401"/>
    </row>
    <row r="9402" spans="9:9" x14ac:dyDescent="0.3">
      <c r="I9402"/>
    </row>
    <row r="9403" spans="9:9" x14ac:dyDescent="0.3">
      <c r="I9403"/>
    </row>
    <row r="9404" spans="9:9" x14ac:dyDescent="0.3">
      <c r="I9404"/>
    </row>
    <row r="9405" spans="9:9" x14ac:dyDescent="0.3">
      <c r="I9405"/>
    </row>
    <row r="9406" spans="9:9" x14ac:dyDescent="0.3">
      <c r="I9406"/>
    </row>
    <row r="9407" spans="9:9" x14ac:dyDescent="0.3">
      <c r="I9407"/>
    </row>
    <row r="9408" spans="9:9" x14ac:dyDescent="0.3">
      <c r="I9408"/>
    </row>
    <row r="9409" spans="9:9" x14ac:dyDescent="0.3">
      <c r="I9409"/>
    </row>
    <row r="9410" spans="9:9" x14ac:dyDescent="0.3">
      <c r="I9410"/>
    </row>
    <row r="9411" spans="9:9" x14ac:dyDescent="0.3">
      <c r="I9411"/>
    </row>
    <row r="9412" spans="9:9" x14ac:dyDescent="0.3">
      <c r="I9412"/>
    </row>
    <row r="9413" spans="9:9" x14ac:dyDescent="0.3">
      <c r="I9413"/>
    </row>
    <row r="9414" spans="9:9" x14ac:dyDescent="0.3">
      <c r="I9414"/>
    </row>
    <row r="9415" spans="9:9" x14ac:dyDescent="0.3">
      <c r="I9415"/>
    </row>
    <row r="9416" spans="9:9" x14ac:dyDescent="0.3">
      <c r="I9416"/>
    </row>
    <row r="9417" spans="9:9" x14ac:dyDescent="0.3">
      <c r="I9417"/>
    </row>
    <row r="9418" spans="9:9" x14ac:dyDescent="0.3">
      <c r="I9418"/>
    </row>
    <row r="9419" spans="9:9" x14ac:dyDescent="0.3">
      <c r="I9419"/>
    </row>
    <row r="9420" spans="9:9" x14ac:dyDescent="0.3">
      <c r="I9420"/>
    </row>
    <row r="9421" spans="9:9" x14ac:dyDescent="0.3">
      <c r="I9421"/>
    </row>
    <row r="9422" spans="9:9" x14ac:dyDescent="0.3">
      <c r="I9422"/>
    </row>
    <row r="9423" spans="9:9" x14ac:dyDescent="0.3">
      <c r="I9423"/>
    </row>
    <row r="9424" spans="9:9" x14ac:dyDescent="0.3">
      <c r="I9424"/>
    </row>
    <row r="9425" spans="9:9" x14ac:dyDescent="0.3">
      <c r="I9425"/>
    </row>
    <row r="9426" spans="9:9" x14ac:dyDescent="0.3">
      <c r="I9426"/>
    </row>
    <row r="9427" spans="9:9" x14ac:dyDescent="0.3">
      <c r="I9427"/>
    </row>
    <row r="9428" spans="9:9" x14ac:dyDescent="0.3">
      <c r="I9428"/>
    </row>
    <row r="9429" spans="9:9" x14ac:dyDescent="0.3">
      <c r="I9429"/>
    </row>
    <row r="9430" spans="9:9" x14ac:dyDescent="0.3">
      <c r="I9430"/>
    </row>
    <row r="9431" spans="9:9" x14ac:dyDescent="0.3">
      <c r="I9431"/>
    </row>
    <row r="9432" spans="9:9" x14ac:dyDescent="0.3">
      <c r="I9432"/>
    </row>
    <row r="9433" spans="9:9" x14ac:dyDescent="0.3">
      <c r="I9433"/>
    </row>
    <row r="9434" spans="9:9" x14ac:dyDescent="0.3">
      <c r="I9434"/>
    </row>
    <row r="9435" spans="9:9" x14ac:dyDescent="0.3">
      <c r="I9435"/>
    </row>
    <row r="9436" spans="9:9" x14ac:dyDescent="0.3">
      <c r="I9436"/>
    </row>
    <row r="9437" spans="9:9" x14ac:dyDescent="0.3">
      <c r="I9437"/>
    </row>
    <row r="9438" spans="9:9" x14ac:dyDescent="0.3">
      <c r="I9438"/>
    </row>
    <row r="9439" spans="9:9" x14ac:dyDescent="0.3">
      <c r="I9439"/>
    </row>
    <row r="9440" spans="9:9" x14ac:dyDescent="0.3">
      <c r="I9440"/>
    </row>
    <row r="9441" spans="9:9" x14ac:dyDescent="0.3">
      <c r="I9441"/>
    </row>
    <row r="9442" spans="9:9" x14ac:dyDescent="0.3">
      <c r="I9442"/>
    </row>
    <row r="9443" spans="9:9" x14ac:dyDescent="0.3">
      <c r="I9443"/>
    </row>
    <row r="9444" spans="9:9" x14ac:dyDescent="0.3">
      <c r="I9444"/>
    </row>
    <row r="9445" spans="9:9" x14ac:dyDescent="0.3">
      <c r="I9445"/>
    </row>
    <row r="9446" spans="9:9" x14ac:dyDescent="0.3">
      <c r="I9446"/>
    </row>
    <row r="9447" spans="9:9" x14ac:dyDescent="0.3">
      <c r="I9447"/>
    </row>
    <row r="9448" spans="9:9" x14ac:dyDescent="0.3">
      <c r="I9448"/>
    </row>
    <row r="9449" spans="9:9" x14ac:dyDescent="0.3">
      <c r="I9449"/>
    </row>
    <row r="9450" spans="9:9" x14ac:dyDescent="0.3">
      <c r="I9450"/>
    </row>
    <row r="9451" spans="9:9" x14ac:dyDescent="0.3">
      <c r="I9451"/>
    </row>
    <row r="9452" spans="9:9" x14ac:dyDescent="0.3">
      <c r="I9452"/>
    </row>
    <row r="9453" spans="9:9" x14ac:dyDescent="0.3">
      <c r="I9453"/>
    </row>
    <row r="9454" spans="9:9" x14ac:dyDescent="0.3">
      <c r="I9454"/>
    </row>
    <row r="9455" spans="9:9" x14ac:dyDescent="0.3">
      <c r="I9455"/>
    </row>
    <row r="9456" spans="9:9" x14ac:dyDescent="0.3">
      <c r="I9456"/>
    </row>
    <row r="9457" spans="9:9" x14ac:dyDescent="0.3">
      <c r="I9457"/>
    </row>
    <row r="9458" spans="9:9" x14ac:dyDescent="0.3">
      <c r="I9458"/>
    </row>
    <row r="9459" spans="9:9" x14ac:dyDescent="0.3">
      <c r="I9459"/>
    </row>
    <row r="9460" spans="9:9" x14ac:dyDescent="0.3">
      <c r="I9460"/>
    </row>
    <row r="9461" spans="9:9" x14ac:dyDescent="0.3">
      <c r="I9461"/>
    </row>
    <row r="9462" spans="9:9" x14ac:dyDescent="0.3">
      <c r="I9462"/>
    </row>
    <row r="9463" spans="9:9" x14ac:dyDescent="0.3">
      <c r="I9463"/>
    </row>
    <row r="9464" spans="9:9" x14ac:dyDescent="0.3">
      <c r="I9464"/>
    </row>
    <row r="9465" spans="9:9" x14ac:dyDescent="0.3">
      <c r="I9465"/>
    </row>
    <row r="9466" spans="9:9" x14ac:dyDescent="0.3">
      <c r="I9466"/>
    </row>
    <row r="9467" spans="9:9" x14ac:dyDescent="0.3">
      <c r="I9467"/>
    </row>
    <row r="9468" spans="9:9" x14ac:dyDescent="0.3">
      <c r="I9468"/>
    </row>
    <row r="9469" spans="9:9" x14ac:dyDescent="0.3">
      <c r="I9469"/>
    </row>
    <row r="9470" spans="9:9" x14ac:dyDescent="0.3">
      <c r="I9470"/>
    </row>
    <row r="9471" spans="9:9" x14ac:dyDescent="0.3">
      <c r="I9471"/>
    </row>
    <row r="9472" spans="9:9" x14ac:dyDescent="0.3">
      <c r="I9472"/>
    </row>
    <row r="9473" spans="9:9" x14ac:dyDescent="0.3">
      <c r="I9473"/>
    </row>
    <row r="9474" spans="9:9" x14ac:dyDescent="0.3">
      <c r="I9474"/>
    </row>
    <row r="9475" spans="9:9" x14ac:dyDescent="0.3">
      <c r="I9475"/>
    </row>
    <row r="9476" spans="9:9" x14ac:dyDescent="0.3">
      <c r="I9476"/>
    </row>
    <row r="9477" spans="9:9" x14ac:dyDescent="0.3">
      <c r="I9477"/>
    </row>
    <row r="9478" spans="9:9" x14ac:dyDescent="0.3">
      <c r="I9478"/>
    </row>
    <row r="9479" spans="9:9" x14ac:dyDescent="0.3">
      <c r="I9479"/>
    </row>
    <row r="9480" spans="9:9" x14ac:dyDescent="0.3">
      <c r="I9480"/>
    </row>
    <row r="9481" spans="9:9" x14ac:dyDescent="0.3">
      <c r="I9481"/>
    </row>
    <row r="9482" spans="9:9" x14ac:dyDescent="0.3">
      <c r="I9482"/>
    </row>
    <row r="9483" spans="9:9" x14ac:dyDescent="0.3">
      <c r="I9483"/>
    </row>
    <row r="9484" spans="9:9" x14ac:dyDescent="0.3">
      <c r="I9484"/>
    </row>
    <row r="9485" spans="9:9" x14ac:dyDescent="0.3">
      <c r="I9485"/>
    </row>
    <row r="9486" spans="9:9" x14ac:dyDescent="0.3">
      <c r="I9486"/>
    </row>
    <row r="9487" spans="9:9" x14ac:dyDescent="0.3">
      <c r="I9487"/>
    </row>
    <row r="9488" spans="9:9" x14ac:dyDescent="0.3">
      <c r="I9488"/>
    </row>
    <row r="9489" spans="9:9" x14ac:dyDescent="0.3">
      <c r="I9489"/>
    </row>
    <row r="9490" spans="9:9" x14ac:dyDescent="0.3">
      <c r="I9490"/>
    </row>
    <row r="9491" spans="9:9" x14ac:dyDescent="0.3">
      <c r="I9491"/>
    </row>
    <row r="9492" spans="9:9" x14ac:dyDescent="0.3">
      <c r="I9492"/>
    </row>
    <row r="9493" spans="9:9" x14ac:dyDescent="0.3">
      <c r="I9493"/>
    </row>
    <row r="9494" spans="9:9" x14ac:dyDescent="0.3">
      <c r="I9494"/>
    </row>
    <row r="9495" spans="9:9" x14ac:dyDescent="0.3">
      <c r="I9495"/>
    </row>
    <row r="9496" spans="9:9" x14ac:dyDescent="0.3">
      <c r="I9496"/>
    </row>
    <row r="9497" spans="9:9" x14ac:dyDescent="0.3">
      <c r="I9497"/>
    </row>
    <row r="9498" spans="9:9" x14ac:dyDescent="0.3">
      <c r="I9498"/>
    </row>
    <row r="9499" spans="9:9" x14ac:dyDescent="0.3">
      <c r="I9499"/>
    </row>
    <row r="9500" spans="9:9" x14ac:dyDescent="0.3">
      <c r="I9500"/>
    </row>
    <row r="9501" spans="9:9" x14ac:dyDescent="0.3">
      <c r="I9501"/>
    </row>
    <row r="9502" spans="9:9" x14ac:dyDescent="0.3">
      <c r="I9502"/>
    </row>
    <row r="9503" spans="9:9" x14ac:dyDescent="0.3">
      <c r="I9503"/>
    </row>
    <row r="9504" spans="9:9" x14ac:dyDescent="0.3">
      <c r="I9504"/>
    </row>
    <row r="9505" spans="9:9" x14ac:dyDescent="0.3">
      <c r="I9505"/>
    </row>
    <row r="9506" spans="9:9" x14ac:dyDescent="0.3">
      <c r="I9506"/>
    </row>
    <row r="9507" spans="9:9" x14ac:dyDescent="0.3">
      <c r="I9507"/>
    </row>
    <row r="9508" spans="9:9" x14ac:dyDescent="0.3">
      <c r="I9508"/>
    </row>
    <row r="9509" spans="9:9" x14ac:dyDescent="0.3">
      <c r="I9509"/>
    </row>
    <row r="9510" spans="9:9" x14ac:dyDescent="0.3">
      <c r="I9510"/>
    </row>
    <row r="9511" spans="9:9" x14ac:dyDescent="0.3">
      <c r="I9511"/>
    </row>
    <row r="9512" spans="9:9" x14ac:dyDescent="0.3">
      <c r="I9512"/>
    </row>
    <row r="9513" spans="9:9" x14ac:dyDescent="0.3">
      <c r="I9513"/>
    </row>
    <row r="9514" spans="9:9" x14ac:dyDescent="0.3">
      <c r="I9514"/>
    </row>
    <row r="9515" spans="9:9" x14ac:dyDescent="0.3">
      <c r="I9515"/>
    </row>
    <row r="9516" spans="9:9" x14ac:dyDescent="0.3">
      <c r="I9516"/>
    </row>
    <row r="9517" spans="9:9" x14ac:dyDescent="0.3">
      <c r="I9517"/>
    </row>
    <row r="9518" spans="9:9" x14ac:dyDescent="0.3">
      <c r="I9518"/>
    </row>
    <row r="9519" spans="9:9" x14ac:dyDescent="0.3">
      <c r="I9519"/>
    </row>
    <row r="9520" spans="9:9" x14ac:dyDescent="0.3">
      <c r="I9520"/>
    </row>
    <row r="9521" spans="9:9" x14ac:dyDescent="0.3">
      <c r="I9521"/>
    </row>
    <row r="9522" spans="9:9" x14ac:dyDescent="0.3">
      <c r="I9522"/>
    </row>
    <row r="9523" spans="9:9" x14ac:dyDescent="0.3">
      <c r="I9523"/>
    </row>
    <row r="9524" spans="9:9" x14ac:dyDescent="0.3">
      <c r="I9524"/>
    </row>
    <row r="9525" spans="9:9" x14ac:dyDescent="0.3">
      <c r="I9525"/>
    </row>
    <row r="9526" spans="9:9" x14ac:dyDescent="0.3">
      <c r="I9526"/>
    </row>
    <row r="9527" spans="9:9" x14ac:dyDescent="0.3">
      <c r="I9527"/>
    </row>
    <row r="9528" spans="9:9" x14ac:dyDescent="0.3">
      <c r="I9528"/>
    </row>
    <row r="9529" spans="9:9" x14ac:dyDescent="0.3">
      <c r="I9529"/>
    </row>
    <row r="9530" spans="9:9" x14ac:dyDescent="0.3">
      <c r="I9530"/>
    </row>
    <row r="9531" spans="9:9" x14ac:dyDescent="0.3">
      <c r="I9531"/>
    </row>
    <row r="9532" spans="9:9" x14ac:dyDescent="0.3">
      <c r="I9532"/>
    </row>
    <row r="9533" spans="9:9" x14ac:dyDescent="0.3">
      <c r="I9533"/>
    </row>
    <row r="9534" spans="9:9" x14ac:dyDescent="0.3">
      <c r="I9534"/>
    </row>
    <row r="9535" spans="9:9" x14ac:dyDescent="0.3">
      <c r="I9535"/>
    </row>
    <row r="9536" spans="9:9" x14ac:dyDescent="0.3">
      <c r="I9536"/>
    </row>
    <row r="9537" spans="9:9" x14ac:dyDescent="0.3">
      <c r="I9537"/>
    </row>
    <row r="9538" spans="9:9" x14ac:dyDescent="0.3">
      <c r="I9538"/>
    </row>
    <row r="9539" spans="9:9" x14ac:dyDescent="0.3">
      <c r="I9539"/>
    </row>
    <row r="9540" spans="9:9" x14ac:dyDescent="0.3">
      <c r="I9540"/>
    </row>
    <row r="9541" spans="9:9" x14ac:dyDescent="0.3">
      <c r="I9541"/>
    </row>
    <row r="9542" spans="9:9" x14ac:dyDescent="0.3">
      <c r="I9542"/>
    </row>
    <row r="9543" spans="9:9" x14ac:dyDescent="0.3">
      <c r="I9543"/>
    </row>
    <row r="9544" spans="9:9" x14ac:dyDescent="0.3">
      <c r="I9544"/>
    </row>
    <row r="9545" spans="9:9" x14ac:dyDescent="0.3">
      <c r="I9545"/>
    </row>
    <row r="9546" spans="9:9" x14ac:dyDescent="0.3">
      <c r="I9546"/>
    </row>
    <row r="9547" spans="9:9" x14ac:dyDescent="0.3">
      <c r="I9547"/>
    </row>
    <row r="9548" spans="9:9" x14ac:dyDescent="0.3">
      <c r="I9548"/>
    </row>
    <row r="9549" spans="9:9" x14ac:dyDescent="0.3">
      <c r="I9549"/>
    </row>
    <row r="9550" spans="9:9" x14ac:dyDescent="0.3">
      <c r="I9550"/>
    </row>
    <row r="9551" spans="9:9" x14ac:dyDescent="0.3">
      <c r="I9551"/>
    </row>
    <row r="9552" spans="9:9" x14ac:dyDescent="0.3">
      <c r="I9552"/>
    </row>
    <row r="9553" spans="9:9" x14ac:dyDescent="0.3">
      <c r="I9553"/>
    </row>
    <row r="9554" spans="9:9" x14ac:dyDescent="0.3">
      <c r="I9554"/>
    </row>
    <row r="9555" spans="9:9" x14ac:dyDescent="0.3">
      <c r="I9555"/>
    </row>
    <row r="9556" spans="9:9" x14ac:dyDescent="0.3">
      <c r="I9556"/>
    </row>
    <row r="9557" spans="9:9" x14ac:dyDescent="0.3">
      <c r="I9557"/>
    </row>
    <row r="9558" spans="9:9" x14ac:dyDescent="0.3">
      <c r="I9558"/>
    </row>
    <row r="9559" spans="9:9" x14ac:dyDescent="0.3">
      <c r="I9559"/>
    </row>
    <row r="9560" spans="9:9" x14ac:dyDescent="0.3">
      <c r="I9560"/>
    </row>
    <row r="9561" spans="9:9" x14ac:dyDescent="0.3">
      <c r="I9561"/>
    </row>
    <row r="9562" spans="9:9" x14ac:dyDescent="0.3">
      <c r="I9562"/>
    </row>
    <row r="9563" spans="9:9" x14ac:dyDescent="0.3">
      <c r="I9563"/>
    </row>
    <row r="9564" spans="9:9" x14ac:dyDescent="0.3">
      <c r="I9564"/>
    </row>
    <row r="9565" spans="9:9" x14ac:dyDescent="0.3">
      <c r="I9565"/>
    </row>
    <row r="9566" spans="9:9" x14ac:dyDescent="0.3">
      <c r="I9566"/>
    </row>
    <row r="9567" spans="9:9" x14ac:dyDescent="0.3">
      <c r="I9567"/>
    </row>
    <row r="9568" spans="9:9" x14ac:dyDescent="0.3">
      <c r="I9568"/>
    </row>
    <row r="9569" spans="9:9" x14ac:dyDescent="0.3">
      <c r="I9569"/>
    </row>
    <row r="9570" spans="9:9" x14ac:dyDescent="0.3">
      <c r="I9570"/>
    </row>
    <row r="9571" spans="9:9" x14ac:dyDescent="0.3">
      <c r="I9571"/>
    </row>
    <row r="9572" spans="9:9" x14ac:dyDescent="0.3">
      <c r="I9572"/>
    </row>
    <row r="9573" spans="9:9" x14ac:dyDescent="0.3">
      <c r="I9573"/>
    </row>
    <row r="9574" spans="9:9" x14ac:dyDescent="0.3">
      <c r="I9574"/>
    </row>
    <row r="9575" spans="9:9" x14ac:dyDescent="0.3">
      <c r="I9575"/>
    </row>
    <row r="9576" spans="9:9" x14ac:dyDescent="0.3">
      <c r="I9576"/>
    </row>
    <row r="9577" spans="9:9" x14ac:dyDescent="0.3">
      <c r="I9577"/>
    </row>
    <row r="9578" spans="9:9" x14ac:dyDescent="0.3">
      <c r="I9578"/>
    </row>
    <row r="9579" spans="9:9" x14ac:dyDescent="0.3">
      <c r="I9579"/>
    </row>
    <row r="9580" spans="9:9" x14ac:dyDescent="0.3">
      <c r="I9580"/>
    </row>
    <row r="9581" spans="9:9" x14ac:dyDescent="0.3">
      <c r="I9581"/>
    </row>
    <row r="9582" spans="9:9" x14ac:dyDescent="0.3">
      <c r="I9582"/>
    </row>
    <row r="9583" spans="9:9" x14ac:dyDescent="0.3">
      <c r="I9583"/>
    </row>
    <row r="9584" spans="9:9" x14ac:dyDescent="0.3">
      <c r="I9584"/>
    </row>
    <row r="9585" spans="9:9" x14ac:dyDescent="0.3">
      <c r="I9585"/>
    </row>
    <row r="9586" spans="9:9" x14ac:dyDescent="0.3">
      <c r="I9586"/>
    </row>
    <row r="9587" spans="9:9" x14ac:dyDescent="0.3">
      <c r="I9587"/>
    </row>
    <row r="9588" spans="9:9" x14ac:dyDescent="0.3">
      <c r="I9588"/>
    </row>
    <row r="9589" spans="9:9" x14ac:dyDescent="0.3">
      <c r="I9589"/>
    </row>
    <row r="9590" spans="9:9" x14ac:dyDescent="0.3">
      <c r="I9590"/>
    </row>
    <row r="9591" spans="9:9" x14ac:dyDescent="0.3">
      <c r="I9591"/>
    </row>
    <row r="9592" spans="9:9" x14ac:dyDescent="0.3">
      <c r="I9592"/>
    </row>
    <row r="9593" spans="9:9" x14ac:dyDescent="0.3">
      <c r="I9593"/>
    </row>
    <row r="9594" spans="9:9" x14ac:dyDescent="0.3">
      <c r="I9594"/>
    </row>
    <row r="9595" spans="9:9" x14ac:dyDescent="0.3">
      <c r="I9595"/>
    </row>
    <row r="9596" spans="9:9" x14ac:dyDescent="0.3">
      <c r="I9596"/>
    </row>
    <row r="9597" spans="9:9" x14ac:dyDescent="0.3">
      <c r="I9597"/>
    </row>
    <row r="9598" spans="9:9" x14ac:dyDescent="0.3">
      <c r="I9598"/>
    </row>
    <row r="9599" spans="9:9" x14ac:dyDescent="0.3">
      <c r="I9599"/>
    </row>
    <row r="9600" spans="9:9" x14ac:dyDescent="0.3">
      <c r="I9600"/>
    </row>
    <row r="9601" spans="9:9" x14ac:dyDescent="0.3">
      <c r="I9601"/>
    </row>
    <row r="9602" spans="9:9" x14ac:dyDescent="0.3">
      <c r="I9602"/>
    </row>
    <row r="9603" spans="9:9" x14ac:dyDescent="0.3">
      <c r="I9603"/>
    </row>
    <row r="9604" spans="9:9" x14ac:dyDescent="0.3">
      <c r="I9604"/>
    </row>
    <row r="9605" spans="9:9" x14ac:dyDescent="0.3">
      <c r="I9605"/>
    </row>
    <row r="9606" spans="9:9" x14ac:dyDescent="0.3">
      <c r="I9606"/>
    </row>
    <row r="9607" spans="9:9" x14ac:dyDescent="0.3">
      <c r="I9607"/>
    </row>
    <row r="9608" spans="9:9" x14ac:dyDescent="0.3">
      <c r="I9608"/>
    </row>
    <row r="9609" spans="9:9" x14ac:dyDescent="0.3">
      <c r="I9609"/>
    </row>
    <row r="9610" spans="9:9" x14ac:dyDescent="0.3">
      <c r="I9610"/>
    </row>
    <row r="9611" spans="9:9" x14ac:dyDescent="0.3">
      <c r="I9611"/>
    </row>
    <row r="9612" spans="9:9" x14ac:dyDescent="0.3">
      <c r="I9612"/>
    </row>
    <row r="9613" spans="9:9" x14ac:dyDescent="0.3">
      <c r="I9613"/>
    </row>
    <row r="9614" spans="9:9" x14ac:dyDescent="0.3">
      <c r="I9614"/>
    </row>
    <row r="9615" spans="9:9" x14ac:dyDescent="0.3">
      <c r="I9615"/>
    </row>
    <row r="9616" spans="9:9" x14ac:dyDescent="0.3">
      <c r="I9616"/>
    </row>
    <row r="9617" spans="9:9" x14ac:dyDescent="0.3">
      <c r="I9617"/>
    </row>
    <row r="9618" spans="9:9" x14ac:dyDescent="0.3">
      <c r="I9618"/>
    </row>
    <row r="9619" spans="9:9" x14ac:dyDescent="0.3">
      <c r="I9619"/>
    </row>
    <row r="9620" spans="9:9" x14ac:dyDescent="0.3">
      <c r="I9620"/>
    </row>
    <row r="9621" spans="9:9" x14ac:dyDescent="0.3">
      <c r="I9621"/>
    </row>
    <row r="9622" spans="9:9" x14ac:dyDescent="0.3">
      <c r="I9622"/>
    </row>
    <row r="9623" spans="9:9" x14ac:dyDescent="0.3">
      <c r="I9623"/>
    </row>
    <row r="9624" spans="9:9" x14ac:dyDescent="0.3">
      <c r="I9624"/>
    </row>
    <row r="9625" spans="9:9" x14ac:dyDescent="0.3">
      <c r="I9625"/>
    </row>
    <row r="9626" spans="9:9" x14ac:dyDescent="0.3">
      <c r="I9626"/>
    </row>
    <row r="9627" spans="9:9" x14ac:dyDescent="0.3">
      <c r="I9627"/>
    </row>
    <row r="9628" spans="9:9" x14ac:dyDescent="0.3">
      <c r="I9628"/>
    </row>
    <row r="9629" spans="9:9" x14ac:dyDescent="0.3">
      <c r="I9629"/>
    </row>
    <row r="9630" spans="9:9" x14ac:dyDescent="0.3">
      <c r="I9630"/>
    </row>
    <row r="9631" spans="9:9" x14ac:dyDescent="0.3">
      <c r="I9631"/>
    </row>
    <row r="9632" spans="9:9" x14ac:dyDescent="0.3">
      <c r="I9632"/>
    </row>
    <row r="9633" spans="9:9" x14ac:dyDescent="0.3">
      <c r="I9633"/>
    </row>
    <row r="9634" spans="9:9" x14ac:dyDescent="0.3">
      <c r="I9634"/>
    </row>
    <row r="9635" spans="9:9" x14ac:dyDescent="0.3">
      <c r="I9635"/>
    </row>
    <row r="9636" spans="9:9" x14ac:dyDescent="0.3">
      <c r="I9636"/>
    </row>
    <row r="9637" spans="9:9" x14ac:dyDescent="0.3">
      <c r="I9637"/>
    </row>
    <row r="9638" spans="9:9" x14ac:dyDescent="0.3">
      <c r="I9638"/>
    </row>
    <row r="9639" spans="9:9" x14ac:dyDescent="0.3">
      <c r="I9639"/>
    </row>
    <row r="9640" spans="9:9" x14ac:dyDescent="0.3">
      <c r="I9640"/>
    </row>
    <row r="9641" spans="9:9" x14ac:dyDescent="0.3">
      <c r="I9641"/>
    </row>
    <row r="9642" spans="9:9" x14ac:dyDescent="0.3">
      <c r="I9642"/>
    </row>
    <row r="9643" spans="9:9" x14ac:dyDescent="0.3">
      <c r="I9643"/>
    </row>
    <row r="9644" spans="9:9" x14ac:dyDescent="0.3">
      <c r="I9644"/>
    </row>
    <row r="9645" spans="9:9" x14ac:dyDescent="0.3">
      <c r="I9645"/>
    </row>
    <row r="9646" spans="9:9" x14ac:dyDescent="0.3">
      <c r="I9646"/>
    </row>
    <row r="9647" spans="9:9" x14ac:dyDescent="0.3">
      <c r="I9647"/>
    </row>
    <row r="9648" spans="9:9" x14ac:dyDescent="0.3">
      <c r="I9648"/>
    </row>
    <row r="9649" spans="9:9" x14ac:dyDescent="0.3">
      <c r="I9649"/>
    </row>
    <row r="9650" spans="9:9" x14ac:dyDescent="0.3">
      <c r="I9650"/>
    </row>
    <row r="9651" spans="9:9" x14ac:dyDescent="0.3">
      <c r="I9651"/>
    </row>
    <row r="9652" spans="9:9" x14ac:dyDescent="0.3">
      <c r="I9652"/>
    </row>
    <row r="9653" spans="9:9" x14ac:dyDescent="0.3">
      <c r="I9653"/>
    </row>
    <row r="9654" spans="9:9" x14ac:dyDescent="0.3">
      <c r="I9654"/>
    </row>
    <row r="9655" spans="9:9" x14ac:dyDescent="0.3">
      <c r="I9655"/>
    </row>
    <row r="9656" spans="9:9" x14ac:dyDescent="0.3">
      <c r="I9656"/>
    </row>
    <row r="9657" spans="9:9" x14ac:dyDescent="0.3">
      <c r="I9657"/>
    </row>
    <row r="9658" spans="9:9" x14ac:dyDescent="0.3">
      <c r="I9658"/>
    </row>
    <row r="9659" spans="9:9" x14ac:dyDescent="0.3">
      <c r="I9659"/>
    </row>
    <row r="9660" spans="9:9" x14ac:dyDescent="0.3">
      <c r="I9660"/>
    </row>
    <row r="9661" spans="9:9" x14ac:dyDescent="0.3">
      <c r="I9661"/>
    </row>
    <row r="9662" spans="9:9" x14ac:dyDescent="0.3">
      <c r="I9662"/>
    </row>
    <row r="9663" spans="9:9" x14ac:dyDescent="0.3">
      <c r="I9663"/>
    </row>
    <row r="9664" spans="9:9" x14ac:dyDescent="0.3">
      <c r="I9664"/>
    </row>
    <row r="9665" spans="9:9" x14ac:dyDescent="0.3">
      <c r="I9665"/>
    </row>
    <row r="9666" spans="9:9" x14ac:dyDescent="0.3">
      <c r="I9666"/>
    </row>
    <row r="9667" spans="9:9" x14ac:dyDescent="0.3">
      <c r="I9667"/>
    </row>
    <row r="9668" spans="9:9" x14ac:dyDescent="0.3">
      <c r="I9668"/>
    </row>
    <row r="9669" spans="9:9" x14ac:dyDescent="0.3">
      <c r="I9669"/>
    </row>
    <row r="9670" spans="9:9" x14ac:dyDescent="0.3">
      <c r="I9670"/>
    </row>
    <row r="9671" spans="9:9" x14ac:dyDescent="0.3">
      <c r="I9671"/>
    </row>
    <row r="9672" spans="9:9" x14ac:dyDescent="0.3">
      <c r="I9672"/>
    </row>
    <row r="9673" spans="9:9" x14ac:dyDescent="0.3">
      <c r="I9673"/>
    </row>
    <row r="9674" spans="9:9" x14ac:dyDescent="0.3">
      <c r="I9674"/>
    </row>
    <row r="9675" spans="9:9" x14ac:dyDescent="0.3">
      <c r="I9675"/>
    </row>
    <row r="9676" spans="9:9" x14ac:dyDescent="0.3">
      <c r="I9676"/>
    </row>
    <row r="9677" spans="9:9" x14ac:dyDescent="0.3">
      <c r="I9677"/>
    </row>
    <row r="9678" spans="9:9" x14ac:dyDescent="0.3">
      <c r="I9678"/>
    </row>
    <row r="9679" spans="9:9" x14ac:dyDescent="0.3">
      <c r="I9679"/>
    </row>
    <row r="9680" spans="9:9" x14ac:dyDescent="0.3">
      <c r="I9680"/>
    </row>
    <row r="9681" spans="9:9" x14ac:dyDescent="0.3">
      <c r="I9681"/>
    </row>
    <row r="9682" spans="9:9" x14ac:dyDescent="0.3">
      <c r="I9682"/>
    </row>
    <row r="9683" spans="9:9" x14ac:dyDescent="0.3">
      <c r="I9683"/>
    </row>
    <row r="9684" spans="9:9" x14ac:dyDescent="0.3">
      <c r="I9684"/>
    </row>
    <row r="9685" spans="9:9" x14ac:dyDescent="0.3">
      <c r="I9685"/>
    </row>
    <row r="9686" spans="9:9" x14ac:dyDescent="0.3">
      <c r="I9686"/>
    </row>
    <row r="9687" spans="9:9" x14ac:dyDescent="0.3">
      <c r="I9687"/>
    </row>
    <row r="9688" spans="9:9" x14ac:dyDescent="0.3">
      <c r="I9688"/>
    </row>
    <row r="9689" spans="9:9" x14ac:dyDescent="0.3">
      <c r="I9689"/>
    </row>
    <row r="9690" spans="9:9" x14ac:dyDescent="0.3">
      <c r="I9690"/>
    </row>
    <row r="9691" spans="9:9" x14ac:dyDescent="0.3">
      <c r="I9691"/>
    </row>
    <row r="9692" spans="9:9" x14ac:dyDescent="0.3">
      <c r="I9692"/>
    </row>
    <row r="9693" spans="9:9" x14ac:dyDescent="0.3">
      <c r="I9693"/>
    </row>
    <row r="9694" spans="9:9" x14ac:dyDescent="0.3">
      <c r="I9694"/>
    </row>
    <row r="9695" spans="9:9" x14ac:dyDescent="0.3">
      <c r="I9695"/>
    </row>
    <row r="9696" spans="9:9" x14ac:dyDescent="0.3">
      <c r="I9696"/>
    </row>
    <row r="9697" spans="9:9" x14ac:dyDescent="0.3">
      <c r="I9697"/>
    </row>
    <row r="9698" spans="9:9" x14ac:dyDescent="0.3">
      <c r="I9698"/>
    </row>
    <row r="9699" spans="9:9" x14ac:dyDescent="0.3">
      <c r="I9699"/>
    </row>
    <row r="9700" spans="9:9" x14ac:dyDescent="0.3">
      <c r="I9700"/>
    </row>
    <row r="9701" spans="9:9" x14ac:dyDescent="0.3">
      <c r="I9701"/>
    </row>
    <row r="9702" spans="9:9" x14ac:dyDescent="0.3">
      <c r="I9702"/>
    </row>
    <row r="9703" spans="9:9" x14ac:dyDescent="0.3">
      <c r="I9703"/>
    </row>
    <row r="9704" spans="9:9" x14ac:dyDescent="0.3">
      <c r="I9704"/>
    </row>
    <row r="9705" spans="9:9" x14ac:dyDescent="0.3">
      <c r="I9705"/>
    </row>
    <row r="9706" spans="9:9" x14ac:dyDescent="0.3">
      <c r="I9706"/>
    </row>
    <row r="9707" spans="9:9" x14ac:dyDescent="0.3">
      <c r="I9707"/>
    </row>
    <row r="9708" spans="9:9" x14ac:dyDescent="0.3">
      <c r="I9708"/>
    </row>
    <row r="9709" spans="9:9" x14ac:dyDescent="0.3">
      <c r="I9709"/>
    </row>
    <row r="9710" spans="9:9" x14ac:dyDescent="0.3">
      <c r="I9710"/>
    </row>
    <row r="9711" spans="9:9" x14ac:dyDescent="0.3">
      <c r="I9711"/>
    </row>
    <row r="9712" spans="9:9" x14ac:dyDescent="0.3">
      <c r="I9712"/>
    </row>
    <row r="9713" spans="9:9" x14ac:dyDescent="0.3">
      <c r="I9713"/>
    </row>
    <row r="9714" spans="9:9" x14ac:dyDescent="0.3">
      <c r="I9714"/>
    </row>
    <row r="9715" spans="9:9" x14ac:dyDescent="0.3">
      <c r="I9715"/>
    </row>
    <row r="9716" spans="9:9" x14ac:dyDescent="0.3">
      <c r="I9716"/>
    </row>
    <row r="9717" spans="9:9" x14ac:dyDescent="0.3">
      <c r="I9717"/>
    </row>
    <row r="9718" spans="9:9" x14ac:dyDescent="0.3">
      <c r="I9718"/>
    </row>
    <row r="9719" spans="9:9" x14ac:dyDescent="0.3">
      <c r="I9719"/>
    </row>
    <row r="9720" spans="9:9" x14ac:dyDescent="0.3">
      <c r="I9720"/>
    </row>
    <row r="9721" spans="9:9" x14ac:dyDescent="0.3">
      <c r="I9721"/>
    </row>
    <row r="9722" spans="9:9" x14ac:dyDescent="0.3">
      <c r="I9722"/>
    </row>
    <row r="9723" spans="9:9" x14ac:dyDescent="0.3">
      <c r="I9723"/>
    </row>
    <row r="9724" spans="9:9" x14ac:dyDescent="0.3">
      <c r="I9724"/>
    </row>
    <row r="9725" spans="9:9" x14ac:dyDescent="0.3">
      <c r="I9725"/>
    </row>
    <row r="9726" spans="9:9" x14ac:dyDescent="0.3">
      <c r="I9726"/>
    </row>
    <row r="9727" spans="9:9" x14ac:dyDescent="0.3">
      <c r="I9727"/>
    </row>
    <row r="9728" spans="9:9" x14ac:dyDescent="0.3">
      <c r="I9728"/>
    </row>
    <row r="9729" spans="9:9" x14ac:dyDescent="0.3">
      <c r="I9729"/>
    </row>
    <row r="9730" spans="9:9" x14ac:dyDescent="0.3">
      <c r="I9730"/>
    </row>
    <row r="9731" spans="9:9" x14ac:dyDescent="0.3">
      <c r="I9731"/>
    </row>
    <row r="9732" spans="9:9" x14ac:dyDescent="0.3">
      <c r="I9732"/>
    </row>
    <row r="9733" spans="9:9" x14ac:dyDescent="0.3">
      <c r="I9733"/>
    </row>
    <row r="9734" spans="9:9" x14ac:dyDescent="0.3">
      <c r="I9734"/>
    </row>
    <row r="9735" spans="9:9" x14ac:dyDescent="0.3">
      <c r="I9735"/>
    </row>
    <row r="9736" spans="9:9" x14ac:dyDescent="0.3">
      <c r="I9736"/>
    </row>
    <row r="9737" spans="9:9" x14ac:dyDescent="0.3">
      <c r="I9737"/>
    </row>
    <row r="9738" spans="9:9" x14ac:dyDescent="0.3">
      <c r="I9738"/>
    </row>
    <row r="9739" spans="9:9" x14ac:dyDescent="0.3">
      <c r="I9739"/>
    </row>
    <row r="9740" spans="9:9" x14ac:dyDescent="0.3">
      <c r="I9740"/>
    </row>
    <row r="9741" spans="9:9" x14ac:dyDescent="0.3">
      <c r="I9741"/>
    </row>
    <row r="9742" spans="9:9" x14ac:dyDescent="0.3">
      <c r="I9742"/>
    </row>
    <row r="9743" spans="9:9" x14ac:dyDescent="0.3">
      <c r="I9743"/>
    </row>
    <row r="9744" spans="9:9" x14ac:dyDescent="0.3">
      <c r="I9744"/>
    </row>
    <row r="9745" spans="9:9" x14ac:dyDescent="0.3">
      <c r="I9745"/>
    </row>
    <row r="9746" spans="9:9" x14ac:dyDescent="0.3">
      <c r="I9746"/>
    </row>
    <row r="9747" spans="9:9" x14ac:dyDescent="0.3">
      <c r="I9747"/>
    </row>
    <row r="9748" spans="9:9" x14ac:dyDescent="0.3">
      <c r="I9748"/>
    </row>
    <row r="9749" spans="9:9" x14ac:dyDescent="0.3">
      <c r="I9749"/>
    </row>
    <row r="9750" spans="9:9" x14ac:dyDescent="0.3">
      <c r="I9750"/>
    </row>
    <row r="9751" spans="9:9" x14ac:dyDescent="0.3">
      <c r="I9751"/>
    </row>
    <row r="9752" spans="9:9" x14ac:dyDescent="0.3">
      <c r="I9752"/>
    </row>
    <row r="9753" spans="9:9" x14ac:dyDescent="0.3">
      <c r="I9753"/>
    </row>
    <row r="9754" spans="9:9" x14ac:dyDescent="0.3">
      <c r="I9754"/>
    </row>
    <row r="9755" spans="9:9" x14ac:dyDescent="0.3">
      <c r="I9755"/>
    </row>
    <row r="9756" spans="9:9" x14ac:dyDescent="0.3">
      <c r="I9756"/>
    </row>
    <row r="9757" spans="9:9" x14ac:dyDescent="0.3">
      <c r="I9757"/>
    </row>
    <row r="9758" spans="9:9" x14ac:dyDescent="0.3">
      <c r="I9758"/>
    </row>
    <row r="9759" spans="9:9" x14ac:dyDescent="0.3">
      <c r="I9759"/>
    </row>
    <row r="9760" spans="9:9" x14ac:dyDescent="0.3">
      <c r="I9760"/>
    </row>
    <row r="9761" spans="9:9" x14ac:dyDescent="0.3">
      <c r="I9761"/>
    </row>
    <row r="9762" spans="9:9" x14ac:dyDescent="0.3">
      <c r="I9762"/>
    </row>
    <row r="9763" spans="9:9" x14ac:dyDescent="0.3">
      <c r="I9763"/>
    </row>
    <row r="9764" spans="9:9" x14ac:dyDescent="0.3">
      <c r="I9764"/>
    </row>
    <row r="9765" spans="9:9" x14ac:dyDescent="0.3">
      <c r="I9765"/>
    </row>
    <row r="9766" spans="9:9" x14ac:dyDescent="0.3">
      <c r="I9766"/>
    </row>
    <row r="9767" spans="9:9" x14ac:dyDescent="0.3">
      <c r="I9767"/>
    </row>
    <row r="9768" spans="9:9" x14ac:dyDescent="0.3">
      <c r="I9768"/>
    </row>
    <row r="9769" spans="9:9" x14ac:dyDescent="0.3">
      <c r="I9769"/>
    </row>
    <row r="9770" spans="9:9" x14ac:dyDescent="0.3">
      <c r="I9770"/>
    </row>
    <row r="9771" spans="9:9" x14ac:dyDescent="0.3">
      <c r="I9771"/>
    </row>
    <row r="9772" spans="9:9" x14ac:dyDescent="0.3">
      <c r="I9772"/>
    </row>
    <row r="9773" spans="9:9" x14ac:dyDescent="0.3">
      <c r="I9773"/>
    </row>
    <row r="9774" spans="9:9" x14ac:dyDescent="0.3">
      <c r="I9774"/>
    </row>
    <row r="9775" spans="9:9" x14ac:dyDescent="0.3">
      <c r="I9775"/>
    </row>
    <row r="9776" spans="9:9" x14ac:dyDescent="0.3">
      <c r="I9776"/>
    </row>
    <row r="9777" spans="9:9" x14ac:dyDescent="0.3">
      <c r="I9777"/>
    </row>
    <row r="9778" spans="9:9" x14ac:dyDescent="0.3">
      <c r="I9778"/>
    </row>
    <row r="9779" spans="9:9" x14ac:dyDescent="0.3">
      <c r="I9779"/>
    </row>
    <row r="9780" spans="9:9" x14ac:dyDescent="0.3">
      <c r="I9780"/>
    </row>
    <row r="9781" spans="9:9" x14ac:dyDescent="0.3">
      <c r="I9781"/>
    </row>
    <row r="9782" spans="9:9" x14ac:dyDescent="0.3">
      <c r="I9782"/>
    </row>
    <row r="9783" spans="9:9" x14ac:dyDescent="0.3">
      <c r="I9783"/>
    </row>
    <row r="9784" spans="9:9" x14ac:dyDescent="0.3">
      <c r="I9784"/>
    </row>
    <row r="9785" spans="9:9" x14ac:dyDescent="0.3">
      <c r="I9785"/>
    </row>
    <row r="9786" spans="9:9" x14ac:dyDescent="0.3">
      <c r="I9786"/>
    </row>
    <row r="9787" spans="9:9" x14ac:dyDescent="0.3">
      <c r="I9787"/>
    </row>
    <row r="9788" spans="9:9" x14ac:dyDescent="0.3">
      <c r="I9788"/>
    </row>
    <row r="9789" spans="9:9" x14ac:dyDescent="0.3">
      <c r="I9789"/>
    </row>
    <row r="9790" spans="9:9" x14ac:dyDescent="0.3">
      <c r="I9790"/>
    </row>
    <row r="9791" spans="9:9" x14ac:dyDescent="0.3">
      <c r="I9791"/>
    </row>
    <row r="9792" spans="9:9" x14ac:dyDescent="0.3">
      <c r="I9792"/>
    </row>
    <row r="9793" spans="9:9" x14ac:dyDescent="0.3">
      <c r="I9793"/>
    </row>
    <row r="9794" spans="9:9" x14ac:dyDescent="0.3">
      <c r="I9794"/>
    </row>
    <row r="9795" spans="9:9" x14ac:dyDescent="0.3">
      <c r="I9795"/>
    </row>
    <row r="9796" spans="9:9" x14ac:dyDescent="0.3">
      <c r="I9796"/>
    </row>
    <row r="9797" spans="9:9" x14ac:dyDescent="0.3">
      <c r="I9797"/>
    </row>
    <row r="9798" spans="9:9" x14ac:dyDescent="0.3">
      <c r="I9798"/>
    </row>
    <row r="9799" spans="9:9" x14ac:dyDescent="0.3">
      <c r="I9799"/>
    </row>
    <row r="9800" spans="9:9" x14ac:dyDescent="0.3">
      <c r="I9800"/>
    </row>
    <row r="9801" spans="9:9" x14ac:dyDescent="0.3">
      <c r="I9801"/>
    </row>
    <row r="9802" spans="9:9" x14ac:dyDescent="0.3">
      <c r="I9802"/>
    </row>
    <row r="9803" spans="9:9" x14ac:dyDescent="0.3">
      <c r="I9803"/>
    </row>
    <row r="9804" spans="9:9" x14ac:dyDescent="0.3">
      <c r="I9804"/>
    </row>
    <row r="9805" spans="9:9" x14ac:dyDescent="0.3">
      <c r="I9805"/>
    </row>
    <row r="9806" spans="9:9" x14ac:dyDescent="0.3">
      <c r="I9806"/>
    </row>
    <row r="9807" spans="9:9" x14ac:dyDescent="0.3">
      <c r="I9807"/>
    </row>
    <row r="9808" spans="9:9" x14ac:dyDescent="0.3">
      <c r="I9808"/>
    </row>
    <row r="9809" spans="9:9" x14ac:dyDescent="0.3">
      <c r="I9809"/>
    </row>
    <row r="9810" spans="9:9" x14ac:dyDescent="0.3">
      <c r="I9810"/>
    </row>
    <row r="9811" spans="9:9" x14ac:dyDescent="0.3">
      <c r="I9811"/>
    </row>
    <row r="9812" spans="9:9" x14ac:dyDescent="0.3">
      <c r="I9812"/>
    </row>
    <row r="9813" spans="9:9" x14ac:dyDescent="0.3">
      <c r="I9813"/>
    </row>
    <row r="9814" spans="9:9" x14ac:dyDescent="0.3">
      <c r="I9814"/>
    </row>
    <row r="9815" spans="9:9" x14ac:dyDescent="0.3">
      <c r="I9815"/>
    </row>
    <row r="9816" spans="9:9" x14ac:dyDescent="0.3">
      <c r="I9816"/>
    </row>
    <row r="9817" spans="9:9" x14ac:dyDescent="0.3">
      <c r="I9817"/>
    </row>
    <row r="9818" spans="9:9" x14ac:dyDescent="0.3">
      <c r="I9818"/>
    </row>
    <row r="9819" spans="9:9" x14ac:dyDescent="0.3">
      <c r="I9819"/>
    </row>
    <row r="9820" spans="9:9" x14ac:dyDescent="0.3">
      <c r="I9820"/>
    </row>
    <row r="9821" spans="9:9" x14ac:dyDescent="0.3">
      <c r="I9821"/>
    </row>
    <row r="9822" spans="9:9" x14ac:dyDescent="0.3">
      <c r="I9822"/>
    </row>
    <row r="9823" spans="9:9" x14ac:dyDescent="0.3">
      <c r="I9823"/>
    </row>
    <row r="9824" spans="9:9" x14ac:dyDescent="0.3">
      <c r="I9824"/>
    </row>
    <row r="9825" spans="9:9" x14ac:dyDescent="0.3">
      <c r="I9825"/>
    </row>
    <row r="9826" spans="9:9" x14ac:dyDescent="0.3">
      <c r="I9826"/>
    </row>
    <row r="9827" spans="9:9" x14ac:dyDescent="0.3">
      <c r="I9827"/>
    </row>
    <row r="9828" spans="9:9" x14ac:dyDescent="0.3">
      <c r="I9828"/>
    </row>
    <row r="9829" spans="9:9" x14ac:dyDescent="0.3">
      <c r="I9829"/>
    </row>
    <row r="9830" spans="9:9" x14ac:dyDescent="0.3">
      <c r="I9830"/>
    </row>
    <row r="9831" spans="9:9" x14ac:dyDescent="0.3">
      <c r="I9831"/>
    </row>
    <row r="9832" spans="9:9" x14ac:dyDescent="0.3">
      <c r="I9832"/>
    </row>
    <row r="9833" spans="9:9" x14ac:dyDescent="0.3">
      <c r="I9833"/>
    </row>
    <row r="9834" spans="9:9" x14ac:dyDescent="0.3">
      <c r="I9834"/>
    </row>
    <row r="9835" spans="9:9" x14ac:dyDescent="0.3">
      <c r="I9835"/>
    </row>
    <row r="9836" spans="9:9" x14ac:dyDescent="0.3">
      <c r="I9836"/>
    </row>
    <row r="9837" spans="9:9" x14ac:dyDescent="0.3">
      <c r="I9837"/>
    </row>
    <row r="9838" spans="9:9" x14ac:dyDescent="0.3">
      <c r="I9838"/>
    </row>
    <row r="9839" spans="9:9" x14ac:dyDescent="0.3">
      <c r="I9839"/>
    </row>
    <row r="9840" spans="9:9" x14ac:dyDescent="0.3">
      <c r="I9840"/>
    </row>
    <row r="9841" spans="9:9" x14ac:dyDescent="0.3">
      <c r="I9841"/>
    </row>
    <row r="9842" spans="9:9" x14ac:dyDescent="0.3">
      <c r="I9842"/>
    </row>
    <row r="9843" spans="9:9" x14ac:dyDescent="0.3">
      <c r="I9843"/>
    </row>
    <row r="9844" spans="9:9" x14ac:dyDescent="0.3">
      <c r="I9844"/>
    </row>
    <row r="9845" spans="9:9" x14ac:dyDescent="0.3">
      <c r="I9845"/>
    </row>
    <row r="9846" spans="9:9" x14ac:dyDescent="0.3">
      <c r="I9846"/>
    </row>
    <row r="9847" spans="9:9" x14ac:dyDescent="0.3">
      <c r="I9847"/>
    </row>
    <row r="9848" spans="9:9" x14ac:dyDescent="0.3">
      <c r="I9848"/>
    </row>
    <row r="9849" spans="9:9" x14ac:dyDescent="0.3">
      <c r="I9849"/>
    </row>
    <row r="9850" spans="9:9" x14ac:dyDescent="0.3">
      <c r="I9850"/>
    </row>
    <row r="9851" spans="9:9" x14ac:dyDescent="0.3">
      <c r="I9851"/>
    </row>
    <row r="9852" spans="9:9" x14ac:dyDescent="0.3">
      <c r="I9852"/>
    </row>
    <row r="9853" spans="9:9" x14ac:dyDescent="0.3">
      <c r="I9853"/>
    </row>
    <row r="9854" spans="9:9" x14ac:dyDescent="0.3">
      <c r="I9854"/>
    </row>
    <row r="9855" spans="9:9" x14ac:dyDescent="0.3">
      <c r="I9855"/>
    </row>
    <row r="9856" spans="9:9" x14ac:dyDescent="0.3">
      <c r="I9856"/>
    </row>
    <row r="9857" spans="9:9" x14ac:dyDescent="0.3">
      <c r="I9857"/>
    </row>
    <row r="9858" spans="9:9" x14ac:dyDescent="0.3">
      <c r="I9858"/>
    </row>
    <row r="9859" spans="9:9" x14ac:dyDescent="0.3">
      <c r="I9859"/>
    </row>
    <row r="9860" spans="9:9" x14ac:dyDescent="0.3">
      <c r="I9860"/>
    </row>
    <row r="9861" spans="9:9" x14ac:dyDescent="0.3">
      <c r="I9861"/>
    </row>
    <row r="9862" spans="9:9" x14ac:dyDescent="0.3">
      <c r="I9862"/>
    </row>
    <row r="9863" spans="9:9" x14ac:dyDescent="0.3">
      <c r="I9863"/>
    </row>
    <row r="9864" spans="9:9" x14ac:dyDescent="0.3">
      <c r="I9864"/>
    </row>
    <row r="9865" spans="9:9" x14ac:dyDescent="0.3">
      <c r="I9865"/>
    </row>
    <row r="9866" spans="9:9" x14ac:dyDescent="0.3">
      <c r="I9866"/>
    </row>
    <row r="9867" spans="9:9" x14ac:dyDescent="0.3">
      <c r="I9867"/>
    </row>
    <row r="9868" spans="9:9" x14ac:dyDescent="0.3">
      <c r="I9868"/>
    </row>
    <row r="9869" spans="9:9" x14ac:dyDescent="0.3">
      <c r="I9869"/>
    </row>
    <row r="9870" spans="9:9" x14ac:dyDescent="0.3">
      <c r="I9870"/>
    </row>
    <row r="9871" spans="9:9" x14ac:dyDescent="0.3">
      <c r="I9871"/>
    </row>
    <row r="9872" spans="9:9" x14ac:dyDescent="0.3">
      <c r="I9872"/>
    </row>
    <row r="9873" spans="9:9" x14ac:dyDescent="0.3">
      <c r="I9873"/>
    </row>
    <row r="9874" spans="9:9" x14ac:dyDescent="0.3">
      <c r="I9874"/>
    </row>
    <row r="9875" spans="9:9" x14ac:dyDescent="0.3">
      <c r="I9875"/>
    </row>
    <row r="9876" spans="9:9" x14ac:dyDescent="0.3">
      <c r="I9876"/>
    </row>
    <row r="9877" spans="9:9" x14ac:dyDescent="0.3">
      <c r="I9877"/>
    </row>
    <row r="9878" spans="9:9" x14ac:dyDescent="0.3">
      <c r="I9878"/>
    </row>
    <row r="9879" spans="9:9" x14ac:dyDescent="0.3">
      <c r="I9879"/>
    </row>
    <row r="9880" spans="9:9" x14ac:dyDescent="0.3">
      <c r="I9880"/>
    </row>
    <row r="9881" spans="9:9" x14ac:dyDescent="0.3">
      <c r="I9881"/>
    </row>
    <row r="9882" spans="9:9" x14ac:dyDescent="0.3">
      <c r="I9882"/>
    </row>
    <row r="9883" spans="9:9" x14ac:dyDescent="0.3">
      <c r="I9883"/>
    </row>
    <row r="9884" spans="9:9" x14ac:dyDescent="0.3">
      <c r="I9884"/>
    </row>
    <row r="9885" spans="9:9" x14ac:dyDescent="0.3">
      <c r="I9885"/>
    </row>
    <row r="9886" spans="9:9" x14ac:dyDescent="0.3">
      <c r="I9886"/>
    </row>
    <row r="9887" spans="9:9" x14ac:dyDescent="0.3">
      <c r="I9887"/>
    </row>
    <row r="9888" spans="9:9" x14ac:dyDescent="0.3">
      <c r="I9888"/>
    </row>
    <row r="9889" spans="9:9" x14ac:dyDescent="0.3">
      <c r="I9889"/>
    </row>
    <row r="9890" spans="9:9" x14ac:dyDescent="0.3">
      <c r="I9890"/>
    </row>
    <row r="9891" spans="9:9" x14ac:dyDescent="0.3">
      <c r="I9891"/>
    </row>
    <row r="9892" spans="9:9" x14ac:dyDescent="0.3">
      <c r="I9892"/>
    </row>
    <row r="9893" spans="9:9" x14ac:dyDescent="0.3">
      <c r="I9893"/>
    </row>
    <row r="9894" spans="9:9" x14ac:dyDescent="0.3">
      <c r="I9894"/>
    </row>
    <row r="9895" spans="9:9" x14ac:dyDescent="0.3">
      <c r="I9895"/>
    </row>
    <row r="9896" spans="9:9" x14ac:dyDescent="0.3">
      <c r="I9896"/>
    </row>
    <row r="9897" spans="9:9" x14ac:dyDescent="0.3">
      <c r="I9897"/>
    </row>
    <row r="9898" spans="9:9" x14ac:dyDescent="0.3">
      <c r="I9898"/>
    </row>
    <row r="9899" spans="9:9" x14ac:dyDescent="0.3">
      <c r="I9899"/>
    </row>
    <row r="9900" spans="9:9" x14ac:dyDescent="0.3">
      <c r="I9900"/>
    </row>
    <row r="9901" spans="9:9" x14ac:dyDescent="0.3">
      <c r="I9901"/>
    </row>
    <row r="9902" spans="9:9" x14ac:dyDescent="0.3">
      <c r="I9902"/>
    </row>
    <row r="9903" spans="9:9" x14ac:dyDescent="0.3">
      <c r="I9903"/>
    </row>
    <row r="9904" spans="9:9" x14ac:dyDescent="0.3">
      <c r="I9904"/>
    </row>
    <row r="9905" spans="9:9" x14ac:dyDescent="0.3">
      <c r="I9905"/>
    </row>
    <row r="9906" spans="9:9" x14ac:dyDescent="0.3">
      <c r="I9906"/>
    </row>
    <row r="9907" spans="9:9" x14ac:dyDescent="0.3">
      <c r="I9907"/>
    </row>
    <row r="9908" spans="9:9" x14ac:dyDescent="0.3">
      <c r="I9908"/>
    </row>
    <row r="9909" spans="9:9" x14ac:dyDescent="0.3">
      <c r="I9909"/>
    </row>
    <row r="9910" spans="9:9" x14ac:dyDescent="0.3">
      <c r="I9910"/>
    </row>
    <row r="9911" spans="9:9" x14ac:dyDescent="0.3">
      <c r="I9911"/>
    </row>
    <row r="9912" spans="9:9" x14ac:dyDescent="0.3">
      <c r="I9912"/>
    </row>
    <row r="9913" spans="9:9" x14ac:dyDescent="0.3">
      <c r="I9913"/>
    </row>
    <row r="9914" spans="9:9" x14ac:dyDescent="0.3">
      <c r="I9914"/>
    </row>
    <row r="9915" spans="9:9" x14ac:dyDescent="0.3">
      <c r="I9915"/>
    </row>
    <row r="9916" spans="9:9" x14ac:dyDescent="0.3">
      <c r="I9916"/>
    </row>
    <row r="9917" spans="9:9" x14ac:dyDescent="0.3">
      <c r="I9917"/>
    </row>
    <row r="9918" spans="9:9" x14ac:dyDescent="0.3">
      <c r="I9918"/>
    </row>
    <row r="9919" spans="9:9" x14ac:dyDescent="0.3">
      <c r="I9919"/>
    </row>
    <row r="9920" spans="9:9" x14ac:dyDescent="0.3">
      <c r="I9920"/>
    </row>
    <row r="9921" spans="9:9" x14ac:dyDescent="0.3">
      <c r="I9921"/>
    </row>
    <row r="9922" spans="9:9" x14ac:dyDescent="0.3">
      <c r="I9922"/>
    </row>
    <row r="9923" spans="9:9" x14ac:dyDescent="0.3">
      <c r="I9923"/>
    </row>
    <row r="9924" spans="9:9" x14ac:dyDescent="0.3">
      <c r="I9924"/>
    </row>
    <row r="9925" spans="9:9" x14ac:dyDescent="0.3">
      <c r="I9925"/>
    </row>
    <row r="9926" spans="9:9" x14ac:dyDescent="0.3">
      <c r="I9926"/>
    </row>
    <row r="9927" spans="9:9" x14ac:dyDescent="0.3">
      <c r="I9927"/>
    </row>
    <row r="9928" spans="9:9" x14ac:dyDescent="0.3">
      <c r="I9928"/>
    </row>
    <row r="9929" spans="9:9" x14ac:dyDescent="0.3">
      <c r="I9929"/>
    </row>
    <row r="9930" spans="9:9" x14ac:dyDescent="0.3">
      <c r="I9930"/>
    </row>
    <row r="9931" spans="9:9" x14ac:dyDescent="0.3">
      <c r="I9931"/>
    </row>
    <row r="9932" spans="9:9" x14ac:dyDescent="0.3">
      <c r="I9932"/>
    </row>
    <row r="9933" spans="9:9" x14ac:dyDescent="0.3">
      <c r="I9933"/>
    </row>
    <row r="9934" spans="9:9" x14ac:dyDescent="0.3">
      <c r="I9934"/>
    </row>
    <row r="9935" spans="9:9" x14ac:dyDescent="0.3">
      <c r="I9935"/>
    </row>
    <row r="9936" spans="9:9" x14ac:dyDescent="0.3">
      <c r="I9936"/>
    </row>
    <row r="9937" spans="9:9" x14ac:dyDescent="0.3">
      <c r="I9937"/>
    </row>
    <row r="9938" spans="9:9" x14ac:dyDescent="0.3">
      <c r="I9938"/>
    </row>
    <row r="9939" spans="9:9" x14ac:dyDescent="0.3">
      <c r="I9939"/>
    </row>
    <row r="9940" spans="9:9" x14ac:dyDescent="0.3">
      <c r="I9940"/>
    </row>
    <row r="9941" spans="9:9" x14ac:dyDescent="0.3">
      <c r="I9941"/>
    </row>
    <row r="9942" spans="9:9" x14ac:dyDescent="0.3">
      <c r="I9942"/>
    </row>
    <row r="9943" spans="9:9" x14ac:dyDescent="0.3">
      <c r="I9943"/>
    </row>
    <row r="9944" spans="9:9" x14ac:dyDescent="0.3">
      <c r="I9944"/>
    </row>
    <row r="9945" spans="9:9" x14ac:dyDescent="0.3">
      <c r="I9945"/>
    </row>
    <row r="9946" spans="9:9" x14ac:dyDescent="0.3">
      <c r="I9946"/>
    </row>
    <row r="9947" spans="9:9" x14ac:dyDescent="0.3">
      <c r="I9947"/>
    </row>
    <row r="9948" spans="9:9" x14ac:dyDescent="0.3">
      <c r="I9948"/>
    </row>
    <row r="9949" spans="9:9" x14ac:dyDescent="0.3">
      <c r="I9949"/>
    </row>
    <row r="9950" spans="9:9" x14ac:dyDescent="0.3">
      <c r="I9950"/>
    </row>
    <row r="9951" spans="9:9" x14ac:dyDescent="0.3">
      <c r="I9951"/>
    </row>
    <row r="9952" spans="9:9" x14ac:dyDescent="0.3">
      <c r="I9952"/>
    </row>
    <row r="9953" spans="9:9" x14ac:dyDescent="0.3">
      <c r="I9953"/>
    </row>
    <row r="9954" spans="9:9" x14ac:dyDescent="0.3">
      <c r="I9954"/>
    </row>
    <row r="9955" spans="9:9" x14ac:dyDescent="0.3">
      <c r="I9955"/>
    </row>
    <row r="9956" spans="9:9" x14ac:dyDescent="0.3">
      <c r="I9956"/>
    </row>
    <row r="9957" spans="9:9" x14ac:dyDescent="0.3">
      <c r="I9957"/>
    </row>
    <row r="9958" spans="9:9" x14ac:dyDescent="0.3">
      <c r="I9958"/>
    </row>
    <row r="9959" spans="9:9" x14ac:dyDescent="0.3">
      <c r="I9959"/>
    </row>
    <row r="9960" spans="9:9" x14ac:dyDescent="0.3">
      <c r="I9960"/>
    </row>
    <row r="9961" spans="9:9" x14ac:dyDescent="0.3">
      <c r="I9961"/>
    </row>
    <row r="9962" spans="9:9" x14ac:dyDescent="0.3">
      <c r="I9962"/>
    </row>
    <row r="9963" spans="9:9" x14ac:dyDescent="0.3">
      <c r="I9963"/>
    </row>
    <row r="9964" spans="9:9" x14ac:dyDescent="0.3">
      <c r="I9964"/>
    </row>
    <row r="9965" spans="9:9" x14ac:dyDescent="0.3">
      <c r="I9965"/>
    </row>
    <row r="9966" spans="9:9" x14ac:dyDescent="0.3">
      <c r="I9966"/>
    </row>
    <row r="9967" spans="9:9" x14ac:dyDescent="0.3">
      <c r="I9967"/>
    </row>
    <row r="9968" spans="9:9" x14ac:dyDescent="0.3">
      <c r="I9968"/>
    </row>
    <row r="9969" spans="9:9" x14ac:dyDescent="0.3">
      <c r="I9969"/>
    </row>
    <row r="9970" spans="9:9" x14ac:dyDescent="0.3">
      <c r="I9970"/>
    </row>
    <row r="9971" spans="9:9" x14ac:dyDescent="0.3">
      <c r="I9971"/>
    </row>
    <row r="9972" spans="9:9" x14ac:dyDescent="0.3">
      <c r="I9972"/>
    </row>
    <row r="9973" spans="9:9" x14ac:dyDescent="0.3">
      <c r="I9973"/>
    </row>
    <row r="9974" spans="9:9" x14ac:dyDescent="0.3">
      <c r="I9974"/>
    </row>
    <row r="9975" spans="9:9" x14ac:dyDescent="0.3">
      <c r="I9975"/>
    </row>
    <row r="9976" spans="9:9" x14ac:dyDescent="0.3">
      <c r="I9976"/>
    </row>
    <row r="9977" spans="9:9" x14ac:dyDescent="0.3">
      <c r="I9977"/>
    </row>
    <row r="9978" spans="9:9" x14ac:dyDescent="0.3">
      <c r="I9978"/>
    </row>
    <row r="9979" spans="9:9" x14ac:dyDescent="0.3">
      <c r="I9979"/>
    </row>
    <row r="9980" spans="9:9" x14ac:dyDescent="0.3">
      <c r="I9980"/>
    </row>
    <row r="9981" spans="9:9" x14ac:dyDescent="0.3">
      <c r="I9981"/>
    </row>
    <row r="9982" spans="9:9" x14ac:dyDescent="0.3">
      <c r="I9982"/>
    </row>
    <row r="9983" spans="9:9" x14ac:dyDescent="0.3">
      <c r="I9983"/>
    </row>
    <row r="9984" spans="9:9" x14ac:dyDescent="0.3">
      <c r="I9984"/>
    </row>
    <row r="9985" spans="9:9" x14ac:dyDescent="0.3">
      <c r="I9985"/>
    </row>
    <row r="9986" spans="9:9" x14ac:dyDescent="0.3">
      <c r="I9986"/>
    </row>
    <row r="9987" spans="9:9" x14ac:dyDescent="0.3">
      <c r="I9987"/>
    </row>
    <row r="9988" spans="9:9" x14ac:dyDescent="0.3">
      <c r="I9988"/>
    </row>
    <row r="9989" spans="9:9" x14ac:dyDescent="0.3">
      <c r="I9989"/>
    </row>
    <row r="9990" spans="9:9" x14ac:dyDescent="0.3">
      <c r="I9990"/>
    </row>
    <row r="9991" spans="9:9" x14ac:dyDescent="0.3">
      <c r="I9991"/>
    </row>
    <row r="9992" spans="9:9" x14ac:dyDescent="0.3">
      <c r="I9992"/>
    </row>
    <row r="9993" spans="9:9" x14ac:dyDescent="0.3">
      <c r="I9993"/>
    </row>
    <row r="9994" spans="9:9" x14ac:dyDescent="0.3">
      <c r="I9994"/>
    </row>
    <row r="9995" spans="9:9" x14ac:dyDescent="0.3">
      <c r="I9995"/>
    </row>
    <row r="9996" spans="9:9" x14ac:dyDescent="0.3">
      <c r="I9996"/>
    </row>
    <row r="9997" spans="9:9" x14ac:dyDescent="0.3">
      <c r="I9997"/>
    </row>
    <row r="9998" spans="9:9" x14ac:dyDescent="0.3">
      <c r="I9998"/>
    </row>
    <row r="9999" spans="9:9" x14ac:dyDescent="0.3">
      <c r="I9999"/>
    </row>
    <row r="10000" spans="9:9" x14ac:dyDescent="0.3">
      <c r="I10000"/>
    </row>
    <row r="10001" spans="9:9" x14ac:dyDescent="0.3">
      <c r="I10001"/>
    </row>
    <row r="10002" spans="9:9" x14ac:dyDescent="0.3">
      <c r="I10002"/>
    </row>
    <row r="10003" spans="9:9" x14ac:dyDescent="0.3">
      <c r="I10003"/>
    </row>
    <row r="10004" spans="9:9" x14ac:dyDescent="0.3">
      <c r="I10004"/>
    </row>
    <row r="10005" spans="9:9" x14ac:dyDescent="0.3">
      <c r="I10005"/>
    </row>
    <row r="10006" spans="9:9" x14ac:dyDescent="0.3">
      <c r="I10006"/>
    </row>
    <row r="10007" spans="9:9" x14ac:dyDescent="0.3">
      <c r="I10007"/>
    </row>
    <row r="10008" spans="9:9" x14ac:dyDescent="0.3">
      <c r="I10008"/>
    </row>
    <row r="10009" spans="9:9" x14ac:dyDescent="0.3">
      <c r="I10009"/>
    </row>
    <row r="10010" spans="9:9" x14ac:dyDescent="0.3">
      <c r="I10010"/>
    </row>
    <row r="10011" spans="9:9" x14ac:dyDescent="0.3">
      <c r="I10011"/>
    </row>
    <row r="10012" spans="9:9" x14ac:dyDescent="0.3">
      <c r="I10012"/>
    </row>
    <row r="10013" spans="9:9" x14ac:dyDescent="0.3">
      <c r="I10013"/>
    </row>
    <row r="10014" spans="9:9" x14ac:dyDescent="0.3">
      <c r="I10014"/>
    </row>
    <row r="10015" spans="9:9" x14ac:dyDescent="0.3">
      <c r="I10015"/>
    </row>
    <row r="10016" spans="9:9" x14ac:dyDescent="0.3">
      <c r="I10016"/>
    </row>
    <row r="10017" spans="9:9" x14ac:dyDescent="0.3">
      <c r="I10017"/>
    </row>
    <row r="10018" spans="9:9" x14ac:dyDescent="0.3">
      <c r="I10018"/>
    </row>
    <row r="10019" spans="9:9" x14ac:dyDescent="0.3">
      <c r="I10019"/>
    </row>
    <row r="10020" spans="9:9" x14ac:dyDescent="0.3">
      <c r="I10020"/>
    </row>
    <row r="10021" spans="9:9" x14ac:dyDescent="0.3">
      <c r="I10021"/>
    </row>
    <row r="10022" spans="9:9" x14ac:dyDescent="0.3">
      <c r="I10022"/>
    </row>
    <row r="10023" spans="9:9" x14ac:dyDescent="0.3">
      <c r="I10023"/>
    </row>
    <row r="10024" spans="9:9" x14ac:dyDescent="0.3">
      <c r="I10024"/>
    </row>
    <row r="10025" spans="9:9" x14ac:dyDescent="0.3">
      <c r="I10025"/>
    </row>
    <row r="10026" spans="9:9" x14ac:dyDescent="0.3">
      <c r="I10026"/>
    </row>
    <row r="10027" spans="9:9" x14ac:dyDescent="0.3">
      <c r="I10027"/>
    </row>
    <row r="10028" spans="9:9" x14ac:dyDescent="0.3">
      <c r="I10028"/>
    </row>
    <row r="10029" spans="9:9" x14ac:dyDescent="0.3">
      <c r="I10029"/>
    </row>
    <row r="10030" spans="9:9" x14ac:dyDescent="0.3">
      <c r="I10030"/>
    </row>
    <row r="10031" spans="9:9" x14ac:dyDescent="0.3">
      <c r="I10031"/>
    </row>
    <row r="10032" spans="9:9" x14ac:dyDescent="0.3">
      <c r="I10032"/>
    </row>
    <row r="10033" spans="9:9" x14ac:dyDescent="0.3">
      <c r="I10033"/>
    </row>
    <row r="10034" spans="9:9" x14ac:dyDescent="0.3">
      <c r="I10034"/>
    </row>
    <row r="10035" spans="9:9" x14ac:dyDescent="0.3">
      <c r="I10035"/>
    </row>
    <row r="10036" spans="9:9" x14ac:dyDescent="0.3">
      <c r="I10036"/>
    </row>
    <row r="10037" spans="9:9" x14ac:dyDescent="0.3">
      <c r="I10037"/>
    </row>
    <row r="10038" spans="9:9" x14ac:dyDescent="0.3">
      <c r="I10038"/>
    </row>
    <row r="10039" spans="9:9" x14ac:dyDescent="0.3">
      <c r="I10039"/>
    </row>
    <row r="10040" spans="9:9" x14ac:dyDescent="0.3">
      <c r="I10040"/>
    </row>
    <row r="10041" spans="9:9" x14ac:dyDescent="0.3">
      <c r="I10041"/>
    </row>
    <row r="10042" spans="9:9" x14ac:dyDescent="0.3">
      <c r="I10042"/>
    </row>
    <row r="10043" spans="9:9" x14ac:dyDescent="0.3">
      <c r="I10043"/>
    </row>
    <row r="10044" spans="9:9" x14ac:dyDescent="0.3">
      <c r="I10044"/>
    </row>
    <row r="10045" spans="9:9" x14ac:dyDescent="0.3">
      <c r="I10045"/>
    </row>
    <row r="10046" spans="9:9" x14ac:dyDescent="0.3">
      <c r="I10046"/>
    </row>
    <row r="10047" spans="9:9" x14ac:dyDescent="0.3">
      <c r="I10047"/>
    </row>
    <row r="10048" spans="9:9" x14ac:dyDescent="0.3">
      <c r="I10048"/>
    </row>
    <row r="10049" spans="9:9" x14ac:dyDescent="0.3">
      <c r="I10049"/>
    </row>
    <row r="10050" spans="9:9" x14ac:dyDescent="0.3">
      <c r="I10050"/>
    </row>
    <row r="10051" spans="9:9" x14ac:dyDescent="0.3">
      <c r="I10051"/>
    </row>
    <row r="10052" spans="9:9" x14ac:dyDescent="0.3">
      <c r="I10052"/>
    </row>
    <row r="10053" spans="9:9" x14ac:dyDescent="0.3">
      <c r="I10053"/>
    </row>
    <row r="10054" spans="9:9" x14ac:dyDescent="0.3">
      <c r="I10054"/>
    </row>
    <row r="10055" spans="9:9" x14ac:dyDescent="0.3">
      <c r="I10055"/>
    </row>
    <row r="10056" spans="9:9" x14ac:dyDescent="0.3">
      <c r="I10056"/>
    </row>
    <row r="10057" spans="9:9" x14ac:dyDescent="0.3">
      <c r="I10057"/>
    </row>
    <row r="10058" spans="9:9" x14ac:dyDescent="0.3">
      <c r="I10058"/>
    </row>
    <row r="10059" spans="9:9" x14ac:dyDescent="0.3">
      <c r="I10059"/>
    </row>
    <row r="10060" spans="9:9" x14ac:dyDescent="0.3">
      <c r="I10060"/>
    </row>
    <row r="10061" spans="9:9" x14ac:dyDescent="0.3">
      <c r="I10061"/>
    </row>
    <row r="10062" spans="9:9" x14ac:dyDescent="0.3">
      <c r="I10062"/>
    </row>
    <row r="10063" spans="9:9" x14ac:dyDescent="0.3">
      <c r="I10063"/>
    </row>
    <row r="10064" spans="9:9" x14ac:dyDescent="0.3">
      <c r="I10064"/>
    </row>
    <row r="10065" spans="9:9" x14ac:dyDescent="0.3">
      <c r="I10065"/>
    </row>
    <row r="10066" spans="9:9" x14ac:dyDescent="0.3">
      <c r="I10066"/>
    </row>
    <row r="10067" spans="9:9" x14ac:dyDescent="0.3">
      <c r="I10067"/>
    </row>
    <row r="10068" spans="9:9" x14ac:dyDescent="0.3">
      <c r="I10068"/>
    </row>
    <row r="10069" spans="9:9" x14ac:dyDescent="0.3">
      <c r="I10069"/>
    </row>
    <row r="10070" spans="9:9" x14ac:dyDescent="0.3">
      <c r="I10070"/>
    </row>
    <row r="10071" spans="9:9" x14ac:dyDescent="0.3">
      <c r="I10071"/>
    </row>
    <row r="10072" spans="9:9" x14ac:dyDescent="0.3">
      <c r="I10072"/>
    </row>
    <row r="10073" spans="9:9" x14ac:dyDescent="0.3">
      <c r="I10073"/>
    </row>
    <row r="10074" spans="9:9" x14ac:dyDescent="0.3">
      <c r="I10074"/>
    </row>
    <row r="10075" spans="9:9" x14ac:dyDescent="0.3">
      <c r="I10075"/>
    </row>
    <row r="10076" spans="9:9" x14ac:dyDescent="0.3">
      <c r="I10076"/>
    </row>
    <row r="10077" spans="9:9" x14ac:dyDescent="0.3">
      <c r="I10077"/>
    </row>
    <row r="10078" spans="9:9" x14ac:dyDescent="0.3">
      <c r="I10078"/>
    </row>
    <row r="10079" spans="9:9" x14ac:dyDescent="0.3">
      <c r="I10079"/>
    </row>
    <row r="10080" spans="9:9" x14ac:dyDescent="0.3">
      <c r="I10080"/>
    </row>
    <row r="10081" spans="9:9" x14ac:dyDescent="0.3">
      <c r="I10081"/>
    </row>
    <row r="10082" spans="9:9" x14ac:dyDescent="0.3">
      <c r="I10082"/>
    </row>
    <row r="10083" spans="9:9" x14ac:dyDescent="0.3">
      <c r="I10083"/>
    </row>
    <row r="10084" spans="9:9" x14ac:dyDescent="0.3">
      <c r="I10084"/>
    </row>
    <row r="10085" spans="9:9" x14ac:dyDescent="0.3">
      <c r="I10085"/>
    </row>
    <row r="10086" spans="9:9" x14ac:dyDescent="0.3">
      <c r="I10086"/>
    </row>
    <row r="10087" spans="9:9" x14ac:dyDescent="0.3">
      <c r="I10087"/>
    </row>
    <row r="10088" spans="9:9" x14ac:dyDescent="0.3">
      <c r="I10088"/>
    </row>
    <row r="10089" spans="9:9" x14ac:dyDescent="0.3">
      <c r="I10089"/>
    </row>
    <row r="10090" spans="9:9" x14ac:dyDescent="0.3">
      <c r="I10090"/>
    </row>
    <row r="10091" spans="9:9" x14ac:dyDescent="0.3">
      <c r="I10091"/>
    </row>
    <row r="10092" spans="9:9" x14ac:dyDescent="0.3">
      <c r="I10092"/>
    </row>
    <row r="10093" spans="9:9" x14ac:dyDescent="0.3">
      <c r="I10093"/>
    </row>
    <row r="10094" spans="9:9" x14ac:dyDescent="0.3">
      <c r="I10094"/>
    </row>
    <row r="10095" spans="9:9" x14ac:dyDescent="0.3">
      <c r="I10095"/>
    </row>
    <row r="10096" spans="9:9" x14ac:dyDescent="0.3">
      <c r="I10096"/>
    </row>
    <row r="10097" spans="9:9" x14ac:dyDescent="0.3">
      <c r="I10097"/>
    </row>
    <row r="10098" spans="9:9" x14ac:dyDescent="0.3">
      <c r="I10098"/>
    </row>
    <row r="10099" spans="9:9" x14ac:dyDescent="0.3">
      <c r="I10099"/>
    </row>
    <row r="10100" spans="9:9" x14ac:dyDescent="0.3">
      <c r="I10100"/>
    </row>
    <row r="10101" spans="9:9" x14ac:dyDescent="0.3">
      <c r="I10101"/>
    </row>
    <row r="10102" spans="9:9" x14ac:dyDescent="0.3">
      <c r="I10102"/>
    </row>
    <row r="10103" spans="9:9" x14ac:dyDescent="0.3">
      <c r="I10103"/>
    </row>
    <row r="10104" spans="9:9" x14ac:dyDescent="0.3">
      <c r="I10104"/>
    </row>
    <row r="10105" spans="9:9" x14ac:dyDescent="0.3">
      <c r="I10105"/>
    </row>
    <row r="10106" spans="9:9" x14ac:dyDescent="0.3">
      <c r="I10106"/>
    </row>
    <row r="10107" spans="9:9" x14ac:dyDescent="0.3">
      <c r="I10107"/>
    </row>
    <row r="10108" spans="9:9" x14ac:dyDescent="0.3">
      <c r="I10108"/>
    </row>
    <row r="10109" spans="9:9" x14ac:dyDescent="0.3">
      <c r="I10109"/>
    </row>
    <row r="10110" spans="9:9" x14ac:dyDescent="0.3">
      <c r="I10110"/>
    </row>
    <row r="10111" spans="9:9" x14ac:dyDescent="0.3">
      <c r="I10111"/>
    </row>
    <row r="10112" spans="9:9" x14ac:dyDescent="0.3">
      <c r="I10112"/>
    </row>
    <row r="10113" spans="9:9" x14ac:dyDescent="0.3">
      <c r="I10113"/>
    </row>
    <row r="10114" spans="9:9" x14ac:dyDescent="0.3">
      <c r="I10114"/>
    </row>
    <row r="10115" spans="9:9" x14ac:dyDescent="0.3">
      <c r="I10115"/>
    </row>
    <row r="10116" spans="9:9" x14ac:dyDescent="0.3">
      <c r="I10116"/>
    </row>
    <row r="10117" spans="9:9" x14ac:dyDescent="0.3">
      <c r="I10117"/>
    </row>
    <row r="10118" spans="9:9" x14ac:dyDescent="0.3">
      <c r="I10118"/>
    </row>
    <row r="10119" spans="9:9" x14ac:dyDescent="0.3">
      <c r="I10119"/>
    </row>
    <row r="10120" spans="9:9" x14ac:dyDescent="0.3">
      <c r="I10120"/>
    </row>
    <row r="10121" spans="9:9" x14ac:dyDescent="0.3">
      <c r="I10121"/>
    </row>
    <row r="10122" spans="9:9" x14ac:dyDescent="0.3">
      <c r="I10122"/>
    </row>
    <row r="10123" spans="9:9" x14ac:dyDescent="0.3">
      <c r="I10123"/>
    </row>
    <row r="10124" spans="9:9" x14ac:dyDescent="0.3">
      <c r="I10124"/>
    </row>
    <row r="10125" spans="9:9" x14ac:dyDescent="0.3">
      <c r="I10125"/>
    </row>
    <row r="10126" spans="9:9" x14ac:dyDescent="0.3">
      <c r="I10126"/>
    </row>
    <row r="10127" spans="9:9" x14ac:dyDescent="0.3">
      <c r="I10127"/>
    </row>
    <row r="10128" spans="9:9" x14ac:dyDescent="0.3">
      <c r="I10128"/>
    </row>
    <row r="10129" spans="9:9" x14ac:dyDescent="0.3">
      <c r="I10129"/>
    </row>
    <row r="10130" spans="9:9" x14ac:dyDescent="0.3">
      <c r="I10130"/>
    </row>
    <row r="10131" spans="9:9" x14ac:dyDescent="0.3">
      <c r="I10131"/>
    </row>
    <row r="10132" spans="9:9" x14ac:dyDescent="0.3">
      <c r="I10132"/>
    </row>
    <row r="10133" spans="9:9" x14ac:dyDescent="0.3">
      <c r="I10133"/>
    </row>
    <row r="10134" spans="9:9" x14ac:dyDescent="0.3">
      <c r="I10134"/>
    </row>
    <row r="10135" spans="9:9" x14ac:dyDescent="0.3">
      <c r="I10135"/>
    </row>
    <row r="10136" spans="9:9" x14ac:dyDescent="0.3">
      <c r="I10136"/>
    </row>
    <row r="10137" spans="9:9" x14ac:dyDescent="0.3">
      <c r="I10137"/>
    </row>
    <row r="10138" spans="9:9" x14ac:dyDescent="0.3">
      <c r="I10138"/>
    </row>
    <row r="10139" spans="9:9" x14ac:dyDescent="0.3">
      <c r="I10139"/>
    </row>
    <row r="10140" spans="9:9" x14ac:dyDescent="0.3">
      <c r="I10140"/>
    </row>
    <row r="10141" spans="9:9" x14ac:dyDescent="0.3">
      <c r="I10141"/>
    </row>
    <row r="10142" spans="9:9" x14ac:dyDescent="0.3">
      <c r="I10142"/>
    </row>
    <row r="10143" spans="9:9" x14ac:dyDescent="0.3">
      <c r="I10143"/>
    </row>
    <row r="10144" spans="9:9" x14ac:dyDescent="0.3">
      <c r="I10144"/>
    </row>
    <row r="10145" spans="9:9" x14ac:dyDescent="0.3">
      <c r="I10145"/>
    </row>
    <row r="10146" spans="9:9" x14ac:dyDescent="0.3">
      <c r="I10146"/>
    </row>
    <row r="10147" spans="9:9" x14ac:dyDescent="0.3">
      <c r="I10147"/>
    </row>
    <row r="10148" spans="9:9" x14ac:dyDescent="0.3">
      <c r="I10148"/>
    </row>
    <row r="10149" spans="9:9" x14ac:dyDescent="0.3">
      <c r="I10149"/>
    </row>
    <row r="10150" spans="9:9" x14ac:dyDescent="0.3">
      <c r="I10150"/>
    </row>
    <row r="10151" spans="9:9" x14ac:dyDescent="0.3">
      <c r="I10151"/>
    </row>
    <row r="10152" spans="9:9" x14ac:dyDescent="0.3">
      <c r="I10152"/>
    </row>
    <row r="10153" spans="9:9" x14ac:dyDescent="0.3">
      <c r="I10153"/>
    </row>
    <row r="10154" spans="9:9" x14ac:dyDescent="0.3">
      <c r="I10154"/>
    </row>
    <row r="10155" spans="9:9" x14ac:dyDescent="0.3">
      <c r="I10155"/>
    </row>
    <row r="10156" spans="9:9" x14ac:dyDescent="0.3">
      <c r="I10156"/>
    </row>
    <row r="10157" spans="9:9" x14ac:dyDescent="0.3">
      <c r="I10157"/>
    </row>
    <row r="10158" spans="9:9" x14ac:dyDescent="0.3">
      <c r="I10158"/>
    </row>
    <row r="10159" spans="9:9" x14ac:dyDescent="0.3">
      <c r="I10159"/>
    </row>
    <row r="10160" spans="9:9" x14ac:dyDescent="0.3">
      <c r="I10160"/>
    </row>
    <row r="10161" spans="9:9" x14ac:dyDescent="0.3">
      <c r="I10161"/>
    </row>
    <row r="10162" spans="9:9" x14ac:dyDescent="0.3">
      <c r="I10162"/>
    </row>
    <row r="10163" spans="9:9" x14ac:dyDescent="0.3">
      <c r="I10163"/>
    </row>
    <row r="10164" spans="9:9" x14ac:dyDescent="0.3">
      <c r="I10164"/>
    </row>
    <row r="10165" spans="9:9" x14ac:dyDescent="0.3">
      <c r="I10165"/>
    </row>
    <row r="10166" spans="9:9" x14ac:dyDescent="0.3">
      <c r="I10166"/>
    </row>
    <row r="10167" spans="9:9" x14ac:dyDescent="0.3">
      <c r="I10167"/>
    </row>
    <row r="10168" spans="9:9" x14ac:dyDescent="0.3">
      <c r="I10168"/>
    </row>
    <row r="10169" spans="9:9" x14ac:dyDescent="0.3">
      <c r="I10169"/>
    </row>
    <row r="10170" spans="9:9" x14ac:dyDescent="0.3">
      <c r="I10170"/>
    </row>
    <row r="10171" spans="9:9" x14ac:dyDescent="0.3">
      <c r="I10171"/>
    </row>
    <row r="10172" spans="9:9" x14ac:dyDescent="0.3">
      <c r="I10172"/>
    </row>
    <row r="10173" spans="9:9" x14ac:dyDescent="0.3">
      <c r="I10173"/>
    </row>
    <row r="10174" spans="9:9" x14ac:dyDescent="0.3">
      <c r="I10174"/>
    </row>
    <row r="10175" spans="9:9" x14ac:dyDescent="0.3">
      <c r="I10175"/>
    </row>
    <row r="10176" spans="9:9" x14ac:dyDescent="0.3">
      <c r="I10176"/>
    </row>
    <row r="10177" spans="9:9" x14ac:dyDescent="0.3">
      <c r="I10177"/>
    </row>
    <row r="10178" spans="9:9" x14ac:dyDescent="0.3">
      <c r="I10178"/>
    </row>
    <row r="10179" spans="9:9" x14ac:dyDescent="0.3">
      <c r="I10179"/>
    </row>
    <row r="10180" spans="9:9" x14ac:dyDescent="0.3">
      <c r="I10180"/>
    </row>
    <row r="10181" spans="9:9" x14ac:dyDescent="0.3">
      <c r="I10181"/>
    </row>
    <row r="10182" spans="9:9" x14ac:dyDescent="0.3">
      <c r="I10182"/>
    </row>
    <row r="10183" spans="9:9" x14ac:dyDescent="0.3">
      <c r="I10183"/>
    </row>
    <row r="10184" spans="9:9" x14ac:dyDescent="0.3">
      <c r="I10184"/>
    </row>
    <row r="10185" spans="9:9" x14ac:dyDescent="0.3">
      <c r="I10185"/>
    </row>
    <row r="10186" spans="9:9" x14ac:dyDescent="0.3">
      <c r="I10186"/>
    </row>
    <row r="10187" spans="9:9" x14ac:dyDescent="0.3">
      <c r="I10187"/>
    </row>
    <row r="10188" spans="9:9" x14ac:dyDescent="0.3">
      <c r="I10188"/>
    </row>
    <row r="10189" spans="9:9" x14ac:dyDescent="0.3">
      <c r="I10189"/>
    </row>
    <row r="10190" spans="9:9" x14ac:dyDescent="0.3">
      <c r="I10190"/>
    </row>
    <row r="10191" spans="9:9" x14ac:dyDescent="0.3">
      <c r="I10191"/>
    </row>
    <row r="10192" spans="9:9" x14ac:dyDescent="0.3">
      <c r="I10192"/>
    </row>
    <row r="10193" spans="9:9" x14ac:dyDescent="0.3">
      <c r="I10193"/>
    </row>
    <row r="10194" spans="9:9" x14ac:dyDescent="0.3">
      <c r="I10194"/>
    </row>
    <row r="10195" spans="9:9" x14ac:dyDescent="0.3">
      <c r="I10195"/>
    </row>
    <row r="10196" spans="9:9" x14ac:dyDescent="0.3">
      <c r="I10196"/>
    </row>
    <row r="10197" spans="9:9" x14ac:dyDescent="0.3">
      <c r="I10197"/>
    </row>
    <row r="10198" spans="9:9" x14ac:dyDescent="0.3">
      <c r="I10198"/>
    </row>
    <row r="10199" spans="9:9" x14ac:dyDescent="0.3">
      <c r="I10199"/>
    </row>
    <row r="10200" spans="9:9" x14ac:dyDescent="0.3">
      <c r="I10200"/>
    </row>
    <row r="10201" spans="9:9" x14ac:dyDescent="0.3">
      <c r="I10201"/>
    </row>
    <row r="10202" spans="9:9" x14ac:dyDescent="0.3">
      <c r="I10202"/>
    </row>
    <row r="10203" spans="9:9" x14ac:dyDescent="0.3">
      <c r="I10203"/>
    </row>
    <row r="10204" spans="9:9" x14ac:dyDescent="0.3">
      <c r="I10204"/>
    </row>
    <row r="10205" spans="9:9" x14ac:dyDescent="0.3">
      <c r="I10205"/>
    </row>
    <row r="10206" spans="9:9" x14ac:dyDescent="0.3">
      <c r="I10206"/>
    </row>
    <row r="10207" spans="9:9" x14ac:dyDescent="0.3">
      <c r="I10207"/>
    </row>
    <row r="10208" spans="9:9" x14ac:dyDescent="0.3">
      <c r="I10208"/>
    </row>
    <row r="10209" spans="9:9" x14ac:dyDescent="0.3">
      <c r="I10209"/>
    </row>
    <row r="10210" spans="9:9" x14ac:dyDescent="0.3">
      <c r="I10210"/>
    </row>
    <row r="10211" spans="9:9" x14ac:dyDescent="0.3">
      <c r="I10211"/>
    </row>
    <row r="10212" spans="9:9" x14ac:dyDescent="0.3">
      <c r="I10212"/>
    </row>
    <row r="10213" spans="9:9" x14ac:dyDescent="0.3">
      <c r="I10213"/>
    </row>
    <row r="10214" spans="9:9" x14ac:dyDescent="0.3">
      <c r="I10214"/>
    </row>
    <row r="10215" spans="9:9" x14ac:dyDescent="0.3">
      <c r="I10215"/>
    </row>
    <row r="10216" spans="9:9" x14ac:dyDescent="0.3">
      <c r="I10216"/>
    </row>
    <row r="10217" spans="9:9" x14ac:dyDescent="0.3">
      <c r="I10217"/>
    </row>
    <row r="10218" spans="9:9" x14ac:dyDescent="0.3">
      <c r="I10218"/>
    </row>
    <row r="10219" spans="9:9" x14ac:dyDescent="0.3">
      <c r="I10219"/>
    </row>
    <row r="10220" spans="9:9" x14ac:dyDescent="0.3">
      <c r="I10220"/>
    </row>
    <row r="10221" spans="9:9" x14ac:dyDescent="0.3">
      <c r="I10221"/>
    </row>
    <row r="10222" spans="9:9" x14ac:dyDescent="0.3">
      <c r="I10222"/>
    </row>
    <row r="10223" spans="9:9" x14ac:dyDescent="0.3">
      <c r="I10223"/>
    </row>
    <row r="10224" spans="9:9" x14ac:dyDescent="0.3">
      <c r="I10224"/>
    </row>
    <row r="10225" spans="9:9" x14ac:dyDescent="0.3">
      <c r="I10225"/>
    </row>
    <row r="10226" spans="9:9" x14ac:dyDescent="0.3">
      <c r="I10226"/>
    </row>
    <row r="10227" spans="9:9" x14ac:dyDescent="0.3">
      <c r="I10227"/>
    </row>
    <row r="10228" spans="9:9" x14ac:dyDescent="0.3">
      <c r="I10228"/>
    </row>
    <row r="10229" spans="9:9" x14ac:dyDescent="0.3">
      <c r="I10229"/>
    </row>
    <row r="10230" spans="9:9" x14ac:dyDescent="0.3">
      <c r="I10230"/>
    </row>
    <row r="10231" spans="9:9" x14ac:dyDescent="0.3">
      <c r="I10231"/>
    </row>
    <row r="10232" spans="9:9" x14ac:dyDescent="0.3">
      <c r="I10232"/>
    </row>
    <row r="10233" spans="9:9" x14ac:dyDescent="0.3">
      <c r="I10233"/>
    </row>
    <row r="10234" spans="9:9" x14ac:dyDescent="0.3">
      <c r="I10234"/>
    </row>
    <row r="10235" spans="9:9" x14ac:dyDescent="0.3">
      <c r="I10235"/>
    </row>
    <row r="10236" spans="9:9" x14ac:dyDescent="0.3">
      <c r="I10236"/>
    </row>
    <row r="10237" spans="9:9" x14ac:dyDescent="0.3">
      <c r="I10237"/>
    </row>
    <row r="10238" spans="9:9" x14ac:dyDescent="0.3">
      <c r="I10238"/>
    </row>
    <row r="10239" spans="9:9" x14ac:dyDescent="0.3">
      <c r="I10239"/>
    </row>
    <row r="10240" spans="9:9" x14ac:dyDescent="0.3">
      <c r="I10240"/>
    </row>
    <row r="10241" spans="9:9" x14ac:dyDescent="0.3">
      <c r="I10241"/>
    </row>
    <row r="10242" spans="9:9" x14ac:dyDescent="0.3">
      <c r="I10242"/>
    </row>
    <row r="10243" spans="9:9" x14ac:dyDescent="0.3">
      <c r="I10243"/>
    </row>
    <row r="10244" spans="9:9" x14ac:dyDescent="0.3">
      <c r="I10244"/>
    </row>
    <row r="10245" spans="9:9" x14ac:dyDescent="0.3">
      <c r="I10245"/>
    </row>
    <row r="10246" spans="9:9" x14ac:dyDescent="0.3">
      <c r="I10246"/>
    </row>
    <row r="10247" spans="9:9" x14ac:dyDescent="0.3">
      <c r="I10247"/>
    </row>
    <row r="10248" spans="9:9" x14ac:dyDescent="0.3">
      <c r="I10248"/>
    </row>
    <row r="10249" spans="9:9" x14ac:dyDescent="0.3">
      <c r="I10249"/>
    </row>
    <row r="10250" spans="9:9" x14ac:dyDescent="0.3">
      <c r="I10250"/>
    </row>
    <row r="10251" spans="9:9" x14ac:dyDescent="0.3">
      <c r="I10251"/>
    </row>
    <row r="10252" spans="9:9" x14ac:dyDescent="0.3">
      <c r="I10252"/>
    </row>
    <row r="10253" spans="9:9" x14ac:dyDescent="0.3">
      <c r="I10253"/>
    </row>
    <row r="10254" spans="9:9" x14ac:dyDescent="0.3">
      <c r="I10254"/>
    </row>
    <row r="10255" spans="9:9" x14ac:dyDescent="0.3">
      <c r="I10255"/>
    </row>
    <row r="10256" spans="9:9" x14ac:dyDescent="0.3">
      <c r="I10256"/>
    </row>
    <row r="10257" spans="9:9" x14ac:dyDescent="0.3">
      <c r="I10257"/>
    </row>
    <row r="10258" spans="9:9" x14ac:dyDescent="0.3">
      <c r="I10258"/>
    </row>
    <row r="10259" spans="9:9" x14ac:dyDescent="0.3">
      <c r="I10259"/>
    </row>
    <row r="10260" spans="9:9" x14ac:dyDescent="0.3">
      <c r="I10260"/>
    </row>
    <row r="10261" spans="9:9" x14ac:dyDescent="0.3">
      <c r="I10261"/>
    </row>
    <row r="10262" spans="9:9" x14ac:dyDescent="0.3">
      <c r="I10262"/>
    </row>
    <row r="10263" spans="9:9" x14ac:dyDescent="0.3">
      <c r="I10263"/>
    </row>
    <row r="10264" spans="9:9" x14ac:dyDescent="0.3">
      <c r="I10264"/>
    </row>
    <row r="10265" spans="9:9" x14ac:dyDescent="0.3">
      <c r="I10265"/>
    </row>
    <row r="10266" spans="9:9" x14ac:dyDescent="0.3">
      <c r="I10266"/>
    </row>
    <row r="10267" spans="9:9" x14ac:dyDescent="0.3">
      <c r="I10267"/>
    </row>
    <row r="10268" spans="9:9" x14ac:dyDescent="0.3">
      <c r="I10268"/>
    </row>
    <row r="10269" spans="9:9" x14ac:dyDescent="0.3">
      <c r="I10269"/>
    </row>
    <row r="10270" spans="9:9" x14ac:dyDescent="0.3">
      <c r="I10270"/>
    </row>
    <row r="10271" spans="9:9" x14ac:dyDescent="0.3">
      <c r="I10271"/>
    </row>
    <row r="10272" spans="9:9" x14ac:dyDescent="0.3">
      <c r="I10272"/>
    </row>
    <row r="10273" spans="9:9" x14ac:dyDescent="0.3">
      <c r="I10273"/>
    </row>
    <row r="10274" spans="9:9" x14ac:dyDescent="0.3">
      <c r="I10274"/>
    </row>
    <row r="10275" spans="9:9" x14ac:dyDescent="0.3">
      <c r="I10275"/>
    </row>
    <row r="10276" spans="9:9" x14ac:dyDescent="0.3">
      <c r="I10276"/>
    </row>
    <row r="10277" spans="9:9" x14ac:dyDescent="0.3">
      <c r="I10277"/>
    </row>
    <row r="10278" spans="9:9" x14ac:dyDescent="0.3">
      <c r="I10278"/>
    </row>
    <row r="10279" spans="9:9" x14ac:dyDescent="0.3">
      <c r="I10279"/>
    </row>
    <row r="10280" spans="9:9" x14ac:dyDescent="0.3">
      <c r="I10280"/>
    </row>
    <row r="10281" spans="9:9" x14ac:dyDescent="0.3">
      <c r="I10281"/>
    </row>
    <row r="10282" spans="9:9" x14ac:dyDescent="0.3">
      <c r="I10282"/>
    </row>
    <row r="10283" spans="9:9" x14ac:dyDescent="0.3">
      <c r="I10283"/>
    </row>
    <row r="10284" spans="9:9" x14ac:dyDescent="0.3">
      <c r="I10284"/>
    </row>
    <row r="10285" spans="9:9" x14ac:dyDescent="0.3">
      <c r="I10285"/>
    </row>
    <row r="10286" spans="9:9" x14ac:dyDescent="0.3">
      <c r="I10286"/>
    </row>
    <row r="10287" spans="9:9" x14ac:dyDescent="0.3">
      <c r="I10287"/>
    </row>
    <row r="10288" spans="9:9" x14ac:dyDescent="0.3">
      <c r="I10288"/>
    </row>
    <row r="10289" spans="9:9" x14ac:dyDescent="0.3">
      <c r="I10289"/>
    </row>
    <row r="10290" spans="9:9" x14ac:dyDescent="0.3">
      <c r="I10290"/>
    </row>
    <row r="10291" spans="9:9" x14ac:dyDescent="0.3">
      <c r="I10291"/>
    </row>
    <row r="10292" spans="9:9" x14ac:dyDescent="0.3">
      <c r="I10292"/>
    </row>
    <row r="10293" spans="9:9" x14ac:dyDescent="0.3">
      <c r="I10293"/>
    </row>
    <row r="10294" spans="9:9" x14ac:dyDescent="0.3">
      <c r="I10294"/>
    </row>
    <row r="10295" spans="9:9" x14ac:dyDescent="0.3">
      <c r="I10295"/>
    </row>
    <row r="10296" spans="9:9" x14ac:dyDescent="0.3">
      <c r="I10296"/>
    </row>
    <row r="10297" spans="9:9" x14ac:dyDescent="0.3">
      <c r="I10297"/>
    </row>
    <row r="10298" spans="9:9" x14ac:dyDescent="0.3">
      <c r="I10298"/>
    </row>
    <row r="10299" spans="9:9" x14ac:dyDescent="0.3">
      <c r="I10299"/>
    </row>
    <row r="10300" spans="9:9" x14ac:dyDescent="0.3">
      <c r="I10300"/>
    </row>
    <row r="10301" spans="9:9" x14ac:dyDescent="0.3">
      <c r="I10301"/>
    </row>
    <row r="10302" spans="9:9" x14ac:dyDescent="0.3">
      <c r="I10302"/>
    </row>
    <row r="10303" spans="9:9" x14ac:dyDescent="0.3">
      <c r="I10303"/>
    </row>
    <row r="10304" spans="9:9" x14ac:dyDescent="0.3">
      <c r="I10304"/>
    </row>
    <row r="10305" spans="9:9" x14ac:dyDescent="0.3">
      <c r="I10305"/>
    </row>
    <row r="10306" spans="9:9" x14ac:dyDescent="0.3">
      <c r="I10306"/>
    </row>
    <row r="10307" spans="9:9" x14ac:dyDescent="0.3">
      <c r="I10307"/>
    </row>
    <row r="10308" spans="9:9" x14ac:dyDescent="0.3">
      <c r="I10308"/>
    </row>
    <row r="10309" spans="9:9" x14ac:dyDescent="0.3">
      <c r="I10309"/>
    </row>
    <row r="10310" spans="9:9" x14ac:dyDescent="0.3">
      <c r="I10310"/>
    </row>
    <row r="10311" spans="9:9" x14ac:dyDescent="0.3">
      <c r="I10311"/>
    </row>
    <row r="10312" spans="9:9" x14ac:dyDescent="0.3">
      <c r="I10312"/>
    </row>
    <row r="10313" spans="9:9" x14ac:dyDescent="0.3">
      <c r="I10313"/>
    </row>
    <row r="10314" spans="9:9" x14ac:dyDescent="0.3">
      <c r="I10314"/>
    </row>
    <row r="10315" spans="9:9" x14ac:dyDescent="0.3">
      <c r="I10315"/>
    </row>
    <row r="10316" spans="9:9" x14ac:dyDescent="0.3">
      <c r="I10316"/>
    </row>
    <row r="10317" spans="9:9" x14ac:dyDescent="0.3">
      <c r="I10317"/>
    </row>
    <row r="10318" spans="9:9" x14ac:dyDescent="0.3">
      <c r="I10318"/>
    </row>
    <row r="10319" spans="9:9" x14ac:dyDescent="0.3">
      <c r="I10319"/>
    </row>
    <row r="10320" spans="9:9" x14ac:dyDescent="0.3">
      <c r="I10320"/>
    </row>
    <row r="10321" spans="9:9" x14ac:dyDescent="0.3">
      <c r="I10321"/>
    </row>
    <row r="10322" spans="9:9" x14ac:dyDescent="0.3">
      <c r="I10322"/>
    </row>
    <row r="10323" spans="9:9" x14ac:dyDescent="0.3">
      <c r="I10323"/>
    </row>
    <row r="10324" spans="9:9" x14ac:dyDescent="0.3">
      <c r="I10324"/>
    </row>
    <row r="10325" spans="9:9" x14ac:dyDescent="0.3">
      <c r="I10325"/>
    </row>
    <row r="10326" spans="9:9" x14ac:dyDescent="0.3">
      <c r="I10326"/>
    </row>
    <row r="10327" spans="9:9" x14ac:dyDescent="0.3">
      <c r="I10327"/>
    </row>
    <row r="10328" spans="9:9" x14ac:dyDescent="0.3">
      <c r="I10328"/>
    </row>
    <row r="10329" spans="9:9" x14ac:dyDescent="0.3">
      <c r="I10329"/>
    </row>
    <row r="10330" spans="9:9" x14ac:dyDescent="0.3">
      <c r="I10330"/>
    </row>
    <row r="10331" spans="9:9" x14ac:dyDescent="0.3">
      <c r="I10331"/>
    </row>
    <row r="10332" spans="9:9" x14ac:dyDescent="0.3">
      <c r="I10332"/>
    </row>
    <row r="10333" spans="9:9" x14ac:dyDescent="0.3">
      <c r="I10333"/>
    </row>
    <row r="10334" spans="9:9" x14ac:dyDescent="0.3">
      <c r="I10334"/>
    </row>
    <row r="10335" spans="9:9" x14ac:dyDescent="0.3">
      <c r="I10335"/>
    </row>
    <row r="10336" spans="9:9" x14ac:dyDescent="0.3">
      <c r="I10336"/>
    </row>
    <row r="10337" spans="9:9" x14ac:dyDescent="0.3">
      <c r="I10337"/>
    </row>
    <row r="10338" spans="9:9" x14ac:dyDescent="0.3">
      <c r="I10338"/>
    </row>
    <row r="10339" spans="9:9" x14ac:dyDescent="0.3">
      <c r="I10339"/>
    </row>
    <row r="10340" spans="9:9" x14ac:dyDescent="0.3">
      <c r="I10340"/>
    </row>
    <row r="10341" spans="9:9" x14ac:dyDescent="0.3">
      <c r="I10341"/>
    </row>
    <row r="10342" spans="9:9" x14ac:dyDescent="0.3">
      <c r="I10342"/>
    </row>
    <row r="10343" spans="9:9" x14ac:dyDescent="0.3">
      <c r="I10343"/>
    </row>
    <row r="10344" spans="9:9" x14ac:dyDescent="0.3">
      <c r="I10344"/>
    </row>
    <row r="10345" spans="9:9" x14ac:dyDescent="0.3">
      <c r="I10345"/>
    </row>
    <row r="10346" spans="9:9" x14ac:dyDescent="0.3">
      <c r="I10346"/>
    </row>
    <row r="10347" spans="9:9" x14ac:dyDescent="0.3">
      <c r="I10347"/>
    </row>
    <row r="10348" spans="9:9" x14ac:dyDescent="0.3">
      <c r="I10348"/>
    </row>
    <row r="10349" spans="9:9" x14ac:dyDescent="0.3">
      <c r="I10349"/>
    </row>
    <row r="10350" spans="9:9" x14ac:dyDescent="0.3">
      <c r="I10350"/>
    </row>
    <row r="10351" spans="9:9" x14ac:dyDescent="0.3">
      <c r="I10351"/>
    </row>
    <row r="10352" spans="9:9" x14ac:dyDescent="0.3">
      <c r="I10352"/>
    </row>
    <row r="10353" spans="9:9" x14ac:dyDescent="0.3">
      <c r="I10353"/>
    </row>
    <row r="10354" spans="9:9" x14ac:dyDescent="0.3">
      <c r="I10354"/>
    </row>
    <row r="10355" spans="9:9" x14ac:dyDescent="0.3">
      <c r="I10355"/>
    </row>
    <row r="10356" spans="9:9" x14ac:dyDescent="0.3">
      <c r="I10356"/>
    </row>
    <row r="10357" spans="9:9" x14ac:dyDescent="0.3">
      <c r="I10357"/>
    </row>
    <row r="10358" spans="9:9" x14ac:dyDescent="0.3">
      <c r="I10358"/>
    </row>
    <row r="10359" spans="9:9" x14ac:dyDescent="0.3">
      <c r="I10359"/>
    </row>
    <row r="10360" spans="9:9" x14ac:dyDescent="0.3">
      <c r="I10360"/>
    </row>
    <row r="10361" spans="9:9" x14ac:dyDescent="0.3">
      <c r="I10361"/>
    </row>
    <row r="10362" spans="9:9" x14ac:dyDescent="0.3">
      <c r="I10362"/>
    </row>
    <row r="10363" spans="9:9" x14ac:dyDescent="0.3">
      <c r="I10363"/>
    </row>
    <row r="10364" spans="9:9" x14ac:dyDescent="0.3">
      <c r="I10364"/>
    </row>
    <row r="10365" spans="9:9" x14ac:dyDescent="0.3">
      <c r="I10365"/>
    </row>
    <row r="10366" spans="9:9" x14ac:dyDescent="0.3">
      <c r="I10366"/>
    </row>
    <row r="10367" spans="9:9" x14ac:dyDescent="0.3">
      <c r="I10367"/>
    </row>
    <row r="10368" spans="9:9" x14ac:dyDescent="0.3">
      <c r="I10368"/>
    </row>
    <row r="10369" spans="9:9" x14ac:dyDescent="0.3">
      <c r="I10369"/>
    </row>
    <row r="10370" spans="9:9" x14ac:dyDescent="0.3">
      <c r="I10370"/>
    </row>
    <row r="10371" spans="9:9" x14ac:dyDescent="0.3">
      <c r="I10371"/>
    </row>
    <row r="10372" spans="9:9" x14ac:dyDescent="0.3">
      <c r="I10372"/>
    </row>
    <row r="10373" spans="9:9" x14ac:dyDescent="0.3">
      <c r="I10373"/>
    </row>
    <row r="10374" spans="9:9" x14ac:dyDescent="0.3">
      <c r="I10374"/>
    </row>
    <row r="10375" spans="9:9" x14ac:dyDescent="0.3">
      <c r="I10375"/>
    </row>
    <row r="10376" spans="9:9" x14ac:dyDescent="0.3">
      <c r="I10376"/>
    </row>
    <row r="10377" spans="9:9" x14ac:dyDescent="0.3">
      <c r="I10377"/>
    </row>
    <row r="10378" spans="9:9" x14ac:dyDescent="0.3">
      <c r="I10378"/>
    </row>
    <row r="10379" spans="9:9" x14ac:dyDescent="0.3">
      <c r="I10379"/>
    </row>
    <row r="10380" spans="9:9" x14ac:dyDescent="0.3">
      <c r="I10380"/>
    </row>
    <row r="10381" spans="9:9" x14ac:dyDescent="0.3">
      <c r="I10381"/>
    </row>
    <row r="10382" spans="9:9" x14ac:dyDescent="0.3">
      <c r="I10382"/>
    </row>
    <row r="10383" spans="9:9" x14ac:dyDescent="0.3">
      <c r="I10383"/>
    </row>
    <row r="10384" spans="9:9" x14ac:dyDescent="0.3">
      <c r="I10384"/>
    </row>
    <row r="10385" spans="9:9" x14ac:dyDescent="0.3">
      <c r="I10385"/>
    </row>
    <row r="10386" spans="9:9" x14ac:dyDescent="0.3">
      <c r="I10386"/>
    </row>
    <row r="10387" spans="9:9" x14ac:dyDescent="0.3">
      <c r="I10387"/>
    </row>
    <row r="10388" spans="9:9" x14ac:dyDescent="0.3">
      <c r="I10388"/>
    </row>
    <row r="10389" spans="9:9" x14ac:dyDescent="0.3">
      <c r="I10389"/>
    </row>
    <row r="10390" spans="9:9" x14ac:dyDescent="0.3">
      <c r="I10390"/>
    </row>
    <row r="10391" spans="9:9" x14ac:dyDescent="0.3">
      <c r="I10391"/>
    </row>
    <row r="10392" spans="9:9" x14ac:dyDescent="0.3">
      <c r="I10392"/>
    </row>
    <row r="10393" spans="9:9" x14ac:dyDescent="0.3">
      <c r="I10393"/>
    </row>
    <row r="10394" spans="9:9" x14ac:dyDescent="0.3">
      <c r="I10394"/>
    </row>
    <row r="10395" spans="9:9" x14ac:dyDescent="0.3">
      <c r="I10395"/>
    </row>
    <row r="10396" spans="9:9" x14ac:dyDescent="0.3">
      <c r="I10396"/>
    </row>
    <row r="10397" spans="9:9" x14ac:dyDescent="0.3">
      <c r="I10397"/>
    </row>
    <row r="10398" spans="9:9" x14ac:dyDescent="0.3">
      <c r="I10398"/>
    </row>
    <row r="10399" spans="9:9" x14ac:dyDescent="0.3">
      <c r="I10399"/>
    </row>
    <row r="10400" spans="9:9" x14ac:dyDescent="0.3">
      <c r="I10400"/>
    </row>
    <row r="10401" spans="9:9" x14ac:dyDescent="0.3">
      <c r="I10401"/>
    </row>
    <row r="10402" spans="9:9" x14ac:dyDescent="0.3">
      <c r="I10402"/>
    </row>
    <row r="10403" spans="9:9" x14ac:dyDescent="0.3">
      <c r="I10403"/>
    </row>
    <row r="10404" spans="9:9" x14ac:dyDescent="0.3">
      <c r="I10404"/>
    </row>
    <row r="10405" spans="9:9" x14ac:dyDescent="0.3">
      <c r="I10405"/>
    </row>
    <row r="10406" spans="9:9" x14ac:dyDescent="0.3">
      <c r="I10406"/>
    </row>
    <row r="10407" spans="9:9" x14ac:dyDescent="0.3">
      <c r="I10407"/>
    </row>
    <row r="10408" spans="9:9" x14ac:dyDescent="0.3">
      <c r="I10408"/>
    </row>
    <row r="10409" spans="9:9" x14ac:dyDescent="0.3">
      <c r="I10409"/>
    </row>
    <row r="10410" spans="9:9" x14ac:dyDescent="0.3">
      <c r="I10410"/>
    </row>
    <row r="10411" spans="9:9" x14ac:dyDescent="0.3">
      <c r="I10411"/>
    </row>
    <row r="10412" spans="9:9" x14ac:dyDescent="0.3">
      <c r="I10412"/>
    </row>
    <row r="10413" spans="9:9" x14ac:dyDescent="0.3">
      <c r="I10413"/>
    </row>
    <row r="10414" spans="9:9" x14ac:dyDescent="0.3">
      <c r="I10414"/>
    </row>
    <row r="10415" spans="9:9" x14ac:dyDescent="0.3">
      <c r="I10415"/>
    </row>
    <row r="10416" spans="9:9" x14ac:dyDescent="0.3">
      <c r="I10416"/>
    </row>
    <row r="10417" spans="9:9" x14ac:dyDescent="0.3">
      <c r="I10417"/>
    </row>
    <row r="10418" spans="9:9" x14ac:dyDescent="0.3">
      <c r="I10418"/>
    </row>
    <row r="10419" spans="9:9" x14ac:dyDescent="0.3">
      <c r="I10419"/>
    </row>
    <row r="10420" spans="9:9" x14ac:dyDescent="0.3">
      <c r="I10420"/>
    </row>
    <row r="10421" spans="9:9" x14ac:dyDescent="0.3">
      <c r="I10421"/>
    </row>
    <row r="10422" spans="9:9" x14ac:dyDescent="0.3">
      <c r="I10422"/>
    </row>
    <row r="10423" spans="9:9" x14ac:dyDescent="0.3">
      <c r="I10423"/>
    </row>
    <row r="10424" spans="9:9" x14ac:dyDescent="0.3">
      <c r="I10424"/>
    </row>
    <row r="10425" spans="9:9" x14ac:dyDescent="0.3">
      <c r="I10425"/>
    </row>
    <row r="10426" spans="9:9" x14ac:dyDescent="0.3">
      <c r="I10426"/>
    </row>
    <row r="10427" spans="9:9" x14ac:dyDescent="0.3">
      <c r="I10427"/>
    </row>
    <row r="10428" spans="9:9" x14ac:dyDescent="0.3">
      <c r="I10428"/>
    </row>
    <row r="10429" spans="9:9" x14ac:dyDescent="0.3">
      <c r="I10429"/>
    </row>
    <row r="10430" spans="9:9" x14ac:dyDescent="0.3">
      <c r="I10430"/>
    </row>
    <row r="10431" spans="9:9" x14ac:dyDescent="0.3">
      <c r="I10431"/>
    </row>
    <row r="10432" spans="9:9" x14ac:dyDescent="0.3">
      <c r="I10432"/>
    </row>
    <row r="10433" spans="9:9" x14ac:dyDescent="0.3">
      <c r="I10433"/>
    </row>
    <row r="10434" spans="9:9" x14ac:dyDescent="0.3">
      <c r="I10434"/>
    </row>
    <row r="10435" spans="9:9" x14ac:dyDescent="0.3">
      <c r="I10435"/>
    </row>
    <row r="10436" spans="9:9" x14ac:dyDescent="0.3">
      <c r="I10436"/>
    </row>
    <row r="10437" spans="9:9" x14ac:dyDescent="0.3">
      <c r="I10437"/>
    </row>
    <row r="10438" spans="9:9" x14ac:dyDescent="0.3">
      <c r="I10438"/>
    </row>
    <row r="10439" spans="9:9" x14ac:dyDescent="0.3">
      <c r="I10439"/>
    </row>
    <row r="10440" spans="9:9" x14ac:dyDescent="0.3">
      <c r="I10440"/>
    </row>
    <row r="10441" spans="9:9" x14ac:dyDescent="0.3">
      <c r="I10441"/>
    </row>
    <row r="10442" spans="9:9" x14ac:dyDescent="0.3">
      <c r="I10442"/>
    </row>
    <row r="10443" spans="9:9" x14ac:dyDescent="0.3">
      <c r="I10443"/>
    </row>
    <row r="10444" spans="9:9" x14ac:dyDescent="0.3">
      <c r="I10444"/>
    </row>
    <row r="10445" spans="9:9" x14ac:dyDescent="0.3">
      <c r="I10445"/>
    </row>
    <row r="10446" spans="9:9" x14ac:dyDescent="0.3">
      <c r="I10446"/>
    </row>
    <row r="10447" spans="9:9" x14ac:dyDescent="0.3">
      <c r="I10447"/>
    </row>
    <row r="10448" spans="9:9" x14ac:dyDescent="0.3">
      <c r="I10448"/>
    </row>
    <row r="10449" spans="9:9" x14ac:dyDescent="0.3">
      <c r="I10449"/>
    </row>
    <row r="10450" spans="9:9" x14ac:dyDescent="0.3">
      <c r="I10450"/>
    </row>
    <row r="10451" spans="9:9" x14ac:dyDescent="0.3">
      <c r="I10451"/>
    </row>
    <row r="10452" spans="9:9" x14ac:dyDescent="0.3">
      <c r="I10452"/>
    </row>
    <row r="10453" spans="9:9" x14ac:dyDescent="0.3">
      <c r="I10453"/>
    </row>
    <row r="10454" spans="9:9" x14ac:dyDescent="0.3">
      <c r="I10454"/>
    </row>
    <row r="10455" spans="9:9" x14ac:dyDescent="0.3">
      <c r="I10455"/>
    </row>
    <row r="10456" spans="9:9" x14ac:dyDescent="0.3">
      <c r="I10456"/>
    </row>
    <row r="10457" spans="9:9" x14ac:dyDescent="0.3">
      <c r="I10457"/>
    </row>
    <row r="10458" spans="9:9" x14ac:dyDescent="0.3">
      <c r="I10458"/>
    </row>
    <row r="10459" spans="9:9" x14ac:dyDescent="0.3">
      <c r="I10459"/>
    </row>
    <row r="10460" spans="9:9" x14ac:dyDescent="0.3">
      <c r="I10460"/>
    </row>
    <row r="10461" spans="9:9" x14ac:dyDescent="0.3">
      <c r="I10461"/>
    </row>
    <row r="10462" spans="9:9" x14ac:dyDescent="0.3">
      <c r="I10462"/>
    </row>
    <row r="10463" spans="9:9" x14ac:dyDescent="0.3">
      <c r="I10463"/>
    </row>
    <row r="10464" spans="9:9" x14ac:dyDescent="0.3">
      <c r="I10464"/>
    </row>
    <row r="10465" spans="9:9" x14ac:dyDescent="0.3">
      <c r="I10465"/>
    </row>
    <row r="10466" spans="9:9" x14ac:dyDescent="0.3">
      <c r="I10466"/>
    </row>
    <row r="10467" spans="9:9" x14ac:dyDescent="0.3">
      <c r="I10467"/>
    </row>
    <row r="10468" spans="9:9" x14ac:dyDescent="0.3">
      <c r="I10468"/>
    </row>
    <row r="10469" spans="9:9" x14ac:dyDescent="0.3">
      <c r="I10469"/>
    </row>
    <row r="10470" spans="9:9" x14ac:dyDescent="0.3">
      <c r="I10470"/>
    </row>
    <row r="10471" spans="9:9" x14ac:dyDescent="0.3">
      <c r="I10471"/>
    </row>
    <row r="10472" spans="9:9" x14ac:dyDescent="0.3">
      <c r="I10472"/>
    </row>
    <row r="10473" spans="9:9" x14ac:dyDescent="0.3">
      <c r="I10473"/>
    </row>
    <row r="10474" spans="9:9" x14ac:dyDescent="0.3">
      <c r="I10474"/>
    </row>
    <row r="10475" spans="9:9" x14ac:dyDescent="0.3">
      <c r="I10475"/>
    </row>
    <row r="10476" spans="9:9" x14ac:dyDescent="0.3">
      <c r="I10476"/>
    </row>
    <row r="10477" spans="9:9" x14ac:dyDescent="0.3">
      <c r="I10477"/>
    </row>
    <row r="10478" spans="9:9" x14ac:dyDescent="0.3">
      <c r="I10478"/>
    </row>
    <row r="10479" spans="9:9" x14ac:dyDescent="0.3">
      <c r="I10479"/>
    </row>
    <row r="10480" spans="9:9" x14ac:dyDescent="0.3">
      <c r="I10480"/>
    </row>
    <row r="10481" spans="9:9" x14ac:dyDescent="0.3">
      <c r="I10481"/>
    </row>
    <row r="10482" spans="9:9" x14ac:dyDescent="0.3">
      <c r="I10482"/>
    </row>
    <row r="10483" spans="9:9" x14ac:dyDescent="0.3">
      <c r="I10483"/>
    </row>
    <row r="10484" spans="9:9" x14ac:dyDescent="0.3">
      <c r="I10484"/>
    </row>
    <row r="10485" spans="9:9" x14ac:dyDescent="0.3">
      <c r="I10485"/>
    </row>
    <row r="10486" spans="9:9" x14ac:dyDescent="0.3">
      <c r="I10486"/>
    </row>
    <row r="10487" spans="9:9" x14ac:dyDescent="0.3">
      <c r="I10487"/>
    </row>
    <row r="10488" spans="9:9" x14ac:dyDescent="0.3">
      <c r="I10488"/>
    </row>
    <row r="10489" spans="9:9" x14ac:dyDescent="0.3">
      <c r="I10489"/>
    </row>
    <row r="10490" spans="9:9" x14ac:dyDescent="0.3">
      <c r="I10490"/>
    </row>
    <row r="10491" spans="9:9" x14ac:dyDescent="0.3">
      <c r="I10491"/>
    </row>
    <row r="10492" spans="9:9" x14ac:dyDescent="0.3">
      <c r="I10492"/>
    </row>
    <row r="10493" spans="9:9" x14ac:dyDescent="0.3">
      <c r="I10493"/>
    </row>
    <row r="10494" spans="9:9" x14ac:dyDescent="0.3">
      <c r="I10494"/>
    </row>
    <row r="10495" spans="9:9" x14ac:dyDescent="0.3">
      <c r="I10495"/>
    </row>
    <row r="10496" spans="9:9" x14ac:dyDescent="0.3">
      <c r="I10496"/>
    </row>
    <row r="10497" spans="9:9" x14ac:dyDescent="0.3">
      <c r="I10497"/>
    </row>
    <row r="10498" spans="9:9" x14ac:dyDescent="0.3">
      <c r="I10498"/>
    </row>
    <row r="10499" spans="9:9" x14ac:dyDescent="0.3">
      <c r="I10499"/>
    </row>
    <row r="10500" spans="9:9" x14ac:dyDescent="0.3">
      <c r="I10500"/>
    </row>
    <row r="10501" spans="9:9" x14ac:dyDescent="0.3">
      <c r="I10501"/>
    </row>
    <row r="10502" spans="9:9" x14ac:dyDescent="0.3">
      <c r="I10502"/>
    </row>
    <row r="10503" spans="9:9" x14ac:dyDescent="0.3">
      <c r="I10503"/>
    </row>
    <row r="10504" spans="9:9" x14ac:dyDescent="0.3">
      <c r="I10504"/>
    </row>
    <row r="10505" spans="9:9" x14ac:dyDescent="0.3">
      <c r="I10505"/>
    </row>
    <row r="10506" spans="9:9" x14ac:dyDescent="0.3">
      <c r="I10506"/>
    </row>
    <row r="10507" spans="9:9" x14ac:dyDescent="0.3">
      <c r="I10507"/>
    </row>
    <row r="10508" spans="9:9" x14ac:dyDescent="0.3">
      <c r="I10508"/>
    </row>
    <row r="10509" spans="9:9" x14ac:dyDescent="0.3">
      <c r="I10509"/>
    </row>
    <row r="10510" spans="9:9" x14ac:dyDescent="0.3">
      <c r="I10510"/>
    </row>
    <row r="10511" spans="9:9" x14ac:dyDescent="0.3">
      <c r="I10511"/>
    </row>
    <row r="10512" spans="9:9" x14ac:dyDescent="0.3">
      <c r="I10512"/>
    </row>
    <row r="10513" spans="9:9" x14ac:dyDescent="0.3">
      <c r="I10513"/>
    </row>
    <row r="10514" spans="9:9" x14ac:dyDescent="0.3">
      <c r="I10514"/>
    </row>
    <row r="10515" spans="9:9" x14ac:dyDescent="0.3">
      <c r="I10515"/>
    </row>
    <row r="10516" spans="9:9" x14ac:dyDescent="0.3">
      <c r="I10516"/>
    </row>
    <row r="10517" spans="9:9" x14ac:dyDescent="0.3">
      <c r="I10517"/>
    </row>
    <row r="10518" spans="9:9" x14ac:dyDescent="0.3">
      <c r="I10518"/>
    </row>
    <row r="10519" spans="9:9" x14ac:dyDescent="0.3">
      <c r="I10519"/>
    </row>
    <row r="10520" spans="9:9" x14ac:dyDescent="0.3">
      <c r="I10520"/>
    </row>
    <row r="10521" spans="9:9" x14ac:dyDescent="0.3">
      <c r="I10521"/>
    </row>
    <row r="10522" spans="9:9" x14ac:dyDescent="0.3">
      <c r="I10522"/>
    </row>
    <row r="10523" spans="9:9" x14ac:dyDescent="0.3">
      <c r="I10523"/>
    </row>
    <row r="10524" spans="9:9" x14ac:dyDescent="0.3">
      <c r="I10524"/>
    </row>
    <row r="10525" spans="9:9" x14ac:dyDescent="0.3">
      <c r="I10525"/>
    </row>
    <row r="10526" spans="9:9" x14ac:dyDescent="0.3">
      <c r="I10526"/>
    </row>
    <row r="10527" spans="9:9" x14ac:dyDescent="0.3">
      <c r="I10527"/>
    </row>
    <row r="10528" spans="9:9" x14ac:dyDescent="0.3">
      <c r="I10528"/>
    </row>
    <row r="10529" spans="9:9" x14ac:dyDescent="0.3">
      <c r="I10529"/>
    </row>
    <row r="10530" spans="9:9" x14ac:dyDescent="0.3">
      <c r="I10530"/>
    </row>
    <row r="10531" spans="9:9" x14ac:dyDescent="0.3">
      <c r="I10531"/>
    </row>
    <row r="10532" spans="9:9" x14ac:dyDescent="0.3">
      <c r="I10532"/>
    </row>
    <row r="10533" spans="9:9" x14ac:dyDescent="0.3">
      <c r="I10533"/>
    </row>
    <row r="10534" spans="9:9" x14ac:dyDescent="0.3">
      <c r="I10534"/>
    </row>
    <row r="10535" spans="9:9" x14ac:dyDescent="0.3">
      <c r="I10535"/>
    </row>
    <row r="10536" spans="9:9" x14ac:dyDescent="0.3">
      <c r="I10536"/>
    </row>
    <row r="10537" spans="9:9" x14ac:dyDescent="0.3">
      <c r="I10537"/>
    </row>
    <row r="10538" spans="9:9" x14ac:dyDescent="0.3">
      <c r="I10538"/>
    </row>
    <row r="10539" spans="9:9" x14ac:dyDescent="0.3">
      <c r="I10539"/>
    </row>
    <row r="10540" spans="9:9" x14ac:dyDescent="0.3">
      <c r="I10540"/>
    </row>
    <row r="10541" spans="9:9" x14ac:dyDescent="0.3">
      <c r="I10541"/>
    </row>
    <row r="10542" spans="9:9" x14ac:dyDescent="0.3">
      <c r="I10542"/>
    </row>
    <row r="10543" spans="9:9" x14ac:dyDescent="0.3">
      <c r="I10543"/>
    </row>
    <row r="10544" spans="9:9" x14ac:dyDescent="0.3">
      <c r="I10544"/>
    </row>
    <row r="10545" spans="9:9" x14ac:dyDescent="0.3">
      <c r="I10545"/>
    </row>
    <row r="10546" spans="9:9" x14ac:dyDescent="0.3">
      <c r="I10546"/>
    </row>
    <row r="10547" spans="9:9" x14ac:dyDescent="0.3">
      <c r="I10547"/>
    </row>
    <row r="10548" spans="9:9" x14ac:dyDescent="0.3">
      <c r="I10548"/>
    </row>
    <row r="10549" spans="9:9" x14ac:dyDescent="0.3">
      <c r="I10549"/>
    </row>
    <row r="10550" spans="9:9" x14ac:dyDescent="0.3">
      <c r="I10550"/>
    </row>
    <row r="10551" spans="9:9" x14ac:dyDescent="0.3">
      <c r="I10551"/>
    </row>
    <row r="10552" spans="9:9" x14ac:dyDescent="0.3">
      <c r="I10552"/>
    </row>
    <row r="10553" spans="9:9" x14ac:dyDescent="0.3">
      <c r="I10553"/>
    </row>
    <row r="10554" spans="9:9" x14ac:dyDescent="0.3">
      <c r="I10554"/>
    </row>
    <row r="10555" spans="9:9" x14ac:dyDescent="0.3">
      <c r="I10555"/>
    </row>
    <row r="10556" spans="9:9" x14ac:dyDescent="0.3">
      <c r="I10556"/>
    </row>
    <row r="10557" spans="9:9" x14ac:dyDescent="0.3">
      <c r="I10557"/>
    </row>
    <row r="10558" spans="9:9" x14ac:dyDescent="0.3">
      <c r="I10558"/>
    </row>
    <row r="10559" spans="9:9" x14ac:dyDescent="0.3">
      <c r="I10559"/>
    </row>
    <row r="10560" spans="9:9" x14ac:dyDescent="0.3">
      <c r="I10560"/>
    </row>
    <row r="10561" spans="9:9" x14ac:dyDescent="0.3">
      <c r="I10561"/>
    </row>
    <row r="10562" spans="9:9" x14ac:dyDescent="0.3">
      <c r="I10562"/>
    </row>
    <row r="10563" spans="9:9" x14ac:dyDescent="0.3">
      <c r="I10563"/>
    </row>
    <row r="10564" spans="9:9" x14ac:dyDescent="0.3">
      <c r="I10564"/>
    </row>
    <row r="10565" spans="9:9" x14ac:dyDescent="0.3">
      <c r="I10565"/>
    </row>
    <row r="10566" spans="9:9" x14ac:dyDescent="0.3">
      <c r="I10566"/>
    </row>
    <row r="10567" spans="9:9" x14ac:dyDescent="0.3">
      <c r="I10567"/>
    </row>
    <row r="10568" spans="9:9" x14ac:dyDescent="0.3">
      <c r="I10568"/>
    </row>
    <row r="10569" spans="9:9" x14ac:dyDescent="0.3">
      <c r="I10569"/>
    </row>
    <row r="10570" spans="9:9" x14ac:dyDescent="0.3">
      <c r="I10570"/>
    </row>
    <row r="10571" spans="9:9" x14ac:dyDescent="0.3">
      <c r="I10571"/>
    </row>
    <row r="10572" spans="9:9" x14ac:dyDescent="0.3">
      <c r="I10572"/>
    </row>
    <row r="10573" spans="9:9" x14ac:dyDescent="0.3">
      <c r="I10573"/>
    </row>
    <row r="10574" spans="9:9" x14ac:dyDescent="0.3">
      <c r="I10574"/>
    </row>
    <row r="10575" spans="9:9" x14ac:dyDescent="0.3">
      <c r="I10575"/>
    </row>
    <row r="10576" spans="9:9" x14ac:dyDescent="0.3">
      <c r="I10576"/>
    </row>
    <row r="10577" spans="9:9" x14ac:dyDescent="0.3">
      <c r="I10577"/>
    </row>
    <row r="10578" spans="9:9" x14ac:dyDescent="0.3">
      <c r="I10578"/>
    </row>
    <row r="10579" spans="9:9" x14ac:dyDescent="0.3">
      <c r="I10579"/>
    </row>
    <row r="10580" spans="9:9" x14ac:dyDescent="0.3">
      <c r="I10580"/>
    </row>
    <row r="10581" spans="9:9" x14ac:dyDescent="0.3">
      <c r="I10581"/>
    </row>
    <row r="10582" spans="9:9" x14ac:dyDescent="0.3">
      <c r="I10582"/>
    </row>
    <row r="10583" spans="9:9" x14ac:dyDescent="0.3">
      <c r="I10583"/>
    </row>
    <row r="10584" spans="9:9" x14ac:dyDescent="0.3">
      <c r="I10584"/>
    </row>
    <row r="10585" spans="9:9" x14ac:dyDescent="0.3">
      <c r="I10585"/>
    </row>
    <row r="10586" spans="9:9" x14ac:dyDescent="0.3">
      <c r="I10586"/>
    </row>
    <row r="10587" spans="9:9" x14ac:dyDescent="0.3">
      <c r="I10587"/>
    </row>
    <row r="10588" spans="9:9" x14ac:dyDescent="0.3">
      <c r="I10588"/>
    </row>
    <row r="10589" spans="9:9" x14ac:dyDescent="0.3">
      <c r="I10589"/>
    </row>
    <row r="10590" spans="9:9" x14ac:dyDescent="0.3">
      <c r="I10590"/>
    </row>
    <row r="10591" spans="9:9" x14ac:dyDescent="0.3">
      <c r="I10591"/>
    </row>
    <row r="10592" spans="9:9" x14ac:dyDescent="0.3">
      <c r="I10592"/>
    </row>
    <row r="10593" spans="9:9" x14ac:dyDescent="0.3">
      <c r="I10593"/>
    </row>
    <row r="10594" spans="9:9" x14ac:dyDescent="0.3">
      <c r="I10594"/>
    </row>
    <row r="10595" spans="9:9" x14ac:dyDescent="0.3">
      <c r="I10595"/>
    </row>
    <row r="10596" spans="9:9" x14ac:dyDescent="0.3">
      <c r="I10596"/>
    </row>
    <row r="10597" spans="9:9" x14ac:dyDescent="0.3">
      <c r="I10597"/>
    </row>
    <row r="10598" spans="9:9" x14ac:dyDescent="0.3">
      <c r="I10598"/>
    </row>
    <row r="10599" spans="9:9" x14ac:dyDescent="0.3">
      <c r="I10599"/>
    </row>
    <row r="10600" spans="9:9" x14ac:dyDescent="0.3">
      <c r="I10600"/>
    </row>
    <row r="10601" spans="9:9" x14ac:dyDescent="0.3">
      <c r="I10601"/>
    </row>
    <row r="10602" spans="9:9" x14ac:dyDescent="0.3">
      <c r="I10602"/>
    </row>
    <row r="10603" spans="9:9" x14ac:dyDescent="0.3">
      <c r="I10603"/>
    </row>
    <row r="10604" spans="9:9" x14ac:dyDescent="0.3">
      <c r="I10604"/>
    </row>
    <row r="10605" spans="9:9" x14ac:dyDescent="0.3">
      <c r="I10605"/>
    </row>
    <row r="10606" spans="9:9" x14ac:dyDescent="0.3">
      <c r="I10606"/>
    </row>
    <row r="10607" spans="9:9" x14ac:dyDescent="0.3">
      <c r="I10607"/>
    </row>
    <row r="10608" spans="9:9" x14ac:dyDescent="0.3">
      <c r="I10608"/>
    </row>
    <row r="10609" spans="9:9" x14ac:dyDescent="0.3">
      <c r="I10609"/>
    </row>
    <row r="10610" spans="9:9" x14ac:dyDescent="0.3">
      <c r="I10610"/>
    </row>
    <row r="10611" spans="9:9" x14ac:dyDescent="0.3">
      <c r="I10611"/>
    </row>
    <row r="10612" spans="9:9" x14ac:dyDescent="0.3">
      <c r="I10612"/>
    </row>
    <row r="10613" spans="9:9" x14ac:dyDescent="0.3">
      <c r="I10613"/>
    </row>
    <row r="10614" spans="9:9" x14ac:dyDescent="0.3">
      <c r="I10614"/>
    </row>
    <row r="10615" spans="9:9" x14ac:dyDescent="0.3">
      <c r="I10615"/>
    </row>
    <row r="10616" spans="9:9" x14ac:dyDescent="0.3">
      <c r="I10616"/>
    </row>
    <row r="10617" spans="9:9" x14ac:dyDescent="0.3">
      <c r="I10617"/>
    </row>
    <row r="10618" spans="9:9" x14ac:dyDescent="0.3">
      <c r="I10618"/>
    </row>
    <row r="10619" spans="9:9" x14ac:dyDescent="0.3">
      <c r="I10619"/>
    </row>
    <row r="10620" spans="9:9" x14ac:dyDescent="0.3">
      <c r="I10620"/>
    </row>
    <row r="10621" spans="9:9" x14ac:dyDescent="0.3">
      <c r="I10621"/>
    </row>
    <row r="10622" spans="9:9" x14ac:dyDescent="0.3">
      <c r="I10622"/>
    </row>
    <row r="10623" spans="9:9" x14ac:dyDescent="0.3">
      <c r="I10623"/>
    </row>
    <row r="10624" spans="9:9" x14ac:dyDescent="0.3">
      <c r="I10624"/>
    </row>
    <row r="10625" spans="9:9" x14ac:dyDescent="0.3">
      <c r="I10625"/>
    </row>
    <row r="10626" spans="9:9" x14ac:dyDescent="0.3">
      <c r="I10626"/>
    </row>
    <row r="10627" spans="9:9" x14ac:dyDescent="0.3">
      <c r="I10627"/>
    </row>
    <row r="10628" spans="9:9" x14ac:dyDescent="0.3">
      <c r="I10628"/>
    </row>
    <row r="10629" spans="9:9" x14ac:dyDescent="0.3">
      <c r="I10629"/>
    </row>
    <row r="10630" spans="9:9" x14ac:dyDescent="0.3">
      <c r="I10630"/>
    </row>
    <row r="10631" spans="9:9" x14ac:dyDescent="0.3">
      <c r="I10631"/>
    </row>
    <row r="10632" spans="9:9" x14ac:dyDescent="0.3">
      <c r="I10632"/>
    </row>
    <row r="10633" spans="9:9" x14ac:dyDescent="0.3">
      <c r="I10633"/>
    </row>
    <row r="10634" spans="9:9" x14ac:dyDescent="0.3">
      <c r="I10634"/>
    </row>
    <row r="10635" spans="9:9" x14ac:dyDescent="0.3">
      <c r="I10635"/>
    </row>
    <row r="10636" spans="9:9" x14ac:dyDescent="0.3">
      <c r="I10636"/>
    </row>
    <row r="10637" spans="9:9" x14ac:dyDescent="0.3">
      <c r="I10637"/>
    </row>
    <row r="10638" spans="9:9" x14ac:dyDescent="0.3">
      <c r="I10638"/>
    </row>
    <row r="10639" spans="9:9" x14ac:dyDescent="0.3">
      <c r="I10639"/>
    </row>
    <row r="10640" spans="9:9" x14ac:dyDescent="0.3">
      <c r="I10640"/>
    </row>
    <row r="10641" spans="9:9" x14ac:dyDescent="0.3">
      <c r="I10641"/>
    </row>
    <row r="10642" spans="9:9" x14ac:dyDescent="0.3">
      <c r="I10642"/>
    </row>
    <row r="10643" spans="9:9" x14ac:dyDescent="0.3">
      <c r="I10643"/>
    </row>
    <row r="10644" spans="9:9" x14ac:dyDescent="0.3">
      <c r="I10644"/>
    </row>
    <row r="10645" spans="9:9" x14ac:dyDescent="0.3">
      <c r="I10645"/>
    </row>
    <row r="10646" spans="9:9" x14ac:dyDescent="0.3">
      <c r="I10646"/>
    </row>
    <row r="10647" spans="9:9" x14ac:dyDescent="0.3">
      <c r="I10647"/>
    </row>
    <row r="10648" spans="9:9" x14ac:dyDescent="0.3">
      <c r="I10648"/>
    </row>
    <row r="10649" spans="9:9" x14ac:dyDescent="0.3">
      <c r="I10649"/>
    </row>
    <row r="10650" spans="9:9" x14ac:dyDescent="0.3">
      <c r="I10650"/>
    </row>
    <row r="10651" spans="9:9" x14ac:dyDescent="0.3">
      <c r="I10651"/>
    </row>
    <row r="10652" spans="9:9" x14ac:dyDescent="0.3">
      <c r="I10652"/>
    </row>
    <row r="10653" spans="9:9" x14ac:dyDescent="0.3">
      <c r="I10653"/>
    </row>
    <row r="10654" spans="9:9" x14ac:dyDescent="0.3">
      <c r="I10654"/>
    </row>
    <row r="10655" spans="9:9" x14ac:dyDescent="0.3">
      <c r="I10655"/>
    </row>
    <row r="10656" spans="9:9" x14ac:dyDescent="0.3">
      <c r="I10656"/>
    </row>
    <row r="10657" spans="9:9" x14ac:dyDescent="0.3">
      <c r="I10657"/>
    </row>
    <row r="10658" spans="9:9" x14ac:dyDescent="0.3">
      <c r="I10658"/>
    </row>
    <row r="10659" spans="9:9" x14ac:dyDescent="0.3">
      <c r="I10659"/>
    </row>
    <row r="10660" spans="9:9" x14ac:dyDescent="0.3">
      <c r="I10660"/>
    </row>
    <row r="10661" spans="9:9" x14ac:dyDescent="0.3">
      <c r="I10661"/>
    </row>
    <row r="10662" spans="9:9" x14ac:dyDescent="0.3">
      <c r="I10662"/>
    </row>
    <row r="10663" spans="9:9" x14ac:dyDescent="0.3">
      <c r="I10663"/>
    </row>
    <row r="10664" spans="9:9" x14ac:dyDescent="0.3">
      <c r="I10664"/>
    </row>
    <row r="10665" spans="9:9" x14ac:dyDescent="0.3">
      <c r="I10665"/>
    </row>
    <row r="10666" spans="9:9" x14ac:dyDescent="0.3">
      <c r="I10666"/>
    </row>
    <row r="10667" spans="9:9" x14ac:dyDescent="0.3">
      <c r="I10667"/>
    </row>
    <row r="10668" spans="9:9" x14ac:dyDescent="0.3">
      <c r="I10668"/>
    </row>
    <row r="10669" spans="9:9" x14ac:dyDescent="0.3">
      <c r="I10669"/>
    </row>
    <row r="10670" spans="9:9" x14ac:dyDescent="0.3">
      <c r="I10670"/>
    </row>
    <row r="10671" spans="9:9" x14ac:dyDescent="0.3">
      <c r="I10671"/>
    </row>
    <row r="10672" spans="9:9" x14ac:dyDescent="0.3">
      <c r="I10672"/>
    </row>
    <row r="10673" spans="9:9" x14ac:dyDescent="0.3">
      <c r="I10673"/>
    </row>
    <row r="10674" spans="9:9" x14ac:dyDescent="0.3">
      <c r="I10674"/>
    </row>
    <row r="10675" spans="9:9" x14ac:dyDescent="0.3">
      <c r="I10675"/>
    </row>
    <row r="10676" spans="9:9" x14ac:dyDescent="0.3">
      <c r="I10676"/>
    </row>
    <row r="10677" spans="9:9" x14ac:dyDescent="0.3">
      <c r="I10677"/>
    </row>
    <row r="10678" spans="9:9" x14ac:dyDescent="0.3">
      <c r="I10678"/>
    </row>
    <row r="10679" spans="9:9" x14ac:dyDescent="0.3">
      <c r="I10679"/>
    </row>
    <row r="10680" spans="9:9" x14ac:dyDescent="0.3">
      <c r="I10680"/>
    </row>
    <row r="10681" spans="9:9" x14ac:dyDescent="0.3">
      <c r="I10681"/>
    </row>
    <row r="10682" spans="9:9" x14ac:dyDescent="0.3">
      <c r="I10682"/>
    </row>
    <row r="10683" spans="9:9" x14ac:dyDescent="0.3">
      <c r="I10683"/>
    </row>
    <row r="10684" spans="9:9" x14ac:dyDescent="0.3">
      <c r="I10684"/>
    </row>
    <row r="10685" spans="9:9" x14ac:dyDescent="0.3">
      <c r="I10685"/>
    </row>
    <row r="10686" spans="9:9" x14ac:dyDescent="0.3">
      <c r="I10686"/>
    </row>
    <row r="10687" spans="9:9" x14ac:dyDescent="0.3">
      <c r="I10687"/>
    </row>
    <row r="10688" spans="9:9" x14ac:dyDescent="0.3">
      <c r="I10688"/>
    </row>
    <row r="10689" spans="9:9" x14ac:dyDescent="0.3">
      <c r="I10689"/>
    </row>
    <row r="10690" spans="9:9" x14ac:dyDescent="0.3">
      <c r="I10690"/>
    </row>
    <row r="10691" spans="9:9" x14ac:dyDescent="0.3">
      <c r="I10691"/>
    </row>
    <row r="10692" spans="9:9" x14ac:dyDescent="0.3">
      <c r="I10692"/>
    </row>
    <row r="10693" spans="9:9" x14ac:dyDescent="0.3">
      <c r="I10693"/>
    </row>
    <row r="10694" spans="9:9" x14ac:dyDescent="0.3">
      <c r="I10694"/>
    </row>
    <row r="10695" spans="9:9" x14ac:dyDescent="0.3">
      <c r="I10695"/>
    </row>
    <row r="10696" spans="9:9" x14ac:dyDescent="0.3">
      <c r="I10696"/>
    </row>
    <row r="10697" spans="9:9" x14ac:dyDescent="0.3">
      <c r="I10697"/>
    </row>
    <row r="10698" spans="9:9" x14ac:dyDescent="0.3">
      <c r="I10698"/>
    </row>
    <row r="10699" spans="9:9" x14ac:dyDescent="0.3">
      <c r="I10699"/>
    </row>
    <row r="10700" spans="9:9" x14ac:dyDescent="0.3">
      <c r="I10700"/>
    </row>
    <row r="10701" spans="9:9" x14ac:dyDescent="0.3">
      <c r="I10701"/>
    </row>
    <row r="10702" spans="9:9" x14ac:dyDescent="0.3">
      <c r="I10702"/>
    </row>
    <row r="10703" spans="9:9" x14ac:dyDescent="0.3">
      <c r="I10703"/>
    </row>
    <row r="10704" spans="9:9" x14ac:dyDescent="0.3">
      <c r="I10704"/>
    </row>
    <row r="10705" spans="9:9" x14ac:dyDescent="0.3">
      <c r="I10705"/>
    </row>
    <row r="10706" spans="9:9" x14ac:dyDescent="0.3">
      <c r="I10706"/>
    </row>
    <row r="10707" spans="9:9" x14ac:dyDescent="0.3">
      <c r="I10707"/>
    </row>
    <row r="10708" spans="9:9" x14ac:dyDescent="0.3">
      <c r="I10708"/>
    </row>
    <row r="10709" spans="9:9" x14ac:dyDescent="0.3">
      <c r="I10709"/>
    </row>
    <row r="10710" spans="9:9" x14ac:dyDescent="0.3">
      <c r="I10710"/>
    </row>
    <row r="10711" spans="9:9" x14ac:dyDescent="0.3">
      <c r="I10711"/>
    </row>
    <row r="10712" spans="9:9" x14ac:dyDescent="0.3">
      <c r="I10712"/>
    </row>
    <row r="10713" spans="9:9" x14ac:dyDescent="0.3">
      <c r="I10713"/>
    </row>
    <row r="10714" spans="9:9" x14ac:dyDescent="0.3">
      <c r="I10714"/>
    </row>
    <row r="10715" spans="9:9" x14ac:dyDescent="0.3">
      <c r="I10715"/>
    </row>
    <row r="10716" spans="9:9" x14ac:dyDescent="0.3">
      <c r="I10716"/>
    </row>
    <row r="10717" spans="9:9" x14ac:dyDescent="0.3">
      <c r="I10717"/>
    </row>
    <row r="10718" spans="9:9" x14ac:dyDescent="0.3">
      <c r="I10718"/>
    </row>
    <row r="10719" spans="9:9" x14ac:dyDescent="0.3">
      <c r="I10719"/>
    </row>
    <row r="10720" spans="9:9" x14ac:dyDescent="0.3">
      <c r="I10720"/>
    </row>
    <row r="10721" spans="9:9" x14ac:dyDescent="0.3">
      <c r="I10721"/>
    </row>
    <row r="10722" spans="9:9" x14ac:dyDescent="0.3">
      <c r="I10722"/>
    </row>
    <row r="10723" spans="9:9" x14ac:dyDescent="0.3">
      <c r="I10723"/>
    </row>
    <row r="10724" spans="9:9" x14ac:dyDescent="0.3">
      <c r="I10724"/>
    </row>
    <row r="10725" spans="9:9" x14ac:dyDescent="0.3">
      <c r="I10725"/>
    </row>
    <row r="10726" spans="9:9" x14ac:dyDescent="0.3">
      <c r="I10726"/>
    </row>
    <row r="10727" spans="9:9" x14ac:dyDescent="0.3">
      <c r="I10727"/>
    </row>
    <row r="10728" spans="9:9" x14ac:dyDescent="0.3">
      <c r="I10728"/>
    </row>
    <row r="10729" spans="9:9" x14ac:dyDescent="0.3">
      <c r="I10729"/>
    </row>
    <row r="10730" spans="9:9" x14ac:dyDescent="0.3">
      <c r="I10730"/>
    </row>
    <row r="10731" spans="9:9" x14ac:dyDescent="0.3">
      <c r="I10731"/>
    </row>
    <row r="10732" spans="9:9" x14ac:dyDescent="0.3">
      <c r="I10732"/>
    </row>
    <row r="10733" spans="9:9" x14ac:dyDescent="0.3">
      <c r="I10733"/>
    </row>
    <row r="10734" spans="9:9" x14ac:dyDescent="0.3">
      <c r="I10734"/>
    </row>
    <row r="10735" spans="9:9" x14ac:dyDescent="0.3">
      <c r="I10735"/>
    </row>
    <row r="10736" spans="9:9" x14ac:dyDescent="0.3">
      <c r="I10736"/>
    </row>
    <row r="10737" spans="9:9" x14ac:dyDescent="0.3">
      <c r="I10737"/>
    </row>
    <row r="10738" spans="9:9" x14ac:dyDescent="0.3">
      <c r="I10738"/>
    </row>
    <row r="10739" spans="9:9" x14ac:dyDescent="0.3">
      <c r="I10739"/>
    </row>
    <row r="10740" spans="9:9" x14ac:dyDescent="0.3">
      <c r="I10740"/>
    </row>
    <row r="10741" spans="9:9" x14ac:dyDescent="0.3">
      <c r="I10741"/>
    </row>
    <row r="10742" spans="9:9" x14ac:dyDescent="0.3">
      <c r="I10742"/>
    </row>
    <row r="10743" spans="9:9" x14ac:dyDescent="0.3">
      <c r="I10743"/>
    </row>
    <row r="10744" spans="9:9" x14ac:dyDescent="0.3">
      <c r="I10744"/>
    </row>
    <row r="10745" spans="9:9" x14ac:dyDescent="0.3">
      <c r="I10745"/>
    </row>
    <row r="10746" spans="9:9" x14ac:dyDescent="0.3">
      <c r="I10746"/>
    </row>
    <row r="10747" spans="9:9" x14ac:dyDescent="0.3">
      <c r="I10747"/>
    </row>
    <row r="10748" spans="9:9" x14ac:dyDescent="0.3">
      <c r="I10748"/>
    </row>
    <row r="10749" spans="9:9" x14ac:dyDescent="0.3">
      <c r="I10749"/>
    </row>
    <row r="10750" spans="9:9" x14ac:dyDescent="0.3">
      <c r="I10750"/>
    </row>
    <row r="10751" spans="9:9" x14ac:dyDescent="0.3">
      <c r="I10751"/>
    </row>
    <row r="10752" spans="9:9" x14ac:dyDescent="0.3">
      <c r="I10752"/>
    </row>
    <row r="10753" spans="9:9" x14ac:dyDescent="0.3">
      <c r="I10753"/>
    </row>
    <row r="10754" spans="9:9" x14ac:dyDescent="0.3">
      <c r="I10754"/>
    </row>
    <row r="10755" spans="9:9" x14ac:dyDescent="0.3">
      <c r="I10755"/>
    </row>
    <row r="10756" spans="9:9" x14ac:dyDescent="0.3">
      <c r="I10756"/>
    </row>
    <row r="10757" spans="9:9" x14ac:dyDescent="0.3">
      <c r="I10757"/>
    </row>
    <row r="10758" spans="9:9" x14ac:dyDescent="0.3">
      <c r="I10758"/>
    </row>
    <row r="10759" spans="9:9" x14ac:dyDescent="0.3">
      <c r="I10759"/>
    </row>
    <row r="10760" spans="9:9" x14ac:dyDescent="0.3">
      <c r="I10760"/>
    </row>
    <row r="10761" spans="9:9" x14ac:dyDescent="0.3">
      <c r="I10761"/>
    </row>
    <row r="10762" spans="9:9" x14ac:dyDescent="0.3">
      <c r="I10762"/>
    </row>
    <row r="10763" spans="9:9" x14ac:dyDescent="0.3">
      <c r="I10763"/>
    </row>
    <row r="10764" spans="9:9" x14ac:dyDescent="0.3">
      <c r="I10764"/>
    </row>
    <row r="10765" spans="9:9" x14ac:dyDescent="0.3">
      <c r="I10765"/>
    </row>
    <row r="10766" spans="9:9" x14ac:dyDescent="0.3">
      <c r="I10766"/>
    </row>
    <row r="10767" spans="9:9" x14ac:dyDescent="0.3">
      <c r="I10767"/>
    </row>
    <row r="10768" spans="9:9" x14ac:dyDescent="0.3">
      <c r="I10768"/>
    </row>
    <row r="10769" spans="9:9" x14ac:dyDescent="0.3">
      <c r="I10769"/>
    </row>
    <row r="10770" spans="9:9" x14ac:dyDescent="0.3">
      <c r="I10770"/>
    </row>
    <row r="10771" spans="9:9" x14ac:dyDescent="0.3">
      <c r="I10771"/>
    </row>
    <row r="10772" spans="9:9" x14ac:dyDescent="0.3">
      <c r="I10772"/>
    </row>
    <row r="10773" spans="9:9" x14ac:dyDescent="0.3">
      <c r="I10773"/>
    </row>
    <row r="10774" spans="9:9" x14ac:dyDescent="0.3">
      <c r="I10774"/>
    </row>
    <row r="10775" spans="9:9" x14ac:dyDescent="0.3">
      <c r="I10775"/>
    </row>
    <row r="10776" spans="9:9" x14ac:dyDescent="0.3">
      <c r="I10776"/>
    </row>
    <row r="10777" spans="9:9" x14ac:dyDescent="0.3">
      <c r="I10777"/>
    </row>
    <row r="10778" spans="9:9" x14ac:dyDescent="0.3">
      <c r="I10778"/>
    </row>
    <row r="10779" spans="9:9" x14ac:dyDescent="0.3">
      <c r="I10779"/>
    </row>
    <row r="10780" spans="9:9" x14ac:dyDescent="0.3">
      <c r="I10780"/>
    </row>
    <row r="10781" spans="9:9" x14ac:dyDescent="0.3">
      <c r="I10781"/>
    </row>
    <row r="10782" spans="9:9" x14ac:dyDescent="0.3">
      <c r="I10782"/>
    </row>
    <row r="10783" spans="9:9" x14ac:dyDescent="0.3">
      <c r="I10783"/>
    </row>
    <row r="10784" spans="9:9" x14ac:dyDescent="0.3">
      <c r="I10784"/>
    </row>
    <row r="10785" spans="9:9" x14ac:dyDescent="0.3">
      <c r="I10785"/>
    </row>
    <row r="10786" spans="9:9" x14ac:dyDescent="0.3">
      <c r="I10786"/>
    </row>
    <row r="10787" spans="9:9" x14ac:dyDescent="0.3">
      <c r="I10787"/>
    </row>
    <row r="10788" spans="9:9" x14ac:dyDescent="0.3">
      <c r="I10788"/>
    </row>
    <row r="10789" spans="9:9" x14ac:dyDescent="0.3">
      <c r="I10789"/>
    </row>
    <row r="10790" spans="9:9" x14ac:dyDescent="0.3">
      <c r="I10790"/>
    </row>
    <row r="10791" spans="9:9" x14ac:dyDescent="0.3">
      <c r="I10791"/>
    </row>
    <row r="10792" spans="9:9" x14ac:dyDescent="0.3">
      <c r="I10792"/>
    </row>
    <row r="10793" spans="9:9" x14ac:dyDescent="0.3">
      <c r="I10793"/>
    </row>
    <row r="10794" spans="9:9" x14ac:dyDescent="0.3">
      <c r="I10794"/>
    </row>
    <row r="10795" spans="9:9" x14ac:dyDescent="0.3">
      <c r="I10795"/>
    </row>
    <row r="10796" spans="9:9" x14ac:dyDescent="0.3">
      <c r="I10796"/>
    </row>
    <row r="10797" spans="9:9" x14ac:dyDescent="0.3">
      <c r="I10797"/>
    </row>
    <row r="10798" spans="9:9" x14ac:dyDescent="0.3">
      <c r="I10798"/>
    </row>
    <row r="10799" spans="9:9" x14ac:dyDescent="0.3">
      <c r="I10799"/>
    </row>
    <row r="10800" spans="9:9" x14ac:dyDescent="0.3">
      <c r="I10800"/>
    </row>
    <row r="10801" spans="9:9" x14ac:dyDescent="0.3">
      <c r="I10801"/>
    </row>
    <row r="10802" spans="9:9" x14ac:dyDescent="0.3">
      <c r="I10802"/>
    </row>
    <row r="10803" spans="9:9" x14ac:dyDescent="0.3">
      <c r="I10803"/>
    </row>
    <row r="10804" spans="9:9" x14ac:dyDescent="0.3">
      <c r="I10804"/>
    </row>
    <row r="10805" spans="9:9" x14ac:dyDescent="0.3">
      <c r="I10805"/>
    </row>
    <row r="10806" spans="9:9" x14ac:dyDescent="0.3">
      <c r="I10806"/>
    </row>
    <row r="10807" spans="9:9" x14ac:dyDescent="0.3">
      <c r="I10807"/>
    </row>
    <row r="10808" spans="9:9" x14ac:dyDescent="0.3">
      <c r="I10808"/>
    </row>
    <row r="10809" spans="9:9" x14ac:dyDescent="0.3">
      <c r="I10809"/>
    </row>
    <row r="10810" spans="9:9" x14ac:dyDescent="0.3">
      <c r="I10810"/>
    </row>
    <row r="10811" spans="9:9" x14ac:dyDescent="0.3">
      <c r="I10811"/>
    </row>
    <row r="10812" spans="9:9" x14ac:dyDescent="0.3">
      <c r="I10812"/>
    </row>
    <row r="10813" spans="9:9" x14ac:dyDescent="0.3">
      <c r="I10813"/>
    </row>
    <row r="10814" spans="9:9" x14ac:dyDescent="0.3">
      <c r="I10814"/>
    </row>
    <row r="10815" spans="9:9" x14ac:dyDescent="0.3">
      <c r="I10815"/>
    </row>
    <row r="10816" spans="9:9" x14ac:dyDescent="0.3">
      <c r="I10816"/>
    </row>
    <row r="10817" spans="9:9" x14ac:dyDescent="0.3">
      <c r="I10817"/>
    </row>
    <row r="10818" spans="9:9" x14ac:dyDescent="0.3">
      <c r="I10818"/>
    </row>
    <row r="10819" spans="9:9" x14ac:dyDescent="0.3">
      <c r="I10819"/>
    </row>
    <row r="10820" spans="9:9" x14ac:dyDescent="0.3">
      <c r="I10820"/>
    </row>
    <row r="10821" spans="9:9" x14ac:dyDescent="0.3">
      <c r="I10821"/>
    </row>
    <row r="10822" spans="9:9" x14ac:dyDescent="0.3">
      <c r="I10822"/>
    </row>
    <row r="10823" spans="9:9" x14ac:dyDescent="0.3">
      <c r="I10823"/>
    </row>
    <row r="10824" spans="9:9" x14ac:dyDescent="0.3">
      <c r="I10824"/>
    </row>
    <row r="10825" spans="9:9" x14ac:dyDescent="0.3">
      <c r="I10825"/>
    </row>
    <row r="10826" spans="9:9" x14ac:dyDescent="0.3">
      <c r="I10826"/>
    </row>
    <row r="10827" spans="9:9" x14ac:dyDescent="0.3">
      <c r="I10827"/>
    </row>
    <row r="10828" spans="9:9" x14ac:dyDescent="0.3">
      <c r="I10828"/>
    </row>
    <row r="10829" spans="9:9" x14ac:dyDescent="0.3">
      <c r="I10829"/>
    </row>
    <row r="10830" spans="9:9" x14ac:dyDescent="0.3">
      <c r="I10830"/>
    </row>
    <row r="10831" spans="9:9" x14ac:dyDescent="0.3">
      <c r="I10831"/>
    </row>
    <row r="10832" spans="9:9" x14ac:dyDescent="0.3">
      <c r="I10832"/>
    </row>
    <row r="10833" spans="9:9" x14ac:dyDescent="0.3">
      <c r="I10833"/>
    </row>
    <row r="10834" spans="9:9" x14ac:dyDescent="0.3">
      <c r="I10834"/>
    </row>
    <row r="10835" spans="9:9" x14ac:dyDescent="0.3">
      <c r="I10835"/>
    </row>
    <row r="10836" spans="9:9" x14ac:dyDescent="0.3">
      <c r="I10836"/>
    </row>
    <row r="10837" spans="9:9" x14ac:dyDescent="0.3">
      <c r="I10837"/>
    </row>
    <row r="10838" spans="9:9" x14ac:dyDescent="0.3">
      <c r="I10838"/>
    </row>
    <row r="10839" spans="9:9" x14ac:dyDescent="0.3">
      <c r="I10839"/>
    </row>
    <row r="10840" spans="9:9" x14ac:dyDescent="0.3">
      <c r="I10840"/>
    </row>
    <row r="10841" spans="9:9" x14ac:dyDescent="0.3">
      <c r="I10841"/>
    </row>
    <row r="10842" spans="9:9" x14ac:dyDescent="0.3">
      <c r="I10842"/>
    </row>
    <row r="10843" spans="9:9" x14ac:dyDescent="0.3">
      <c r="I10843"/>
    </row>
    <row r="10844" spans="9:9" x14ac:dyDescent="0.3">
      <c r="I10844"/>
    </row>
    <row r="10845" spans="9:9" x14ac:dyDescent="0.3">
      <c r="I10845"/>
    </row>
    <row r="10846" spans="9:9" x14ac:dyDescent="0.3">
      <c r="I10846"/>
    </row>
    <row r="10847" spans="9:9" x14ac:dyDescent="0.3">
      <c r="I10847"/>
    </row>
    <row r="10848" spans="9:9" x14ac:dyDescent="0.3">
      <c r="I10848"/>
    </row>
    <row r="10849" spans="9:9" x14ac:dyDescent="0.3">
      <c r="I10849"/>
    </row>
    <row r="10850" spans="9:9" x14ac:dyDescent="0.3">
      <c r="I10850"/>
    </row>
    <row r="10851" spans="9:9" x14ac:dyDescent="0.3">
      <c r="I10851"/>
    </row>
    <row r="10852" spans="9:9" x14ac:dyDescent="0.3">
      <c r="I10852"/>
    </row>
    <row r="10853" spans="9:9" x14ac:dyDescent="0.3">
      <c r="I10853"/>
    </row>
    <row r="10854" spans="9:9" x14ac:dyDescent="0.3">
      <c r="I10854"/>
    </row>
    <row r="10855" spans="9:9" x14ac:dyDescent="0.3">
      <c r="I10855"/>
    </row>
    <row r="10856" spans="9:9" x14ac:dyDescent="0.3">
      <c r="I10856"/>
    </row>
    <row r="10857" spans="9:9" x14ac:dyDescent="0.3">
      <c r="I10857"/>
    </row>
    <row r="10858" spans="9:9" x14ac:dyDescent="0.3">
      <c r="I10858"/>
    </row>
    <row r="10859" spans="9:9" x14ac:dyDescent="0.3">
      <c r="I10859"/>
    </row>
    <row r="10860" spans="9:9" x14ac:dyDescent="0.3">
      <c r="I10860"/>
    </row>
    <row r="10861" spans="9:9" x14ac:dyDescent="0.3">
      <c r="I10861"/>
    </row>
    <row r="10862" spans="9:9" x14ac:dyDescent="0.3">
      <c r="I10862"/>
    </row>
    <row r="10863" spans="9:9" x14ac:dyDescent="0.3">
      <c r="I10863"/>
    </row>
    <row r="10864" spans="9:9" x14ac:dyDescent="0.3">
      <c r="I10864"/>
    </row>
    <row r="10865" spans="9:9" x14ac:dyDescent="0.3">
      <c r="I10865"/>
    </row>
    <row r="10866" spans="9:9" x14ac:dyDescent="0.3">
      <c r="I10866"/>
    </row>
    <row r="10867" spans="9:9" x14ac:dyDescent="0.3">
      <c r="I10867"/>
    </row>
    <row r="10868" spans="9:9" x14ac:dyDescent="0.3">
      <c r="I10868"/>
    </row>
    <row r="10869" spans="9:9" x14ac:dyDescent="0.3">
      <c r="I10869"/>
    </row>
    <row r="10870" spans="9:9" x14ac:dyDescent="0.3">
      <c r="I10870"/>
    </row>
    <row r="10871" spans="9:9" x14ac:dyDescent="0.3">
      <c r="I10871"/>
    </row>
    <row r="10872" spans="9:9" x14ac:dyDescent="0.3">
      <c r="I10872"/>
    </row>
    <row r="10873" spans="9:9" x14ac:dyDescent="0.3">
      <c r="I10873"/>
    </row>
    <row r="10874" spans="9:9" x14ac:dyDescent="0.3">
      <c r="I10874"/>
    </row>
    <row r="10875" spans="9:9" x14ac:dyDescent="0.3">
      <c r="I10875"/>
    </row>
    <row r="10876" spans="9:9" x14ac:dyDescent="0.3">
      <c r="I10876"/>
    </row>
    <row r="10877" spans="9:9" x14ac:dyDescent="0.3">
      <c r="I10877"/>
    </row>
    <row r="10878" spans="9:9" x14ac:dyDescent="0.3">
      <c r="I10878"/>
    </row>
    <row r="10879" spans="9:9" x14ac:dyDescent="0.3">
      <c r="I10879"/>
    </row>
    <row r="10880" spans="9:9" x14ac:dyDescent="0.3">
      <c r="I10880"/>
    </row>
    <row r="10881" spans="9:9" x14ac:dyDescent="0.3">
      <c r="I10881"/>
    </row>
    <row r="10882" spans="9:9" x14ac:dyDescent="0.3">
      <c r="I10882"/>
    </row>
    <row r="10883" spans="9:9" x14ac:dyDescent="0.3">
      <c r="I10883"/>
    </row>
    <row r="10884" spans="9:9" x14ac:dyDescent="0.3">
      <c r="I10884"/>
    </row>
    <row r="10885" spans="9:9" x14ac:dyDescent="0.3">
      <c r="I10885"/>
    </row>
    <row r="10886" spans="9:9" x14ac:dyDescent="0.3">
      <c r="I10886"/>
    </row>
    <row r="10887" spans="9:9" x14ac:dyDescent="0.3">
      <c r="I10887"/>
    </row>
    <row r="10888" spans="9:9" x14ac:dyDescent="0.3">
      <c r="I10888"/>
    </row>
    <row r="10889" spans="9:9" x14ac:dyDescent="0.3">
      <c r="I10889"/>
    </row>
    <row r="10890" spans="9:9" x14ac:dyDescent="0.3">
      <c r="I10890"/>
    </row>
    <row r="10891" spans="9:9" x14ac:dyDescent="0.3">
      <c r="I10891"/>
    </row>
    <row r="10892" spans="9:9" x14ac:dyDescent="0.3">
      <c r="I10892"/>
    </row>
    <row r="10893" spans="9:9" x14ac:dyDescent="0.3">
      <c r="I10893"/>
    </row>
    <row r="10894" spans="9:9" x14ac:dyDescent="0.3">
      <c r="I10894"/>
    </row>
    <row r="10895" spans="9:9" x14ac:dyDescent="0.3">
      <c r="I10895"/>
    </row>
    <row r="10896" spans="9:9" x14ac:dyDescent="0.3">
      <c r="I10896"/>
    </row>
    <row r="10897" spans="9:9" x14ac:dyDescent="0.3">
      <c r="I10897"/>
    </row>
    <row r="10898" spans="9:9" x14ac:dyDescent="0.3">
      <c r="I10898"/>
    </row>
    <row r="10899" spans="9:9" x14ac:dyDescent="0.3">
      <c r="I10899"/>
    </row>
    <row r="10900" spans="9:9" x14ac:dyDescent="0.3">
      <c r="I10900"/>
    </row>
    <row r="10901" spans="9:9" x14ac:dyDescent="0.3">
      <c r="I10901"/>
    </row>
    <row r="10902" spans="9:9" x14ac:dyDescent="0.3">
      <c r="I10902"/>
    </row>
    <row r="10903" spans="9:9" x14ac:dyDescent="0.3">
      <c r="I10903"/>
    </row>
    <row r="10904" spans="9:9" x14ac:dyDescent="0.3">
      <c r="I10904"/>
    </row>
    <row r="10905" spans="9:9" x14ac:dyDescent="0.3">
      <c r="I10905"/>
    </row>
    <row r="10906" spans="9:9" x14ac:dyDescent="0.3">
      <c r="I10906"/>
    </row>
    <row r="10907" spans="9:9" x14ac:dyDescent="0.3">
      <c r="I10907"/>
    </row>
    <row r="10908" spans="9:9" x14ac:dyDescent="0.3">
      <c r="I10908"/>
    </row>
    <row r="10909" spans="9:9" x14ac:dyDescent="0.3">
      <c r="I10909"/>
    </row>
    <row r="10910" spans="9:9" x14ac:dyDescent="0.3">
      <c r="I10910"/>
    </row>
    <row r="10911" spans="9:9" x14ac:dyDescent="0.3">
      <c r="I10911"/>
    </row>
    <row r="10912" spans="9:9" x14ac:dyDescent="0.3">
      <c r="I10912"/>
    </row>
    <row r="10913" spans="9:9" x14ac:dyDescent="0.3">
      <c r="I10913"/>
    </row>
    <row r="10914" spans="9:9" x14ac:dyDescent="0.3">
      <c r="I10914"/>
    </row>
    <row r="10915" spans="9:9" x14ac:dyDescent="0.3">
      <c r="I10915"/>
    </row>
    <row r="10916" spans="9:9" x14ac:dyDescent="0.3">
      <c r="I10916"/>
    </row>
    <row r="10917" spans="9:9" x14ac:dyDescent="0.3">
      <c r="I10917"/>
    </row>
    <row r="10918" spans="9:9" x14ac:dyDescent="0.3">
      <c r="I10918"/>
    </row>
    <row r="10919" spans="9:9" x14ac:dyDescent="0.3">
      <c r="I10919"/>
    </row>
    <row r="10920" spans="9:9" x14ac:dyDescent="0.3">
      <c r="I10920"/>
    </row>
    <row r="10921" spans="9:9" x14ac:dyDescent="0.3">
      <c r="I10921"/>
    </row>
    <row r="10922" spans="9:9" x14ac:dyDescent="0.3">
      <c r="I10922"/>
    </row>
    <row r="10923" spans="9:9" x14ac:dyDescent="0.3">
      <c r="I10923"/>
    </row>
    <row r="10924" spans="9:9" x14ac:dyDescent="0.3">
      <c r="I10924"/>
    </row>
    <row r="10925" spans="9:9" x14ac:dyDescent="0.3">
      <c r="I10925"/>
    </row>
    <row r="10926" spans="9:9" x14ac:dyDescent="0.3">
      <c r="I10926"/>
    </row>
    <row r="10927" spans="9:9" x14ac:dyDescent="0.3">
      <c r="I10927"/>
    </row>
    <row r="10928" spans="9:9" x14ac:dyDescent="0.3">
      <c r="I10928"/>
    </row>
    <row r="10929" spans="9:9" x14ac:dyDescent="0.3">
      <c r="I10929"/>
    </row>
    <row r="10930" spans="9:9" x14ac:dyDescent="0.3">
      <c r="I10930"/>
    </row>
    <row r="10931" spans="9:9" x14ac:dyDescent="0.3">
      <c r="I10931"/>
    </row>
    <row r="10932" spans="9:9" x14ac:dyDescent="0.3">
      <c r="I10932"/>
    </row>
    <row r="10933" spans="9:9" x14ac:dyDescent="0.3">
      <c r="I10933"/>
    </row>
    <row r="10934" spans="9:9" x14ac:dyDescent="0.3">
      <c r="I10934"/>
    </row>
    <row r="10935" spans="9:9" x14ac:dyDescent="0.3">
      <c r="I10935"/>
    </row>
    <row r="10936" spans="9:9" x14ac:dyDescent="0.3">
      <c r="I10936"/>
    </row>
    <row r="10937" spans="9:9" x14ac:dyDescent="0.3">
      <c r="I10937"/>
    </row>
    <row r="10938" spans="9:9" x14ac:dyDescent="0.3">
      <c r="I10938"/>
    </row>
    <row r="10939" spans="9:9" x14ac:dyDescent="0.3">
      <c r="I10939"/>
    </row>
    <row r="10940" spans="9:9" x14ac:dyDescent="0.3">
      <c r="I10940"/>
    </row>
    <row r="10941" spans="9:9" x14ac:dyDescent="0.3">
      <c r="I10941"/>
    </row>
    <row r="10942" spans="9:9" x14ac:dyDescent="0.3">
      <c r="I10942"/>
    </row>
    <row r="10943" spans="9:9" x14ac:dyDescent="0.3">
      <c r="I10943"/>
    </row>
    <row r="10944" spans="9:9" x14ac:dyDescent="0.3">
      <c r="I10944"/>
    </row>
    <row r="10945" spans="9:9" x14ac:dyDescent="0.3">
      <c r="I10945"/>
    </row>
    <row r="10946" spans="9:9" x14ac:dyDescent="0.3">
      <c r="I10946"/>
    </row>
    <row r="10947" spans="9:9" x14ac:dyDescent="0.3">
      <c r="I10947"/>
    </row>
    <row r="10948" spans="9:9" x14ac:dyDescent="0.3">
      <c r="I10948"/>
    </row>
    <row r="10949" spans="9:9" x14ac:dyDescent="0.3">
      <c r="I10949"/>
    </row>
    <row r="10950" spans="9:9" x14ac:dyDescent="0.3">
      <c r="I10950"/>
    </row>
    <row r="10951" spans="9:9" x14ac:dyDescent="0.3">
      <c r="I10951"/>
    </row>
    <row r="10952" spans="9:9" x14ac:dyDescent="0.3">
      <c r="I10952"/>
    </row>
    <row r="10953" spans="9:9" x14ac:dyDescent="0.3">
      <c r="I10953"/>
    </row>
    <row r="10954" spans="9:9" x14ac:dyDescent="0.3">
      <c r="I10954"/>
    </row>
    <row r="10955" spans="9:9" x14ac:dyDescent="0.3">
      <c r="I10955"/>
    </row>
    <row r="10956" spans="9:9" x14ac:dyDescent="0.3">
      <c r="I10956"/>
    </row>
    <row r="10957" spans="9:9" x14ac:dyDescent="0.3">
      <c r="I10957"/>
    </row>
    <row r="10958" spans="9:9" x14ac:dyDescent="0.3">
      <c r="I10958"/>
    </row>
    <row r="10959" spans="9:9" x14ac:dyDescent="0.3">
      <c r="I10959"/>
    </row>
    <row r="10960" spans="9:9" x14ac:dyDescent="0.3">
      <c r="I10960"/>
    </row>
    <row r="10961" spans="9:9" x14ac:dyDescent="0.3">
      <c r="I10961"/>
    </row>
    <row r="10962" spans="9:9" x14ac:dyDescent="0.3">
      <c r="I10962"/>
    </row>
    <row r="10963" spans="9:9" x14ac:dyDescent="0.3">
      <c r="I10963"/>
    </row>
    <row r="10964" spans="9:9" x14ac:dyDescent="0.3">
      <c r="I10964"/>
    </row>
    <row r="10965" spans="9:9" x14ac:dyDescent="0.3">
      <c r="I10965"/>
    </row>
    <row r="10966" spans="9:9" x14ac:dyDescent="0.3">
      <c r="I10966"/>
    </row>
    <row r="10967" spans="9:9" x14ac:dyDescent="0.3">
      <c r="I10967"/>
    </row>
    <row r="10968" spans="9:9" x14ac:dyDescent="0.3">
      <c r="I10968"/>
    </row>
    <row r="10969" spans="9:9" x14ac:dyDescent="0.3">
      <c r="I10969"/>
    </row>
    <row r="10970" spans="9:9" x14ac:dyDescent="0.3">
      <c r="I10970"/>
    </row>
    <row r="10971" spans="9:9" x14ac:dyDescent="0.3">
      <c r="I10971"/>
    </row>
    <row r="10972" spans="9:9" x14ac:dyDescent="0.3">
      <c r="I10972"/>
    </row>
    <row r="10973" spans="9:9" x14ac:dyDescent="0.3">
      <c r="I10973"/>
    </row>
    <row r="10974" spans="9:9" x14ac:dyDescent="0.3">
      <c r="I10974"/>
    </row>
    <row r="10975" spans="9:9" x14ac:dyDescent="0.3">
      <c r="I10975"/>
    </row>
    <row r="10976" spans="9:9" x14ac:dyDescent="0.3">
      <c r="I10976"/>
    </row>
    <row r="10977" spans="9:9" x14ac:dyDescent="0.3">
      <c r="I10977"/>
    </row>
    <row r="10978" spans="9:9" x14ac:dyDescent="0.3">
      <c r="I10978"/>
    </row>
    <row r="10979" spans="9:9" x14ac:dyDescent="0.3">
      <c r="I10979"/>
    </row>
    <row r="10980" spans="9:9" x14ac:dyDescent="0.3">
      <c r="I10980"/>
    </row>
    <row r="10981" spans="9:9" x14ac:dyDescent="0.3">
      <c r="I10981"/>
    </row>
    <row r="10982" spans="9:9" x14ac:dyDescent="0.3">
      <c r="I10982"/>
    </row>
    <row r="10983" spans="9:9" x14ac:dyDescent="0.3">
      <c r="I10983"/>
    </row>
    <row r="10984" spans="9:9" x14ac:dyDescent="0.3">
      <c r="I10984"/>
    </row>
    <row r="10985" spans="9:9" x14ac:dyDescent="0.3">
      <c r="I10985"/>
    </row>
    <row r="10986" spans="9:9" x14ac:dyDescent="0.3">
      <c r="I10986"/>
    </row>
    <row r="10987" spans="9:9" x14ac:dyDescent="0.3">
      <c r="I10987"/>
    </row>
    <row r="10988" spans="9:9" x14ac:dyDescent="0.3">
      <c r="I10988"/>
    </row>
    <row r="10989" spans="9:9" x14ac:dyDescent="0.3">
      <c r="I10989"/>
    </row>
    <row r="10990" spans="9:9" x14ac:dyDescent="0.3">
      <c r="I10990"/>
    </row>
    <row r="10991" spans="9:9" x14ac:dyDescent="0.3">
      <c r="I10991"/>
    </row>
    <row r="10992" spans="9:9" x14ac:dyDescent="0.3">
      <c r="I10992"/>
    </row>
    <row r="10993" spans="9:9" x14ac:dyDescent="0.3">
      <c r="I10993"/>
    </row>
    <row r="10994" spans="9:9" x14ac:dyDescent="0.3">
      <c r="I10994"/>
    </row>
    <row r="10995" spans="9:9" x14ac:dyDescent="0.3">
      <c r="I10995"/>
    </row>
    <row r="10996" spans="9:9" x14ac:dyDescent="0.3">
      <c r="I10996"/>
    </row>
    <row r="10997" spans="9:9" x14ac:dyDescent="0.3">
      <c r="I10997"/>
    </row>
    <row r="10998" spans="9:9" x14ac:dyDescent="0.3">
      <c r="I10998"/>
    </row>
    <row r="10999" spans="9:9" x14ac:dyDescent="0.3">
      <c r="I10999"/>
    </row>
    <row r="11000" spans="9:9" x14ac:dyDescent="0.3">
      <c r="I11000"/>
    </row>
    <row r="11001" spans="9:9" x14ac:dyDescent="0.3">
      <c r="I11001"/>
    </row>
    <row r="11002" spans="9:9" x14ac:dyDescent="0.3">
      <c r="I11002"/>
    </row>
    <row r="11003" spans="9:9" x14ac:dyDescent="0.3">
      <c r="I11003"/>
    </row>
    <row r="11004" spans="9:9" x14ac:dyDescent="0.3">
      <c r="I11004"/>
    </row>
    <row r="11005" spans="9:9" x14ac:dyDescent="0.3">
      <c r="I11005"/>
    </row>
    <row r="11006" spans="9:9" x14ac:dyDescent="0.3">
      <c r="I11006"/>
    </row>
    <row r="11007" spans="9:9" x14ac:dyDescent="0.3">
      <c r="I11007"/>
    </row>
    <row r="11008" spans="9:9" x14ac:dyDescent="0.3">
      <c r="I11008"/>
    </row>
    <row r="11009" spans="9:9" x14ac:dyDescent="0.3">
      <c r="I11009"/>
    </row>
    <row r="11010" spans="9:9" x14ac:dyDescent="0.3">
      <c r="I11010"/>
    </row>
    <row r="11011" spans="9:9" x14ac:dyDescent="0.3">
      <c r="I11011"/>
    </row>
    <row r="11012" spans="9:9" x14ac:dyDescent="0.3">
      <c r="I11012"/>
    </row>
    <row r="11013" spans="9:9" x14ac:dyDescent="0.3">
      <c r="I11013"/>
    </row>
    <row r="11014" spans="9:9" x14ac:dyDescent="0.3">
      <c r="I11014"/>
    </row>
    <row r="11015" spans="9:9" x14ac:dyDescent="0.3">
      <c r="I11015"/>
    </row>
    <row r="11016" spans="9:9" x14ac:dyDescent="0.3">
      <c r="I11016"/>
    </row>
    <row r="11017" spans="9:9" x14ac:dyDescent="0.3">
      <c r="I11017"/>
    </row>
    <row r="11018" spans="9:9" x14ac:dyDescent="0.3">
      <c r="I11018"/>
    </row>
    <row r="11019" spans="9:9" x14ac:dyDescent="0.3">
      <c r="I11019"/>
    </row>
    <row r="11020" spans="9:9" x14ac:dyDescent="0.3">
      <c r="I11020"/>
    </row>
    <row r="11021" spans="9:9" x14ac:dyDescent="0.3">
      <c r="I11021"/>
    </row>
    <row r="11022" spans="9:9" x14ac:dyDescent="0.3">
      <c r="I11022"/>
    </row>
    <row r="11023" spans="9:9" x14ac:dyDescent="0.3">
      <c r="I11023"/>
    </row>
    <row r="11024" spans="9:9" x14ac:dyDescent="0.3">
      <c r="I11024"/>
    </row>
    <row r="11025" spans="9:9" x14ac:dyDescent="0.3">
      <c r="I11025"/>
    </row>
    <row r="11026" spans="9:9" x14ac:dyDescent="0.3">
      <c r="I11026"/>
    </row>
    <row r="11027" spans="9:9" x14ac:dyDescent="0.3">
      <c r="I11027"/>
    </row>
    <row r="11028" spans="9:9" x14ac:dyDescent="0.3">
      <c r="I11028"/>
    </row>
    <row r="11029" spans="9:9" x14ac:dyDescent="0.3">
      <c r="I11029"/>
    </row>
    <row r="11030" spans="9:9" x14ac:dyDescent="0.3">
      <c r="I11030"/>
    </row>
    <row r="11031" spans="9:9" x14ac:dyDescent="0.3">
      <c r="I11031"/>
    </row>
    <row r="11032" spans="9:9" x14ac:dyDescent="0.3">
      <c r="I11032"/>
    </row>
    <row r="11033" spans="9:9" x14ac:dyDescent="0.3">
      <c r="I11033"/>
    </row>
    <row r="11034" spans="9:9" x14ac:dyDescent="0.3">
      <c r="I11034"/>
    </row>
    <row r="11035" spans="9:9" x14ac:dyDescent="0.3">
      <c r="I11035"/>
    </row>
    <row r="11036" spans="9:9" x14ac:dyDescent="0.3">
      <c r="I11036"/>
    </row>
    <row r="11037" spans="9:9" x14ac:dyDescent="0.3">
      <c r="I11037"/>
    </row>
    <row r="11038" spans="9:9" x14ac:dyDescent="0.3">
      <c r="I11038"/>
    </row>
    <row r="11039" spans="9:9" x14ac:dyDescent="0.3">
      <c r="I11039"/>
    </row>
    <row r="11040" spans="9:9" x14ac:dyDescent="0.3">
      <c r="I11040"/>
    </row>
    <row r="11041" spans="9:9" x14ac:dyDescent="0.3">
      <c r="I11041"/>
    </row>
    <row r="11042" spans="9:9" x14ac:dyDescent="0.3">
      <c r="I11042"/>
    </row>
    <row r="11043" spans="9:9" x14ac:dyDescent="0.3">
      <c r="I11043"/>
    </row>
    <row r="11044" spans="9:9" x14ac:dyDescent="0.3">
      <c r="I11044"/>
    </row>
    <row r="11045" spans="9:9" x14ac:dyDescent="0.3">
      <c r="I11045"/>
    </row>
    <row r="11046" spans="9:9" x14ac:dyDescent="0.3">
      <c r="I11046"/>
    </row>
    <row r="11047" spans="9:9" x14ac:dyDescent="0.3">
      <c r="I11047"/>
    </row>
    <row r="11048" spans="9:9" x14ac:dyDescent="0.3">
      <c r="I11048"/>
    </row>
    <row r="11049" spans="9:9" x14ac:dyDescent="0.3">
      <c r="I11049"/>
    </row>
    <row r="11050" spans="9:9" x14ac:dyDescent="0.3">
      <c r="I11050"/>
    </row>
    <row r="11051" spans="9:9" x14ac:dyDescent="0.3">
      <c r="I11051"/>
    </row>
    <row r="11052" spans="9:9" x14ac:dyDescent="0.3">
      <c r="I11052"/>
    </row>
    <row r="11053" spans="9:9" x14ac:dyDescent="0.3">
      <c r="I11053"/>
    </row>
    <row r="11054" spans="9:9" x14ac:dyDescent="0.3">
      <c r="I11054"/>
    </row>
    <row r="11055" spans="9:9" x14ac:dyDescent="0.3">
      <c r="I11055"/>
    </row>
    <row r="11056" spans="9:9" x14ac:dyDescent="0.3">
      <c r="I11056"/>
    </row>
    <row r="11057" spans="9:9" x14ac:dyDescent="0.3">
      <c r="I11057"/>
    </row>
    <row r="11058" spans="9:9" x14ac:dyDescent="0.3">
      <c r="I11058"/>
    </row>
    <row r="11059" spans="9:9" x14ac:dyDescent="0.3">
      <c r="I11059"/>
    </row>
    <row r="11060" spans="9:9" x14ac:dyDescent="0.3">
      <c r="I11060"/>
    </row>
    <row r="11061" spans="9:9" x14ac:dyDescent="0.3">
      <c r="I11061"/>
    </row>
    <row r="11062" spans="9:9" x14ac:dyDescent="0.3">
      <c r="I11062"/>
    </row>
    <row r="11063" spans="9:9" x14ac:dyDescent="0.3">
      <c r="I11063"/>
    </row>
    <row r="11064" spans="9:9" x14ac:dyDescent="0.3">
      <c r="I11064"/>
    </row>
    <row r="11065" spans="9:9" x14ac:dyDescent="0.3">
      <c r="I11065"/>
    </row>
    <row r="11066" spans="9:9" x14ac:dyDescent="0.3">
      <c r="I11066"/>
    </row>
    <row r="11067" spans="9:9" x14ac:dyDescent="0.3">
      <c r="I11067"/>
    </row>
    <row r="11068" spans="9:9" x14ac:dyDescent="0.3">
      <c r="I11068"/>
    </row>
    <row r="11069" spans="9:9" x14ac:dyDescent="0.3">
      <c r="I11069"/>
    </row>
    <row r="11070" spans="9:9" x14ac:dyDescent="0.3">
      <c r="I11070"/>
    </row>
    <row r="11071" spans="9:9" x14ac:dyDescent="0.3">
      <c r="I11071"/>
    </row>
    <row r="11072" spans="9:9" x14ac:dyDescent="0.3">
      <c r="I11072"/>
    </row>
    <row r="11073" spans="9:9" x14ac:dyDescent="0.3">
      <c r="I11073"/>
    </row>
    <row r="11074" spans="9:9" x14ac:dyDescent="0.3">
      <c r="I11074"/>
    </row>
    <row r="11075" spans="9:9" x14ac:dyDescent="0.3">
      <c r="I11075"/>
    </row>
    <row r="11076" spans="9:9" x14ac:dyDescent="0.3">
      <c r="I11076"/>
    </row>
    <row r="11077" spans="9:9" x14ac:dyDescent="0.3">
      <c r="I11077"/>
    </row>
    <row r="11078" spans="9:9" x14ac:dyDescent="0.3">
      <c r="I11078"/>
    </row>
    <row r="11079" spans="9:9" x14ac:dyDescent="0.3">
      <c r="I11079"/>
    </row>
    <row r="11080" spans="9:9" x14ac:dyDescent="0.3">
      <c r="I11080"/>
    </row>
    <row r="11081" spans="9:9" x14ac:dyDescent="0.3">
      <c r="I11081"/>
    </row>
    <row r="11082" spans="9:9" x14ac:dyDescent="0.3">
      <c r="I11082"/>
    </row>
    <row r="11083" spans="9:9" x14ac:dyDescent="0.3">
      <c r="I11083"/>
    </row>
    <row r="11084" spans="9:9" x14ac:dyDescent="0.3">
      <c r="I11084"/>
    </row>
    <row r="11085" spans="9:9" x14ac:dyDescent="0.3">
      <c r="I11085"/>
    </row>
    <row r="11086" spans="9:9" x14ac:dyDescent="0.3">
      <c r="I11086"/>
    </row>
    <row r="11087" spans="9:9" x14ac:dyDescent="0.3">
      <c r="I11087"/>
    </row>
    <row r="11088" spans="9:9" x14ac:dyDescent="0.3">
      <c r="I11088"/>
    </row>
    <row r="11089" spans="9:9" x14ac:dyDescent="0.3">
      <c r="I11089"/>
    </row>
    <row r="11090" spans="9:9" x14ac:dyDescent="0.3">
      <c r="I11090"/>
    </row>
    <row r="11091" spans="9:9" x14ac:dyDescent="0.3">
      <c r="I11091"/>
    </row>
    <row r="11092" spans="9:9" x14ac:dyDescent="0.3">
      <c r="I11092"/>
    </row>
    <row r="11093" spans="9:9" x14ac:dyDescent="0.3">
      <c r="I11093"/>
    </row>
    <row r="11094" spans="9:9" x14ac:dyDescent="0.3">
      <c r="I11094"/>
    </row>
    <row r="11095" spans="9:9" x14ac:dyDescent="0.3">
      <c r="I11095"/>
    </row>
    <row r="11096" spans="9:9" x14ac:dyDescent="0.3">
      <c r="I11096"/>
    </row>
    <row r="11097" spans="9:9" x14ac:dyDescent="0.3">
      <c r="I11097"/>
    </row>
    <row r="11098" spans="9:9" x14ac:dyDescent="0.3">
      <c r="I11098"/>
    </row>
    <row r="11099" spans="9:9" x14ac:dyDescent="0.3">
      <c r="I11099"/>
    </row>
    <row r="11100" spans="9:9" x14ac:dyDescent="0.3">
      <c r="I11100"/>
    </row>
    <row r="11101" spans="9:9" x14ac:dyDescent="0.3">
      <c r="I11101"/>
    </row>
    <row r="11102" spans="9:9" x14ac:dyDescent="0.3">
      <c r="I11102"/>
    </row>
    <row r="11103" spans="9:9" x14ac:dyDescent="0.3">
      <c r="I11103"/>
    </row>
    <row r="11104" spans="9:9" x14ac:dyDescent="0.3">
      <c r="I11104"/>
    </row>
    <row r="11105" spans="9:9" x14ac:dyDescent="0.3">
      <c r="I11105"/>
    </row>
    <row r="11106" spans="9:9" x14ac:dyDescent="0.3">
      <c r="I11106"/>
    </row>
    <row r="11107" spans="9:9" x14ac:dyDescent="0.3">
      <c r="I11107"/>
    </row>
    <row r="11108" spans="9:9" x14ac:dyDescent="0.3">
      <c r="I11108"/>
    </row>
    <row r="11109" spans="9:9" x14ac:dyDescent="0.3">
      <c r="I11109"/>
    </row>
    <row r="11110" spans="9:9" x14ac:dyDescent="0.3">
      <c r="I11110"/>
    </row>
    <row r="11111" spans="9:9" x14ac:dyDescent="0.3">
      <c r="I11111"/>
    </row>
    <row r="11112" spans="9:9" x14ac:dyDescent="0.3">
      <c r="I11112"/>
    </row>
    <row r="11113" spans="9:9" x14ac:dyDescent="0.3">
      <c r="I11113"/>
    </row>
    <row r="11114" spans="9:9" x14ac:dyDescent="0.3">
      <c r="I11114"/>
    </row>
    <row r="11115" spans="9:9" x14ac:dyDescent="0.3">
      <c r="I11115"/>
    </row>
    <row r="11116" spans="9:9" x14ac:dyDescent="0.3">
      <c r="I11116"/>
    </row>
    <row r="11117" spans="9:9" x14ac:dyDescent="0.3">
      <c r="I11117"/>
    </row>
    <row r="11118" spans="9:9" x14ac:dyDescent="0.3">
      <c r="I11118"/>
    </row>
    <row r="11119" spans="9:9" x14ac:dyDescent="0.3">
      <c r="I11119"/>
    </row>
    <row r="11120" spans="9:9" x14ac:dyDescent="0.3">
      <c r="I11120"/>
    </row>
    <row r="11121" spans="9:9" x14ac:dyDescent="0.3">
      <c r="I11121"/>
    </row>
    <row r="11122" spans="9:9" x14ac:dyDescent="0.3">
      <c r="I11122"/>
    </row>
    <row r="11123" spans="9:9" x14ac:dyDescent="0.3">
      <c r="I11123"/>
    </row>
    <row r="11124" spans="9:9" x14ac:dyDescent="0.3">
      <c r="I11124"/>
    </row>
    <row r="11125" spans="9:9" x14ac:dyDescent="0.3">
      <c r="I11125"/>
    </row>
    <row r="11126" spans="9:9" x14ac:dyDescent="0.3">
      <c r="I11126"/>
    </row>
    <row r="11127" spans="9:9" x14ac:dyDescent="0.3">
      <c r="I11127"/>
    </row>
    <row r="11128" spans="9:9" x14ac:dyDescent="0.3">
      <c r="I11128"/>
    </row>
    <row r="11129" spans="9:9" x14ac:dyDescent="0.3">
      <c r="I11129"/>
    </row>
    <row r="11130" spans="9:9" x14ac:dyDescent="0.3">
      <c r="I11130"/>
    </row>
    <row r="11131" spans="9:9" x14ac:dyDescent="0.3">
      <c r="I11131"/>
    </row>
    <row r="11132" spans="9:9" x14ac:dyDescent="0.3">
      <c r="I11132"/>
    </row>
    <row r="11133" spans="9:9" x14ac:dyDescent="0.3">
      <c r="I11133"/>
    </row>
    <row r="11134" spans="9:9" x14ac:dyDescent="0.3">
      <c r="I11134"/>
    </row>
    <row r="11135" spans="9:9" x14ac:dyDescent="0.3">
      <c r="I11135"/>
    </row>
    <row r="11136" spans="9:9" x14ac:dyDescent="0.3">
      <c r="I11136"/>
    </row>
    <row r="11137" spans="9:9" x14ac:dyDescent="0.3">
      <c r="I11137"/>
    </row>
    <row r="11138" spans="9:9" x14ac:dyDescent="0.3">
      <c r="I11138"/>
    </row>
    <row r="11139" spans="9:9" x14ac:dyDescent="0.3">
      <c r="I11139"/>
    </row>
    <row r="11140" spans="9:9" x14ac:dyDescent="0.3">
      <c r="I11140"/>
    </row>
    <row r="11141" spans="9:9" x14ac:dyDescent="0.3">
      <c r="I11141"/>
    </row>
    <row r="11142" spans="9:9" x14ac:dyDescent="0.3">
      <c r="I11142"/>
    </row>
    <row r="11143" spans="9:9" x14ac:dyDescent="0.3">
      <c r="I11143"/>
    </row>
    <row r="11144" spans="9:9" x14ac:dyDescent="0.3">
      <c r="I11144"/>
    </row>
    <row r="11145" spans="9:9" x14ac:dyDescent="0.3">
      <c r="I11145"/>
    </row>
    <row r="11146" spans="9:9" x14ac:dyDescent="0.3">
      <c r="I11146"/>
    </row>
    <row r="11147" spans="9:9" x14ac:dyDescent="0.3">
      <c r="I11147"/>
    </row>
    <row r="11148" spans="9:9" x14ac:dyDescent="0.3">
      <c r="I11148"/>
    </row>
    <row r="11149" spans="9:9" x14ac:dyDescent="0.3">
      <c r="I11149"/>
    </row>
    <row r="11150" spans="9:9" x14ac:dyDescent="0.3">
      <c r="I11150"/>
    </row>
    <row r="11151" spans="9:9" x14ac:dyDescent="0.3">
      <c r="I11151"/>
    </row>
    <row r="11152" spans="9:9" x14ac:dyDescent="0.3">
      <c r="I11152"/>
    </row>
    <row r="11153" spans="9:9" x14ac:dyDescent="0.3">
      <c r="I11153"/>
    </row>
    <row r="11154" spans="9:9" x14ac:dyDescent="0.3">
      <c r="I11154"/>
    </row>
    <row r="11155" spans="9:9" x14ac:dyDescent="0.3">
      <c r="I11155"/>
    </row>
    <row r="11156" spans="9:9" x14ac:dyDescent="0.3">
      <c r="I11156"/>
    </row>
    <row r="11157" spans="9:9" x14ac:dyDescent="0.3">
      <c r="I11157"/>
    </row>
    <row r="11158" spans="9:9" x14ac:dyDescent="0.3">
      <c r="I11158"/>
    </row>
    <row r="11159" spans="9:9" x14ac:dyDescent="0.3">
      <c r="I11159"/>
    </row>
    <row r="11160" spans="9:9" x14ac:dyDescent="0.3">
      <c r="I11160"/>
    </row>
    <row r="11161" spans="9:9" x14ac:dyDescent="0.3">
      <c r="I11161"/>
    </row>
    <row r="11162" spans="9:9" x14ac:dyDescent="0.3">
      <c r="I11162"/>
    </row>
    <row r="11163" spans="9:9" x14ac:dyDescent="0.3">
      <c r="I11163"/>
    </row>
    <row r="11164" spans="9:9" x14ac:dyDescent="0.3">
      <c r="I11164"/>
    </row>
    <row r="11165" spans="9:9" x14ac:dyDescent="0.3">
      <c r="I11165"/>
    </row>
    <row r="11166" spans="9:9" x14ac:dyDescent="0.3">
      <c r="I11166"/>
    </row>
    <row r="11167" spans="9:9" x14ac:dyDescent="0.3">
      <c r="I11167"/>
    </row>
    <row r="11168" spans="9:9" x14ac:dyDescent="0.3">
      <c r="I11168"/>
    </row>
    <row r="11169" spans="9:9" x14ac:dyDescent="0.3">
      <c r="I11169"/>
    </row>
    <row r="11170" spans="9:9" x14ac:dyDescent="0.3">
      <c r="I11170"/>
    </row>
    <row r="11171" spans="9:9" x14ac:dyDescent="0.3">
      <c r="I11171"/>
    </row>
    <row r="11172" spans="9:9" x14ac:dyDescent="0.3">
      <c r="I11172"/>
    </row>
    <row r="11173" spans="9:9" x14ac:dyDescent="0.3">
      <c r="I11173"/>
    </row>
    <row r="11174" spans="9:9" x14ac:dyDescent="0.3">
      <c r="I11174"/>
    </row>
    <row r="11175" spans="9:9" x14ac:dyDescent="0.3">
      <c r="I11175"/>
    </row>
    <row r="11176" spans="9:9" x14ac:dyDescent="0.3">
      <c r="I11176"/>
    </row>
    <row r="11177" spans="9:9" x14ac:dyDescent="0.3">
      <c r="I11177"/>
    </row>
    <row r="11178" spans="9:9" x14ac:dyDescent="0.3">
      <c r="I11178"/>
    </row>
    <row r="11179" spans="9:9" x14ac:dyDescent="0.3">
      <c r="I11179"/>
    </row>
    <row r="11180" spans="9:9" x14ac:dyDescent="0.3">
      <c r="I11180"/>
    </row>
    <row r="11181" spans="9:9" x14ac:dyDescent="0.3">
      <c r="I11181"/>
    </row>
    <row r="11182" spans="9:9" x14ac:dyDescent="0.3">
      <c r="I11182"/>
    </row>
    <row r="11183" spans="9:9" x14ac:dyDescent="0.3">
      <c r="I11183"/>
    </row>
    <row r="11184" spans="9:9" x14ac:dyDescent="0.3">
      <c r="I11184"/>
    </row>
    <row r="11185" spans="9:9" x14ac:dyDescent="0.3">
      <c r="I11185"/>
    </row>
    <row r="11186" spans="9:9" x14ac:dyDescent="0.3">
      <c r="I11186"/>
    </row>
    <row r="11187" spans="9:9" x14ac:dyDescent="0.3">
      <c r="I11187"/>
    </row>
    <row r="11188" spans="9:9" x14ac:dyDescent="0.3">
      <c r="I11188"/>
    </row>
    <row r="11189" spans="9:9" x14ac:dyDescent="0.3">
      <c r="I11189"/>
    </row>
    <row r="11190" spans="9:9" x14ac:dyDescent="0.3">
      <c r="I11190"/>
    </row>
    <row r="11191" spans="9:9" x14ac:dyDescent="0.3">
      <c r="I11191"/>
    </row>
    <row r="11192" spans="9:9" x14ac:dyDescent="0.3">
      <c r="I11192"/>
    </row>
    <row r="11193" spans="9:9" x14ac:dyDescent="0.3">
      <c r="I11193"/>
    </row>
    <row r="11194" spans="9:9" x14ac:dyDescent="0.3">
      <c r="I11194"/>
    </row>
    <row r="11195" spans="9:9" x14ac:dyDescent="0.3">
      <c r="I11195"/>
    </row>
    <row r="11196" spans="9:9" x14ac:dyDescent="0.3">
      <c r="I11196"/>
    </row>
    <row r="11197" spans="9:9" x14ac:dyDescent="0.3">
      <c r="I11197"/>
    </row>
    <row r="11198" spans="9:9" x14ac:dyDescent="0.3">
      <c r="I11198"/>
    </row>
    <row r="11199" spans="9:9" x14ac:dyDescent="0.3">
      <c r="I11199"/>
    </row>
    <row r="11200" spans="9:9" x14ac:dyDescent="0.3">
      <c r="I11200"/>
    </row>
    <row r="11201" spans="9:9" x14ac:dyDescent="0.3">
      <c r="I11201"/>
    </row>
    <row r="11202" spans="9:9" x14ac:dyDescent="0.3">
      <c r="I11202"/>
    </row>
    <row r="11203" spans="9:9" x14ac:dyDescent="0.3">
      <c r="I11203"/>
    </row>
    <row r="11204" spans="9:9" x14ac:dyDescent="0.3">
      <c r="I11204"/>
    </row>
    <row r="11205" spans="9:9" x14ac:dyDescent="0.3">
      <c r="I11205"/>
    </row>
    <row r="11206" spans="9:9" x14ac:dyDescent="0.3">
      <c r="I11206"/>
    </row>
    <row r="11207" spans="9:9" x14ac:dyDescent="0.3">
      <c r="I11207"/>
    </row>
    <row r="11208" spans="9:9" x14ac:dyDescent="0.3">
      <c r="I11208"/>
    </row>
    <row r="11209" spans="9:9" x14ac:dyDescent="0.3">
      <c r="I11209"/>
    </row>
    <row r="11210" spans="9:9" x14ac:dyDescent="0.3">
      <c r="I11210"/>
    </row>
    <row r="11211" spans="9:9" x14ac:dyDescent="0.3">
      <c r="I11211"/>
    </row>
    <row r="11212" spans="9:9" x14ac:dyDescent="0.3">
      <c r="I11212"/>
    </row>
    <row r="11213" spans="9:9" x14ac:dyDescent="0.3">
      <c r="I11213"/>
    </row>
    <row r="11214" spans="9:9" x14ac:dyDescent="0.3">
      <c r="I11214"/>
    </row>
    <row r="11215" spans="9:9" x14ac:dyDescent="0.3">
      <c r="I11215"/>
    </row>
    <row r="11216" spans="9:9" x14ac:dyDescent="0.3">
      <c r="I11216"/>
    </row>
    <row r="11217" spans="9:9" x14ac:dyDescent="0.3">
      <c r="I11217"/>
    </row>
    <row r="11218" spans="9:9" x14ac:dyDescent="0.3">
      <c r="I11218"/>
    </row>
    <row r="11219" spans="9:9" x14ac:dyDescent="0.3">
      <c r="I11219"/>
    </row>
    <row r="11220" spans="9:9" x14ac:dyDescent="0.3">
      <c r="I11220"/>
    </row>
    <row r="11221" spans="9:9" x14ac:dyDescent="0.3">
      <c r="I11221"/>
    </row>
    <row r="11222" spans="9:9" x14ac:dyDescent="0.3">
      <c r="I11222"/>
    </row>
    <row r="11223" spans="9:9" x14ac:dyDescent="0.3">
      <c r="I11223"/>
    </row>
    <row r="11224" spans="9:9" x14ac:dyDescent="0.3">
      <c r="I11224"/>
    </row>
    <row r="11225" spans="9:9" x14ac:dyDescent="0.3">
      <c r="I11225"/>
    </row>
    <row r="11226" spans="9:9" x14ac:dyDescent="0.3">
      <c r="I11226"/>
    </row>
    <row r="11227" spans="9:9" x14ac:dyDescent="0.3">
      <c r="I11227"/>
    </row>
    <row r="11228" spans="9:9" x14ac:dyDescent="0.3">
      <c r="I11228"/>
    </row>
    <row r="11229" spans="9:9" x14ac:dyDescent="0.3">
      <c r="I11229"/>
    </row>
    <row r="11230" spans="9:9" x14ac:dyDescent="0.3">
      <c r="I11230"/>
    </row>
    <row r="11231" spans="9:9" x14ac:dyDescent="0.3">
      <c r="I11231"/>
    </row>
    <row r="11232" spans="9:9" x14ac:dyDescent="0.3">
      <c r="I11232"/>
    </row>
    <row r="11233" spans="9:9" x14ac:dyDescent="0.3">
      <c r="I11233"/>
    </row>
    <row r="11234" spans="9:9" x14ac:dyDescent="0.3">
      <c r="I11234"/>
    </row>
    <row r="11235" spans="9:9" x14ac:dyDescent="0.3">
      <c r="I11235"/>
    </row>
    <row r="11236" spans="9:9" x14ac:dyDescent="0.3">
      <c r="I11236"/>
    </row>
    <row r="11237" spans="9:9" x14ac:dyDescent="0.3">
      <c r="I11237"/>
    </row>
    <row r="11238" spans="9:9" x14ac:dyDescent="0.3">
      <c r="I11238"/>
    </row>
    <row r="11239" spans="9:9" x14ac:dyDescent="0.3">
      <c r="I11239"/>
    </row>
    <row r="11240" spans="9:9" x14ac:dyDescent="0.3">
      <c r="I11240"/>
    </row>
    <row r="11241" spans="9:9" x14ac:dyDescent="0.3">
      <c r="I11241"/>
    </row>
    <row r="11242" spans="9:9" x14ac:dyDescent="0.3">
      <c r="I11242"/>
    </row>
    <row r="11243" spans="9:9" x14ac:dyDescent="0.3">
      <c r="I11243"/>
    </row>
    <row r="11244" spans="9:9" x14ac:dyDescent="0.3">
      <c r="I11244"/>
    </row>
    <row r="11245" spans="9:9" x14ac:dyDescent="0.3">
      <c r="I11245"/>
    </row>
    <row r="11246" spans="9:9" x14ac:dyDescent="0.3">
      <c r="I11246"/>
    </row>
    <row r="11247" spans="9:9" x14ac:dyDescent="0.3">
      <c r="I11247"/>
    </row>
    <row r="11248" spans="9:9" x14ac:dyDescent="0.3">
      <c r="I11248"/>
    </row>
    <row r="11249" spans="9:9" x14ac:dyDescent="0.3">
      <c r="I11249"/>
    </row>
    <row r="11250" spans="9:9" x14ac:dyDescent="0.3">
      <c r="I11250"/>
    </row>
    <row r="11251" spans="9:9" x14ac:dyDescent="0.3">
      <c r="I11251"/>
    </row>
    <row r="11252" spans="9:9" x14ac:dyDescent="0.3">
      <c r="I11252"/>
    </row>
    <row r="11253" spans="9:9" x14ac:dyDescent="0.3">
      <c r="I11253"/>
    </row>
    <row r="11254" spans="9:9" x14ac:dyDescent="0.3">
      <c r="I11254"/>
    </row>
    <row r="11255" spans="9:9" x14ac:dyDescent="0.3">
      <c r="I11255"/>
    </row>
    <row r="11256" spans="9:9" x14ac:dyDescent="0.3">
      <c r="I11256"/>
    </row>
    <row r="11257" spans="9:9" x14ac:dyDescent="0.3">
      <c r="I11257"/>
    </row>
    <row r="11258" spans="9:9" x14ac:dyDescent="0.3">
      <c r="I11258"/>
    </row>
    <row r="11259" spans="9:9" x14ac:dyDescent="0.3">
      <c r="I11259"/>
    </row>
    <row r="11260" spans="9:9" x14ac:dyDescent="0.3">
      <c r="I11260"/>
    </row>
    <row r="11261" spans="9:9" x14ac:dyDescent="0.3">
      <c r="I11261"/>
    </row>
    <row r="11262" spans="9:9" x14ac:dyDescent="0.3">
      <c r="I11262"/>
    </row>
    <row r="11263" spans="9:9" x14ac:dyDescent="0.3">
      <c r="I11263"/>
    </row>
    <row r="11264" spans="9:9" x14ac:dyDescent="0.3">
      <c r="I11264"/>
    </row>
    <row r="11265" spans="9:9" x14ac:dyDescent="0.3">
      <c r="I11265"/>
    </row>
    <row r="11266" spans="9:9" x14ac:dyDescent="0.3">
      <c r="I11266"/>
    </row>
    <row r="11267" spans="9:9" x14ac:dyDescent="0.3">
      <c r="I11267"/>
    </row>
    <row r="11268" spans="9:9" x14ac:dyDescent="0.3">
      <c r="I11268"/>
    </row>
    <row r="11269" spans="9:9" x14ac:dyDescent="0.3">
      <c r="I11269"/>
    </row>
    <row r="11270" spans="9:9" x14ac:dyDescent="0.3">
      <c r="I11270"/>
    </row>
    <row r="11271" spans="9:9" x14ac:dyDescent="0.3">
      <c r="I11271"/>
    </row>
    <row r="11272" spans="9:9" x14ac:dyDescent="0.3">
      <c r="I11272"/>
    </row>
    <row r="11273" spans="9:9" x14ac:dyDescent="0.3">
      <c r="I11273"/>
    </row>
    <row r="11274" spans="9:9" x14ac:dyDescent="0.3">
      <c r="I11274"/>
    </row>
    <row r="11275" spans="9:9" x14ac:dyDescent="0.3">
      <c r="I11275"/>
    </row>
    <row r="11276" spans="9:9" x14ac:dyDescent="0.3">
      <c r="I11276"/>
    </row>
    <row r="11277" spans="9:9" x14ac:dyDescent="0.3">
      <c r="I11277"/>
    </row>
    <row r="11278" spans="9:9" x14ac:dyDescent="0.3">
      <c r="I11278"/>
    </row>
    <row r="11279" spans="9:9" x14ac:dyDescent="0.3">
      <c r="I11279"/>
    </row>
    <row r="11280" spans="9:9" x14ac:dyDescent="0.3">
      <c r="I11280"/>
    </row>
    <row r="11281" spans="9:9" x14ac:dyDescent="0.3">
      <c r="I11281"/>
    </row>
    <row r="11282" spans="9:9" x14ac:dyDescent="0.3">
      <c r="I11282"/>
    </row>
    <row r="11283" spans="9:9" x14ac:dyDescent="0.3">
      <c r="I11283"/>
    </row>
    <row r="11284" spans="9:9" x14ac:dyDescent="0.3">
      <c r="I11284"/>
    </row>
    <row r="11285" spans="9:9" x14ac:dyDescent="0.3">
      <c r="I11285"/>
    </row>
    <row r="11286" spans="9:9" x14ac:dyDescent="0.3">
      <c r="I11286"/>
    </row>
    <row r="11287" spans="9:9" x14ac:dyDescent="0.3">
      <c r="I11287"/>
    </row>
    <row r="11288" spans="9:9" x14ac:dyDescent="0.3">
      <c r="I11288"/>
    </row>
    <row r="11289" spans="9:9" x14ac:dyDescent="0.3">
      <c r="I11289"/>
    </row>
    <row r="11290" spans="9:9" x14ac:dyDescent="0.3">
      <c r="I11290"/>
    </row>
    <row r="11291" spans="9:9" x14ac:dyDescent="0.3">
      <c r="I11291"/>
    </row>
    <row r="11292" spans="9:9" x14ac:dyDescent="0.3">
      <c r="I11292"/>
    </row>
    <row r="11293" spans="9:9" x14ac:dyDescent="0.3">
      <c r="I11293"/>
    </row>
    <row r="11294" spans="9:9" x14ac:dyDescent="0.3">
      <c r="I11294"/>
    </row>
    <row r="11295" spans="9:9" x14ac:dyDescent="0.3">
      <c r="I11295"/>
    </row>
    <row r="11296" spans="9:9" x14ac:dyDescent="0.3">
      <c r="I11296"/>
    </row>
    <row r="11297" spans="9:9" x14ac:dyDescent="0.3">
      <c r="I11297"/>
    </row>
    <row r="11298" spans="9:9" x14ac:dyDescent="0.3">
      <c r="I11298"/>
    </row>
    <row r="11299" spans="9:9" x14ac:dyDescent="0.3">
      <c r="I11299"/>
    </row>
    <row r="11300" spans="9:9" x14ac:dyDescent="0.3">
      <c r="I11300"/>
    </row>
    <row r="11301" spans="9:9" x14ac:dyDescent="0.3">
      <c r="I11301"/>
    </row>
    <row r="11302" spans="9:9" x14ac:dyDescent="0.3">
      <c r="I11302"/>
    </row>
    <row r="11303" spans="9:9" x14ac:dyDescent="0.3">
      <c r="I11303"/>
    </row>
    <row r="11304" spans="9:9" x14ac:dyDescent="0.3">
      <c r="I11304"/>
    </row>
    <row r="11305" spans="9:9" x14ac:dyDescent="0.3">
      <c r="I11305"/>
    </row>
    <row r="11306" spans="9:9" x14ac:dyDescent="0.3">
      <c r="I11306"/>
    </row>
    <row r="11307" spans="9:9" x14ac:dyDescent="0.3">
      <c r="I11307"/>
    </row>
    <row r="11308" spans="9:9" x14ac:dyDescent="0.3">
      <c r="I11308"/>
    </row>
    <row r="11309" spans="9:9" x14ac:dyDescent="0.3">
      <c r="I11309"/>
    </row>
    <row r="11310" spans="9:9" x14ac:dyDescent="0.3">
      <c r="I11310"/>
    </row>
    <row r="11311" spans="9:9" x14ac:dyDescent="0.3">
      <c r="I11311"/>
    </row>
    <row r="11312" spans="9:9" x14ac:dyDescent="0.3">
      <c r="I11312"/>
    </row>
    <row r="11313" spans="9:9" x14ac:dyDescent="0.3">
      <c r="I11313"/>
    </row>
    <row r="11314" spans="9:9" x14ac:dyDescent="0.3">
      <c r="I11314"/>
    </row>
    <row r="11315" spans="9:9" x14ac:dyDescent="0.3">
      <c r="I11315"/>
    </row>
    <row r="11316" spans="9:9" x14ac:dyDescent="0.3">
      <c r="I11316"/>
    </row>
    <row r="11317" spans="9:9" x14ac:dyDescent="0.3">
      <c r="I11317"/>
    </row>
    <row r="11318" spans="9:9" x14ac:dyDescent="0.3">
      <c r="I11318"/>
    </row>
    <row r="11319" spans="9:9" x14ac:dyDescent="0.3">
      <c r="I11319"/>
    </row>
    <row r="11320" spans="9:9" x14ac:dyDescent="0.3">
      <c r="I11320"/>
    </row>
    <row r="11321" spans="9:9" x14ac:dyDescent="0.3">
      <c r="I11321"/>
    </row>
    <row r="11322" spans="9:9" x14ac:dyDescent="0.3">
      <c r="I11322"/>
    </row>
    <row r="11323" spans="9:9" x14ac:dyDescent="0.3">
      <c r="I11323"/>
    </row>
    <row r="11324" spans="9:9" x14ac:dyDescent="0.3">
      <c r="I11324"/>
    </row>
    <row r="11325" spans="9:9" x14ac:dyDescent="0.3">
      <c r="I11325"/>
    </row>
    <row r="11326" spans="9:9" x14ac:dyDescent="0.3">
      <c r="I11326"/>
    </row>
    <row r="11327" spans="9:9" x14ac:dyDescent="0.3">
      <c r="I11327"/>
    </row>
    <row r="11328" spans="9:9" x14ac:dyDescent="0.3">
      <c r="I11328"/>
    </row>
    <row r="11329" spans="9:9" x14ac:dyDescent="0.3">
      <c r="I11329"/>
    </row>
    <row r="11330" spans="9:9" x14ac:dyDescent="0.3">
      <c r="I11330"/>
    </row>
    <row r="11331" spans="9:9" x14ac:dyDescent="0.3">
      <c r="I11331"/>
    </row>
    <row r="11332" spans="9:9" x14ac:dyDescent="0.3">
      <c r="I11332"/>
    </row>
    <row r="11333" spans="9:9" x14ac:dyDescent="0.3">
      <c r="I11333"/>
    </row>
    <row r="11334" spans="9:9" x14ac:dyDescent="0.3">
      <c r="I11334"/>
    </row>
    <row r="11335" spans="9:9" x14ac:dyDescent="0.3">
      <c r="I11335"/>
    </row>
    <row r="11336" spans="9:9" x14ac:dyDescent="0.3">
      <c r="I11336"/>
    </row>
    <row r="11337" spans="9:9" x14ac:dyDescent="0.3">
      <c r="I11337"/>
    </row>
    <row r="11338" spans="9:9" x14ac:dyDescent="0.3">
      <c r="I11338"/>
    </row>
    <row r="11339" spans="9:9" x14ac:dyDescent="0.3">
      <c r="I11339"/>
    </row>
    <row r="11340" spans="9:9" x14ac:dyDescent="0.3">
      <c r="I11340"/>
    </row>
    <row r="11341" spans="9:9" x14ac:dyDescent="0.3">
      <c r="I11341"/>
    </row>
    <row r="11342" spans="9:9" x14ac:dyDescent="0.3">
      <c r="I11342"/>
    </row>
    <row r="11343" spans="9:9" x14ac:dyDescent="0.3">
      <c r="I11343"/>
    </row>
    <row r="11344" spans="9:9" x14ac:dyDescent="0.3">
      <c r="I11344"/>
    </row>
    <row r="11345" spans="9:9" x14ac:dyDescent="0.3">
      <c r="I11345"/>
    </row>
    <row r="11346" spans="9:9" x14ac:dyDescent="0.3">
      <c r="I11346"/>
    </row>
    <row r="11347" spans="9:9" x14ac:dyDescent="0.3">
      <c r="I11347"/>
    </row>
    <row r="11348" spans="9:9" x14ac:dyDescent="0.3">
      <c r="I11348"/>
    </row>
    <row r="11349" spans="9:9" x14ac:dyDescent="0.3">
      <c r="I11349"/>
    </row>
    <row r="11350" spans="9:9" x14ac:dyDescent="0.3">
      <c r="I11350"/>
    </row>
    <row r="11351" spans="9:9" x14ac:dyDescent="0.3">
      <c r="I11351"/>
    </row>
    <row r="11352" spans="9:9" x14ac:dyDescent="0.3">
      <c r="I11352"/>
    </row>
    <row r="11353" spans="9:9" x14ac:dyDescent="0.3">
      <c r="I11353"/>
    </row>
    <row r="11354" spans="9:9" x14ac:dyDescent="0.3">
      <c r="I11354"/>
    </row>
    <row r="11355" spans="9:9" x14ac:dyDescent="0.3">
      <c r="I11355"/>
    </row>
    <row r="11356" spans="9:9" x14ac:dyDescent="0.3">
      <c r="I11356"/>
    </row>
    <row r="11357" spans="9:9" x14ac:dyDescent="0.3">
      <c r="I11357"/>
    </row>
    <row r="11358" spans="9:9" x14ac:dyDescent="0.3">
      <c r="I11358"/>
    </row>
    <row r="11359" spans="9:9" x14ac:dyDescent="0.3">
      <c r="I11359"/>
    </row>
    <row r="11360" spans="9:9" x14ac:dyDescent="0.3">
      <c r="I11360"/>
    </row>
    <row r="11361" spans="9:9" x14ac:dyDescent="0.3">
      <c r="I11361"/>
    </row>
    <row r="11362" spans="9:9" x14ac:dyDescent="0.3">
      <c r="I11362"/>
    </row>
    <row r="11363" spans="9:9" x14ac:dyDescent="0.3">
      <c r="I11363"/>
    </row>
    <row r="11364" spans="9:9" x14ac:dyDescent="0.3">
      <c r="I11364"/>
    </row>
    <row r="11365" spans="9:9" x14ac:dyDescent="0.3">
      <c r="I11365"/>
    </row>
    <row r="11366" spans="9:9" x14ac:dyDescent="0.3">
      <c r="I11366"/>
    </row>
    <row r="11367" spans="9:9" x14ac:dyDescent="0.3">
      <c r="I11367"/>
    </row>
    <row r="11368" spans="9:9" x14ac:dyDescent="0.3">
      <c r="I11368"/>
    </row>
    <row r="11369" spans="9:9" x14ac:dyDescent="0.3">
      <c r="I11369"/>
    </row>
    <row r="11370" spans="9:9" x14ac:dyDescent="0.3">
      <c r="I11370"/>
    </row>
    <row r="11371" spans="9:9" x14ac:dyDescent="0.3">
      <c r="I11371"/>
    </row>
    <row r="11372" spans="9:9" x14ac:dyDescent="0.3">
      <c r="I11372"/>
    </row>
    <row r="11373" spans="9:9" x14ac:dyDescent="0.3">
      <c r="I11373"/>
    </row>
    <row r="11374" spans="9:9" x14ac:dyDescent="0.3">
      <c r="I11374"/>
    </row>
    <row r="11375" spans="9:9" x14ac:dyDescent="0.3">
      <c r="I11375"/>
    </row>
    <row r="11376" spans="9:9" x14ac:dyDescent="0.3">
      <c r="I11376"/>
    </row>
    <row r="11377" spans="9:9" x14ac:dyDescent="0.3">
      <c r="I11377"/>
    </row>
    <row r="11378" spans="9:9" x14ac:dyDescent="0.3">
      <c r="I11378"/>
    </row>
    <row r="11379" spans="9:9" x14ac:dyDescent="0.3">
      <c r="I11379"/>
    </row>
    <row r="11380" spans="9:9" x14ac:dyDescent="0.3">
      <c r="I11380"/>
    </row>
    <row r="11381" spans="9:9" x14ac:dyDescent="0.3">
      <c r="I11381"/>
    </row>
    <row r="11382" spans="9:9" x14ac:dyDescent="0.3">
      <c r="I11382"/>
    </row>
    <row r="11383" spans="9:9" x14ac:dyDescent="0.3">
      <c r="I11383"/>
    </row>
    <row r="11384" spans="9:9" x14ac:dyDescent="0.3">
      <c r="I11384"/>
    </row>
    <row r="11385" spans="9:9" x14ac:dyDescent="0.3">
      <c r="I11385"/>
    </row>
    <row r="11386" spans="9:9" x14ac:dyDescent="0.3">
      <c r="I11386"/>
    </row>
    <row r="11387" spans="9:9" x14ac:dyDescent="0.3">
      <c r="I11387"/>
    </row>
    <row r="11388" spans="9:9" x14ac:dyDescent="0.3">
      <c r="I11388"/>
    </row>
    <row r="11389" spans="9:9" x14ac:dyDescent="0.3">
      <c r="I11389"/>
    </row>
    <row r="11390" spans="9:9" x14ac:dyDescent="0.3">
      <c r="I11390"/>
    </row>
    <row r="11391" spans="9:9" x14ac:dyDescent="0.3">
      <c r="I11391"/>
    </row>
    <row r="11392" spans="9:9" x14ac:dyDescent="0.3">
      <c r="I11392"/>
    </row>
    <row r="11393" spans="9:9" x14ac:dyDescent="0.3">
      <c r="I11393"/>
    </row>
    <row r="11394" spans="9:9" x14ac:dyDescent="0.3">
      <c r="I11394"/>
    </row>
    <row r="11395" spans="9:9" x14ac:dyDescent="0.3">
      <c r="I11395"/>
    </row>
    <row r="11396" spans="9:9" x14ac:dyDescent="0.3">
      <c r="I11396"/>
    </row>
    <row r="11397" spans="9:9" x14ac:dyDescent="0.3">
      <c r="I11397"/>
    </row>
    <row r="11398" spans="9:9" x14ac:dyDescent="0.3">
      <c r="I11398"/>
    </row>
    <row r="11399" spans="9:9" x14ac:dyDescent="0.3">
      <c r="I11399"/>
    </row>
    <row r="11400" spans="9:9" x14ac:dyDescent="0.3">
      <c r="I11400"/>
    </row>
    <row r="11401" spans="9:9" x14ac:dyDescent="0.3">
      <c r="I11401"/>
    </row>
    <row r="11402" spans="9:9" x14ac:dyDescent="0.3">
      <c r="I11402"/>
    </row>
    <row r="11403" spans="9:9" x14ac:dyDescent="0.3">
      <c r="I11403"/>
    </row>
    <row r="11404" spans="9:9" x14ac:dyDescent="0.3">
      <c r="I11404"/>
    </row>
    <row r="11405" spans="9:9" x14ac:dyDescent="0.3">
      <c r="I11405"/>
    </row>
    <row r="11406" spans="9:9" x14ac:dyDescent="0.3">
      <c r="I11406"/>
    </row>
    <row r="11407" spans="9:9" x14ac:dyDescent="0.3">
      <c r="I11407"/>
    </row>
    <row r="11408" spans="9:9" x14ac:dyDescent="0.3">
      <c r="I11408"/>
    </row>
    <row r="11409" spans="9:9" x14ac:dyDescent="0.3">
      <c r="I11409"/>
    </row>
    <row r="11410" spans="9:9" x14ac:dyDescent="0.3">
      <c r="I11410"/>
    </row>
    <row r="11411" spans="9:9" x14ac:dyDescent="0.3">
      <c r="I11411"/>
    </row>
    <row r="11412" spans="9:9" x14ac:dyDescent="0.3">
      <c r="I11412"/>
    </row>
    <row r="11413" spans="9:9" x14ac:dyDescent="0.3">
      <c r="I11413"/>
    </row>
    <row r="11414" spans="9:9" x14ac:dyDescent="0.3">
      <c r="I11414"/>
    </row>
    <row r="11415" spans="9:9" x14ac:dyDescent="0.3">
      <c r="I11415"/>
    </row>
    <row r="11416" spans="9:9" x14ac:dyDescent="0.3">
      <c r="I11416"/>
    </row>
    <row r="11417" spans="9:9" x14ac:dyDescent="0.3">
      <c r="I11417"/>
    </row>
    <row r="11418" spans="9:9" x14ac:dyDescent="0.3">
      <c r="I11418"/>
    </row>
    <row r="11419" spans="9:9" x14ac:dyDescent="0.3">
      <c r="I11419"/>
    </row>
    <row r="11420" spans="9:9" x14ac:dyDescent="0.3">
      <c r="I11420"/>
    </row>
    <row r="11421" spans="9:9" x14ac:dyDescent="0.3">
      <c r="I11421"/>
    </row>
    <row r="11422" spans="9:9" x14ac:dyDescent="0.3">
      <c r="I11422"/>
    </row>
    <row r="11423" spans="9:9" x14ac:dyDescent="0.3">
      <c r="I11423"/>
    </row>
    <row r="11424" spans="9:9" x14ac:dyDescent="0.3">
      <c r="I11424"/>
    </row>
    <row r="11425" spans="9:9" x14ac:dyDescent="0.3">
      <c r="I11425"/>
    </row>
    <row r="11426" spans="9:9" x14ac:dyDescent="0.3">
      <c r="I11426"/>
    </row>
    <row r="11427" spans="9:9" x14ac:dyDescent="0.3">
      <c r="I11427"/>
    </row>
    <row r="11428" spans="9:9" x14ac:dyDescent="0.3">
      <c r="I11428"/>
    </row>
    <row r="11429" spans="9:9" x14ac:dyDescent="0.3">
      <c r="I11429"/>
    </row>
    <row r="11430" spans="9:9" x14ac:dyDescent="0.3">
      <c r="I11430"/>
    </row>
    <row r="11431" spans="9:9" x14ac:dyDescent="0.3">
      <c r="I11431"/>
    </row>
    <row r="11432" spans="9:9" x14ac:dyDescent="0.3">
      <c r="I11432"/>
    </row>
    <row r="11433" spans="9:9" x14ac:dyDescent="0.3">
      <c r="I11433"/>
    </row>
    <row r="11434" spans="9:9" x14ac:dyDescent="0.3">
      <c r="I11434"/>
    </row>
    <row r="11435" spans="9:9" x14ac:dyDescent="0.3">
      <c r="I11435"/>
    </row>
    <row r="11436" spans="9:9" x14ac:dyDescent="0.3">
      <c r="I11436"/>
    </row>
    <row r="11437" spans="9:9" x14ac:dyDescent="0.3">
      <c r="I11437"/>
    </row>
    <row r="11438" spans="9:9" x14ac:dyDescent="0.3">
      <c r="I11438"/>
    </row>
    <row r="11439" spans="9:9" x14ac:dyDescent="0.3">
      <c r="I11439"/>
    </row>
    <row r="11440" spans="9:9" x14ac:dyDescent="0.3">
      <c r="I11440"/>
    </row>
    <row r="11441" spans="9:9" x14ac:dyDescent="0.3">
      <c r="I11441"/>
    </row>
    <row r="11442" spans="9:9" x14ac:dyDescent="0.3">
      <c r="I11442"/>
    </row>
    <row r="11443" spans="9:9" x14ac:dyDescent="0.3">
      <c r="I11443"/>
    </row>
    <row r="11444" spans="9:9" x14ac:dyDescent="0.3">
      <c r="I11444"/>
    </row>
    <row r="11445" spans="9:9" x14ac:dyDescent="0.3">
      <c r="I11445"/>
    </row>
    <row r="11446" spans="9:9" x14ac:dyDescent="0.3">
      <c r="I11446"/>
    </row>
    <row r="11447" spans="9:9" x14ac:dyDescent="0.3">
      <c r="I11447"/>
    </row>
    <row r="11448" spans="9:9" x14ac:dyDescent="0.3">
      <c r="I11448"/>
    </row>
    <row r="11449" spans="9:9" x14ac:dyDescent="0.3">
      <c r="I11449"/>
    </row>
    <row r="11450" spans="9:9" x14ac:dyDescent="0.3">
      <c r="I11450"/>
    </row>
    <row r="11451" spans="9:9" x14ac:dyDescent="0.3">
      <c r="I11451"/>
    </row>
    <row r="11452" spans="9:9" x14ac:dyDescent="0.3">
      <c r="I11452"/>
    </row>
    <row r="11453" spans="9:9" x14ac:dyDescent="0.3">
      <c r="I11453"/>
    </row>
    <row r="11454" spans="9:9" x14ac:dyDescent="0.3">
      <c r="I11454"/>
    </row>
    <row r="11455" spans="9:9" x14ac:dyDescent="0.3">
      <c r="I11455"/>
    </row>
    <row r="11456" spans="9:9" x14ac:dyDescent="0.3">
      <c r="I11456"/>
    </row>
    <row r="11457" spans="9:9" x14ac:dyDescent="0.3">
      <c r="I11457"/>
    </row>
    <row r="11458" spans="9:9" x14ac:dyDescent="0.3">
      <c r="I11458"/>
    </row>
    <row r="11459" spans="9:9" x14ac:dyDescent="0.3">
      <c r="I11459"/>
    </row>
    <row r="11460" spans="9:9" x14ac:dyDescent="0.3">
      <c r="I11460"/>
    </row>
    <row r="11461" spans="9:9" x14ac:dyDescent="0.3">
      <c r="I11461"/>
    </row>
    <row r="11462" spans="9:9" x14ac:dyDescent="0.3">
      <c r="I11462"/>
    </row>
    <row r="11463" spans="9:9" x14ac:dyDescent="0.3">
      <c r="I11463"/>
    </row>
    <row r="11464" spans="9:9" x14ac:dyDescent="0.3">
      <c r="I11464"/>
    </row>
    <row r="11465" spans="9:9" x14ac:dyDescent="0.3">
      <c r="I11465"/>
    </row>
    <row r="11466" spans="9:9" x14ac:dyDescent="0.3">
      <c r="I11466"/>
    </row>
    <row r="11467" spans="9:9" x14ac:dyDescent="0.3">
      <c r="I11467"/>
    </row>
    <row r="11468" spans="9:9" x14ac:dyDescent="0.3">
      <c r="I11468"/>
    </row>
    <row r="11469" spans="9:9" x14ac:dyDescent="0.3">
      <c r="I11469"/>
    </row>
    <row r="11470" spans="9:9" x14ac:dyDescent="0.3">
      <c r="I11470"/>
    </row>
    <row r="11471" spans="9:9" x14ac:dyDescent="0.3">
      <c r="I11471"/>
    </row>
    <row r="11472" spans="9:9" x14ac:dyDescent="0.3">
      <c r="I11472"/>
    </row>
    <row r="11473" spans="9:9" x14ac:dyDescent="0.3">
      <c r="I11473"/>
    </row>
    <row r="11474" spans="9:9" x14ac:dyDescent="0.3">
      <c r="I11474"/>
    </row>
    <row r="11475" spans="9:9" x14ac:dyDescent="0.3">
      <c r="I11475"/>
    </row>
    <row r="11476" spans="9:9" x14ac:dyDescent="0.3">
      <c r="I11476"/>
    </row>
    <row r="11477" spans="9:9" x14ac:dyDescent="0.3">
      <c r="I11477"/>
    </row>
    <row r="11478" spans="9:9" x14ac:dyDescent="0.3">
      <c r="I11478"/>
    </row>
    <row r="11479" spans="9:9" x14ac:dyDescent="0.3">
      <c r="I11479"/>
    </row>
    <row r="11480" spans="9:9" x14ac:dyDescent="0.3">
      <c r="I11480"/>
    </row>
    <row r="11481" spans="9:9" x14ac:dyDescent="0.3">
      <c r="I11481"/>
    </row>
    <row r="11482" spans="9:9" x14ac:dyDescent="0.3">
      <c r="I11482"/>
    </row>
    <row r="11483" spans="9:9" x14ac:dyDescent="0.3">
      <c r="I11483"/>
    </row>
    <row r="11484" spans="9:9" x14ac:dyDescent="0.3">
      <c r="I11484"/>
    </row>
    <row r="11485" spans="9:9" x14ac:dyDescent="0.3">
      <c r="I11485"/>
    </row>
    <row r="11486" spans="9:9" x14ac:dyDescent="0.3">
      <c r="I11486"/>
    </row>
    <row r="11487" spans="9:9" x14ac:dyDescent="0.3">
      <c r="I11487"/>
    </row>
    <row r="11488" spans="9:9" x14ac:dyDescent="0.3">
      <c r="I11488"/>
    </row>
    <row r="11489" spans="9:9" x14ac:dyDescent="0.3">
      <c r="I11489"/>
    </row>
    <row r="11490" spans="9:9" x14ac:dyDescent="0.3">
      <c r="I11490"/>
    </row>
    <row r="11491" spans="9:9" x14ac:dyDescent="0.3">
      <c r="I11491"/>
    </row>
    <row r="11492" spans="9:9" x14ac:dyDescent="0.3">
      <c r="I11492"/>
    </row>
    <row r="11493" spans="9:9" x14ac:dyDescent="0.3">
      <c r="I11493"/>
    </row>
    <row r="11494" spans="9:9" x14ac:dyDescent="0.3">
      <c r="I11494"/>
    </row>
    <row r="11495" spans="9:9" x14ac:dyDescent="0.3">
      <c r="I11495"/>
    </row>
    <row r="11496" spans="9:9" x14ac:dyDescent="0.3">
      <c r="I11496"/>
    </row>
    <row r="11497" spans="9:9" x14ac:dyDescent="0.3">
      <c r="I11497"/>
    </row>
    <row r="11498" spans="9:9" x14ac:dyDescent="0.3">
      <c r="I11498"/>
    </row>
    <row r="11499" spans="9:9" x14ac:dyDescent="0.3">
      <c r="I11499"/>
    </row>
    <row r="11500" spans="9:9" x14ac:dyDescent="0.3">
      <c r="I11500"/>
    </row>
    <row r="11501" spans="9:9" x14ac:dyDescent="0.3">
      <c r="I11501"/>
    </row>
    <row r="11502" spans="9:9" x14ac:dyDescent="0.3">
      <c r="I11502"/>
    </row>
    <row r="11503" spans="9:9" x14ac:dyDescent="0.3">
      <c r="I11503"/>
    </row>
    <row r="11504" spans="9:9" x14ac:dyDescent="0.3">
      <c r="I11504"/>
    </row>
    <row r="11505" spans="9:9" x14ac:dyDescent="0.3">
      <c r="I11505"/>
    </row>
    <row r="11506" spans="9:9" x14ac:dyDescent="0.3">
      <c r="I11506"/>
    </row>
    <row r="11507" spans="9:9" x14ac:dyDescent="0.3">
      <c r="I11507"/>
    </row>
    <row r="11508" spans="9:9" x14ac:dyDescent="0.3">
      <c r="I11508"/>
    </row>
    <row r="11509" spans="9:9" x14ac:dyDescent="0.3">
      <c r="I11509"/>
    </row>
    <row r="11510" spans="9:9" x14ac:dyDescent="0.3">
      <c r="I11510"/>
    </row>
    <row r="11511" spans="9:9" x14ac:dyDescent="0.3">
      <c r="I11511"/>
    </row>
    <row r="11512" spans="9:9" x14ac:dyDescent="0.3">
      <c r="I11512"/>
    </row>
    <row r="11513" spans="9:9" x14ac:dyDescent="0.3">
      <c r="I11513"/>
    </row>
    <row r="11514" spans="9:9" x14ac:dyDescent="0.3">
      <c r="I11514"/>
    </row>
    <row r="11515" spans="9:9" x14ac:dyDescent="0.3">
      <c r="I11515"/>
    </row>
    <row r="11516" spans="9:9" x14ac:dyDescent="0.3">
      <c r="I11516"/>
    </row>
    <row r="11517" spans="9:9" x14ac:dyDescent="0.3">
      <c r="I11517"/>
    </row>
    <row r="11518" spans="9:9" x14ac:dyDescent="0.3">
      <c r="I11518"/>
    </row>
    <row r="11519" spans="9:9" x14ac:dyDescent="0.3">
      <c r="I11519"/>
    </row>
    <row r="11520" spans="9:9" x14ac:dyDescent="0.3">
      <c r="I11520"/>
    </row>
    <row r="11521" spans="9:9" x14ac:dyDescent="0.3">
      <c r="I11521"/>
    </row>
    <row r="11522" spans="9:9" x14ac:dyDescent="0.3">
      <c r="I11522"/>
    </row>
    <row r="11523" spans="9:9" x14ac:dyDescent="0.3">
      <c r="I11523"/>
    </row>
    <row r="11524" spans="9:9" x14ac:dyDescent="0.3">
      <c r="I11524"/>
    </row>
    <row r="11525" spans="9:9" x14ac:dyDescent="0.3">
      <c r="I11525"/>
    </row>
    <row r="11526" spans="9:9" x14ac:dyDescent="0.3">
      <c r="I11526"/>
    </row>
    <row r="11527" spans="9:9" x14ac:dyDescent="0.3">
      <c r="I11527"/>
    </row>
    <row r="11528" spans="9:9" x14ac:dyDescent="0.3">
      <c r="I11528"/>
    </row>
    <row r="11529" spans="9:9" x14ac:dyDescent="0.3">
      <c r="I11529"/>
    </row>
    <row r="11530" spans="9:9" x14ac:dyDescent="0.3">
      <c r="I11530"/>
    </row>
    <row r="11531" spans="9:9" x14ac:dyDescent="0.3">
      <c r="I11531"/>
    </row>
    <row r="11532" spans="9:9" x14ac:dyDescent="0.3">
      <c r="I11532"/>
    </row>
    <row r="11533" spans="9:9" x14ac:dyDescent="0.3">
      <c r="I11533"/>
    </row>
    <row r="11534" spans="9:9" x14ac:dyDescent="0.3">
      <c r="I11534"/>
    </row>
    <row r="11535" spans="9:9" x14ac:dyDescent="0.3">
      <c r="I11535"/>
    </row>
    <row r="11536" spans="9:9" x14ac:dyDescent="0.3">
      <c r="I11536"/>
    </row>
    <row r="11537" spans="9:9" x14ac:dyDescent="0.3">
      <c r="I11537"/>
    </row>
    <row r="11538" spans="9:9" x14ac:dyDescent="0.3">
      <c r="I11538"/>
    </row>
    <row r="11539" spans="9:9" x14ac:dyDescent="0.3">
      <c r="I1153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EE3A-84DF-4A75-B3FE-3A3A33516B51}">
  <sheetPr>
    <tabColor rgb="FF7030A0"/>
  </sheetPr>
  <dimension ref="A1:H79"/>
  <sheetViews>
    <sheetView zoomScale="93" zoomScaleNormal="93"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5.44140625" bestFit="1" customWidth="1"/>
    <col min="2" max="2" width="6.77734375" bestFit="1" customWidth="1"/>
    <col min="3" max="3" width="9.77734375" bestFit="1" customWidth="1"/>
    <col min="4" max="4" width="11.33203125" bestFit="1" customWidth="1"/>
    <col min="5" max="5" width="21.6640625" style="24" bestFit="1" customWidth="1"/>
    <col min="7" max="7" width="10.77734375" bestFit="1" customWidth="1"/>
    <col min="8" max="8" width="31.5546875" bestFit="1" customWidth="1"/>
    <col min="9" max="9" width="15.21875" bestFit="1" customWidth="1"/>
    <col min="10" max="10" width="9" bestFit="1" customWidth="1"/>
    <col min="11" max="11" width="10" bestFit="1" customWidth="1"/>
    <col min="12" max="17" width="9" bestFit="1" customWidth="1"/>
    <col min="18" max="18" width="10" bestFit="1" customWidth="1"/>
    <col min="19" max="19" width="9" bestFit="1" customWidth="1"/>
    <col min="20" max="20" width="10.5546875" bestFit="1" customWidth="1"/>
    <col min="21" max="21" width="6" bestFit="1" customWidth="1"/>
    <col min="22" max="24" width="8" bestFit="1" customWidth="1"/>
    <col min="25" max="25" width="6" bestFit="1" customWidth="1"/>
    <col min="26" max="28" width="8" bestFit="1" customWidth="1"/>
    <col min="29" max="29" width="6" bestFit="1" customWidth="1"/>
    <col min="30" max="45" width="8" bestFit="1" customWidth="1"/>
    <col min="46" max="46" width="6" bestFit="1" customWidth="1"/>
    <col min="47" max="48" width="8" bestFit="1" customWidth="1"/>
    <col min="49" max="49" width="6" bestFit="1" customWidth="1"/>
    <col min="50" max="54" width="8" bestFit="1" customWidth="1"/>
    <col min="55" max="55" width="6" bestFit="1" customWidth="1"/>
    <col min="56" max="59" width="8" bestFit="1" customWidth="1"/>
    <col min="60" max="60" width="6" bestFit="1" customWidth="1"/>
    <col min="61" max="76" width="8" bestFit="1" customWidth="1"/>
    <col min="77" max="77" width="6" bestFit="1" customWidth="1"/>
    <col min="78" max="84" width="8" bestFit="1" customWidth="1"/>
    <col min="85" max="85" width="6" bestFit="1" customWidth="1"/>
    <col min="86" max="86" width="10.5546875" bestFit="1" customWidth="1"/>
  </cols>
  <sheetData>
    <row r="1" spans="1:8" x14ac:dyDescent="0.3">
      <c r="A1" s="19" t="s">
        <v>26</v>
      </c>
      <c r="B1" s="19" t="s">
        <v>27</v>
      </c>
      <c r="C1" s="19" t="s">
        <v>28</v>
      </c>
      <c r="D1" s="19" t="s">
        <v>29</v>
      </c>
      <c r="E1" s="23" t="s">
        <v>44</v>
      </c>
    </row>
    <row r="2" spans="1:8" x14ac:dyDescent="0.3">
      <c r="A2" s="1">
        <v>43466</v>
      </c>
      <c r="B2">
        <v>2019</v>
      </c>
      <c r="C2" t="s">
        <v>32</v>
      </c>
      <c r="D2">
        <v>1</v>
      </c>
      <c r="E2" s="24">
        <v>26124.5</v>
      </c>
    </row>
    <row r="3" spans="1:8" x14ac:dyDescent="0.3">
      <c r="A3" s="1">
        <v>43497</v>
      </c>
      <c r="B3">
        <v>2019</v>
      </c>
      <c r="C3" t="s">
        <v>33</v>
      </c>
      <c r="D3">
        <v>2</v>
      </c>
      <c r="E3" s="24">
        <v>23492.3</v>
      </c>
    </row>
    <row r="4" spans="1:8" x14ac:dyDescent="0.3">
      <c r="A4" s="1">
        <v>43525</v>
      </c>
      <c r="B4">
        <v>2019</v>
      </c>
      <c r="C4" t="s">
        <v>34</v>
      </c>
      <c r="D4">
        <v>3</v>
      </c>
      <c r="E4" s="24">
        <v>26031.8</v>
      </c>
    </row>
    <row r="5" spans="1:8" x14ac:dyDescent="0.3">
      <c r="A5" s="1">
        <v>43556</v>
      </c>
      <c r="B5">
        <v>2019</v>
      </c>
      <c r="C5" t="s">
        <v>35</v>
      </c>
      <c r="D5">
        <v>4</v>
      </c>
      <c r="E5" s="24">
        <v>25326.3</v>
      </c>
    </row>
    <row r="6" spans="1:8" x14ac:dyDescent="0.3">
      <c r="A6" s="1">
        <v>43586</v>
      </c>
      <c r="B6">
        <v>2019</v>
      </c>
      <c r="C6" t="s">
        <v>36</v>
      </c>
      <c r="D6">
        <v>5</v>
      </c>
      <c r="E6" s="24">
        <v>26119.200000000001</v>
      </c>
    </row>
    <row r="7" spans="1:8" x14ac:dyDescent="0.3">
      <c r="A7" s="1">
        <v>43617</v>
      </c>
      <c r="B7">
        <v>2019</v>
      </c>
      <c r="C7" t="s">
        <v>37</v>
      </c>
      <c r="D7">
        <v>6</v>
      </c>
      <c r="E7" s="24">
        <v>25749.4</v>
      </c>
    </row>
    <row r="8" spans="1:8" x14ac:dyDescent="0.3">
      <c r="A8" s="1">
        <v>43647</v>
      </c>
      <c r="B8">
        <v>2019</v>
      </c>
      <c r="C8" t="s">
        <v>38</v>
      </c>
      <c r="D8">
        <v>7</v>
      </c>
      <c r="E8" s="24">
        <v>26001</v>
      </c>
    </row>
    <row r="9" spans="1:8" x14ac:dyDescent="0.3">
      <c r="A9" s="1">
        <v>43678</v>
      </c>
      <c r="B9">
        <v>2019</v>
      </c>
      <c r="C9" t="s">
        <v>39</v>
      </c>
      <c r="D9">
        <v>8</v>
      </c>
      <c r="E9" s="24">
        <v>26484.400000000001</v>
      </c>
    </row>
    <row r="10" spans="1:8" x14ac:dyDescent="0.3">
      <c r="A10" s="1">
        <v>43709</v>
      </c>
      <c r="B10">
        <v>2019</v>
      </c>
      <c r="C10" t="s">
        <v>40</v>
      </c>
      <c r="D10">
        <v>9</v>
      </c>
      <c r="E10" s="24">
        <v>25981.200000000001</v>
      </c>
    </row>
    <row r="11" spans="1:8" x14ac:dyDescent="0.3">
      <c r="A11" s="1">
        <v>43739</v>
      </c>
      <c r="B11">
        <v>2019</v>
      </c>
      <c r="C11" t="s">
        <v>41</v>
      </c>
      <c r="D11">
        <v>10</v>
      </c>
      <c r="E11" s="24">
        <v>27504.6</v>
      </c>
      <c r="G11" s="3" t="s">
        <v>46</v>
      </c>
      <c r="H11" t="s">
        <v>156</v>
      </c>
    </row>
    <row r="12" spans="1:8" x14ac:dyDescent="0.3">
      <c r="A12" s="1">
        <v>43770</v>
      </c>
      <c r="B12">
        <v>2019</v>
      </c>
      <c r="C12" t="s">
        <v>42</v>
      </c>
      <c r="D12">
        <v>11</v>
      </c>
      <c r="E12" s="24">
        <v>28857.9</v>
      </c>
      <c r="G12" s="4">
        <v>2019</v>
      </c>
      <c r="H12" s="33">
        <v>321976.00000000006</v>
      </c>
    </row>
    <row r="13" spans="1:8" x14ac:dyDescent="0.3">
      <c r="A13" s="1">
        <v>43800</v>
      </c>
      <c r="B13">
        <v>2019</v>
      </c>
      <c r="C13" t="s">
        <v>43</v>
      </c>
      <c r="D13">
        <v>12</v>
      </c>
      <c r="E13" s="24">
        <v>34303.4</v>
      </c>
      <c r="G13" s="4">
        <v>2020</v>
      </c>
      <c r="H13" s="33">
        <v>342466.4</v>
      </c>
    </row>
    <row r="14" spans="1:8" x14ac:dyDescent="0.3">
      <c r="A14" s="1">
        <v>43831</v>
      </c>
      <c r="B14">
        <v>2020</v>
      </c>
      <c r="C14" t="s">
        <v>32</v>
      </c>
      <c r="D14">
        <v>1</v>
      </c>
      <c r="E14" s="24">
        <v>26642.2</v>
      </c>
      <c r="G14" s="4">
        <v>2021</v>
      </c>
      <c r="H14" s="33">
        <v>361363.69999999995</v>
      </c>
    </row>
    <row r="15" spans="1:8" x14ac:dyDescent="0.3">
      <c r="A15" s="1">
        <v>43862</v>
      </c>
      <c r="B15">
        <v>2020</v>
      </c>
      <c r="C15" t="s">
        <v>33</v>
      </c>
      <c r="D15">
        <v>2</v>
      </c>
      <c r="E15" s="24">
        <v>24807.5</v>
      </c>
      <c r="G15" s="4">
        <v>2022</v>
      </c>
      <c r="H15" s="33">
        <v>403206.19999999995</v>
      </c>
    </row>
    <row r="16" spans="1:8" x14ac:dyDescent="0.3">
      <c r="A16" s="1">
        <v>43891</v>
      </c>
      <c r="B16">
        <v>2020</v>
      </c>
      <c r="C16" t="s">
        <v>34</v>
      </c>
      <c r="D16">
        <v>3</v>
      </c>
      <c r="E16" s="24">
        <v>28308.9</v>
      </c>
      <c r="G16" s="4">
        <v>2023</v>
      </c>
      <c r="H16" s="33">
        <v>416168.3</v>
      </c>
    </row>
    <row r="17" spans="1:8" x14ac:dyDescent="0.3">
      <c r="A17" s="1">
        <v>43922</v>
      </c>
      <c r="B17">
        <v>2020</v>
      </c>
      <c r="C17" t="s">
        <v>35</v>
      </c>
      <c r="D17">
        <v>4</v>
      </c>
      <c r="E17" s="24">
        <v>22947.200000000001</v>
      </c>
      <c r="G17" s="4">
        <v>2024</v>
      </c>
      <c r="H17" s="33">
        <v>428506.90000000008</v>
      </c>
    </row>
    <row r="18" spans="1:8" x14ac:dyDescent="0.3">
      <c r="A18" s="1">
        <v>43952</v>
      </c>
      <c r="B18">
        <v>2020</v>
      </c>
      <c r="C18" t="s">
        <v>36</v>
      </c>
      <c r="D18">
        <v>5</v>
      </c>
      <c r="E18" s="24">
        <v>27419</v>
      </c>
      <c r="G18" s="4">
        <v>2025</v>
      </c>
      <c r="H18" s="33">
        <v>209408.80000000002</v>
      </c>
    </row>
    <row r="19" spans="1:8" x14ac:dyDescent="0.3">
      <c r="A19" s="1">
        <v>43983</v>
      </c>
      <c r="B19">
        <v>2020</v>
      </c>
      <c r="C19" t="s">
        <v>37</v>
      </c>
      <c r="D19">
        <v>6</v>
      </c>
      <c r="E19" s="24">
        <v>27849.9</v>
      </c>
      <c r="G19" s="4" t="s">
        <v>54</v>
      </c>
      <c r="H19" s="33">
        <v>2483096.2999999998</v>
      </c>
    </row>
    <row r="20" spans="1:8" x14ac:dyDescent="0.3">
      <c r="A20" s="1">
        <v>44013</v>
      </c>
      <c r="B20">
        <v>2020</v>
      </c>
      <c r="C20" t="s">
        <v>38</v>
      </c>
      <c r="D20">
        <v>7</v>
      </c>
      <c r="E20" s="24">
        <v>29260.5</v>
      </c>
    </row>
    <row r="21" spans="1:8" x14ac:dyDescent="0.3">
      <c r="A21" s="1">
        <v>44044</v>
      </c>
      <c r="B21">
        <v>2020</v>
      </c>
      <c r="C21" t="s">
        <v>39</v>
      </c>
      <c r="D21">
        <v>8</v>
      </c>
      <c r="E21" s="24">
        <v>27830.9</v>
      </c>
    </row>
    <row r="22" spans="1:8" x14ac:dyDescent="0.3">
      <c r="A22" s="1">
        <v>44075</v>
      </c>
      <c r="B22">
        <v>2020</v>
      </c>
      <c r="C22" t="s">
        <v>40</v>
      </c>
      <c r="D22">
        <v>9</v>
      </c>
      <c r="E22" s="24">
        <v>27616.7</v>
      </c>
    </row>
    <row r="23" spans="1:8" x14ac:dyDescent="0.3">
      <c r="A23" s="1">
        <v>44105</v>
      </c>
      <c r="B23">
        <v>2020</v>
      </c>
      <c r="C23" t="s">
        <v>41</v>
      </c>
      <c r="D23">
        <v>10</v>
      </c>
      <c r="E23" s="24">
        <v>29576.1</v>
      </c>
    </row>
    <row r="24" spans="1:8" x14ac:dyDescent="0.3">
      <c r="A24" s="1">
        <v>44136</v>
      </c>
      <c r="B24">
        <v>2020</v>
      </c>
      <c r="C24" t="s">
        <v>42</v>
      </c>
      <c r="D24">
        <v>11</v>
      </c>
      <c r="E24" s="24">
        <v>32353.4</v>
      </c>
    </row>
    <row r="25" spans="1:8" x14ac:dyDescent="0.3">
      <c r="A25" s="1">
        <v>44166</v>
      </c>
      <c r="B25">
        <v>2020</v>
      </c>
      <c r="C25" t="s">
        <v>43</v>
      </c>
      <c r="D25">
        <v>12</v>
      </c>
      <c r="E25" s="24">
        <v>37854.1</v>
      </c>
    </row>
    <row r="26" spans="1:8" x14ac:dyDescent="0.3">
      <c r="A26" s="1">
        <v>44197</v>
      </c>
      <c r="B26">
        <v>2021</v>
      </c>
      <c r="C26" t="s">
        <v>32</v>
      </c>
      <c r="D26">
        <v>1</v>
      </c>
      <c r="E26" s="24">
        <v>29374.1</v>
      </c>
    </row>
    <row r="27" spans="1:8" x14ac:dyDescent="0.3">
      <c r="A27" s="1">
        <v>44228</v>
      </c>
      <c r="B27">
        <v>2021</v>
      </c>
      <c r="C27" t="s">
        <v>33</v>
      </c>
      <c r="D27">
        <v>2</v>
      </c>
      <c r="E27" s="24">
        <v>26142.9</v>
      </c>
    </row>
    <row r="28" spans="1:8" x14ac:dyDescent="0.3">
      <c r="A28" s="1">
        <v>44256</v>
      </c>
      <c r="B28">
        <v>2021</v>
      </c>
      <c r="C28" t="s">
        <v>34</v>
      </c>
      <c r="D28">
        <v>3</v>
      </c>
      <c r="E28" s="24">
        <v>29617.4</v>
      </c>
    </row>
    <row r="29" spans="1:8" x14ac:dyDescent="0.3">
      <c r="A29" s="1">
        <v>44287</v>
      </c>
      <c r="B29">
        <v>2021</v>
      </c>
      <c r="C29" t="s">
        <v>35</v>
      </c>
      <c r="D29">
        <v>4</v>
      </c>
      <c r="E29" s="24">
        <v>28540.5</v>
      </c>
    </row>
    <row r="30" spans="1:8" x14ac:dyDescent="0.3">
      <c r="A30" s="1">
        <v>44317</v>
      </c>
      <c r="B30">
        <v>2021</v>
      </c>
      <c r="C30" t="s">
        <v>36</v>
      </c>
      <c r="D30">
        <v>5</v>
      </c>
      <c r="E30" s="24">
        <v>29505.8</v>
      </c>
    </row>
    <row r="31" spans="1:8" x14ac:dyDescent="0.3">
      <c r="A31" s="1">
        <v>44348</v>
      </c>
      <c r="B31">
        <v>2021</v>
      </c>
      <c r="C31" t="s">
        <v>37</v>
      </c>
      <c r="D31">
        <v>6</v>
      </c>
      <c r="E31" s="24">
        <v>28741.8</v>
      </c>
    </row>
    <row r="32" spans="1:8" x14ac:dyDescent="0.3">
      <c r="A32" s="1">
        <v>44378</v>
      </c>
      <c r="B32">
        <v>2021</v>
      </c>
      <c r="C32" t="s">
        <v>38</v>
      </c>
      <c r="D32">
        <v>7</v>
      </c>
      <c r="E32" s="24">
        <v>28412.400000000001</v>
      </c>
    </row>
    <row r="33" spans="1:5" x14ac:dyDescent="0.3">
      <c r="A33" s="1">
        <v>44409</v>
      </c>
      <c r="B33">
        <v>2021</v>
      </c>
      <c r="C33" t="s">
        <v>39</v>
      </c>
      <c r="D33">
        <v>8</v>
      </c>
      <c r="E33" s="24">
        <v>27640.2</v>
      </c>
    </row>
    <row r="34" spans="1:5" x14ac:dyDescent="0.3">
      <c r="A34" s="1">
        <v>44440</v>
      </c>
      <c r="B34">
        <v>2021</v>
      </c>
      <c r="C34" t="s">
        <v>40</v>
      </c>
      <c r="D34">
        <v>9</v>
      </c>
      <c r="E34" s="24">
        <v>28161.200000000001</v>
      </c>
    </row>
    <row r="35" spans="1:5" x14ac:dyDescent="0.3">
      <c r="A35" s="1">
        <v>44470</v>
      </c>
      <c r="B35">
        <v>2021</v>
      </c>
      <c r="C35" t="s">
        <v>41</v>
      </c>
      <c r="D35">
        <v>10</v>
      </c>
      <c r="E35" s="24">
        <v>30979.3</v>
      </c>
    </row>
    <row r="36" spans="1:5" x14ac:dyDescent="0.3">
      <c r="A36" s="1">
        <v>44501</v>
      </c>
      <c r="B36">
        <v>2021</v>
      </c>
      <c r="C36" t="s">
        <v>42</v>
      </c>
      <c r="D36">
        <v>11</v>
      </c>
      <c r="E36" s="24">
        <v>34458</v>
      </c>
    </row>
    <row r="37" spans="1:5" x14ac:dyDescent="0.3">
      <c r="A37" s="1">
        <v>44531</v>
      </c>
      <c r="B37">
        <v>2021</v>
      </c>
      <c r="C37" t="s">
        <v>43</v>
      </c>
      <c r="D37">
        <v>12</v>
      </c>
      <c r="E37" s="24">
        <v>39790.1</v>
      </c>
    </row>
    <row r="38" spans="1:5" x14ac:dyDescent="0.3">
      <c r="A38" s="1">
        <v>44562</v>
      </c>
      <c r="B38">
        <v>2022</v>
      </c>
      <c r="C38" t="s">
        <v>32</v>
      </c>
      <c r="D38">
        <v>1</v>
      </c>
      <c r="E38" s="24">
        <v>31150.7</v>
      </c>
    </row>
    <row r="39" spans="1:5" x14ac:dyDescent="0.3">
      <c r="A39" s="1">
        <v>44593</v>
      </c>
      <c r="B39">
        <v>2022</v>
      </c>
      <c r="C39" t="s">
        <v>33</v>
      </c>
      <c r="D39">
        <v>2</v>
      </c>
      <c r="E39" s="24">
        <v>28587.5</v>
      </c>
    </row>
    <row r="40" spans="1:5" x14ac:dyDescent="0.3">
      <c r="A40" s="1">
        <v>44621</v>
      </c>
      <c r="B40">
        <v>2022</v>
      </c>
      <c r="C40" t="s">
        <v>34</v>
      </c>
      <c r="D40">
        <v>3</v>
      </c>
      <c r="E40" s="24">
        <v>32126.1</v>
      </c>
    </row>
    <row r="41" spans="1:5" x14ac:dyDescent="0.3">
      <c r="A41" s="1">
        <v>44652</v>
      </c>
      <c r="B41">
        <v>2022</v>
      </c>
      <c r="C41" t="s">
        <v>35</v>
      </c>
      <c r="D41">
        <v>4</v>
      </c>
      <c r="E41" s="24">
        <v>31797.9</v>
      </c>
    </row>
    <row r="42" spans="1:5" x14ac:dyDescent="0.3">
      <c r="A42" s="1">
        <v>44682</v>
      </c>
      <c r="B42">
        <v>2022</v>
      </c>
      <c r="C42" t="s">
        <v>36</v>
      </c>
      <c r="D42">
        <v>5</v>
      </c>
      <c r="E42" s="24">
        <v>32607.9</v>
      </c>
    </row>
    <row r="43" spans="1:5" x14ac:dyDescent="0.3">
      <c r="A43" s="1">
        <v>44713</v>
      </c>
      <c r="B43">
        <v>2022</v>
      </c>
      <c r="C43" t="s">
        <v>37</v>
      </c>
      <c r="D43">
        <v>6</v>
      </c>
      <c r="E43" s="24">
        <v>32361.8</v>
      </c>
    </row>
    <row r="44" spans="1:5" x14ac:dyDescent="0.3">
      <c r="A44" s="1">
        <v>44743</v>
      </c>
      <c r="B44">
        <v>2022</v>
      </c>
      <c r="C44" t="s">
        <v>38</v>
      </c>
      <c r="D44">
        <v>7</v>
      </c>
      <c r="E44" s="24">
        <v>33079.599999999999</v>
      </c>
    </row>
    <row r="45" spans="1:5" x14ac:dyDescent="0.3">
      <c r="A45" s="1">
        <v>44774</v>
      </c>
      <c r="B45">
        <v>2022</v>
      </c>
      <c r="C45" t="s">
        <v>39</v>
      </c>
      <c r="D45">
        <v>8</v>
      </c>
      <c r="E45" s="24">
        <v>33152.5</v>
      </c>
    </row>
    <row r="46" spans="1:5" x14ac:dyDescent="0.3">
      <c r="A46" s="1">
        <v>44805</v>
      </c>
      <c r="B46">
        <v>2022</v>
      </c>
      <c r="C46" t="s">
        <v>40</v>
      </c>
      <c r="D46">
        <v>9</v>
      </c>
      <c r="E46" s="24">
        <v>33528.800000000003</v>
      </c>
    </row>
    <row r="47" spans="1:5" x14ac:dyDescent="0.3">
      <c r="A47" s="1">
        <v>44835</v>
      </c>
      <c r="B47">
        <v>2022</v>
      </c>
      <c r="C47" t="s">
        <v>41</v>
      </c>
      <c r="D47">
        <v>10</v>
      </c>
      <c r="E47" s="24">
        <v>34762.6</v>
      </c>
    </row>
    <row r="48" spans="1:5" x14ac:dyDescent="0.3">
      <c r="A48" s="1">
        <v>44866</v>
      </c>
      <c r="B48">
        <v>2022</v>
      </c>
      <c r="C48" t="s">
        <v>42</v>
      </c>
      <c r="D48">
        <v>11</v>
      </c>
      <c r="E48" s="24">
        <v>37097.699999999997</v>
      </c>
    </row>
    <row r="49" spans="1:5" x14ac:dyDescent="0.3">
      <c r="A49" s="1">
        <v>44896</v>
      </c>
      <c r="B49">
        <v>2022</v>
      </c>
      <c r="C49" t="s">
        <v>43</v>
      </c>
      <c r="D49">
        <v>12</v>
      </c>
      <c r="E49" s="24">
        <v>42953.1</v>
      </c>
    </row>
    <row r="50" spans="1:5" x14ac:dyDescent="0.3">
      <c r="A50" s="1">
        <v>44927</v>
      </c>
      <c r="B50">
        <v>2023</v>
      </c>
      <c r="C50" t="s">
        <v>32</v>
      </c>
      <c r="D50">
        <v>1</v>
      </c>
      <c r="E50" s="24">
        <v>33640.199999999997</v>
      </c>
    </row>
    <row r="51" spans="1:5" x14ac:dyDescent="0.3">
      <c r="A51" s="1">
        <v>44958</v>
      </c>
      <c r="B51">
        <v>2023</v>
      </c>
      <c r="C51" t="s">
        <v>33</v>
      </c>
      <c r="D51">
        <v>2</v>
      </c>
      <c r="E51" s="24">
        <v>30470.2</v>
      </c>
    </row>
    <row r="52" spans="1:5" x14ac:dyDescent="0.3">
      <c r="A52" s="1">
        <v>44986</v>
      </c>
      <c r="B52">
        <v>2023</v>
      </c>
      <c r="C52" t="s">
        <v>34</v>
      </c>
      <c r="D52">
        <v>3</v>
      </c>
      <c r="E52" s="24">
        <v>33952.400000000001</v>
      </c>
    </row>
    <row r="53" spans="1:5" x14ac:dyDescent="0.3">
      <c r="A53" s="1">
        <v>45017</v>
      </c>
      <c r="B53">
        <v>2023</v>
      </c>
      <c r="C53" t="s">
        <v>35</v>
      </c>
      <c r="D53">
        <v>4</v>
      </c>
      <c r="E53" s="24">
        <v>32881</v>
      </c>
    </row>
    <row r="54" spans="1:5" x14ac:dyDescent="0.3">
      <c r="A54" s="1">
        <v>45047</v>
      </c>
      <c r="B54">
        <v>2023</v>
      </c>
      <c r="C54" t="s">
        <v>36</v>
      </c>
      <c r="D54">
        <v>5</v>
      </c>
      <c r="E54" s="24">
        <v>34041.199999999997</v>
      </c>
    </row>
    <row r="55" spans="1:5" x14ac:dyDescent="0.3">
      <c r="A55" s="1">
        <v>45078</v>
      </c>
      <c r="B55">
        <v>2023</v>
      </c>
      <c r="C55" t="s">
        <v>37</v>
      </c>
      <c r="D55">
        <v>6</v>
      </c>
      <c r="E55" s="24">
        <v>33354</v>
      </c>
    </row>
    <row r="56" spans="1:5" x14ac:dyDescent="0.3">
      <c r="A56" s="1">
        <v>45108</v>
      </c>
      <c r="B56">
        <v>2023</v>
      </c>
      <c r="C56" t="s">
        <v>38</v>
      </c>
      <c r="D56">
        <v>7</v>
      </c>
      <c r="E56" s="24">
        <v>33554.1</v>
      </c>
    </row>
    <row r="57" spans="1:5" x14ac:dyDescent="0.3">
      <c r="A57" s="1">
        <v>45139</v>
      </c>
      <c r="B57">
        <v>2023</v>
      </c>
      <c r="C57" t="s">
        <v>39</v>
      </c>
      <c r="D57">
        <v>8</v>
      </c>
      <c r="E57" s="24">
        <v>33824.300000000003</v>
      </c>
    </row>
    <row r="58" spans="1:5" x14ac:dyDescent="0.3">
      <c r="A58" s="1">
        <v>45170</v>
      </c>
      <c r="B58">
        <v>2023</v>
      </c>
      <c r="C58" t="s">
        <v>40</v>
      </c>
      <c r="D58">
        <v>9</v>
      </c>
      <c r="E58" s="24">
        <v>34238.6</v>
      </c>
    </row>
    <row r="59" spans="1:5" x14ac:dyDescent="0.3">
      <c r="A59" s="1">
        <v>45200</v>
      </c>
      <c r="B59">
        <v>2023</v>
      </c>
      <c r="C59" t="s">
        <v>41</v>
      </c>
      <c r="D59">
        <v>10</v>
      </c>
      <c r="E59" s="24">
        <v>35226.800000000003</v>
      </c>
    </row>
    <row r="60" spans="1:5" x14ac:dyDescent="0.3">
      <c r="A60" s="1">
        <v>45231</v>
      </c>
      <c r="B60">
        <v>2023</v>
      </c>
      <c r="C60" t="s">
        <v>42</v>
      </c>
      <c r="D60">
        <v>11</v>
      </c>
      <c r="E60" s="24">
        <v>37894.1</v>
      </c>
    </row>
    <row r="61" spans="1:5" x14ac:dyDescent="0.3">
      <c r="A61" s="1">
        <v>45261</v>
      </c>
      <c r="B61">
        <v>2023</v>
      </c>
      <c r="C61" t="s">
        <v>43</v>
      </c>
      <c r="D61">
        <v>12</v>
      </c>
      <c r="E61" s="24">
        <v>43091.4</v>
      </c>
    </row>
    <row r="62" spans="1:5" x14ac:dyDescent="0.3">
      <c r="A62" s="1">
        <v>45292</v>
      </c>
      <c r="B62">
        <v>2024</v>
      </c>
      <c r="C62" t="s">
        <v>32</v>
      </c>
      <c r="D62">
        <v>1</v>
      </c>
      <c r="E62" s="24">
        <v>34181.1</v>
      </c>
    </row>
    <row r="63" spans="1:5" x14ac:dyDescent="0.3">
      <c r="A63" s="1">
        <v>45323</v>
      </c>
      <c r="B63">
        <v>2024</v>
      </c>
      <c r="C63" t="s">
        <v>33</v>
      </c>
      <c r="D63">
        <v>2</v>
      </c>
      <c r="E63" s="24">
        <v>32214.2</v>
      </c>
    </row>
    <row r="64" spans="1:5" x14ac:dyDescent="0.3">
      <c r="A64" s="1">
        <v>45352</v>
      </c>
      <c r="B64">
        <v>2024</v>
      </c>
      <c r="C64" t="s">
        <v>34</v>
      </c>
      <c r="D64">
        <v>3</v>
      </c>
      <c r="E64" s="24">
        <v>34533</v>
      </c>
    </row>
    <row r="65" spans="1:5" x14ac:dyDescent="0.3">
      <c r="A65" s="1">
        <v>45383</v>
      </c>
      <c r="B65">
        <v>2024</v>
      </c>
      <c r="C65" t="s">
        <v>35</v>
      </c>
      <c r="D65">
        <v>4</v>
      </c>
      <c r="E65" s="24">
        <v>33464</v>
      </c>
    </row>
    <row r="66" spans="1:5" x14ac:dyDescent="0.3">
      <c r="A66" s="1">
        <v>45413</v>
      </c>
      <c r="B66">
        <v>2024</v>
      </c>
      <c r="C66" t="s">
        <v>36</v>
      </c>
      <c r="D66">
        <v>5</v>
      </c>
      <c r="E66" s="24">
        <v>34874.699999999997</v>
      </c>
    </row>
    <row r="67" spans="1:5" x14ac:dyDescent="0.3">
      <c r="A67" s="1">
        <v>45444</v>
      </c>
      <c r="B67">
        <v>2024</v>
      </c>
      <c r="C67" t="s">
        <v>37</v>
      </c>
      <c r="D67">
        <v>6</v>
      </c>
      <c r="E67" s="24">
        <v>34200.1</v>
      </c>
    </row>
    <row r="68" spans="1:5" x14ac:dyDescent="0.3">
      <c r="A68" s="1">
        <v>45474</v>
      </c>
      <c r="B68">
        <v>2024</v>
      </c>
      <c r="C68" t="s">
        <v>38</v>
      </c>
      <c r="D68">
        <v>7</v>
      </c>
      <c r="E68" s="24">
        <v>34462.400000000001</v>
      </c>
    </row>
    <row r="69" spans="1:5" x14ac:dyDescent="0.3">
      <c r="A69" s="1">
        <v>45505</v>
      </c>
      <c r="B69">
        <v>2024</v>
      </c>
      <c r="C69" t="s">
        <v>39</v>
      </c>
      <c r="D69">
        <v>8</v>
      </c>
      <c r="E69" s="24">
        <v>35173.4</v>
      </c>
    </row>
    <row r="70" spans="1:5" x14ac:dyDescent="0.3">
      <c r="A70" s="1">
        <v>45536</v>
      </c>
      <c r="B70">
        <v>2024</v>
      </c>
      <c r="C70" t="s">
        <v>40</v>
      </c>
      <c r="D70">
        <v>9</v>
      </c>
      <c r="E70" s="24">
        <v>34594.9</v>
      </c>
    </row>
    <row r="71" spans="1:5" x14ac:dyDescent="0.3">
      <c r="A71" s="1">
        <v>45566</v>
      </c>
      <c r="B71">
        <v>2024</v>
      </c>
      <c r="C71" t="s">
        <v>41</v>
      </c>
      <c r="D71">
        <v>10</v>
      </c>
      <c r="E71" s="24">
        <v>36553.9</v>
      </c>
    </row>
    <row r="72" spans="1:5" x14ac:dyDescent="0.3">
      <c r="A72" s="1">
        <v>45597</v>
      </c>
      <c r="B72">
        <v>2024</v>
      </c>
      <c r="C72" t="s">
        <v>42</v>
      </c>
      <c r="D72">
        <v>11</v>
      </c>
      <c r="E72" s="24">
        <v>39418.199999999997</v>
      </c>
    </row>
    <row r="73" spans="1:5" x14ac:dyDescent="0.3">
      <c r="A73" s="1">
        <v>45627</v>
      </c>
      <c r="B73">
        <v>2024</v>
      </c>
      <c r="C73" t="s">
        <v>43</v>
      </c>
      <c r="D73">
        <v>12</v>
      </c>
      <c r="E73" s="24">
        <v>44837</v>
      </c>
    </row>
    <row r="74" spans="1:5" x14ac:dyDescent="0.3">
      <c r="A74" s="1">
        <v>45658</v>
      </c>
      <c r="B74">
        <v>2025</v>
      </c>
      <c r="C74" t="s">
        <v>32</v>
      </c>
      <c r="D74">
        <v>1</v>
      </c>
      <c r="E74" s="24">
        <v>35439.4</v>
      </c>
    </row>
    <row r="75" spans="1:5" x14ac:dyDescent="0.3">
      <c r="A75" s="1">
        <v>45689</v>
      </c>
      <c r="B75">
        <v>2025</v>
      </c>
      <c r="C75" t="s">
        <v>33</v>
      </c>
      <c r="D75">
        <v>2</v>
      </c>
      <c r="E75" s="24">
        <v>32074.7</v>
      </c>
    </row>
    <row r="76" spans="1:5" x14ac:dyDescent="0.3">
      <c r="A76" s="1">
        <v>45717</v>
      </c>
      <c r="B76">
        <v>2025</v>
      </c>
      <c r="C76" t="s">
        <v>34</v>
      </c>
      <c r="D76">
        <v>3</v>
      </c>
      <c r="E76" s="24">
        <v>35526.300000000003</v>
      </c>
    </row>
    <row r="77" spans="1:5" x14ac:dyDescent="0.3">
      <c r="A77" s="1">
        <v>45748</v>
      </c>
      <c r="B77">
        <v>2025</v>
      </c>
      <c r="C77" t="s">
        <v>35</v>
      </c>
      <c r="D77">
        <v>4</v>
      </c>
      <c r="E77" s="24">
        <v>34610.300000000003</v>
      </c>
    </row>
    <row r="78" spans="1:5" x14ac:dyDescent="0.3">
      <c r="A78" s="1">
        <v>45778</v>
      </c>
      <c r="B78">
        <v>2025</v>
      </c>
      <c r="C78" t="s">
        <v>36</v>
      </c>
      <c r="D78">
        <v>5</v>
      </c>
      <c r="E78" s="24">
        <v>36130</v>
      </c>
    </row>
    <row r="79" spans="1:5" x14ac:dyDescent="0.3">
      <c r="A79" s="1">
        <v>45809</v>
      </c>
      <c r="B79">
        <v>2025</v>
      </c>
      <c r="C79" t="s">
        <v>37</v>
      </c>
      <c r="D79">
        <v>6</v>
      </c>
      <c r="E79" s="24">
        <v>35628.1</v>
      </c>
    </row>
  </sheetData>
  <pageMargins left="0.7" right="0.7" top="0.75" bottom="0.75" header="0.3" footer="0.3"/>
  <drawing r:id="rId2"/>
  <tableParts count="1">
    <tablePart r:id="rId3"/>
  </tableParts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875E-CAF0-4E6C-9775-A0DCF56EBF72}">
  <sheetPr>
    <tabColor rgb="FFFF9933"/>
  </sheetPr>
  <dimension ref="A1:B7"/>
  <sheetViews>
    <sheetView zoomScale="102" zoomScaleNormal="102" workbookViewId="0">
      <pane ySplit="1" topLeftCell="A2" activePane="bottomLeft" state="frozen"/>
      <selection pane="bottomLeft" activeCell="M11" sqref="M11"/>
    </sheetView>
  </sheetViews>
  <sheetFormatPr defaultRowHeight="14.4" x14ac:dyDescent="0.3"/>
  <cols>
    <col min="1" max="1" width="41.77734375" bestFit="1" customWidth="1"/>
    <col min="2" max="2" width="22.88671875" bestFit="1" customWidth="1"/>
    <col min="3" max="3" width="18.44140625" bestFit="1" customWidth="1"/>
  </cols>
  <sheetData>
    <row r="1" spans="1:2" x14ac:dyDescent="0.3">
      <c r="A1" s="44" t="s">
        <v>53</v>
      </c>
      <c r="B1" s="45" t="s">
        <v>55</v>
      </c>
    </row>
    <row r="2" spans="1:2" x14ac:dyDescent="0.3">
      <c r="A2" s="4" t="s">
        <v>157</v>
      </c>
      <c r="B2" s="42">
        <v>1895220.2000000002</v>
      </c>
    </row>
    <row r="3" spans="1:2" x14ac:dyDescent="0.3">
      <c r="A3" s="4" t="s">
        <v>11</v>
      </c>
      <c r="B3" s="42">
        <v>1701697.5</v>
      </c>
    </row>
    <row r="4" spans="1:2" x14ac:dyDescent="0.3">
      <c r="A4" s="4" t="s">
        <v>12</v>
      </c>
      <c r="B4" s="42">
        <v>413523.3</v>
      </c>
    </row>
    <row r="5" spans="1:2" x14ac:dyDescent="0.3">
      <c r="A5" s="4" t="s">
        <v>13</v>
      </c>
      <c r="B5" s="42">
        <v>334806.3</v>
      </c>
    </row>
    <row r="6" spans="1:2" x14ac:dyDescent="0.3">
      <c r="A6" s="4" t="s">
        <v>14</v>
      </c>
      <c r="B6" s="42">
        <v>313843.8</v>
      </c>
    </row>
    <row r="7" spans="1:2" x14ac:dyDescent="0.3">
      <c r="A7" s="25" t="s">
        <v>15</v>
      </c>
      <c r="B7" s="43">
        <v>301449.2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7177-5BB2-4504-A5DA-02BF52AF751B}">
  <sheetPr>
    <tabColor theme="2" tint="-0.499984740745262"/>
  </sheetPr>
  <dimension ref="A1:F9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2.44140625" bestFit="1" customWidth="1"/>
    <col min="2" max="6" width="9.109375" bestFit="1" customWidth="1"/>
  </cols>
  <sheetData>
    <row r="1" spans="1:6" x14ac:dyDescent="0.3">
      <c r="A1" s="17" t="s">
        <v>45</v>
      </c>
      <c r="B1" s="16">
        <v>2020</v>
      </c>
      <c r="C1" s="16">
        <v>2021</v>
      </c>
      <c r="D1" s="16">
        <v>2022</v>
      </c>
      <c r="E1" s="16">
        <v>2023</v>
      </c>
      <c r="F1" s="18">
        <v>2024</v>
      </c>
    </row>
    <row r="2" spans="1:6" x14ac:dyDescent="0.3">
      <c r="A2" s="14" t="s">
        <v>2</v>
      </c>
      <c r="B2" s="12">
        <f>SUMIFS(yoy_growth[turnover_millions],yoy_growth[state],$A2,yoy_growth[year],B$1)</f>
        <v>111447.10000000003</v>
      </c>
      <c r="C2" s="12">
        <f>SUMIFS(yoy_growth[turnover_millions],yoy_growth[state],$A2,yoy_growth[year],C$1)</f>
        <v>114826.30000000002</v>
      </c>
      <c r="D2" s="12">
        <f>SUMIFS(yoy_growth[turnover_millions],yoy_growth[state],$A2,yoy_growth[year],D$1)</f>
        <v>129731.20000000003</v>
      </c>
      <c r="E2" s="12">
        <f>SUMIFS(yoy_growth[turnover_millions],yoy_growth[state],$A2,yoy_growth[year],E$1)</f>
        <v>133349.49999999997</v>
      </c>
      <c r="F2" s="10">
        <f>SUMIFS(yoy_growth[turnover_millions],yoy_growth[state],$A2,yoy_growth[year],F$1)</f>
        <v>135638.9</v>
      </c>
    </row>
    <row r="3" spans="1:6" x14ac:dyDescent="0.3">
      <c r="A3" s="14" t="s">
        <v>3</v>
      </c>
      <c r="B3" s="12">
        <f>SUMIFS(yoy_growth[turnover_millions],yoy_growth[state],$A3,yoy_growth[year],B$1)</f>
        <v>87016.800000000032</v>
      </c>
      <c r="C3" s="12">
        <f>SUMIFS(yoy_growth[turnover_millions],yoy_growth[state],$A3,yoy_growth[year],C$1)</f>
        <v>93944.799999999988</v>
      </c>
      <c r="D3" s="12">
        <f>SUMIFS(yoy_growth[turnover_millions],yoy_growth[state],$A3,yoy_growth[year],D$1)</f>
        <v>105894.5999999999</v>
      </c>
      <c r="E3" s="12">
        <f>SUMIFS(yoy_growth[turnover_millions],yoy_growth[state],$A3,yoy_growth[year],E$1)</f>
        <v>109477.79999999996</v>
      </c>
      <c r="F3" s="10">
        <f>SUMIFS(yoy_growth[turnover_millions],yoy_growth[state],$A3,yoy_growth[year],F$1)</f>
        <v>112610.80000000005</v>
      </c>
    </row>
    <row r="4" spans="1:6" x14ac:dyDescent="0.3">
      <c r="A4" s="14" t="s">
        <v>4</v>
      </c>
      <c r="B4" s="12">
        <f>SUMIFS(yoy_growth[turnover_millions],yoy_growth[state],$A4,yoy_growth[year],B$1)</f>
        <v>67515.900000000038</v>
      </c>
      <c r="C4" s="12">
        <f>SUMIFS(yoy_growth[turnover_millions],yoy_growth[state],$A4,yoy_growth[year],C$1)</f>
        <v>71481.100000000006</v>
      </c>
      <c r="D4" s="12">
        <f>SUMIFS(yoy_growth[turnover_millions],yoy_growth[state],$A4,yoy_growth[year],D$1)</f>
        <v>79028.999999999971</v>
      </c>
      <c r="E4" s="12">
        <f>SUMIFS(yoy_growth[turnover_millions],yoy_growth[state],$A4,yoy_growth[year],E$1)</f>
        <v>80622</v>
      </c>
      <c r="F4" s="10">
        <f>SUMIFS(yoy_growth[turnover_millions],yoy_growth[state],$A4,yoy_growth[year],F$1)</f>
        <v>83733.700000000012</v>
      </c>
    </row>
    <row r="5" spans="1:6" x14ac:dyDescent="0.3">
      <c r="A5" s="14" t="s">
        <v>5</v>
      </c>
      <c r="B5" s="12">
        <f>SUMIFS(yoy_growth[turnover_millions],yoy_growth[state],$A5,yoy_growth[year],B$1)</f>
        <v>38878.400000000009</v>
      </c>
      <c r="C5" s="12">
        <f>SUMIFS(yoy_growth[turnover_millions],yoy_growth[state],$A5,yoy_growth[year],C$1)</f>
        <v>41871.200000000019</v>
      </c>
      <c r="D5" s="12">
        <f>SUMIFS(yoy_growth[turnover_millions],yoy_growth[state],$A5,yoy_growth[year],D$1)</f>
        <v>45499.1</v>
      </c>
      <c r="E5" s="12">
        <f>SUMIFS(yoy_growth[turnover_millions],yoy_growth[state],$A5,yoy_growth[year],E$1)</f>
        <v>47589.299999999981</v>
      </c>
      <c r="F5" s="10">
        <f>SUMIFS(yoy_growth[turnover_millions],yoy_growth[state],$A5,yoy_growth[year],F$1)</f>
        <v>49491.499999999985</v>
      </c>
    </row>
    <row r="6" spans="1:6" x14ac:dyDescent="0.3">
      <c r="A6" s="14" t="s">
        <v>6</v>
      </c>
      <c r="B6" s="12">
        <f>SUMIFS(yoy_growth[turnover_millions],yoy_growth[state],$A6,yoy_growth[year],B$1)</f>
        <v>21625.9</v>
      </c>
      <c r="C6" s="12">
        <f>SUMIFS(yoy_growth[turnover_millions],yoy_growth[state],$A6,yoy_growth[year],C$1)</f>
        <v>22350.499999999996</v>
      </c>
      <c r="D6" s="12">
        <f>SUMIFS(yoy_growth[turnover_millions],yoy_growth[state],$A6,yoy_growth[year],D$1)</f>
        <v>24508.499999999993</v>
      </c>
      <c r="E6" s="12">
        <f>SUMIFS(yoy_growth[turnover_millions],yoy_growth[state],$A6,yoy_growth[year],E$1)</f>
        <v>25819.699999999993</v>
      </c>
      <c r="F6" s="10">
        <f>SUMIFS(yoy_growth[turnover_millions],yoy_growth[state],$A6,yoy_growth[year],F$1)</f>
        <v>27186.799999999996</v>
      </c>
    </row>
    <row r="7" spans="1:6" x14ac:dyDescent="0.3">
      <c r="A7" s="14" t="s">
        <v>7</v>
      </c>
      <c r="B7" s="12">
        <f>SUMIFS(yoy_growth[turnover_millions],yoy_growth[state],$A7,yoy_growth[year],B$1)</f>
        <v>6419.8999999999987</v>
      </c>
      <c r="C7" s="12">
        <f>SUMIFS(yoy_growth[turnover_millions],yoy_growth[state],$A7,yoy_growth[year],C$1)</f>
        <v>6994.7999999999984</v>
      </c>
      <c r="D7" s="12">
        <f>SUMIFS(yoy_growth[turnover_millions],yoy_growth[state],$A7,yoy_growth[year],D$1)</f>
        <v>7674.0999999999985</v>
      </c>
      <c r="E7" s="12">
        <f>SUMIFS(yoy_growth[turnover_millions],yoy_growth[state],$A7,yoy_growth[year],E$1)</f>
        <v>7889</v>
      </c>
      <c r="F7" s="10">
        <f>SUMIFS(yoy_growth[turnover_millions],yoy_growth[state],$A7,yoy_growth[year],F$1)</f>
        <v>8140.2999999999956</v>
      </c>
    </row>
    <row r="8" spans="1:6" x14ac:dyDescent="0.3">
      <c r="A8" s="14" t="s">
        <v>8</v>
      </c>
      <c r="B8" s="12">
        <f>SUMIFS(yoy_growth[turnover_millions],yoy_growth[state],$A8,yoy_growth[year],B$1)</f>
        <v>6700.0000000000018</v>
      </c>
      <c r="C8" s="12">
        <f>SUMIFS(yoy_growth[turnover_millions],yoy_growth[state],$A8,yoy_growth[year],C$1)</f>
        <v>6791.9000000000005</v>
      </c>
      <c r="D8" s="12">
        <f>SUMIFS(yoy_growth[turnover_millions],yoy_growth[state],$A8,yoy_growth[year],D$1)</f>
        <v>7564.9000000000024</v>
      </c>
      <c r="E8" s="12">
        <f>SUMIFS(yoy_growth[turnover_millions],yoy_growth[state],$A8,yoy_growth[year],E$1)</f>
        <v>8017.8</v>
      </c>
      <c r="F8" s="10">
        <f>SUMIFS(yoy_growth[turnover_millions],yoy_growth[state],$A8,yoy_growth[year],F$1)</f>
        <v>8149.9000000000042</v>
      </c>
    </row>
    <row r="9" spans="1:6" x14ac:dyDescent="0.3">
      <c r="A9" s="15" t="s">
        <v>9</v>
      </c>
      <c r="B9" s="13">
        <f>SUMIFS(yoy_growth[turnover_millions],yoy_growth[state],$A9,yoy_growth[year],B$1)</f>
        <v>2862.4000000000015</v>
      </c>
      <c r="C9" s="13">
        <f>SUMIFS(yoy_growth[turnover_millions],yoy_growth[state],$A9,yoy_growth[year],C$1)</f>
        <v>3103.1000000000008</v>
      </c>
      <c r="D9" s="13">
        <f>SUMIFS(yoy_growth[turnover_millions],yoy_growth[state],$A9,yoy_growth[year],D$1)</f>
        <v>3304.8</v>
      </c>
      <c r="E9" s="13">
        <f>SUMIFS(yoy_growth[turnover_millions],yoy_growth[state],$A9,yoy_growth[year],E$1)</f>
        <v>3403.1999999999994</v>
      </c>
      <c r="F9" s="11">
        <f>SUMIFS(yoy_growth[turnover_millions],yoy_growth[state],$A9,yoy_growth[year],F$1)</f>
        <v>3555.0000000000009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B9EF6-D87E-4C7C-9013-E8E2E8A32C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state_summary</vt:lpstr>
      <vt:lpstr>industry_rank</vt:lpstr>
      <vt:lpstr>yoy_growth</vt:lpstr>
      <vt:lpstr>monthly_trend</vt:lpstr>
      <vt:lpstr>Pivot Industry</vt:lpstr>
      <vt:lpstr>SparklineData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 Zahid</dc:creator>
  <cp:lastModifiedBy>Ayman  Zahid</cp:lastModifiedBy>
  <dcterms:created xsi:type="dcterms:W3CDTF">2026-04-06T07:35:11Z</dcterms:created>
  <dcterms:modified xsi:type="dcterms:W3CDTF">2026-04-15T10:41:37Z</dcterms:modified>
</cp:coreProperties>
</file>